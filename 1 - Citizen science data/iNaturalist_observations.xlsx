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pk14885/Desktop/"/>
    </mc:Choice>
  </mc:AlternateContent>
  <xr:revisionPtr revIDLastSave="0" documentId="8_{C28A20A2-B0EF-724D-8F1E-064FC3EDE56F}" xr6:coauthVersionLast="47" xr6:coauthVersionMax="47" xr10:uidLastSave="{00000000-0000-0000-0000-000000000000}"/>
  <bookViews>
    <workbookView xWindow="3540" yWindow="1320" windowWidth="26700" windowHeight="16520" xr2:uid="{AE6A3F57-C53F-9546-891E-A0FCC862C63E}"/>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285" i="1" l="1"/>
  <c r="AP1284" i="1"/>
  <c r="AP1283" i="1"/>
  <c r="AP1282" i="1"/>
  <c r="AP1281" i="1"/>
  <c r="AP1280" i="1"/>
  <c r="AP1279" i="1"/>
  <c r="AP1278" i="1"/>
  <c r="AP1277" i="1"/>
  <c r="AP1276" i="1"/>
  <c r="AP1275" i="1"/>
  <c r="AP1274" i="1"/>
  <c r="AP1273" i="1"/>
  <c r="AP1272" i="1"/>
  <c r="AP1271" i="1"/>
  <c r="AP1270" i="1"/>
  <c r="AP1269" i="1"/>
  <c r="AP1268" i="1"/>
  <c r="AP1267" i="1"/>
  <c r="AP1266" i="1"/>
  <c r="AP1265" i="1"/>
  <c r="AP1264" i="1"/>
  <c r="AP1263" i="1"/>
  <c r="AP1262" i="1"/>
  <c r="AP1261" i="1"/>
  <c r="AP1260" i="1"/>
  <c r="AP1259" i="1"/>
  <c r="AP1258" i="1"/>
  <c r="AP1257" i="1"/>
  <c r="AP1256" i="1"/>
  <c r="AP1255" i="1"/>
  <c r="AP1254" i="1"/>
  <c r="BF1253" i="1"/>
  <c r="BE1253" i="1"/>
  <c r="BC1253" i="1"/>
  <c r="BB1253" i="1"/>
  <c r="BA1253" i="1"/>
  <c r="AZ1253" i="1"/>
  <c r="AY1253" i="1"/>
  <c r="BD1253" i="1" s="1"/>
  <c r="AX1253" i="1"/>
  <c r="AP1253" i="1"/>
  <c r="BF1252" i="1"/>
  <c r="BE1252" i="1"/>
  <c r="BD1252" i="1"/>
  <c r="BC1252" i="1"/>
  <c r="BB1252" i="1"/>
  <c r="BA1252" i="1"/>
  <c r="AZ1252" i="1"/>
  <c r="AY1252" i="1"/>
  <c r="AX1252" i="1"/>
  <c r="AP1252" i="1"/>
  <c r="BF1251" i="1"/>
  <c r="BE1251" i="1"/>
  <c r="BC1251" i="1"/>
  <c r="BB1251" i="1"/>
  <c r="BA1251" i="1"/>
  <c r="AZ1251" i="1"/>
  <c r="AY1251" i="1"/>
  <c r="AX1251" i="1"/>
  <c r="BD1251" i="1" s="1"/>
  <c r="AP1251" i="1"/>
  <c r="BF1250" i="1"/>
  <c r="BE1250" i="1"/>
  <c r="BC1250" i="1"/>
  <c r="BB1250" i="1"/>
  <c r="BA1250" i="1"/>
  <c r="AZ1250" i="1"/>
  <c r="AY1250" i="1"/>
  <c r="AX1250" i="1"/>
  <c r="BD1250" i="1" s="1"/>
  <c r="AP1250" i="1"/>
  <c r="BF1249" i="1"/>
  <c r="BE1249" i="1"/>
  <c r="BC1249" i="1"/>
  <c r="BB1249" i="1"/>
  <c r="BA1249" i="1"/>
  <c r="BD1249" i="1" s="1"/>
  <c r="AZ1249" i="1"/>
  <c r="AY1249" i="1"/>
  <c r="AX1249" i="1"/>
  <c r="AP1249" i="1"/>
  <c r="BF1248" i="1"/>
  <c r="BE1248" i="1"/>
  <c r="BD1248" i="1"/>
  <c r="BC1248" i="1"/>
  <c r="BB1248" i="1"/>
  <c r="BA1248" i="1"/>
  <c r="AZ1248" i="1"/>
  <c r="AY1248" i="1"/>
  <c r="AX1248" i="1"/>
  <c r="AP1248" i="1"/>
  <c r="BF1247" i="1"/>
  <c r="BE1247" i="1"/>
  <c r="BC1247" i="1"/>
  <c r="BB1247" i="1"/>
  <c r="BA1247" i="1"/>
  <c r="AZ1247" i="1"/>
  <c r="AY1247" i="1"/>
  <c r="AX1247" i="1"/>
  <c r="BD1247" i="1" s="1"/>
  <c r="AP1247" i="1"/>
  <c r="BF1246" i="1"/>
  <c r="BE1246" i="1"/>
  <c r="BC1246" i="1"/>
  <c r="BB1246" i="1"/>
  <c r="BA1246" i="1"/>
  <c r="AZ1246" i="1"/>
  <c r="AY1246" i="1"/>
  <c r="AX1246" i="1"/>
  <c r="BD1246" i="1" s="1"/>
  <c r="AP1246" i="1"/>
  <c r="BF1245" i="1"/>
  <c r="BE1245" i="1"/>
  <c r="BC1245" i="1"/>
  <c r="BB1245" i="1"/>
  <c r="BA1245" i="1"/>
  <c r="BD1245" i="1" s="1"/>
  <c r="AZ1245" i="1"/>
  <c r="AY1245" i="1"/>
  <c r="AX1245" i="1"/>
  <c r="AP1245" i="1"/>
  <c r="BF1244" i="1"/>
  <c r="BE1244" i="1"/>
  <c r="BD1244" i="1"/>
  <c r="BC1244" i="1"/>
  <c r="BB1244" i="1"/>
  <c r="BA1244" i="1"/>
  <c r="AZ1244" i="1"/>
  <c r="AY1244" i="1"/>
  <c r="AX1244" i="1"/>
  <c r="AP1244" i="1"/>
  <c r="BF1243" i="1"/>
  <c r="BE1243" i="1"/>
  <c r="BC1243" i="1"/>
  <c r="BB1243" i="1"/>
  <c r="BA1243" i="1"/>
  <c r="AZ1243" i="1"/>
  <c r="AY1243" i="1"/>
  <c r="AX1243" i="1"/>
  <c r="BD1243" i="1" s="1"/>
  <c r="AP1243" i="1"/>
  <c r="BF1242" i="1"/>
  <c r="BE1242" i="1"/>
  <c r="BC1242" i="1"/>
  <c r="BB1242" i="1"/>
  <c r="BA1242" i="1"/>
  <c r="AZ1242" i="1"/>
  <c r="AY1242" i="1"/>
  <c r="AX1242" i="1"/>
  <c r="BD1242" i="1" s="1"/>
  <c r="AP1242" i="1"/>
  <c r="BF1241" i="1"/>
  <c r="BE1241" i="1"/>
  <c r="BC1241" i="1"/>
  <c r="BB1241" i="1"/>
  <c r="BA1241" i="1"/>
  <c r="BD1241" i="1" s="1"/>
  <c r="AZ1241" i="1"/>
  <c r="AY1241" i="1"/>
  <c r="AX1241" i="1"/>
  <c r="AP1241" i="1"/>
  <c r="BF1240" i="1"/>
  <c r="BE1240" i="1"/>
  <c r="BD1240" i="1"/>
  <c r="BC1240" i="1"/>
  <c r="BB1240" i="1"/>
  <c r="BA1240" i="1"/>
  <c r="AZ1240" i="1"/>
  <c r="AY1240" i="1"/>
  <c r="AX1240" i="1"/>
  <c r="AP1240" i="1"/>
  <c r="BF1239" i="1"/>
  <c r="BE1239" i="1"/>
  <c r="BC1239" i="1"/>
  <c r="BB1239" i="1"/>
  <c r="BA1239" i="1"/>
  <c r="AZ1239" i="1"/>
  <c r="AY1239" i="1"/>
  <c r="AX1239" i="1"/>
  <c r="BD1239" i="1" s="1"/>
  <c r="AP1239" i="1"/>
  <c r="BF1238" i="1"/>
  <c r="BE1238" i="1"/>
  <c r="BC1238" i="1"/>
  <c r="BB1238" i="1"/>
  <c r="BA1238" i="1"/>
  <c r="AZ1238" i="1"/>
  <c r="AY1238" i="1"/>
  <c r="AX1238" i="1"/>
  <c r="BD1238" i="1" s="1"/>
  <c r="AP1238" i="1"/>
  <c r="BF1237" i="1"/>
  <c r="BE1237" i="1"/>
  <c r="BC1237" i="1"/>
  <c r="BB1237" i="1"/>
  <c r="BA1237" i="1"/>
  <c r="BD1237" i="1" s="1"/>
  <c r="AZ1237" i="1"/>
  <c r="AY1237" i="1"/>
  <c r="AX1237" i="1"/>
  <c r="AP1237" i="1"/>
  <c r="BF1236" i="1"/>
  <c r="BE1236" i="1"/>
  <c r="BD1236" i="1"/>
  <c r="BC1236" i="1"/>
  <c r="BB1236" i="1"/>
  <c r="BA1236" i="1"/>
  <c r="AZ1236" i="1"/>
  <c r="AY1236" i="1"/>
  <c r="AX1236" i="1"/>
  <c r="AP1236" i="1"/>
  <c r="BF1235" i="1"/>
  <c r="BE1235" i="1"/>
  <c r="BC1235" i="1"/>
  <c r="BB1235" i="1"/>
  <c r="BA1235" i="1"/>
  <c r="AZ1235" i="1"/>
  <c r="AY1235" i="1"/>
  <c r="AX1235" i="1"/>
  <c r="BD1235" i="1" s="1"/>
  <c r="AP1235" i="1"/>
  <c r="BF1234" i="1"/>
  <c r="BE1234" i="1"/>
  <c r="BC1234" i="1"/>
  <c r="BB1234" i="1"/>
  <c r="BA1234" i="1"/>
  <c r="AZ1234" i="1"/>
  <c r="AY1234" i="1"/>
  <c r="AX1234" i="1"/>
  <c r="BD1234" i="1" s="1"/>
  <c r="AP1234" i="1"/>
  <c r="BF1233" i="1"/>
  <c r="BE1233" i="1"/>
  <c r="BC1233" i="1"/>
  <c r="BB1233" i="1"/>
  <c r="BA1233" i="1"/>
  <c r="BD1233" i="1" s="1"/>
  <c r="AZ1233" i="1"/>
  <c r="AY1233" i="1"/>
  <c r="AX1233" i="1"/>
  <c r="AP1233" i="1"/>
  <c r="BF1232" i="1"/>
  <c r="BE1232" i="1"/>
  <c r="BD1232" i="1"/>
  <c r="BC1232" i="1"/>
  <c r="BB1232" i="1"/>
  <c r="BA1232" i="1"/>
  <c r="AZ1232" i="1"/>
  <c r="AY1232" i="1"/>
  <c r="AX1232" i="1"/>
  <c r="AP1232" i="1"/>
  <c r="BF1231" i="1"/>
  <c r="BE1231" i="1"/>
  <c r="BC1231" i="1"/>
  <c r="BB1231" i="1"/>
  <c r="BA1231" i="1"/>
  <c r="AZ1231" i="1"/>
  <c r="AY1231" i="1"/>
  <c r="AX1231" i="1"/>
  <c r="BD1231" i="1" s="1"/>
  <c r="AP1231" i="1"/>
  <c r="BF1230" i="1"/>
  <c r="BE1230" i="1"/>
  <c r="BC1230" i="1"/>
  <c r="BB1230" i="1"/>
  <c r="BA1230" i="1"/>
  <c r="AZ1230" i="1"/>
  <c r="AY1230" i="1"/>
  <c r="AX1230" i="1"/>
  <c r="BD1230" i="1" s="1"/>
  <c r="AP1230" i="1"/>
  <c r="BF1229" i="1"/>
  <c r="BE1229" i="1"/>
  <c r="BC1229" i="1"/>
  <c r="BB1229" i="1"/>
  <c r="BA1229" i="1"/>
  <c r="BD1229" i="1" s="1"/>
  <c r="AZ1229" i="1"/>
  <c r="AY1229" i="1"/>
  <c r="AX1229" i="1"/>
  <c r="AP1229" i="1"/>
  <c r="BF1228" i="1"/>
  <c r="BE1228" i="1"/>
  <c r="BD1228" i="1"/>
  <c r="BC1228" i="1"/>
  <c r="BB1228" i="1"/>
  <c r="BA1228" i="1"/>
  <c r="AZ1228" i="1"/>
  <c r="AY1228" i="1"/>
  <c r="AX1228" i="1"/>
  <c r="AP1228" i="1"/>
  <c r="BF1227" i="1"/>
  <c r="BE1227" i="1"/>
  <c r="BC1227" i="1"/>
  <c r="BB1227" i="1"/>
  <c r="BA1227" i="1"/>
  <c r="AZ1227" i="1"/>
  <c r="AY1227" i="1"/>
  <c r="AX1227" i="1"/>
  <c r="BD1227" i="1" s="1"/>
  <c r="AP1227" i="1"/>
  <c r="BF1226" i="1"/>
  <c r="BE1226" i="1"/>
  <c r="BC1226" i="1"/>
  <c r="BB1226" i="1"/>
  <c r="BA1226" i="1"/>
  <c r="AZ1226" i="1"/>
  <c r="AY1226" i="1"/>
  <c r="AX1226" i="1"/>
  <c r="BD1226" i="1" s="1"/>
  <c r="AP1226" i="1"/>
  <c r="BF1225" i="1"/>
  <c r="BE1225" i="1"/>
  <c r="BC1225" i="1"/>
  <c r="BB1225" i="1"/>
  <c r="BA1225" i="1"/>
  <c r="BD1225" i="1" s="1"/>
  <c r="AZ1225" i="1"/>
  <c r="AY1225" i="1"/>
  <c r="AX1225" i="1"/>
  <c r="AP1225" i="1"/>
  <c r="BF1224" i="1"/>
  <c r="BE1224" i="1"/>
  <c r="BD1224" i="1"/>
  <c r="BC1224" i="1"/>
  <c r="BB1224" i="1"/>
  <c r="BA1224" i="1"/>
  <c r="AZ1224" i="1"/>
  <c r="AY1224" i="1"/>
  <c r="AX1224" i="1"/>
  <c r="AP1224" i="1"/>
  <c r="BF1223" i="1"/>
  <c r="BE1223" i="1"/>
  <c r="BC1223" i="1"/>
  <c r="BB1223" i="1"/>
  <c r="BA1223" i="1"/>
  <c r="AZ1223" i="1"/>
  <c r="AY1223" i="1"/>
  <c r="AX1223" i="1"/>
  <c r="BD1223" i="1" s="1"/>
  <c r="AP1223" i="1"/>
  <c r="BF1222" i="1"/>
  <c r="BE1222" i="1"/>
  <c r="BC1222" i="1"/>
  <c r="BB1222" i="1"/>
  <c r="BA1222" i="1"/>
  <c r="AZ1222" i="1"/>
  <c r="AY1222" i="1"/>
  <c r="AX1222" i="1"/>
  <c r="BD1222" i="1" s="1"/>
  <c r="AP1222" i="1"/>
  <c r="BF1221" i="1"/>
  <c r="BE1221" i="1"/>
  <c r="BC1221" i="1"/>
  <c r="BB1221" i="1"/>
  <c r="BA1221" i="1"/>
  <c r="BD1221" i="1" s="1"/>
  <c r="AZ1221" i="1"/>
  <c r="AY1221" i="1"/>
  <c r="AX1221" i="1"/>
  <c r="AP1221" i="1"/>
  <c r="BF1220" i="1"/>
  <c r="BE1220" i="1"/>
  <c r="BD1220" i="1"/>
  <c r="BC1220" i="1"/>
  <c r="BB1220" i="1"/>
  <c r="BA1220" i="1"/>
  <c r="AZ1220" i="1"/>
  <c r="AY1220" i="1"/>
  <c r="AX1220" i="1"/>
  <c r="AP1220" i="1"/>
  <c r="BF1219" i="1"/>
  <c r="BE1219" i="1"/>
  <c r="BC1219" i="1"/>
  <c r="BB1219" i="1"/>
  <c r="BA1219" i="1"/>
  <c r="AZ1219" i="1"/>
  <c r="AY1219" i="1"/>
  <c r="AX1219" i="1"/>
  <c r="BD1219" i="1" s="1"/>
  <c r="AP1219" i="1"/>
  <c r="BF1218" i="1"/>
  <c r="BE1218" i="1"/>
  <c r="BC1218" i="1"/>
  <c r="BB1218" i="1"/>
  <c r="BA1218" i="1"/>
  <c r="AZ1218" i="1"/>
  <c r="AY1218" i="1"/>
  <c r="AX1218" i="1"/>
  <c r="BD1218" i="1" s="1"/>
  <c r="AP1218" i="1"/>
  <c r="BF1217" i="1"/>
  <c r="BE1217" i="1"/>
  <c r="BC1217" i="1"/>
  <c r="BB1217" i="1"/>
  <c r="BA1217" i="1"/>
  <c r="BD1217" i="1" s="1"/>
  <c r="AZ1217" i="1"/>
  <c r="AY1217" i="1"/>
  <c r="AX1217" i="1"/>
  <c r="AP1217" i="1"/>
  <c r="BF1216" i="1"/>
  <c r="BE1216" i="1"/>
  <c r="BD1216" i="1"/>
  <c r="BC1216" i="1"/>
  <c r="BB1216" i="1"/>
  <c r="BA1216" i="1"/>
  <c r="AZ1216" i="1"/>
  <c r="AY1216" i="1"/>
  <c r="AX1216" i="1"/>
  <c r="AP1216" i="1"/>
  <c r="BF1215" i="1"/>
  <c r="BE1215" i="1"/>
  <c r="BC1215" i="1"/>
  <c r="BB1215" i="1"/>
  <c r="BA1215" i="1"/>
  <c r="AZ1215" i="1"/>
  <c r="AY1215" i="1"/>
  <c r="AX1215" i="1"/>
  <c r="BD1215" i="1" s="1"/>
  <c r="AP1215" i="1"/>
  <c r="BF1214" i="1"/>
  <c r="BE1214" i="1"/>
  <c r="BC1214" i="1"/>
  <c r="BB1214" i="1"/>
  <c r="BA1214" i="1"/>
  <c r="AZ1214" i="1"/>
  <c r="AY1214" i="1"/>
  <c r="AX1214" i="1"/>
  <c r="BD1214" i="1" s="1"/>
  <c r="AP1214" i="1"/>
  <c r="BF1213" i="1"/>
  <c r="BE1213" i="1"/>
  <c r="BC1213" i="1"/>
  <c r="BB1213" i="1"/>
  <c r="BA1213" i="1"/>
  <c r="BD1213" i="1" s="1"/>
  <c r="AZ1213" i="1"/>
  <c r="AY1213" i="1"/>
  <c r="AX1213" i="1"/>
  <c r="AP1213" i="1"/>
  <c r="BF1212" i="1"/>
  <c r="BE1212" i="1"/>
  <c r="BD1212" i="1"/>
  <c r="BC1212" i="1"/>
  <c r="BB1212" i="1"/>
  <c r="BA1212" i="1"/>
  <c r="AZ1212" i="1"/>
  <c r="AY1212" i="1"/>
  <c r="AX1212" i="1"/>
  <c r="AP1212" i="1"/>
  <c r="BF1211" i="1"/>
  <c r="BE1211" i="1"/>
  <c r="BC1211" i="1"/>
  <c r="BB1211" i="1"/>
  <c r="BA1211" i="1"/>
  <c r="AZ1211" i="1"/>
  <c r="AY1211" i="1"/>
  <c r="AX1211" i="1"/>
  <c r="BD1211" i="1" s="1"/>
  <c r="AP1211" i="1"/>
  <c r="BF1210" i="1"/>
  <c r="BE1210" i="1"/>
  <c r="BC1210" i="1"/>
  <c r="BB1210" i="1"/>
  <c r="BA1210" i="1"/>
  <c r="AZ1210" i="1"/>
  <c r="AY1210" i="1"/>
  <c r="AX1210" i="1"/>
  <c r="BD1210" i="1" s="1"/>
  <c r="AP1210" i="1"/>
  <c r="BF1209" i="1"/>
  <c r="BE1209" i="1"/>
  <c r="BC1209" i="1"/>
  <c r="BB1209" i="1"/>
  <c r="BA1209" i="1"/>
  <c r="BD1209" i="1" s="1"/>
  <c r="AZ1209" i="1"/>
  <c r="AY1209" i="1"/>
  <c r="AX1209" i="1"/>
  <c r="AP1209" i="1"/>
  <c r="BF1208" i="1"/>
  <c r="BE1208" i="1"/>
  <c r="BD1208" i="1"/>
  <c r="BC1208" i="1"/>
  <c r="BB1208" i="1"/>
  <c r="BA1208" i="1"/>
  <c r="AZ1208" i="1"/>
  <c r="AY1208" i="1"/>
  <c r="AX1208" i="1"/>
  <c r="AP1208" i="1"/>
  <c r="BF1207" i="1"/>
  <c r="BE1207" i="1"/>
  <c r="BC1207" i="1"/>
  <c r="BB1207" i="1"/>
  <c r="BA1207" i="1"/>
  <c r="AZ1207" i="1"/>
  <c r="AY1207" i="1"/>
  <c r="AX1207" i="1"/>
  <c r="BD1207" i="1" s="1"/>
  <c r="AP1207" i="1"/>
  <c r="BF1206" i="1"/>
  <c r="BE1206" i="1"/>
  <c r="BC1206" i="1"/>
  <c r="BB1206" i="1"/>
  <c r="BA1206" i="1"/>
  <c r="AZ1206" i="1"/>
  <c r="AY1206" i="1"/>
  <c r="AX1206" i="1"/>
  <c r="BD1206" i="1" s="1"/>
  <c r="AP1206" i="1"/>
  <c r="BF1205" i="1"/>
  <c r="BE1205" i="1"/>
  <c r="BC1205" i="1"/>
  <c r="BB1205" i="1"/>
  <c r="BA1205" i="1"/>
  <c r="BD1205" i="1" s="1"/>
  <c r="AZ1205" i="1"/>
  <c r="AY1205" i="1"/>
  <c r="AX1205" i="1"/>
  <c r="AP1205" i="1"/>
  <c r="BF1204" i="1"/>
  <c r="BE1204" i="1"/>
  <c r="BD1204" i="1"/>
  <c r="BC1204" i="1"/>
  <c r="BB1204" i="1"/>
  <c r="BA1204" i="1"/>
  <c r="AZ1204" i="1"/>
  <c r="AY1204" i="1"/>
  <c r="AX1204" i="1"/>
  <c r="AP1204" i="1"/>
  <c r="BF1203" i="1"/>
  <c r="BE1203" i="1"/>
  <c r="BC1203" i="1"/>
  <c r="BB1203" i="1"/>
  <c r="BA1203" i="1"/>
  <c r="AZ1203" i="1"/>
  <c r="AY1203" i="1"/>
  <c r="AX1203" i="1"/>
  <c r="BD1203" i="1" s="1"/>
  <c r="AP1203" i="1"/>
  <c r="BF1202" i="1"/>
  <c r="BE1202" i="1"/>
  <c r="BC1202" i="1"/>
  <c r="BB1202" i="1"/>
  <c r="BA1202" i="1"/>
  <c r="AZ1202" i="1"/>
  <c r="AY1202" i="1"/>
  <c r="BD1202" i="1" s="1"/>
  <c r="AX1202" i="1"/>
  <c r="AP1202" i="1"/>
  <c r="BF1201" i="1"/>
  <c r="BE1201" i="1"/>
  <c r="BC1201" i="1"/>
  <c r="BB1201" i="1"/>
  <c r="BA1201" i="1"/>
  <c r="BD1201" i="1" s="1"/>
  <c r="AZ1201" i="1"/>
  <c r="AY1201" i="1"/>
  <c r="AX1201" i="1"/>
  <c r="AP1201" i="1"/>
  <c r="BF1200" i="1"/>
  <c r="BE1200" i="1"/>
  <c r="BD1200" i="1"/>
  <c r="BC1200" i="1"/>
  <c r="BB1200" i="1"/>
  <c r="BA1200" i="1"/>
  <c r="AZ1200" i="1"/>
  <c r="AY1200" i="1"/>
  <c r="AX1200" i="1"/>
  <c r="AP1200" i="1"/>
  <c r="BF1199" i="1"/>
  <c r="BE1199" i="1"/>
  <c r="BC1199" i="1"/>
  <c r="BB1199" i="1"/>
  <c r="BA1199" i="1"/>
  <c r="AZ1199" i="1"/>
  <c r="AY1199" i="1"/>
  <c r="AX1199" i="1"/>
  <c r="BD1199" i="1" s="1"/>
  <c r="AP1199" i="1"/>
  <c r="BF1198" i="1"/>
  <c r="BE1198" i="1"/>
  <c r="BC1198" i="1"/>
  <c r="BB1198" i="1"/>
  <c r="BA1198" i="1"/>
  <c r="AZ1198" i="1"/>
  <c r="AY1198" i="1"/>
  <c r="AX1198" i="1"/>
  <c r="BD1198" i="1" s="1"/>
  <c r="AP1198" i="1"/>
  <c r="BF1197" i="1"/>
  <c r="BE1197" i="1"/>
  <c r="BC1197" i="1"/>
  <c r="BB1197" i="1"/>
  <c r="BA1197" i="1"/>
  <c r="BD1197" i="1" s="1"/>
  <c r="AZ1197" i="1"/>
  <c r="AY1197" i="1"/>
  <c r="AX1197" i="1"/>
  <c r="AP1197" i="1"/>
  <c r="BF1196" i="1"/>
  <c r="BE1196" i="1"/>
  <c r="BD1196" i="1"/>
  <c r="BC1196" i="1"/>
  <c r="BB1196" i="1"/>
  <c r="BA1196" i="1"/>
  <c r="AZ1196" i="1"/>
  <c r="AY1196" i="1"/>
  <c r="AX1196" i="1"/>
  <c r="AP1196" i="1"/>
  <c r="BF1195" i="1"/>
  <c r="BE1195" i="1"/>
  <c r="BC1195" i="1"/>
  <c r="BB1195" i="1"/>
  <c r="BA1195" i="1"/>
  <c r="AZ1195" i="1"/>
  <c r="AY1195" i="1"/>
  <c r="AX1195" i="1"/>
  <c r="BD1195" i="1" s="1"/>
  <c r="AP1195" i="1"/>
  <c r="BF1194" i="1"/>
  <c r="BE1194" i="1"/>
  <c r="BC1194" i="1"/>
  <c r="BB1194" i="1"/>
  <c r="BA1194" i="1"/>
  <c r="AZ1194" i="1"/>
  <c r="AY1194" i="1"/>
  <c r="AX1194" i="1"/>
  <c r="BD1194" i="1" s="1"/>
  <c r="AP1194" i="1"/>
  <c r="BF1193" i="1"/>
  <c r="BE1193" i="1"/>
  <c r="BC1193" i="1"/>
  <c r="BB1193" i="1"/>
  <c r="BA1193" i="1"/>
  <c r="BD1193" i="1" s="1"/>
  <c r="AZ1193" i="1"/>
  <c r="AY1193" i="1"/>
  <c r="AX1193" i="1"/>
  <c r="AP1193" i="1"/>
  <c r="BF1192" i="1"/>
  <c r="BE1192" i="1"/>
  <c r="BD1192" i="1"/>
  <c r="BC1192" i="1"/>
  <c r="BB1192" i="1"/>
  <c r="BA1192" i="1"/>
  <c r="AZ1192" i="1"/>
  <c r="AY1192" i="1"/>
  <c r="AX1192" i="1"/>
  <c r="AP1192" i="1"/>
  <c r="BF1191" i="1"/>
  <c r="BE1191" i="1"/>
  <c r="BC1191" i="1"/>
  <c r="BB1191" i="1"/>
  <c r="BA1191" i="1"/>
  <c r="AZ1191" i="1"/>
  <c r="AY1191" i="1"/>
  <c r="AX1191" i="1"/>
  <c r="BD1191" i="1" s="1"/>
  <c r="AP1191" i="1"/>
  <c r="BF1190" i="1"/>
  <c r="BE1190" i="1"/>
  <c r="BC1190" i="1"/>
  <c r="BB1190" i="1"/>
  <c r="BA1190" i="1"/>
  <c r="AZ1190" i="1"/>
  <c r="AY1190" i="1"/>
  <c r="AX1190" i="1"/>
  <c r="BD1190" i="1" s="1"/>
  <c r="AP1190" i="1"/>
  <c r="BF1189" i="1"/>
  <c r="BE1189" i="1"/>
  <c r="BC1189" i="1"/>
  <c r="BB1189" i="1"/>
  <c r="BA1189" i="1"/>
  <c r="BD1189" i="1" s="1"/>
  <c r="AZ1189" i="1"/>
  <c r="AY1189" i="1"/>
  <c r="AX1189" i="1"/>
  <c r="AP1189" i="1"/>
  <c r="BF1188" i="1"/>
  <c r="BE1188" i="1"/>
  <c r="BD1188" i="1"/>
  <c r="BC1188" i="1"/>
  <c r="BB1188" i="1"/>
  <c r="BA1188" i="1"/>
  <c r="AZ1188" i="1"/>
  <c r="AY1188" i="1"/>
  <c r="AX1188" i="1"/>
  <c r="AP1188" i="1"/>
  <c r="BF1187" i="1"/>
  <c r="BE1187" i="1"/>
  <c r="BC1187" i="1"/>
  <c r="BB1187" i="1"/>
  <c r="BA1187" i="1"/>
  <c r="AZ1187" i="1"/>
  <c r="AY1187" i="1"/>
  <c r="AX1187" i="1"/>
  <c r="BD1187" i="1" s="1"/>
  <c r="AP1187" i="1"/>
  <c r="BF1186" i="1"/>
  <c r="BE1186" i="1"/>
  <c r="BC1186" i="1"/>
  <c r="BB1186" i="1"/>
  <c r="BA1186" i="1"/>
  <c r="AZ1186" i="1"/>
  <c r="AY1186" i="1"/>
  <c r="AX1186" i="1"/>
  <c r="BD1186" i="1" s="1"/>
  <c r="AP1186" i="1"/>
  <c r="BF1185" i="1"/>
  <c r="BE1185" i="1"/>
  <c r="BC1185" i="1"/>
  <c r="BB1185" i="1"/>
  <c r="BA1185" i="1"/>
  <c r="BD1185" i="1" s="1"/>
  <c r="AZ1185" i="1"/>
  <c r="AY1185" i="1"/>
  <c r="AX1185" i="1"/>
  <c r="AP1185" i="1"/>
  <c r="BF1184" i="1"/>
  <c r="BE1184" i="1"/>
  <c r="BD1184" i="1"/>
  <c r="BC1184" i="1"/>
  <c r="BB1184" i="1"/>
  <c r="BA1184" i="1"/>
  <c r="AZ1184" i="1"/>
  <c r="AY1184" i="1"/>
  <c r="AX1184" i="1"/>
  <c r="AP1184" i="1"/>
  <c r="BF1183" i="1"/>
  <c r="BE1183" i="1"/>
  <c r="BC1183" i="1"/>
  <c r="BB1183" i="1"/>
  <c r="BA1183" i="1"/>
  <c r="AZ1183" i="1"/>
  <c r="AY1183" i="1"/>
  <c r="AX1183" i="1"/>
  <c r="BD1183" i="1" s="1"/>
  <c r="AP1183" i="1"/>
  <c r="BF1182" i="1"/>
  <c r="BE1182" i="1"/>
  <c r="BC1182" i="1"/>
  <c r="BB1182" i="1"/>
  <c r="BA1182" i="1"/>
  <c r="AZ1182" i="1"/>
  <c r="AY1182" i="1"/>
  <c r="AX1182" i="1"/>
  <c r="BD1182" i="1" s="1"/>
  <c r="AP1182" i="1"/>
  <c r="BF1181" i="1"/>
  <c r="BE1181" i="1"/>
  <c r="BC1181" i="1"/>
  <c r="BB1181" i="1"/>
  <c r="BA1181" i="1"/>
  <c r="BD1181" i="1" s="1"/>
  <c r="AZ1181" i="1"/>
  <c r="AY1181" i="1"/>
  <c r="AX1181" i="1"/>
  <c r="AP1181" i="1"/>
  <c r="BF1180" i="1"/>
  <c r="BE1180" i="1"/>
  <c r="BD1180" i="1"/>
  <c r="BC1180" i="1"/>
  <c r="BB1180" i="1"/>
  <c r="BA1180" i="1"/>
  <c r="AZ1180" i="1"/>
  <c r="AY1180" i="1"/>
  <c r="AX1180" i="1"/>
  <c r="AP1180" i="1"/>
  <c r="BF1179" i="1"/>
  <c r="BE1179" i="1"/>
  <c r="BC1179" i="1"/>
  <c r="BB1179" i="1"/>
  <c r="BA1179" i="1"/>
  <c r="AZ1179" i="1"/>
  <c r="AY1179" i="1"/>
  <c r="AX1179" i="1"/>
  <c r="BD1179" i="1" s="1"/>
  <c r="AP1179" i="1"/>
  <c r="BF1178" i="1"/>
  <c r="BE1178" i="1"/>
  <c r="BC1178" i="1"/>
  <c r="BB1178" i="1"/>
  <c r="BA1178" i="1"/>
  <c r="AZ1178" i="1"/>
  <c r="AY1178" i="1"/>
  <c r="AX1178" i="1"/>
  <c r="BD1178" i="1" s="1"/>
  <c r="AP1178" i="1"/>
  <c r="BF1177" i="1"/>
  <c r="BE1177" i="1"/>
  <c r="BC1177" i="1"/>
  <c r="BB1177" i="1"/>
  <c r="BA1177" i="1"/>
  <c r="BD1177" i="1" s="1"/>
  <c r="AZ1177" i="1"/>
  <c r="AY1177" i="1"/>
  <c r="AX1177" i="1"/>
  <c r="AP1177" i="1"/>
  <c r="BF1176" i="1"/>
  <c r="BE1176" i="1"/>
  <c r="BD1176" i="1"/>
  <c r="BC1176" i="1"/>
  <c r="BB1176" i="1"/>
  <c r="BA1176" i="1"/>
  <c r="AZ1176" i="1"/>
  <c r="AY1176" i="1"/>
  <c r="AX1176" i="1"/>
  <c r="AP1176" i="1"/>
  <c r="BF1175" i="1"/>
  <c r="BE1175" i="1"/>
  <c r="BC1175" i="1"/>
  <c r="BB1175" i="1"/>
  <c r="BA1175" i="1"/>
  <c r="AZ1175" i="1"/>
  <c r="AY1175" i="1"/>
  <c r="AX1175" i="1"/>
  <c r="BD1175" i="1" s="1"/>
  <c r="AP1175" i="1"/>
  <c r="BF1174" i="1"/>
  <c r="BE1174" i="1"/>
  <c r="BC1174" i="1"/>
  <c r="BB1174" i="1"/>
  <c r="BA1174" i="1"/>
  <c r="AZ1174" i="1"/>
  <c r="AY1174" i="1"/>
  <c r="AX1174" i="1"/>
  <c r="BD1174" i="1" s="1"/>
  <c r="AP1174" i="1"/>
  <c r="BF1173" i="1"/>
  <c r="BE1173" i="1"/>
  <c r="BC1173" i="1"/>
  <c r="BB1173" i="1"/>
  <c r="BA1173" i="1"/>
  <c r="BD1173" i="1" s="1"/>
  <c r="AZ1173" i="1"/>
  <c r="AY1173" i="1"/>
  <c r="AX1173" i="1"/>
  <c r="AP1173" i="1"/>
  <c r="BF1172" i="1"/>
  <c r="BE1172" i="1"/>
  <c r="BD1172" i="1"/>
  <c r="BC1172" i="1"/>
  <c r="BB1172" i="1"/>
  <c r="BA1172" i="1"/>
  <c r="AZ1172" i="1"/>
  <c r="AY1172" i="1"/>
  <c r="AX1172" i="1"/>
  <c r="AP1172" i="1"/>
  <c r="BF1171" i="1"/>
  <c r="BE1171" i="1"/>
  <c r="BC1171" i="1"/>
  <c r="BB1171" i="1"/>
  <c r="BA1171" i="1"/>
  <c r="AZ1171" i="1"/>
  <c r="AY1171" i="1"/>
  <c r="AX1171" i="1"/>
  <c r="BD1171" i="1" s="1"/>
  <c r="AP1171" i="1"/>
  <c r="BF1170" i="1"/>
  <c r="BE1170" i="1"/>
  <c r="BC1170" i="1"/>
  <c r="BB1170" i="1"/>
  <c r="BA1170" i="1"/>
  <c r="AZ1170" i="1"/>
  <c r="AY1170" i="1"/>
  <c r="AX1170" i="1"/>
  <c r="BD1170" i="1" s="1"/>
  <c r="AP1170" i="1"/>
  <c r="BF1169" i="1"/>
  <c r="BE1169" i="1"/>
  <c r="BC1169" i="1"/>
  <c r="BB1169" i="1"/>
  <c r="BA1169" i="1"/>
  <c r="BD1169" i="1" s="1"/>
  <c r="AZ1169" i="1"/>
  <c r="AY1169" i="1"/>
  <c r="AX1169" i="1"/>
  <c r="AP1169" i="1"/>
  <c r="BF1168" i="1"/>
  <c r="BE1168" i="1"/>
  <c r="BC1168" i="1"/>
  <c r="BD1168" i="1" s="1"/>
  <c r="BB1168" i="1"/>
  <c r="BA1168" i="1"/>
  <c r="AZ1168" i="1"/>
  <c r="AY1168" i="1"/>
  <c r="AX1168" i="1"/>
  <c r="AP1168" i="1"/>
  <c r="BF1167" i="1"/>
  <c r="BE1167" i="1"/>
  <c r="BC1167" i="1"/>
  <c r="BB1167" i="1"/>
  <c r="BA1167" i="1"/>
  <c r="AZ1167" i="1"/>
  <c r="AY1167" i="1"/>
  <c r="AX1167" i="1"/>
  <c r="BD1167" i="1" s="1"/>
  <c r="AP1167" i="1"/>
  <c r="BF1166" i="1"/>
  <c r="BE1166" i="1"/>
  <c r="BC1166" i="1"/>
  <c r="BB1166" i="1"/>
  <c r="BA1166" i="1"/>
  <c r="AZ1166" i="1"/>
  <c r="AY1166" i="1"/>
  <c r="AX1166" i="1"/>
  <c r="BD1166" i="1" s="1"/>
  <c r="AP1166" i="1"/>
  <c r="BF1165" i="1"/>
  <c r="BE1165" i="1"/>
  <c r="BC1165" i="1"/>
  <c r="BB1165" i="1"/>
  <c r="BA1165" i="1"/>
  <c r="BD1165" i="1" s="1"/>
  <c r="AZ1165" i="1"/>
  <c r="AY1165" i="1"/>
  <c r="AX1165" i="1"/>
  <c r="AP1165" i="1"/>
  <c r="BF1164" i="1"/>
  <c r="BE1164" i="1"/>
  <c r="BC1164" i="1"/>
  <c r="BD1164" i="1" s="1"/>
  <c r="BB1164" i="1"/>
  <c r="BA1164" i="1"/>
  <c r="AZ1164" i="1"/>
  <c r="AY1164" i="1"/>
  <c r="AX1164" i="1"/>
  <c r="AP1164" i="1"/>
  <c r="BF1163" i="1"/>
  <c r="BE1163" i="1"/>
  <c r="BC1163" i="1"/>
  <c r="BB1163" i="1"/>
  <c r="BA1163" i="1"/>
  <c r="AZ1163" i="1"/>
  <c r="AY1163" i="1"/>
  <c r="AX1163" i="1"/>
  <c r="BD1163" i="1" s="1"/>
  <c r="AP1163" i="1"/>
  <c r="BF1162" i="1"/>
  <c r="BE1162" i="1"/>
  <c r="BC1162" i="1"/>
  <c r="BB1162" i="1"/>
  <c r="BA1162" i="1"/>
  <c r="AZ1162" i="1"/>
  <c r="AY1162" i="1"/>
  <c r="AX1162" i="1"/>
  <c r="BD1162" i="1" s="1"/>
  <c r="AP1162" i="1"/>
  <c r="BF1161" i="1"/>
  <c r="BE1161" i="1"/>
  <c r="BC1161" i="1"/>
  <c r="BB1161" i="1"/>
  <c r="BA1161" i="1"/>
  <c r="BD1161" i="1" s="1"/>
  <c r="AZ1161" i="1"/>
  <c r="AY1161" i="1"/>
  <c r="AX1161" i="1"/>
  <c r="AP1161" i="1"/>
  <c r="BF1160" i="1"/>
  <c r="BE1160" i="1"/>
  <c r="BC1160" i="1"/>
  <c r="BD1160" i="1" s="1"/>
  <c r="BB1160" i="1"/>
  <c r="BA1160" i="1"/>
  <c r="AZ1160" i="1"/>
  <c r="AY1160" i="1"/>
  <c r="AX1160" i="1"/>
  <c r="AP1160" i="1"/>
  <c r="BF1159" i="1"/>
  <c r="BE1159" i="1"/>
  <c r="BC1159" i="1"/>
  <c r="BB1159" i="1"/>
  <c r="BA1159" i="1"/>
  <c r="AZ1159" i="1"/>
  <c r="AY1159" i="1"/>
  <c r="AX1159" i="1"/>
  <c r="BD1159" i="1" s="1"/>
  <c r="AP1159" i="1"/>
  <c r="BF1158" i="1"/>
  <c r="BE1158" i="1"/>
  <c r="BC1158" i="1"/>
  <c r="BB1158" i="1"/>
  <c r="BA1158" i="1"/>
  <c r="AZ1158" i="1"/>
  <c r="AY1158" i="1"/>
  <c r="AX1158" i="1"/>
  <c r="BD1158" i="1" s="1"/>
  <c r="AP1158" i="1"/>
  <c r="BF1157" i="1"/>
  <c r="BE1157" i="1"/>
  <c r="BC1157" i="1"/>
  <c r="BB1157" i="1"/>
  <c r="BA1157" i="1"/>
  <c r="BD1157" i="1" s="1"/>
  <c r="AZ1157" i="1"/>
  <c r="AY1157" i="1"/>
  <c r="AX1157" i="1"/>
  <c r="AP1157" i="1"/>
  <c r="BF1156" i="1"/>
  <c r="BE1156" i="1"/>
  <c r="BC1156" i="1"/>
  <c r="BD1156" i="1" s="1"/>
  <c r="BB1156" i="1"/>
  <c r="BA1156" i="1"/>
  <c r="AZ1156" i="1"/>
  <c r="AY1156" i="1"/>
  <c r="AX1156" i="1"/>
  <c r="AP1156" i="1"/>
  <c r="BF1155" i="1"/>
  <c r="BE1155" i="1"/>
  <c r="BC1155" i="1"/>
  <c r="BB1155" i="1"/>
  <c r="BA1155" i="1"/>
  <c r="AZ1155" i="1"/>
  <c r="AY1155" i="1"/>
  <c r="AX1155" i="1"/>
  <c r="BD1155" i="1" s="1"/>
  <c r="AP1155" i="1"/>
  <c r="BF1154" i="1"/>
  <c r="BE1154" i="1"/>
  <c r="BC1154" i="1"/>
  <c r="BB1154" i="1"/>
  <c r="BA1154" i="1"/>
  <c r="AZ1154" i="1"/>
  <c r="AY1154" i="1"/>
  <c r="AX1154" i="1"/>
  <c r="BD1154" i="1" s="1"/>
  <c r="AP1154" i="1"/>
  <c r="BF1153" i="1"/>
  <c r="BE1153" i="1"/>
  <c r="BC1153" i="1"/>
  <c r="BB1153" i="1"/>
  <c r="BA1153" i="1"/>
  <c r="BD1153" i="1" s="1"/>
  <c r="AZ1153" i="1"/>
  <c r="AY1153" i="1"/>
  <c r="AX1153" i="1"/>
  <c r="AP1153" i="1"/>
  <c r="BF1152" i="1"/>
  <c r="BE1152" i="1"/>
  <c r="BC1152" i="1"/>
  <c r="BD1152" i="1" s="1"/>
  <c r="BB1152" i="1"/>
  <c r="BA1152" i="1"/>
  <c r="AZ1152" i="1"/>
  <c r="AY1152" i="1"/>
  <c r="AX1152" i="1"/>
  <c r="AP1152" i="1"/>
  <c r="BF1151" i="1"/>
  <c r="BE1151" i="1"/>
  <c r="BC1151" i="1"/>
  <c r="BB1151" i="1"/>
  <c r="BA1151" i="1"/>
  <c r="AZ1151" i="1"/>
  <c r="AY1151" i="1"/>
  <c r="AX1151" i="1"/>
  <c r="BD1151" i="1" s="1"/>
  <c r="AP1151" i="1"/>
  <c r="BF1150" i="1"/>
  <c r="BE1150" i="1"/>
  <c r="BC1150" i="1"/>
  <c r="BB1150" i="1"/>
  <c r="BA1150" i="1"/>
  <c r="AZ1150" i="1"/>
  <c r="AY1150" i="1"/>
  <c r="AX1150" i="1"/>
  <c r="BD1150" i="1" s="1"/>
  <c r="AP1150" i="1"/>
  <c r="BF1149" i="1"/>
  <c r="BE1149" i="1"/>
  <c r="BC1149" i="1"/>
  <c r="BB1149" i="1"/>
  <c r="BA1149" i="1"/>
  <c r="BD1149" i="1" s="1"/>
  <c r="AZ1149" i="1"/>
  <c r="AY1149" i="1"/>
  <c r="AX1149" i="1"/>
  <c r="AP1149" i="1"/>
  <c r="BF1148" i="1"/>
  <c r="BE1148" i="1"/>
  <c r="BC1148" i="1"/>
  <c r="BD1148" i="1" s="1"/>
  <c r="BB1148" i="1"/>
  <c r="BA1148" i="1"/>
  <c r="AZ1148" i="1"/>
  <c r="AY1148" i="1"/>
  <c r="AX1148" i="1"/>
  <c r="AP1148" i="1"/>
  <c r="BF1147" i="1"/>
  <c r="BE1147" i="1"/>
  <c r="BC1147" i="1"/>
  <c r="BB1147" i="1"/>
  <c r="BA1147" i="1"/>
  <c r="AZ1147" i="1"/>
  <c r="AY1147" i="1"/>
  <c r="AX1147" i="1"/>
  <c r="BD1147" i="1" s="1"/>
  <c r="AP1147" i="1"/>
  <c r="BF1146" i="1"/>
  <c r="BE1146" i="1"/>
  <c r="BC1146" i="1"/>
  <c r="BB1146" i="1"/>
  <c r="BA1146" i="1"/>
  <c r="AZ1146" i="1"/>
  <c r="AY1146" i="1"/>
  <c r="AX1146" i="1"/>
  <c r="BD1146" i="1" s="1"/>
  <c r="AP1146" i="1"/>
  <c r="BF1145" i="1"/>
  <c r="BE1145" i="1"/>
  <c r="BC1145" i="1"/>
  <c r="BB1145" i="1"/>
  <c r="BA1145" i="1"/>
  <c r="BD1145" i="1" s="1"/>
  <c r="AZ1145" i="1"/>
  <c r="AY1145" i="1"/>
  <c r="AX1145" i="1"/>
  <c r="AP1145" i="1"/>
  <c r="BF1144" i="1"/>
  <c r="BE1144" i="1"/>
  <c r="BC1144" i="1"/>
  <c r="BD1144" i="1" s="1"/>
  <c r="BB1144" i="1"/>
  <c r="BA1144" i="1"/>
  <c r="AZ1144" i="1"/>
  <c r="AY1144" i="1"/>
  <c r="AX1144" i="1"/>
  <c r="AP1144" i="1"/>
  <c r="BF1143" i="1"/>
  <c r="BE1143" i="1"/>
  <c r="BC1143" i="1"/>
  <c r="BB1143" i="1"/>
  <c r="BA1143" i="1"/>
  <c r="AZ1143" i="1"/>
  <c r="AY1143" i="1"/>
  <c r="AX1143" i="1"/>
  <c r="BD1143" i="1" s="1"/>
  <c r="AP1143" i="1"/>
  <c r="BF1142" i="1"/>
  <c r="BE1142" i="1"/>
  <c r="BC1142" i="1"/>
  <c r="BB1142" i="1"/>
  <c r="BA1142" i="1"/>
  <c r="AZ1142" i="1"/>
  <c r="AY1142" i="1"/>
  <c r="AX1142" i="1"/>
  <c r="BD1142" i="1" s="1"/>
  <c r="AP1142" i="1"/>
  <c r="BF1141" i="1"/>
  <c r="BE1141" i="1"/>
  <c r="BC1141" i="1"/>
  <c r="BB1141" i="1"/>
  <c r="BA1141" i="1"/>
  <c r="BD1141" i="1" s="1"/>
  <c r="AZ1141" i="1"/>
  <c r="AY1141" i="1"/>
  <c r="AX1141" i="1"/>
  <c r="AP1141" i="1"/>
  <c r="BF1140" i="1"/>
  <c r="BE1140" i="1"/>
  <c r="BC1140" i="1"/>
  <c r="BD1140" i="1" s="1"/>
  <c r="BB1140" i="1"/>
  <c r="BA1140" i="1"/>
  <c r="AZ1140" i="1"/>
  <c r="AY1140" i="1"/>
  <c r="AX1140" i="1"/>
  <c r="AP1140" i="1"/>
  <c r="BF1139" i="1"/>
  <c r="BE1139" i="1"/>
  <c r="BC1139" i="1"/>
  <c r="BB1139" i="1"/>
  <c r="BA1139" i="1"/>
  <c r="AZ1139" i="1"/>
  <c r="AY1139" i="1"/>
  <c r="AX1139" i="1"/>
  <c r="BD1139" i="1" s="1"/>
  <c r="AP1139" i="1"/>
  <c r="BF1138" i="1"/>
  <c r="BE1138" i="1"/>
  <c r="BC1138" i="1"/>
  <c r="BB1138" i="1"/>
  <c r="BA1138" i="1"/>
  <c r="AZ1138" i="1"/>
  <c r="AY1138" i="1"/>
  <c r="AX1138" i="1"/>
  <c r="BD1138" i="1" s="1"/>
  <c r="AP1138" i="1"/>
  <c r="BF1137" i="1"/>
  <c r="BE1137" i="1"/>
  <c r="BC1137" i="1"/>
  <c r="BB1137" i="1"/>
  <c r="BA1137" i="1"/>
  <c r="BD1137" i="1" s="1"/>
  <c r="AZ1137" i="1"/>
  <c r="AY1137" i="1"/>
  <c r="AX1137" i="1"/>
  <c r="AP1137" i="1"/>
  <c r="BF1136" i="1"/>
  <c r="BE1136" i="1"/>
  <c r="BC1136" i="1"/>
  <c r="BD1136" i="1" s="1"/>
  <c r="BB1136" i="1"/>
  <c r="BA1136" i="1"/>
  <c r="AZ1136" i="1"/>
  <c r="AY1136" i="1"/>
  <c r="AX1136" i="1"/>
  <c r="AP1136" i="1"/>
  <c r="BF1135" i="1"/>
  <c r="BE1135" i="1"/>
  <c r="BC1135" i="1"/>
  <c r="BB1135" i="1"/>
  <c r="BA1135" i="1"/>
  <c r="AZ1135" i="1"/>
  <c r="AY1135" i="1"/>
  <c r="AX1135" i="1"/>
  <c r="BD1135" i="1" s="1"/>
  <c r="BF1134" i="1"/>
  <c r="BE1134" i="1"/>
  <c r="BC1134" i="1"/>
  <c r="BB1134" i="1"/>
  <c r="BA1134" i="1"/>
  <c r="AZ1134" i="1"/>
  <c r="AY1134" i="1"/>
  <c r="AX1134" i="1"/>
  <c r="BD1134" i="1" s="1"/>
  <c r="AP1134" i="1"/>
  <c r="BF1133" i="1"/>
  <c r="BE1133" i="1"/>
  <c r="BC1133" i="1"/>
  <c r="BB1133" i="1"/>
  <c r="BA1133" i="1"/>
  <c r="AZ1133" i="1"/>
  <c r="AY1133" i="1"/>
  <c r="AX1133" i="1"/>
  <c r="BD1133" i="1" s="1"/>
  <c r="AP1133" i="1"/>
  <c r="BF1132" i="1"/>
  <c r="BE1132" i="1"/>
  <c r="BC1132" i="1"/>
  <c r="BB1132" i="1"/>
  <c r="BD1132" i="1" s="1"/>
  <c r="BA1132" i="1"/>
  <c r="AZ1132" i="1"/>
  <c r="AY1132" i="1"/>
  <c r="AX1132" i="1"/>
  <c r="AP1132" i="1"/>
  <c r="BF1131" i="1"/>
  <c r="BE1131" i="1"/>
  <c r="BD1131" i="1"/>
  <c r="BC1131" i="1"/>
  <c r="BB1131" i="1"/>
  <c r="BA1131" i="1"/>
  <c r="AZ1131" i="1"/>
  <c r="AY1131" i="1"/>
  <c r="AX1131" i="1"/>
  <c r="AP1131" i="1"/>
  <c r="BF1130" i="1"/>
  <c r="BE1130" i="1"/>
  <c r="BC1130" i="1"/>
  <c r="BB1130" i="1"/>
  <c r="BA1130" i="1"/>
  <c r="AZ1130" i="1"/>
  <c r="AY1130" i="1"/>
  <c r="AX1130" i="1"/>
  <c r="BD1130" i="1" s="1"/>
  <c r="AP1130" i="1"/>
  <c r="BF1129" i="1"/>
  <c r="BE1129" i="1"/>
  <c r="BC1129" i="1"/>
  <c r="BB1129" i="1"/>
  <c r="BA1129" i="1"/>
  <c r="AZ1129" i="1"/>
  <c r="AY1129" i="1"/>
  <c r="AX1129" i="1"/>
  <c r="BD1129" i="1" s="1"/>
  <c r="AP1129" i="1"/>
  <c r="BF1128" i="1"/>
  <c r="BE1128" i="1"/>
  <c r="BC1128" i="1"/>
  <c r="BB1128" i="1"/>
  <c r="BD1128" i="1" s="1"/>
  <c r="BA1128" i="1"/>
  <c r="AZ1128" i="1"/>
  <c r="AY1128" i="1"/>
  <c r="AX1128" i="1"/>
  <c r="AP1128" i="1"/>
  <c r="BF1127" i="1"/>
  <c r="BE1127" i="1"/>
  <c r="BD1127" i="1"/>
  <c r="BC1127" i="1"/>
  <c r="BB1127" i="1"/>
  <c r="BA1127" i="1"/>
  <c r="AZ1127" i="1"/>
  <c r="AY1127" i="1"/>
  <c r="AX1127" i="1"/>
  <c r="AP1127" i="1"/>
  <c r="BF1126" i="1"/>
  <c r="BE1126" i="1"/>
  <c r="BC1126" i="1"/>
  <c r="BB1126" i="1"/>
  <c r="BA1126" i="1"/>
  <c r="AZ1126" i="1"/>
  <c r="AY1126" i="1"/>
  <c r="AX1126" i="1"/>
  <c r="BD1126" i="1" s="1"/>
  <c r="AP1126" i="1"/>
  <c r="BF1125" i="1"/>
  <c r="BE1125" i="1"/>
  <c r="BC1125" i="1"/>
  <c r="BB1125" i="1"/>
  <c r="BA1125" i="1"/>
  <c r="AZ1125" i="1"/>
  <c r="AY1125" i="1"/>
  <c r="AX1125" i="1"/>
  <c r="BD1125" i="1" s="1"/>
  <c r="AP1125" i="1"/>
  <c r="BF1124" i="1"/>
  <c r="BE1124" i="1"/>
  <c r="BC1124" i="1"/>
  <c r="BB1124" i="1"/>
  <c r="BD1124" i="1" s="1"/>
  <c r="BA1124" i="1"/>
  <c r="AZ1124" i="1"/>
  <c r="AY1124" i="1"/>
  <c r="AX1124" i="1"/>
  <c r="AP1124" i="1"/>
  <c r="BF1123" i="1"/>
  <c r="BE1123" i="1"/>
  <c r="BD1123" i="1"/>
  <c r="BC1123" i="1"/>
  <c r="BB1123" i="1"/>
  <c r="BA1123" i="1"/>
  <c r="AZ1123" i="1"/>
  <c r="AY1123" i="1"/>
  <c r="AX1123" i="1"/>
  <c r="AP1123" i="1"/>
  <c r="BF1122" i="1"/>
  <c r="BE1122" i="1"/>
  <c r="BC1122" i="1"/>
  <c r="BB1122" i="1"/>
  <c r="BA1122" i="1"/>
  <c r="AZ1122" i="1"/>
  <c r="AY1122" i="1"/>
  <c r="AX1122" i="1"/>
  <c r="BD1122" i="1" s="1"/>
  <c r="AP1122" i="1"/>
  <c r="BF1121" i="1"/>
  <c r="BE1121" i="1"/>
  <c r="BC1121" i="1"/>
  <c r="BB1121" i="1"/>
  <c r="BA1121" i="1"/>
  <c r="AZ1121" i="1"/>
  <c r="AY1121" i="1"/>
  <c r="AX1121" i="1"/>
  <c r="BD1121" i="1" s="1"/>
  <c r="AP1121" i="1"/>
  <c r="BF1120" i="1"/>
  <c r="BE1120" i="1"/>
  <c r="BC1120" i="1"/>
  <c r="BB1120" i="1"/>
  <c r="BD1120" i="1" s="1"/>
  <c r="BA1120" i="1"/>
  <c r="AZ1120" i="1"/>
  <c r="AY1120" i="1"/>
  <c r="AX1120" i="1"/>
  <c r="AP1120" i="1"/>
  <c r="BF1119" i="1"/>
  <c r="BE1119" i="1"/>
  <c r="BD1119" i="1"/>
  <c r="BC1119" i="1"/>
  <c r="BB1119" i="1"/>
  <c r="BA1119" i="1"/>
  <c r="AZ1119" i="1"/>
  <c r="AY1119" i="1"/>
  <c r="AX1119" i="1"/>
  <c r="AP1119" i="1"/>
  <c r="BF1118" i="1"/>
  <c r="BE1118" i="1"/>
  <c r="BC1118" i="1"/>
  <c r="BB1118" i="1"/>
  <c r="BA1118" i="1"/>
  <c r="AZ1118" i="1"/>
  <c r="AY1118" i="1"/>
  <c r="AX1118" i="1"/>
  <c r="BD1118" i="1" s="1"/>
  <c r="AP1118" i="1"/>
  <c r="BF1117" i="1"/>
  <c r="BE1117" i="1"/>
  <c r="BC1117" i="1"/>
  <c r="BB1117" i="1"/>
  <c r="BA1117" i="1"/>
  <c r="AZ1117" i="1"/>
  <c r="AY1117" i="1"/>
  <c r="AX1117" i="1"/>
  <c r="BD1117" i="1" s="1"/>
  <c r="BF1116" i="1"/>
  <c r="BE1116" i="1"/>
  <c r="BC1116" i="1"/>
  <c r="BB1116" i="1"/>
  <c r="BA1116" i="1"/>
  <c r="BD1116" i="1" s="1"/>
  <c r="AZ1116" i="1"/>
  <c r="AY1116" i="1"/>
  <c r="AX1116" i="1"/>
  <c r="AP1116" i="1"/>
  <c r="BF1115" i="1"/>
  <c r="BE1115" i="1"/>
  <c r="BC1115" i="1"/>
  <c r="BD1115" i="1" s="1"/>
  <c r="BB1115" i="1"/>
  <c r="BA1115" i="1"/>
  <c r="AZ1115" i="1"/>
  <c r="AY1115" i="1"/>
  <c r="AX1115" i="1"/>
  <c r="AP1115" i="1"/>
  <c r="BF1114" i="1"/>
  <c r="BE1114" i="1"/>
  <c r="BC1114" i="1"/>
  <c r="BB1114" i="1"/>
  <c r="BA1114" i="1"/>
  <c r="AZ1114" i="1"/>
  <c r="AY1114" i="1"/>
  <c r="AX1114" i="1"/>
  <c r="BD1114" i="1" s="1"/>
  <c r="AP1114" i="1"/>
  <c r="BF1113" i="1"/>
  <c r="BE1113" i="1"/>
  <c r="BC1113" i="1"/>
  <c r="BB1113" i="1"/>
  <c r="BA1113" i="1"/>
  <c r="AZ1113" i="1"/>
  <c r="AY1113" i="1"/>
  <c r="AX1113" i="1"/>
  <c r="BD1113" i="1" s="1"/>
  <c r="AP1113" i="1"/>
  <c r="BF1112" i="1"/>
  <c r="BE1112" i="1"/>
  <c r="BC1112" i="1"/>
  <c r="BB1112" i="1"/>
  <c r="BA1112" i="1"/>
  <c r="BD1112" i="1" s="1"/>
  <c r="AZ1112" i="1"/>
  <c r="AY1112" i="1"/>
  <c r="AX1112" i="1"/>
  <c r="AP1112" i="1"/>
  <c r="BF1111" i="1"/>
  <c r="BE1111" i="1"/>
  <c r="BC1111" i="1"/>
  <c r="BD1111" i="1" s="1"/>
  <c r="BB1111" i="1"/>
  <c r="BA1111" i="1"/>
  <c r="AZ1111" i="1"/>
  <c r="AY1111" i="1"/>
  <c r="AX1111" i="1"/>
  <c r="AP1111" i="1"/>
  <c r="BF1110" i="1"/>
  <c r="BE1110" i="1"/>
  <c r="BC1110" i="1"/>
  <c r="BB1110" i="1"/>
  <c r="BA1110" i="1"/>
  <c r="AZ1110" i="1"/>
  <c r="AY1110" i="1"/>
  <c r="AX1110" i="1"/>
  <c r="BD1110" i="1" s="1"/>
  <c r="AP1110" i="1"/>
  <c r="BF1109" i="1"/>
  <c r="BE1109" i="1"/>
  <c r="BC1109" i="1"/>
  <c r="BB1109" i="1"/>
  <c r="BA1109" i="1"/>
  <c r="AZ1109" i="1"/>
  <c r="AY1109" i="1"/>
  <c r="AX1109" i="1"/>
  <c r="BD1109" i="1" s="1"/>
  <c r="AP1109" i="1"/>
  <c r="BF1108" i="1"/>
  <c r="BE1108" i="1"/>
  <c r="BC1108" i="1"/>
  <c r="BB1108" i="1"/>
  <c r="BA1108" i="1"/>
  <c r="BD1108" i="1" s="1"/>
  <c r="AZ1108" i="1"/>
  <c r="AY1108" i="1"/>
  <c r="AX1108" i="1"/>
  <c r="AP1108" i="1"/>
  <c r="BF1107" i="1"/>
  <c r="BE1107" i="1"/>
  <c r="BC1107" i="1"/>
  <c r="BD1107" i="1" s="1"/>
  <c r="BB1107" i="1"/>
  <c r="BA1107" i="1"/>
  <c r="AZ1107" i="1"/>
  <c r="AY1107" i="1"/>
  <c r="AX1107" i="1"/>
  <c r="AP1107" i="1"/>
  <c r="BF1106" i="1"/>
  <c r="BE1106" i="1"/>
  <c r="BC1106" i="1"/>
  <c r="BB1106" i="1"/>
  <c r="BA1106" i="1"/>
  <c r="AZ1106" i="1"/>
  <c r="AY1106" i="1"/>
  <c r="AX1106" i="1"/>
  <c r="BD1106" i="1" s="1"/>
  <c r="AP1106" i="1"/>
  <c r="BF1105" i="1"/>
  <c r="BE1105" i="1"/>
  <c r="BC1105" i="1"/>
  <c r="BB1105" i="1"/>
  <c r="BA1105" i="1"/>
  <c r="AZ1105" i="1"/>
  <c r="AY1105" i="1"/>
  <c r="AX1105" i="1"/>
  <c r="BD1105" i="1" s="1"/>
  <c r="AP1105" i="1"/>
  <c r="BF1104" i="1"/>
  <c r="BE1104" i="1"/>
  <c r="BC1104" i="1"/>
  <c r="BB1104" i="1"/>
  <c r="BA1104" i="1"/>
  <c r="BD1104" i="1" s="1"/>
  <c r="AZ1104" i="1"/>
  <c r="AY1104" i="1"/>
  <c r="AX1104" i="1"/>
  <c r="AP1104" i="1"/>
  <c r="BF1103" i="1"/>
  <c r="BE1103" i="1"/>
  <c r="BC1103" i="1"/>
  <c r="BD1103" i="1" s="1"/>
  <c r="BB1103" i="1"/>
  <c r="BA1103" i="1"/>
  <c r="AZ1103" i="1"/>
  <c r="AY1103" i="1"/>
  <c r="AX1103" i="1"/>
  <c r="AP1103" i="1"/>
  <c r="BF1102" i="1"/>
  <c r="BE1102" i="1"/>
  <c r="BC1102" i="1"/>
  <c r="BB1102" i="1"/>
  <c r="BA1102" i="1"/>
  <c r="AZ1102" i="1"/>
  <c r="AY1102" i="1"/>
  <c r="AX1102" i="1"/>
  <c r="BD1102" i="1" s="1"/>
  <c r="BF1101" i="1"/>
  <c r="BE1101" i="1"/>
  <c r="BC1101" i="1"/>
  <c r="BB1101" i="1"/>
  <c r="BA1101" i="1"/>
  <c r="AZ1101" i="1"/>
  <c r="AY1101" i="1"/>
  <c r="AX1101" i="1"/>
  <c r="BD1101" i="1" s="1"/>
  <c r="AP1101" i="1"/>
  <c r="BF1100" i="1"/>
  <c r="BE1100" i="1"/>
  <c r="BC1100" i="1"/>
  <c r="BB1100" i="1"/>
  <c r="BA1100" i="1"/>
  <c r="AZ1100" i="1"/>
  <c r="AY1100" i="1"/>
  <c r="AX1100" i="1"/>
  <c r="BD1100" i="1" s="1"/>
  <c r="AP1100" i="1"/>
  <c r="BF1099" i="1"/>
  <c r="BE1099" i="1"/>
  <c r="BC1099" i="1"/>
  <c r="BB1099" i="1"/>
  <c r="BD1099" i="1" s="1"/>
  <c r="BA1099" i="1"/>
  <c r="AZ1099" i="1"/>
  <c r="AY1099" i="1"/>
  <c r="AX1099" i="1"/>
  <c r="AP1099" i="1"/>
  <c r="BF1098" i="1"/>
  <c r="BE1098" i="1"/>
  <c r="BD1098" i="1"/>
  <c r="BC1098" i="1"/>
  <c r="BB1098" i="1"/>
  <c r="BA1098" i="1"/>
  <c r="AZ1098" i="1"/>
  <c r="AY1098" i="1"/>
  <c r="AX1098" i="1"/>
  <c r="AP1098" i="1"/>
  <c r="BF1097" i="1"/>
  <c r="BE1097" i="1"/>
  <c r="BC1097" i="1"/>
  <c r="BB1097" i="1"/>
  <c r="BA1097" i="1"/>
  <c r="AZ1097" i="1"/>
  <c r="AY1097" i="1"/>
  <c r="AX1097" i="1"/>
  <c r="BD1097" i="1" s="1"/>
  <c r="AP1097" i="1"/>
  <c r="BF1096" i="1"/>
  <c r="BE1096" i="1"/>
  <c r="BC1096" i="1"/>
  <c r="BB1096" i="1"/>
  <c r="BA1096" i="1"/>
  <c r="AZ1096" i="1"/>
  <c r="AY1096" i="1"/>
  <c r="AX1096" i="1"/>
  <c r="BD1096" i="1" s="1"/>
  <c r="AP1096" i="1"/>
  <c r="BF1095" i="1"/>
  <c r="BE1095" i="1"/>
  <c r="BC1095" i="1"/>
  <c r="BB1095" i="1"/>
  <c r="BD1095" i="1" s="1"/>
  <c r="BA1095" i="1"/>
  <c r="AZ1095" i="1"/>
  <c r="AY1095" i="1"/>
  <c r="AX1095" i="1"/>
  <c r="AP1095" i="1"/>
  <c r="BF1094" i="1"/>
  <c r="BE1094" i="1"/>
  <c r="BD1094" i="1"/>
  <c r="BC1094" i="1"/>
  <c r="BB1094" i="1"/>
  <c r="BA1094" i="1"/>
  <c r="AZ1094" i="1"/>
  <c r="AY1094" i="1"/>
  <c r="AX1094" i="1"/>
  <c r="AP1094" i="1"/>
  <c r="BF1093" i="1"/>
  <c r="BE1093" i="1"/>
  <c r="BC1093" i="1"/>
  <c r="BB1093" i="1"/>
  <c r="BA1093" i="1"/>
  <c r="AZ1093" i="1"/>
  <c r="AY1093" i="1"/>
  <c r="AX1093" i="1"/>
  <c r="BD1093" i="1" s="1"/>
  <c r="BF1092" i="1"/>
  <c r="BE1092" i="1"/>
  <c r="BC1092" i="1"/>
  <c r="BB1092" i="1"/>
  <c r="BA1092" i="1"/>
  <c r="AZ1092" i="1"/>
  <c r="AY1092" i="1"/>
  <c r="AX1092" i="1"/>
  <c r="BD1092" i="1" s="1"/>
  <c r="AP1092" i="1"/>
  <c r="BF1091" i="1"/>
  <c r="BE1091" i="1"/>
  <c r="BC1091" i="1"/>
  <c r="BB1091" i="1"/>
  <c r="BA1091" i="1"/>
  <c r="BD1091" i="1" s="1"/>
  <c r="AZ1091" i="1"/>
  <c r="AY1091" i="1"/>
  <c r="AX1091" i="1"/>
  <c r="AP1091" i="1"/>
  <c r="BF1090" i="1"/>
  <c r="BE1090" i="1"/>
  <c r="BC1090" i="1"/>
  <c r="BD1090" i="1" s="1"/>
  <c r="BB1090" i="1"/>
  <c r="BA1090" i="1"/>
  <c r="AZ1090" i="1"/>
  <c r="AY1090" i="1"/>
  <c r="AX1090" i="1"/>
  <c r="AP1090" i="1"/>
  <c r="BF1089" i="1"/>
  <c r="BE1089" i="1"/>
  <c r="BC1089" i="1"/>
  <c r="BB1089" i="1"/>
  <c r="BA1089" i="1"/>
  <c r="AZ1089" i="1"/>
  <c r="AY1089" i="1"/>
  <c r="AX1089" i="1"/>
  <c r="BD1089" i="1" s="1"/>
  <c r="AP1089" i="1"/>
  <c r="BF1088" i="1"/>
  <c r="BE1088" i="1"/>
  <c r="BC1088" i="1"/>
  <c r="BB1088" i="1"/>
  <c r="BA1088" i="1"/>
  <c r="AZ1088" i="1"/>
  <c r="AY1088" i="1"/>
  <c r="AX1088" i="1"/>
  <c r="BD1088" i="1" s="1"/>
  <c r="AP1088" i="1"/>
  <c r="BF1087" i="1"/>
  <c r="BE1087" i="1"/>
  <c r="BC1087" i="1"/>
  <c r="BB1087" i="1"/>
  <c r="BA1087" i="1"/>
  <c r="BD1087" i="1" s="1"/>
  <c r="AZ1087" i="1"/>
  <c r="AY1087" i="1"/>
  <c r="AX1087" i="1"/>
  <c r="AP1087" i="1"/>
  <c r="BF1086" i="1"/>
  <c r="BE1086" i="1"/>
  <c r="BC1086" i="1"/>
  <c r="BD1086" i="1" s="1"/>
  <c r="BB1086" i="1"/>
  <c r="BA1086" i="1"/>
  <c r="AZ1086" i="1"/>
  <c r="AY1086" i="1"/>
  <c r="AX1086" i="1"/>
  <c r="AP1086" i="1"/>
  <c r="BF1085" i="1"/>
  <c r="BE1085" i="1"/>
  <c r="BC1085" i="1"/>
  <c r="BB1085" i="1"/>
  <c r="BA1085" i="1"/>
  <c r="AZ1085" i="1"/>
  <c r="AY1085" i="1"/>
  <c r="AX1085" i="1"/>
  <c r="BD1085" i="1" s="1"/>
  <c r="AP1085" i="1"/>
  <c r="BF1084" i="1"/>
  <c r="BE1084" i="1"/>
  <c r="BC1084" i="1"/>
  <c r="BB1084" i="1"/>
  <c r="BA1084" i="1"/>
  <c r="AZ1084" i="1"/>
  <c r="AY1084" i="1"/>
  <c r="AX1084" i="1"/>
  <c r="BD1084" i="1" s="1"/>
  <c r="AP1084" i="1"/>
  <c r="BF1083" i="1"/>
  <c r="BE1083" i="1"/>
  <c r="BC1083" i="1"/>
  <c r="BB1083" i="1"/>
  <c r="BA1083" i="1"/>
  <c r="BD1083" i="1" s="1"/>
  <c r="AZ1083" i="1"/>
  <c r="AY1083" i="1"/>
  <c r="AX1083" i="1"/>
  <c r="AP1083" i="1"/>
  <c r="BF1082" i="1"/>
  <c r="BE1082" i="1"/>
  <c r="BC1082" i="1"/>
  <c r="BD1082" i="1" s="1"/>
  <c r="BB1082" i="1"/>
  <c r="BA1082" i="1"/>
  <c r="AZ1082" i="1"/>
  <c r="AY1082" i="1"/>
  <c r="AX1082" i="1"/>
  <c r="AP1082" i="1"/>
  <c r="BF1081" i="1"/>
  <c r="BE1081" i="1"/>
  <c r="BC1081" i="1"/>
  <c r="BB1081" i="1"/>
  <c r="BA1081" i="1"/>
  <c r="AZ1081" i="1"/>
  <c r="AY1081" i="1"/>
  <c r="AX1081" i="1"/>
  <c r="BD1081" i="1" s="1"/>
  <c r="AP1081" i="1"/>
  <c r="BF1080" i="1"/>
  <c r="BE1080" i="1"/>
  <c r="BC1080" i="1"/>
  <c r="BB1080" i="1"/>
  <c r="BA1080" i="1"/>
  <c r="AZ1080" i="1"/>
  <c r="AY1080" i="1"/>
  <c r="AX1080" i="1"/>
  <c r="AP1080" i="1"/>
  <c r="BF1079" i="1"/>
  <c r="BE1079" i="1"/>
  <c r="BC1079" i="1"/>
  <c r="BB1079" i="1"/>
  <c r="BA1079" i="1"/>
  <c r="BD1079" i="1" s="1"/>
  <c r="AZ1079" i="1"/>
  <c r="AY1079" i="1"/>
  <c r="AX1079" i="1"/>
  <c r="AP1079" i="1"/>
  <c r="BF1078" i="1"/>
  <c r="BE1078" i="1"/>
  <c r="BC1078" i="1"/>
  <c r="BD1078" i="1" s="1"/>
  <c r="BB1078" i="1"/>
  <c r="BA1078" i="1"/>
  <c r="AZ1078" i="1"/>
  <c r="AY1078" i="1"/>
  <c r="AX1078" i="1"/>
  <c r="AP1078" i="1"/>
  <c r="BF1077" i="1"/>
  <c r="BE1077" i="1"/>
  <c r="BC1077" i="1"/>
  <c r="BB1077" i="1"/>
  <c r="BA1077" i="1"/>
  <c r="AZ1077" i="1"/>
  <c r="AY1077" i="1"/>
  <c r="AX1077" i="1"/>
  <c r="BD1077" i="1" s="1"/>
  <c r="BF1076" i="1"/>
  <c r="BE1076" i="1"/>
  <c r="BC1076" i="1"/>
  <c r="BB1076" i="1"/>
  <c r="BA1076" i="1"/>
  <c r="AZ1076" i="1"/>
  <c r="AY1076" i="1"/>
  <c r="AX1076" i="1"/>
  <c r="BD1076" i="1" s="1"/>
  <c r="AP1076" i="1"/>
  <c r="BF1075" i="1"/>
  <c r="BE1075" i="1"/>
  <c r="BC1075" i="1"/>
  <c r="BB1075" i="1"/>
  <c r="BA1075" i="1"/>
  <c r="AZ1075" i="1"/>
  <c r="AY1075" i="1"/>
  <c r="AX1075" i="1"/>
  <c r="AP1075" i="1"/>
  <c r="BF1074" i="1"/>
  <c r="BE1074" i="1"/>
  <c r="BC1074" i="1"/>
  <c r="BB1074" i="1"/>
  <c r="BD1074" i="1" s="1"/>
  <c r="BA1074" i="1"/>
  <c r="AZ1074" i="1"/>
  <c r="AY1074" i="1"/>
  <c r="AX1074" i="1"/>
  <c r="AP1074" i="1"/>
  <c r="BF1073" i="1"/>
  <c r="BE1073" i="1"/>
  <c r="BD1073" i="1"/>
  <c r="BC1073" i="1"/>
  <c r="BB1073" i="1"/>
  <c r="BA1073" i="1"/>
  <c r="AZ1073" i="1"/>
  <c r="AY1073" i="1"/>
  <c r="AX1073" i="1"/>
  <c r="AP1073" i="1"/>
  <c r="BF1072" i="1"/>
  <c r="BE1072" i="1"/>
  <c r="BC1072" i="1"/>
  <c r="BB1072" i="1"/>
  <c r="BA1072" i="1"/>
  <c r="AZ1072" i="1"/>
  <c r="AY1072" i="1"/>
  <c r="AX1072" i="1"/>
  <c r="BD1072" i="1" s="1"/>
  <c r="AP1072" i="1"/>
  <c r="BF1071" i="1"/>
  <c r="BE1071" i="1"/>
  <c r="BC1071" i="1"/>
  <c r="BB1071" i="1"/>
  <c r="BA1071" i="1"/>
  <c r="AZ1071" i="1"/>
  <c r="AY1071" i="1"/>
  <c r="AX1071" i="1"/>
  <c r="BD1071" i="1" s="1"/>
  <c r="AP1071" i="1"/>
  <c r="BF1070" i="1"/>
  <c r="BE1070" i="1"/>
  <c r="BC1070" i="1"/>
  <c r="BB1070" i="1"/>
  <c r="BD1070" i="1" s="1"/>
  <c r="BA1070" i="1"/>
  <c r="AZ1070" i="1"/>
  <c r="AY1070" i="1"/>
  <c r="AX1070" i="1"/>
  <c r="BF1069" i="1"/>
  <c r="BE1069" i="1"/>
  <c r="BC1069" i="1"/>
  <c r="BD1069" i="1" s="1"/>
  <c r="BB1069" i="1"/>
  <c r="BA1069" i="1"/>
  <c r="AZ1069" i="1"/>
  <c r="AY1069" i="1"/>
  <c r="AX1069" i="1"/>
  <c r="AP1069" i="1"/>
  <c r="BF1068" i="1"/>
  <c r="BE1068" i="1"/>
  <c r="BC1068" i="1"/>
  <c r="BB1068" i="1"/>
  <c r="BA1068" i="1"/>
  <c r="AZ1068" i="1"/>
  <c r="AY1068" i="1"/>
  <c r="AX1068" i="1"/>
  <c r="BD1068" i="1" s="1"/>
  <c r="AP1068" i="1"/>
  <c r="BF1067" i="1"/>
  <c r="BE1067" i="1"/>
  <c r="BC1067" i="1"/>
  <c r="BB1067" i="1"/>
  <c r="BA1067" i="1"/>
  <c r="AZ1067" i="1"/>
  <c r="AY1067" i="1"/>
  <c r="AX1067" i="1"/>
  <c r="AP1067" i="1"/>
  <c r="BF1066" i="1"/>
  <c r="BE1066" i="1"/>
  <c r="BC1066" i="1"/>
  <c r="BB1066" i="1"/>
  <c r="BA1066" i="1"/>
  <c r="BD1066" i="1" s="1"/>
  <c r="AZ1066" i="1"/>
  <c r="AY1066" i="1"/>
  <c r="AX1066" i="1"/>
  <c r="AP1066" i="1"/>
  <c r="BF1065" i="1"/>
  <c r="BE1065" i="1"/>
  <c r="BC1065" i="1"/>
  <c r="BD1065" i="1" s="1"/>
  <c r="BB1065" i="1"/>
  <c r="BA1065" i="1"/>
  <c r="AZ1065" i="1"/>
  <c r="AY1065" i="1"/>
  <c r="AX1065" i="1"/>
  <c r="AP1065" i="1"/>
  <c r="BF1064" i="1"/>
  <c r="BE1064" i="1"/>
  <c r="BC1064" i="1"/>
  <c r="BB1064" i="1"/>
  <c r="BA1064" i="1"/>
  <c r="AZ1064" i="1"/>
  <c r="AY1064" i="1"/>
  <c r="AX1064" i="1"/>
  <c r="BD1064" i="1" s="1"/>
  <c r="AP1064" i="1"/>
  <c r="BF1063" i="1"/>
  <c r="BE1063" i="1"/>
  <c r="BC1063" i="1"/>
  <c r="BB1063" i="1"/>
  <c r="BA1063" i="1"/>
  <c r="AZ1063" i="1"/>
  <c r="AY1063" i="1"/>
  <c r="AX1063" i="1"/>
  <c r="AP1063" i="1"/>
  <c r="BF1062" i="1"/>
  <c r="BE1062" i="1"/>
  <c r="BC1062" i="1"/>
  <c r="BB1062" i="1"/>
  <c r="BA1062" i="1"/>
  <c r="BD1062" i="1" s="1"/>
  <c r="AZ1062" i="1"/>
  <c r="AY1062" i="1"/>
  <c r="AX1062" i="1"/>
  <c r="AP1062" i="1"/>
  <c r="BF1061" i="1"/>
  <c r="BE1061" i="1"/>
  <c r="BC1061" i="1"/>
  <c r="BD1061" i="1" s="1"/>
  <c r="BB1061" i="1"/>
  <c r="BA1061" i="1"/>
  <c r="AZ1061" i="1"/>
  <c r="AY1061" i="1"/>
  <c r="AX1061" i="1"/>
  <c r="AP1061" i="1"/>
  <c r="BF1060" i="1"/>
  <c r="BE1060" i="1"/>
  <c r="BC1060" i="1"/>
  <c r="BB1060" i="1"/>
  <c r="BA1060" i="1"/>
  <c r="AZ1060" i="1"/>
  <c r="AY1060" i="1"/>
  <c r="AX1060" i="1"/>
  <c r="BD1060" i="1" s="1"/>
  <c r="AP1060" i="1"/>
  <c r="BF1059" i="1"/>
  <c r="BE1059" i="1"/>
  <c r="BC1059" i="1"/>
  <c r="BB1059" i="1"/>
  <c r="BA1059" i="1"/>
  <c r="AZ1059" i="1"/>
  <c r="AY1059" i="1"/>
  <c r="AX1059" i="1"/>
  <c r="BF1058" i="1"/>
  <c r="BE1058" i="1"/>
  <c r="BC1058" i="1"/>
  <c r="BB1058" i="1"/>
  <c r="BA1058" i="1"/>
  <c r="AZ1058" i="1"/>
  <c r="AY1058" i="1"/>
  <c r="AX1058" i="1"/>
  <c r="AP1058" i="1"/>
  <c r="BF1057" i="1"/>
  <c r="BE1057" i="1"/>
  <c r="BC1057" i="1"/>
  <c r="BB1057" i="1"/>
  <c r="BD1057" i="1" s="1"/>
  <c r="BA1057" i="1"/>
  <c r="AZ1057" i="1"/>
  <c r="AY1057" i="1"/>
  <c r="AX1057" i="1"/>
  <c r="AP1057" i="1"/>
  <c r="BF1056" i="1"/>
  <c r="BE1056" i="1"/>
  <c r="BD1056" i="1"/>
  <c r="BC1056" i="1"/>
  <c r="BB1056" i="1"/>
  <c r="BA1056" i="1"/>
  <c r="AZ1056" i="1"/>
  <c r="AY1056" i="1"/>
  <c r="AX1056" i="1"/>
  <c r="BF1055" i="1"/>
  <c r="BE1055" i="1"/>
  <c r="BC1055" i="1"/>
  <c r="BB1055" i="1"/>
  <c r="BA1055" i="1"/>
  <c r="AZ1055" i="1"/>
  <c r="AY1055" i="1"/>
  <c r="AX1055" i="1"/>
  <c r="BD1055" i="1" s="1"/>
  <c r="AP1055" i="1"/>
  <c r="BF1054" i="1"/>
  <c r="BE1054" i="1"/>
  <c r="BC1054" i="1"/>
  <c r="BB1054" i="1"/>
  <c r="BA1054" i="1"/>
  <c r="AZ1054" i="1"/>
  <c r="AY1054" i="1"/>
  <c r="AX1054" i="1"/>
  <c r="AP1054" i="1"/>
  <c r="BF1053" i="1"/>
  <c r="BE1053" i="1"/>
  <c r="BC1053" i="1"/>
  <c r="BB1053" i="1"/>
  <c r="BA1053" i="1"/>
  <c r="BD1053" i="1" s="1"/>
  <c r="AZ1053" i="1"/>
  <c r="AY1053" i="1"/>
  <c r="AX1053" i="1"/>
  <c r="AP1053" i="1"/>
  <c r="BF1052" i="1"/>
  <c r="BE1052" i="1"/>
  <c r="BC1052" i="1"/>
  <c r="BD1052" i="1" s="1"/>
  <c r="BB1052" i="1"/>
  <c r="BA1052" i="1"/>
  <c r="AZ1052" i="1"/>
  <c r="AY1052" i="1"/>
  <c r="AX1052" i="1"/>
  <c r="BF1051" i="1"/>
  <c r="BE1051" i="1"/>
  <c r="BD1051" i="1"/>
  <c r="BC1051" i="1"/>
  <c r="BB1051" i="1"/>
  <c r="BA1051" i="1"/>
  <c r="AZ1051" i="1"/>
  <c r="AY1051" i="1"/>
  <c r="AX1051" i="1"/>
  <c r="AP1051" i="1"/>
  <c r="BF1050" i="1"/>
  <c r="BE1050" i="1"/>
  <c r="BC1050" i="1"/>
  <c r="BB1050" i="1"/>
  <c r="BA1050" i="1"/>
  <c r="AZ1050" i="1"/>
  <c r="AY1050" i="1"/>
  <c r="AX1050" i="1"/>
  <c r="BD1050" i="1" s="1"/>
  <c r="AP1050" i="1"/>
  <c r="BF1049" i="1"/>
  <c r="BE1049" i="1"/>
  <c r="BC1049" i="1"/>
  <c r="BB1049" i="1"/>
  <c r="BA1049" i="1"/>
  <c r="AZ1049" i="1"/>
  <c r="AY1049" i="1"/>
  <c r="AX1049" i="1"/>
  <c r="BD1049" i="1" s="1"/>
  <c r="BF1048" i="1"/>
  <c r="BE1048" i="1"/>
  <c r="BC1048" i="1"/>
  <c r="BB1048" i="1"/>
  <c r="BA1048" i="1"/>
  <c r="BD1048" i="1" s="1"/>
  <c r="AZ1048" i="1"/>
  <c r="AY1048" i="1"/>
  <c r="AX1048" i="1"/>
  <c r="AP1048" i="1"/>
  <c r="BF1047" i="1"/>
  <c r="BE1047" i="1"/>
  <c r="BC1047" i="1"/>
  <c r="BD1047" i="1" s="1"/>
  <c r="BB1047" i="1"/>
  <c r="BA1047" i="1"/>
  <c r="AZ1047" i="1"/>
  <c r="AY1047" i="1"/>
  <c r="AX1047" i="1"/>
  <c r="AP1047" i="1"/>
  <c r="BF1046" i="1"/>
  <c r="BE1046" i="1"/>
  <c r="BC1046" i="1"/>
  <c r="BB1046" i="1"/>
  <c r="BA1046" i="1"/>
  <c r="AZ1046" i="1"/>
  <c r="AY1046" i="1"/>
  <c r="AX1046" i="1"/>
  <c r="BD1046" i="1" s="1"/>
  <c r="AP1046" i="1"/>
  <c r="BF1045" i="1"/>
  <c r="BE1045" i="1"/>
  <c r="BC1045" i="1"/>
  <c r="BB1045" i="1"/>
  <c r="BA1045" i="1"/>
  <c r="AZ1045" i="1"/>
  <c r="AY1045" i="1"/>
  <c r="AX1045" i="1"/>
  <c r="AP1045" i="1"/>
  <c r="BF1044" i="1"/>
  <c r="BE1044" i="1"/>
  <c r="BC1044" i="1"/>
  <c r="BB1044" i="1"/>
  <c r="BA1044" i="1"/>
  <c r="BD1044" i="1" s="1"/>
  <c r="AZ1044" i="1"/>
  <c r="AY1044" i="1"/>
  <c r="AX1044" i="1"/>
  <c r="AP1044" i="1"/>
  <c r="BF1043" i="1"/>
  <c r="BE1043" i="1"/>
  <c r="BC1043" i="1"/>
  <c r="BD1043" i="1" s="1"/>
  <c r="BB1043" i="1"/>
  <c r="BA1043" i="1"/>
  <c r="AZ1043" i="1"/>
  <c r="AY1043" i="1"/>
  <c r="AX1043" i="1"/>
  <c r="AP1043" i="1"/>
  <c r="BF1042" i="1"/>
  <c r="BE1042" i="1"/>
  <c r="BC1042" i="1"/>
  <c r="BB1042" i="1"/>
  <c r="BA1042" i="1"/>
  <c r="AZ1042" i="1"/>
  <c r="AY1042" i="1"/>
  <c r="AX1042" i="1"/>
  <c r="BD1042" i="1" s="1"/>
  <c r="AP1042" i="1"/>
  <c r="BF1041" i="1"/>
  <c r="BE1041" i="1"/>
  <c r="BC1041" i="1"/>
  <c r="BB1041" i="1"/>
  <c r="BA1041" i="1"/>
  <c r="AZ1041" i="1"/>
  <c r="AY1041" i="1"/>
  <c r="AX1041" i="1"/>
  <c r="AP1041" i="1"/>
  <c r="BF1040" i="1"/>
  <c r="BE1040" i="1"/>
  <c r="BC1040" i="1"/>
  <c r="BB1040" i="1"/>
  <c r="BA1040" i="1"/>
  <c r="BD1040" i="1" s="1"/>
  <c r="AZ1040" i="1"/>
  <c r="AY1040" i="1"/>
  <c r="AX1040" i="1"/>
  <c r="AP1040" i="1"/>
  <c r="BF1039" i="1"/>
  <c r="BE1039" i="1"/>
  <c r="BC1039" i="1"/>
  <c r="BD1039" i="1" s="1"/>
  <c r="BB1039" i="1"/>
  <c r="BA1039" i="1"/>
  <c r="AZ1039" i="1"/>
  <c r="AY1039" i="1"/>
  <c r="AX1039" i="1"/>
  <c r="AP1039" i="1"/>
  <c r="BF1038" i="1"/>
  <c r="BE1038" i="1"/>
  <c r="BC1038" i="1"/>
  <c r="BB1038" i="1"/>
  <c r="BA1038" i="1"/>
  <c r="AZ1038" i="1"/>
  <c r="AY1038" i="1"/>
  <c r="AX1038" i="1"/>
  <c r="BD1038" i="1" s="1"/>
  <c r="BF1037" i="1"/>
  <c r="BE1037" i="1"/>
  <c r="BC1037" i="1"/>
  <c r="BB1037" i="1"/>
  <c r="BA1037" i="1"/>
  <c r="AZ1037" i="1"/>
  <c r="AY1037" i="1"/>
  <c r="AX1037" i="1"/>
  <c r="BD1037" i="1" s="1"/>
  <c r="BF1036" i="1"/>
  <c r="BE1036" i="1"/>
  <c r="BC1036" i="1"/>
  <c r="BB1036" i="1"/>
  <c r="BA1036" i="1"/>
  <c r="AZ1036" i="1"/>
  <c r="AY1036" i="1"/>
  <c r="AX1036" i="1"/>
  <c r="AP1036" i="1"/>
  <c r="BF1035" i="1"/>
  <c r="BE1035" i="1"/>
  <c r="BC1035" i="1"/>
  <c r="BB1035" i="1"/>
  <c r="BA1035" i="1"/>
  <c r="BD1035" i="1" s="1"/>
  <c r="AZ1035" i="1"/>
  <c r="AY1035" i="1"/>
  <c r="AX1035" i="1"/>
  <c r="AP1035" i="1"/>
  <c r="BF1034" i="1"/>
  <c r="BE1034" i="1"/>
  <c r="BC1034" i="1"/>
  <c r="BD1034" i="1" s="1"/>
  <c r="BB1034" i="1"/>
  <c r="BA1034" i="1"/>
  <c r="AZ1034" i="1"/>
  <c r="AY1034" i="1"/>
  <c r="AX1034" i="1"/>
  <c r="AP1034" i="1"/>
  <c r="BF1033" i="1"/>
  <c r="BE1033" i="1"/>
  <c r="BC1033" i="1"/>
  <c r="BB1033" i="1"/>
  <c r="BA1033" i="1"/>
  <c r="AZ1033" i="1"/>
  <c r="AY1033" i="1"/>
  <c r="AX1033" i="1"/>
  <c r="BD1033" i="1" s="1"/>
  <c r="AP1033" i="1"/>
  <c r="BF1032" i="1"/>
  <c r="BE1032" i="1"/>
  <c r="BC1032" i="1"/>
  <c r="BB1032" i="1"/>
  <c r="BA1032" i="1"/>
  <c r="AZ1032" i="1"/>
  <c r="AY1032" i="1"/>
  <c r="AX1032" i="1"/>
  <c r="AP1032" i="1"/>
  <c r="BF1031" i="1"/>
  <c r="BE1031" i="1"/>
  <c r="BC1031" i="1"/>
  <c r="BB1031" i="1"/>
  <c r="BA1031" i="1"/>
  <c r="BD1031" i="1" s="1"/>
  <c r="AZ1031" i="1"/>
  <c r="AY1031" i="1"/>
  <c r="AX1031" i="1"/>
  <c r="AP1031" i="1"/>
  <c r="BF1030" i="1"/>
  <c r="BE1030" i="1"/>
  <c r="BC1030" i="1"/>
  <c r="BD1030" i="1" s="1"/>
  <c r="BB1030" i="1"/>
  <c r="BA1030" i="1"/>
  <c r="AZ1030" i="1"/>
  <c r="AY1030" i="1"/>
  <c r="AX1030" i="1"/>
  <c r="AP1030" i="1"/>
  <c r="BF1029" i="1"/>
  <c r="BE1029" i="1"/>
  <c r="BC1029" i="1"/>
  <c r="BB1029" i="1"/>
  <c r="BA1029" i="1"/>
  <c r="AZ1029" i="1"/>
  <c r="AY1029" i="1"/>
  <c r="AX1029" i="1"/>
  <c r="BD1029" i="1" s="1"/>
  <c r="AP1029" i="1"/>
  <c r="BF1028" i="1"/>
  <c r="BE1028" i="1"/>
  <c r="BC1028" i="1"/>
  <c r="BB1028" i="1"/>
  <c r="BA1028" i="1"/>
  <c r="AZ1028" i="1"/>
  <c r="AY1028" i="1"/>
  <c r="AX1028" i="1"/>
  <c r="AP1028" i="1"/>
  <c r="BF1027" i="1"/>
  <c r="BE1027" i="1"/>
  <c r="BC1027" i="1"/>
  <c r="BB1027" i="1"/>
  <c r="BA1027" i="1"/>
  <c r="BD1027" i="1" s="1"/>
  <c r="AZ1027" i="1"/>
  <c r="AY1027" i="1"/>
  <c r="AX1027" i="1"/>
  <c r="AP1027" i="1"/>
  <c r="BF1026" i="1"/>
  <c r="BE1026" i="1"/>
  <c r="BC1026" i="1"/>
  <c r="BD1026" i="1" s="1"/>
  <c r="BB1026" i="1"/>
  <c r="BA1026" i="1"/>
  <c r="AZ1026" i="1"/>
  <c r="AY1026" i="1"/>
  <c r="AX1026" i="1"/>
  <c r="AP1026" i="1"/>
  <c r="BF1025" i="1"/>
  <c r="BE1025" i="1"/>
  <c r="BC1025" i="1"/>
  <c r="BB1025" i="1"/>
  <c r="BA1025" i="1"/>
  <c r="AZ1025" i="1"/>
  <c r="AY1025" i="1"/>
  <c r="AX1025" i="1"/>
  <c r="BD1025" i="1" s="1"/>
  <c r="AP1025" i="1"/>
  <c r="BF1024" i="1"/>
  <c r="BE1024" i="1"/>
  <c r="BC1024" i="1"/>
  <c r="BB1024" i="1"/>
  <c r="BA1024" i="1"/>
  <c r="AZ1024" i="1"/>
  <c r="AY1024" i="1"/>
  <c r="AX1024" i="1"/>
  <c r="AP1024" i="1"/>
  <c r="BF1023" i="1"/>
  <c r="BE1023" i="1"/>
  <c r="BC1023" i="1"/>
  <c r="BB1023" i="1"/>
  <c r="BA1023" i="1"/>
  <c r="BD1023" i="1" s="1"/>
  <c r="AZ1023" i="1"/>
  <c r="AY1023" i="1"/>
  <c r="AX1023" i="1"/>
  <c r="AP1023" i="1"/>
  <c r="BF1022" i="1"/>
  <c r="BE1022" i="1"/>
  <c r="BC1022" i="1"/>
  <c r="BD1022" i="1" s="1"/>
  <c r="BB1022" i="1"/>
  <c r="BA1022" i="1"/>
  <c r="AZ1022" i="1"/>
  <c r="AY1022" i="1"/>
  <c r="AX1022" i="1"/>
  <c r="AP1022" i="1"/>
  <c r="BF1021" i="1"/>
  <c r="BE1021" i="1"/>
  <c r="BC1021" i="1"/>
  <c r="BB1021" i="1"/>
  <c r="BA1021" i="1"/>
  <c r="AZ1021" i="1"/>
  <c r="AY1021" i="1"/>
  <c r="AX1021" i="1"/>
  <c r="BD1021" i="1" s="1"/>
  <c r="AP1021" i="1"/>
  <c r="BF1020" i="1"/>
  <c r="BE1020" i="1"/>
  <c r="BC1020" i="1"/>
  <c r="BB1020" i="1"/>
  <c r="BA1020" i="1"/>
  <c r="AZ1020" i="1"/>
  <c r="AY1020" i="1"/>
  <c r="AX1020" i="1"/>
  <c r="AP1020" i="1"/>
  <c r="BF1019" i="1"/>
  <c r="BE1019" i="1"/>
  <c r="BC1019" i="1"/>
  <c r="BB1019" i="1"/>
  <c r="BA1019" i="1"/>
  <c r="BD1019" i="1" s="1"/>
  <c r="AZ1019" i="1"/>
  <c r="AY1019" i="1"/>
  <c r="AX1019" i="1"/>
  <c r="AP1019" i="1"/>
  <c r="BF1018" i="1"/>
  <c r="BE1018" i="1"/>
  <c r="BC1018" i="1"/>
  <c r="BD1018" i="1" s="1"/>
  <c r="BB1018" i="1"/>
  <c r="BA1018" i="1"/>
  <c r="AZ1018" i="1"/>
  <c r="AY1018" i="1"/>
  <c r="AX1018" i="1"/>
  <c r="AP1018" i="1"/>
  <c r="BF1017" i="1"/>
  <c r="BE1017" i="1"/>
  <c r="BC1017" i="1"/>
  <c r="BB1017" i="1"/>
  <c r="BA1017" i="1"/>
  <c r="AZ1017" i="1"/>
  <c r="AY1017" i="1"/>
  <c r="AX1017" i="1"/>
  <c r="BD1017" i="1" s="1"/>
  <c r="AP1017" i="1"/>
  <c r="BF1016" i="1"/>
  <c r="BE1016" i="1"/>
  <c r="BC1016" i="1"/>
  <c r="BB1016" i="1"/>
  <c r="BA1016" i="1"/>
  <c r="AZ1016" i="1"/>
  <c r="AY1016" i="1"/>
  <c r="AX1016" i="1"/>
  <c r="AP1016" i="1"/>
  <c r="BF1015" i="1"/>
  <c r="BE1015" i="1"/>
  <c r="BC1015" i="1"/>
  <c r="BB1015" i="1"/>
  <c r="BA1015" i="1"/>
  <c r="BD1015" i="1" s="1"/>
  <c r="AZ1015" i="1"/>
  <c r="AY1015" i="1"/>
  <c r="AX1015" i="1"/>
  <c r="AP1015" i="1"/>
  <c r="BF1014" i="1"/>
  <c r="BE1014" i="1"/>
  <c r="BC1014" i="1"/>
  <c r="BD1014" i="1" s="1"/>
  <c r="BB1014" i="1"/>
  <c r="BA1014" i="1"/>
  <c r="AZ1014" i="1"/>
  <c r="AY1014" i="1"/>
  <c r="AX1014" i="1"/>
  <c r="AP1014" i="1"/>
  <c r="BF1013" i="1"/>
  <c r="BE1013" i="1"/>
  <c r="BC1013" i="1"/>
  <c r="BB1013" i="1"/>
  <c r="BA1013" i="1"/>
  <c r="AZ1013" i="1"/>
  <c r="AY1013" i="1"/>
  <c r="AX1013" i="1"/>
  <c r="BD1013" i="1" s="1"/>
  <c r="AP1013" i="1"/>
  <c r="BF1012" i="1"/>
  <c r="BE1012" i="1"/>
  <c r="BC1012" i="1"/>
  <c r="BB1012" i="1"/>
  <c r="BA1012" i="1"/>
  <c r="AZ1012" i="1"/>
  <c r="AY1012" i="1"/>
  <c r="AX1012" i="1"/>
  <c r="BD1012" i="1" s="1"/>
  <c r="AP1012" i="1"/>
  <c r="BF1011" i="1"/>
  <c r="BE1011" i="1"/>
  <c r="BC1011" i="1"/>
  <c r="BB1011" i="1"/>
  <c r="BA1011" i="1"/>
  <c r="AZ1011" i="1"/>
  <c r="AY1011" i="1"/>
  <c r="AX1011" i="1"/>
  <c r="AP1011" i="1"/>
  <c r="BF1010" i="1"/>
  <c r="BE1010" i="1"/>
  <c r="BD1010" i="1"/>
  <c r="BC1010" i="1"/>
  <c r="BB1010" i="1"/>
  <c r="BA1010" i="1"/>
  <c r="AZ1010" i="1"/>
  <c r="AY1010" i="1"/>
  <c r="AX1010" i="1"/>
  <c r="AP1010" i="1"/>
  <c r="BF1009" i="1"/>
  <c r="BE1009" i="1"/>
  <c r="BC1009" i="1"/>
  <c r="BB1009" i="1"/>
  <c r="BA1009" i="1"/>
  <c r="AZ1009" i="1"/>
  <c r="AY1009" i="1"/>
  <c r="AX1009" i="1"/>
  <c r="BD1009" i="1" s="1"/>
  <c r="AP1009" i="1"/>
  <c r="BF1008" i="1"/>
  <c r="BE1008" i="1"/>
  <c r="BC1008" i="1"/>
  <c r="BB1008" i="1"/>
  <c r="BA1008" i="1"/>
  <c r="AZ1008" i="1"/>
  <c r="AY1008" i="1"/>
  <c r="AX1008" i="1"/>
  <c r="BF1007" i="1"/>
  <c r="BE1007" i="1"/>
  <c r="BC1007" i="1"/>
  <c r="BB1007" i="1"/>
  <c r="BA1007" i="1"/>
  <c r="AZ1007" i="1"/>
  <c r="AY1007" i="1"/>
  <c r="AX1007" i="1"/>
  <c r="AP1007" i="1"/>
  <c r="BF1006" i="1"/>
  <c r="BE1006" i="1"/>
  <c r="BC1006" i="1"/>
  <c r="BB1006" i="1"/>
  <c r="BA1006" i="1"/>
  <c r="AZ1006" i="1"/>
  <c r="AY1006" i="1"/>
  <c r="AX1006" i="1"/>
  <c r="AP1006" i="1"/>
  <c r="BF1005" i="1"/>
  <c r="BE1005" i="1"/>
  <c r="BD1005" i="1"/>
  <c r="BC1005" i="1"/>
  <c r="BB1005" i="1"/>
  <c r="BA1005" i="1"/>
  <c r="AZ1005" i="1"/>
  <c r="AY1005" i="1"/>
  <c r="AX1005" i="1"/>
  <c r="AP1005" i="1"/>
  <c r="BF1004" i="1"/>
  <c r="BE1004" i="1"/>
  <c r="BC1004" i="1"/>
  <c r="BB1004" i="1"/>
  <c r="BA1004" i="1"/>
  <c r="AZ1004" i="1"/>
  <c r="AY1004" i="1"/>
  <c r="AX1004" i="1"/>
  <c r="BD1004" i="1" s="1"/>
  <c r="AP1004" i="1"/>
  <c r="BF1003" i="1"/>
  <c r="BE1003" i="1"/>
  <c r="BC1003" i="1"/>
  <c r="BB1003" i="1"/>
  <c r="BA1003" i="1"/>
  <c r="AZ1003" i="1"/>
  <c r="AY1003" i="1"/>
  <c r="AX1003" i="1"/>
  <c r="BD1003" i="1" s="1"/>
  <c r="AP1003" i="1"/>
  <c r="BF1002" i="1"/>
  <c r="BE1002" i="1"/>
  <c r="BC1002" i="1"/>
  <c r="BB1002" i="1"/>
  <c r="BA1002" i="1"/>
  <c r="AZ1002" i="1"/>
  <c r="AY1002" i="1"/>
  <c r="AX1002" i="1"/>
  <c r="BF1001" i="1"/>
  <c r="BE1001" i="1"/>
  <c r="BD1001" i="1"/>
  <c r="BC1001" i="1"/>
  <c r="BB1001" i="1"/>
  <c r="BA1001" i="1"/>
  <c r="AZ1001" i="1"/>
  <c r="AY1001" i="1"/>
  <c r="AX1001" i="1"/>
  <c r="AP1001" i="1"/>
  <c r="BF1000" i="1"/>
  <c r="BE1000" i="1"/>
  <c r="BC1000" i="1"/>
  <c r="BB1000" i="1"/>
  <c r="BA1000" i="1"/>
  <c r="AZ1000" i="1"/>
  <c r="AY1000" i="1"/>
  <c r="AX1000" i="1"/>
  <c r="BD1000" i="1" s="1"/>
  <c r="AP1000" i="1"/>
  <c r="BF999" i="1"/>
  <c r="BE999" i="1"/>
  <c r="BC999" i="1"/>
  <c r="BB999" i="1"/>
  <c r="BA999" i="1"/>
  <c r="AZ999" i="1"/>
  <c r="AY999" i="1"/>
  <c r="AX999" i="1"/>
  <c r="AP999" i="1"/>
  <c r="BF998" i="1"/>
  <c r="BE998" i="1"/>
  <c r="BC998" i="1"/>
  <c r="BB998" i="1"/>
  <c r="BA998" i="1"/>
  <c r="BD998" i="1" s="1"/>
  <c r="AZ998" i="1"/>
  <c r="AY998" i="1"/>
  <c r="AX998" i="1"/>
  <c r="AP998" i="1"/>
  <c r="BF997" i="1"/>
  <c r="BE997" i="1"/>
  <c r="BC997" i="1"/>
  <c r="BD997" i="1" s="1"/>
  <c r="BB997" i="1"/>
  <c r="BA997" i="1"/>
  <c r="AZ997" i="1"/>
  <c r="AY997" i="1"/>
  <c r="AX997" i="1"/>
  <c r="AP997" i="1"/>
  <c r="BF996" i="1"/>
  <c r="BE996" i="1"/>
  <c r="BC996" i="1"/>
  <c r="BB996" i="1"/>
  <c r="BA996" i="1"/>
  <c r="AZ996" i="1"/>
  <c r="AY996" i="1"/>
  <c r="AX996" i="1"/>
  <c r="BD996" i="1" s="1"/>
  <c r="BF995" i="1"/>
  <c r="BE995" i="1"/>
  <c r="BC995" i="1"/>
  <c r="BB995" i="1"/>
  <c r="BA995" i="1"/>
  <c r="AZ995" i="1"/>
  <c r="AY995" i="1"/>
  <c r="AX995" i="1"/>
  <c r="AP995" i="1"/>
  <c r="BF994" i="1"/>
  <c r="BE994" i="1"/>
  <c r="BC994" i="1"/>
  <c r="BB994" i="1"/>
  <c r="BA994" i="1"/>
  <c r="AZ994" i="1"/>
  <c r="AY994" i="1"/>
  <c r="AX994" i="1"/>
  <c r="AP994" i="1"/>
  <c r="BF993" i="1"/>
  <c r="BE993" i="1"/>
  <c r="BC993" i="1"/>
  <c r="BB993" i="1"/>
  <c r="BD993" i="1" s="1"/>
  <c r="BA993" i="1"/>
  <c r="AZ993" i="1"/>
  <c r="AY993" i="1"/>
  <c r="AX993" i="1"/>
  <c r="AP993" i="1"/>
  <c r="BF992" i="1"/>
  <c r="BE992" i="1"/>
  <c r="BD992" i="1"/>
  <c r="BC992" i="1"/>
  <c r="BB992" i="1"/>
  <c r="BA992" i="1"/>
  <c r="AZ992" i="1"/>
  <c r="AY992" i="1"/>
  <c r="AX992" i="1"/>
  <c r="AP992" i="1"/>
  <c r="BF991" i="1"/>
  <c r="BE991" i="1"/>
  <c r="BC991" i="1"/>
  <c r="BB991" i="1"/>
  <c r="BA991" i="1"/>
  <c r="AZ991" i="1"/>
  <c r="AY991" i="1"/>
  <c r="AX991" i="1"/>
  <c r="AP991" i="1"/>
  <c r="BF990" i="1"/>
  <c r="BE990" i="1"/>
  <c r="BC990" i="1"/>
  <c r="BB990" i="1"/>
  <c r="BA990" i="1"/>
  <c r="AZ990" i="1"/>
  <c r="AY990" i="1"/>
  <c r="AX990" i="1"/>
  <c r="AP990" i="1"/>
  <c r="BF989" i="1"/>
  <c r="BE989" i="1"/>
  <c r="BC989" i="1"/>
  <c r="BB989" i="1"/>
  <c r="BA989" i="1"/>
  <c r="AZ989" i="1"/>
  <c r="AY989" i="1"/>
  <c r="AX989" i="1"/>
  <c r="AP989" i="1"/>
  <c r="BF988" i="1"/>
  <c r="BE988" i="1"/>
  <c r="BD988" i="1"/>
  <c r="BC988" i="1"/>
  <c r="BB988" i="1"/>
  <c r="BA988" i="1"/>
  <c r="AZ988" i="1"/>
  <c r="AY988" i="1"/>
  <c r="AX988" i="1"/>
  <c r="AP988" i="1"/>
  <c r="BF987" i="1"/>
  <c r="BE987" i="1"/>
  <c r="BC987" i="1"/>
  <c r="BB987" i="1"/>
  <c r="BA987" i="1"/>
  <c r="AZ987" i="1"/>
  <c r="AY987" i="1"/>
  <c r="AX987" i="1"/>
  <c r="BD987" i="1" s="1"/>
  <c r="AP987" i="1"/>
  <c r="BF986" i="1"/>
  <c r="BE986" i="1"/>
  <c r="BC986" i="1"/>
  <c r="BB986" i="1"/>
  <c r="BA986" i="1"/>
  <c r="AZ986" i="1"/>
  <c r="AY986" i="1"/>
  <c r="AX986" i="1"/>
  <c r="AP986" i="1"/>
  <c r="BF985" i="1"/>
  <c r="BE985" i="1"/>
  <c r="BC985" i="1"/>
  <c r="BB985" i="1"/>
  <c r="BA985" i="1"/>
  <c r="AZ985" i="1"/>
  <c r="AY985" i="1"/>
  <c r="AX985" i="1"/>
  <c r="AP985" i="1"/>
  <c r="BF984" i="1"/>
  <c r="BE984" i="1"/>
  <c r="BD984" i="1"/>
  <c r="BC984" i="1"/>
  <c r="BB984" i="1"/>
  <c r="BA984" i="1"/>
  <c r="AZ984" i="1"/>
  <c r="AY984" i="1"/>
  <c r="AX984" i="1"/>
  <c r="AP984" i="1"/>
  <c r="BF983" i="1"/>
  <c r="BE983" i="1"/>
  <c r="BC983" i="1"/>
  <c r="BB983" i="1"/>
  <c r="BA983" i="1"/>
  <c r="AZ983" i="1"/>
  <c r="AY983" i="1"/>
  <c r="AX983" i="1"/>
  <c r="BD983" i="1" s="1"/>
  <c r="AP983" i="1"/>
  <c r="BF982" i="1"/>
  <c r="BE982" i="1"/>
  <c r="BC982" i="1"/>
  <c r="BB982" i="1"/>
  <c r="BA982" i="1"/>
  <c r="AZ982" i="1"/>
  <c r="AY982" i="1"/>
  <c r="AX982" i="1"/>
  <c r="BD982" i="1" s="1"/>
  <c r="AP982" i="1"/>
  <c r="BF981" i="1"/>
  <c r="BE981" i="1"/>
  <c r="BC981" i="1"/>
  <c r="BB981" i="1"/>
  <c r="BA981" i="1"/>
  <c r="AZ981" i="1"/>
  <c r="AY981" i="1"/>
  <c r="AX981" i="1"/>
  <c r="AP981" i="1"/>
  <c r="BF980" i="1"/>
  <c r="BE980" i="1"/>
  <c r="BD980" i="1"/>
  <c r="BC980" i="1"/>
  <c r="BB980" i="1"/>
  <c r="BA980" i="1"/>
  <c r="AZ980" i="1"/>
  <c r="AY980" i="1"/>
  <c r="AX980" i="1"/>
  <c r="AP980" i="1"/>
  <c r="BF979" i="1"/>
  <c r="BE979" i="1"/>
  <c r="BC979" i="1"/>
  <c r="BB979" i="1"/>
  <c r="BA979" i="1"/>
  <c r="AZ979" i="1"/>
  <c r="AY979" i="1"/>
  <c r="AX979" i="1"/>
  <c r="AP979" i="1"/>
  <c r="BF978" i="1"/>
  <c r="BE978" i="1"/>
  <c r="BC978" i="1"/>
  <c r="BB978" i="1"/>
  <c r="BA978" i="1"/>
  <c r="AZ978" i="1"/>
  <c r="AY978" i="1"/>
  <c r="AX978" i="1"/>
  <c r="AP978" i="1"/>
  <c r="BF977" i="1"/>
  <c r="BE977" i="1"/>
  <c r="BC977" i="1"/>
  <c r="BB977" i="1"/>
  <c r="BD977" i="1" s="1"/>
  <c r="BA977" i="1"/>
  <c r="AZ977" i="1"/>
  <c r="AY977" i="1"/>
  <c r="AX977" i="1"/>
  <c r="AP977" i="1"/>
  <c r="BF976" i="1"/>
  <c r="BE976" i="1"/>
  <c r="BD976" i="1"/>
  <c r="BC976" i="1"/>
  <c r="BB976" i="1"/>
  <c r="BA976" i="1"/>
  <c r="AZ976" i="1"/>
  <c r="AY976" i="1"/>
  <c r="AX976" i="1"/>
  <c r="AP976" i="1"/>
  <c r="BF975" i="1"/>
  <c r="BE975" i="1"/>
  <c r="BC975" i="1"/>
  <c r="BB975" i="1"/>
  <c r="BA975" i="1"/>
  <c r="AZ975" i="1"/>
  <c r="AY975" i="1"/>
  <c r="AX975" i="1"/>
  <c r="AP975" i="1"/>
  <c r="BF974" i="1"/>
  <c r="BE974" i="1"/>
  <c r="BC974" i="1"/>
  <c r="BB974" i="1"/>
  <c r="BA974" i="1"/>
  <c r="AZ974" i="1"/>
  <c r="AY974" i="1"/>
  <c r="AX974" i="1"/>
  <c r="AP974" i="1"/>
  <c r="BF973" i="1"/>
  <c r="BE973" i="1"/>
  <c r="BC973" i="1"/>
  <c r="BB973" i="1"/>
  <c r="BD973" i="1" s="1"/>
  <c r="BA973" i="1"/>
  <c r="AZ973" i="1"/>
  <c r="AY973" i="1"/>
  <c r="AX973" i="1"/>
  <c r="AP973" i="1"/>
  <c r="BF972" i="1"/>
  <c r="BE972" i="1"/>
  <c r="BD972" i="1"/>
  <c r="BC972" i="1"/>
  <c r="BB972" i="1"/>
  <c r="BA972" i="1"/>
  <c r="AZ972" i="1"/>
  <c r="AY972" i="1"/>
  <c r="AX972" i="1"/>
  <c r="AP972" i="1"/>
  <c r="BF971" i="1"/>
  <c r="BE971" i="1"/>
  <c r="BC971" i="1"/>
  <c r="BB971" i="1"/>
  <c r="BA971" i="1"/>
  <c r="AZ971" i="1"/>
  <c r="AY971" i="1"/>
  <c r="AX971" i="1"/>
  <c r="BD971" i="1" s="1"/>
  <c r="AP971" i="1"/>
  <c r="BF970" i="1"/>
  <c r="BE970" i="1"/>
  <c r="BC970" i="1"/>
  <c r="BB970" i="1"/>
  <c r="BA970" i="1"/>
  <c r="AZ970" i="1"/>
  <c r="AY970" i="1"/>
  <c r="AX970" i="1"/>
  <c r="BD970" i="1" s="1"/>
  <c r="AP970" i="1"/>
  <c r="BF969" i="1"/>
  <c r="BE969" i="1"/>
  <c r="BC969" i="1"/>
  <c r="BB969" i="1"/>
  <c r="BA969" i="1"/>
  <c r="AZ969" i="1"/>
  <c r="AY969" i="1"/>
  <c r="AX969" i="1"/>
  <c r="AP969" i="1"/>
  <c r="BF968" i="1"/>
  <c r="BE968" i="1"/>
  <c r="BD968" i="1"/>
  <c r="BC968" i="1"/>
  <c r="BB968" i="1"/>
  <c r="BA968" i="1"/>
  <c r="AZ968" i="1"/>
  <c r="AY968" i="1"/>
  <c r="AX968" i="1"/>
  <c r="AP968" i="1"/>
  <c r="BF967" i="1"/>
  <c r="BE967" i="1"/>
  <c r="BC967" i="1"/>
  <c r="BB967" i="1"/>
  <c r="BA967" i="1"/>
  <c r="AZ967" i="1"/>
  <c r="AY967" i="1"/>
  <c r="AX967" i="1"/>
  <c r="AP967" i="1"/>
  <c r="BF966" i="1"/>
  <c r="BE966" i="1"/>
  <c r="BC966" i="1"/>
  <c r="BB966" i="1"/>
  <c r="BA966" i="1"/>
  <c r="AZ966" i="1"/>
  <c r="AY966" i="1"/>
  <c r="AX966" i="1"/>
  <c r="AP966" i="1"/>
  <c r="BF965" i="1"/>
  <c r="BE965" i="1"/>
  <c r="BC965" i="1"/>
  <c r="BB965" i="1"/>
  <c r="BA965" i="1"/>
  <c r="AZ965" i="1"/>
  <c r="AY965" i="1"/>
  <c r="AX965" i="1"/>
  <c r="AP965" i="1"/>
  <c r="BF964" i="1"/>
  <c r="BE964" i="1"/>
  <c r="BD964" i="1"/>
  <c r="BC964" i="1"/>
  <c r="BB964" i="1"/>
  <c r="BA964" i="1"/>
  <c r="AZ964" i="1"/>
  <c r="AY964" i="1"/>
  <c r="AX964" i="1"/>
  <c r="AP964" i="1"/>
  <c r="BF963" i="1"/>
  <c r="BE963" i="1"/>
  <c r="BC963" i="1"/>
  <c r="BB963" i="1"/>
  <c r="BA963" i="1"/>
  <c r="AZ963" i="1"/>
  <c r="AY963" i="1"/>
  <c r="AX963" i="1"/>
  <c r="AP963" i="1"/>
  <c r="BF962" i="1"/>
  <c r="BE962" i="1"/>
  <c r="BC962" i="1"/>
  <c r="BB962" i="1"/>
  <c r="BA962" i="1"/>
  <c r="AZ962" i="1"/>
  <c r="AY962" i="1"/>
  <c r="AX962" i="1"/>
  <c r="AP962" i="1"/>
  <c r="BF961" i="1"/>
  <c r="BE961" i="1"/>
  <c r="BC961" i="1"/>
  <c r="BB961" i="1"/>
  <c r="BD961" i="1" s="1"/>
  <c r="BA961" i="1"/>
  <c r="AZ961" i="1"/>
  <c r="AY961" i="1"/>
  <c r="AX961" i="1"/>
  <c r="AP961" i="1"/>
  <c r="BF960" i="1"/>
  <c r="BE960" i="1"/>
  <c r="BD960" i="1"/>
  <c r="BC960" i="1"/>
  <c r="BB960" i="1"/>
  <c r="BA960" i="1"/>
  <c r="AZ960" i="1"/>
  <c r="AY960" i="1"/>
  <c r="AX960" i="1"/>
  <c r="AP960" i="1"/>
  <c r="BF959" i="1"/>
  <c r="BE959" i="1"/>
  <c r="BC959" i="1"/>
  <c r="BB959" i="1"/>
  <c r="BA959" i="1"/>
  <c r="AZ959" i="1"/>
  <c r="AY959" i="1"/>
  <c r="AX959" i="1"/>
  <c r="AP959" i="1"/>
  <c r="BF958" i="1"/>
  <c r="BE958" i="1"/>
  <c r="BC958" i="1"/>
  <c r="BB958" i="1"/>
  <c r="BA958" i="1"/>
  <c r="AZ958" i="1"/>
  <c r="AY958" i="1"/>
  <c r="AX958" i="1"/>
  <c r="BD958" i="1" s="1"/>
  <c r="AP958" i="1"/>
  <c r="BF957" i="1"/>
  <c r="BE957" i="1"/>
  <c r="BC957" i="1"/>
  <c r="BB957" i="1"/>
  <c r="BA957" i="1"/>
  <c r="AZ957" i="1"/>
  <c r="AY957" i="1"/>
  <c r="AX957" i="1"/>
  <c r="AP957" i="1"/>
  <c r="BF956" i="1"/>
  <c r="BE956" i="1"/>
  <c r="BD956" i="1"/>
  <c r="BC956" i="1"/>
  <c r="BB956" i="1"/>
  <c r="BA956" i="1"/>
  <c r="AZ956" i="1"/>
  <c r="AY956" i="1"/>
  <c r="AX956" i="1"/>
  <c r="AP956" i="1"/>
  <c r="BF955" i="1"/>
  <c r="BE955" i="1"/>
  <c r="BC955" i="1"/>
  <c r="BB955" i="1"/>
  <c r="BA955" i="1"/>
  <c r="AZ955" i="1"/>
  <c r="AY955" i="1"/>
  <c r="AX955" i="1"/>
  <c r="BD955" i="1" s="1"/>
  <c r="BF954" i="1"/>
  <c r="BE954" i="1"/>
  <c r="BC954" i="1"/>
  <c r="BB954" i="1"/>
  <c r="BA954" i="1"/>
  <c r="AZ954" i="1"/>
  <c r="AY954" i="1"/>
  <c r="AX954" i="1"/>
  <c r="BD954" i="1" s="1"/>
  <c r="AP954" i="1"/>
  <c r="BF953" i="1"/>
  <c r="BE953" i="1"/>
  <c r="BC953" i="1"/>
  <c r="BB953" i="1"/>
  <c r="BA953" i="1"/>
  <c r="AZ953" i="1"/>
  <c r="AY953" i="1"/>
  <c r="AX953" i="1"/>
  <c r="AP953" i="1"/>
  <c r="BF952" i="1"/>
  <c r="BE952" i="1"/>
  <c r="BD952" i="1"/>
  <c r="BC952" i="1"/>
  <c r="BB952" i="1"/>
  <c r="BA952" i="1"/>
  <c r="AZ952" i="1"/>
  <c r="AY952" i="1"/>
  <c r="AX952" i="1"/>
  <c r="AP952" i="1"/>
  <c r="BF951" i="1"/>
  <c r="BE951" i="1"/>
  <c r="BC951" i="1"/>
  <c r="BB951" i="1"/>
  <c r="BA951" i="1"/>
  <c r="AZ951" i="1"/>
  <c r="AY951" i="1"/>
  <c r="AX951" i="1"/>
  <c r="BD951" i="1" s="1"/>
  <c r="AP951" i="1"/>
  <c r="BF950" i="1"/>
  <c r="BE950" i="1"/>
  <c r="BC950" i="1"/>
  <c r="BB950" i="1"/>
  <c r="BA950" i="1"/>
  <c r="AZ950" i="1"/>
  <c r="AY950" i="1"/>
  <c r="AX950" i="1"/>
  <c r="BD950" i="1" s="1"/>
  <c r="AP950" i="1"/>
  <c r="BF949" i="1"/>
  <c r="BE949" i="1"/>
  <c r="BC949" i="1"/>
  <c r="BB949" i="1"/>
  <c r="BA949" i="1"/>
  <c r="AZ949" i="1"/>
  <c r="AY949" i="1"/>
  <c r="AX949" i="1"/>
  <c r="AP949" i="1"/>
  <c r="BF948" i="1"/>
  <c r="BE948" i="1"/>
  <c r="BD948" i="1"/>
  <c r="BC948" i="1"/>
  <c r="BB948" i="1"/>
  <c r="BA948" i="1"/>
  <c r="AZ948" i="1"/>
  <c r="AY948" i="1"/>
  <c r="AX948" i="1"/>
  <c r="AP948" i="1"/>
  <c r="BF947" i="1"/>
  <c r="BE947" i="1"/>
  <c r="BC947" i="1"/>
  <c r="BB947" i="1"/>
  <c r="BA947" i="1"/>
  <c r="AZ947" i="1"/>
  <c r="AY947" i="1"/>
  <c r="AX947" i="1"/>
  <c r="BD947" i="1" s="1"/>
  <c r="AP947" i="1"/>
  <c r="BF946" i="1"/>
  <c r="BE946" i="1"/>
  <c r="BC946" i="1"/>
  <c r="BB946" i="1"/>
  <c r="BA946" i="1"/>
  <c r="AZ946" i="1"/>
  <c r="AY946" i="1"/>
  <c r="AX946" i="1"/>
  <c r="AP946" i="1"/>
  <c r="BF945" i="1"/>
  <c r="BE945" i="1"/>
  <c r="BC945" i="1"/>
  <c r="BB945" i="1"/>
  <c r="BA945" i="1"/>
  <c r="BD945" i="1" s="1"/>
  <c r="AZ945" i="1"/>
  <c r="AY945" i="1"/>
  <c r="AX945" i="1"/>
  <c r="AP945" i="1"/>
  <c r="BF944" i="1"/>
  <c r="BE944" i="1"/>
  <c r="BC944" i="1"/>
  <c r="BD944" i="1" s="1"/>
  <c r="BB944" i="1"/>
  <c r="BA944" i="1"/>
  <c r="AZ944" i="1"/>
  <c r="AY944" i="1"/>
  <c r="AX944" i="1"/>
  <c r="AP944" i="1"/>
  <c r="BF943" i="1"/>
  <c r="BE943" i="1"/>
  <c r="BC943" i="1"/>
  <c r="BB943" i="1"/>
  <c r="BA943" i="1"/>
  <c r="AZ943" i="1"/>
  <c r="AY943" i="1"/>
  <c r="AX943" i="1"/>
  <c r="BD943" i="1" s="1"/>
  <c r="AP943" i="1"/>
  <c r="BF942" i="1"/>
  <c r="BE942" i="1"/>
  <c r="BC942" i="1"/>
  <c r="BB942" i="1"/>
  <c r="BA942" i="1"/>
  <c r="AZ942" i="1"/>
  <c r="AY942" i="1"/>
  <c r="AX942" i="1"/>
  <c r="AP942" i="1"/>
  <c r="BF941" i="1"/>
  <c r="BE941" i="1"/>
  <c r="BC941" i="1"/>
  <c r="BB941" i="1"/>
  <c r="BA941" i="1"/>
  <c r="BD941" i="1" s="1"/>
  <c r="AZ941" i="1"/>
  <c r="AY941" i="1"/>
  <c r="AX941" i="1"/>
  <c r="AP941" i="1"/>
  <c r="BF940" i="1"/>
  <c r="BE940" i="1"/>
  <c r="BC940" i="1"/>
  <c r="BD940" i="1" s="1"/>
  <c r="BB940" i="1"/>
  <c r="BA940" i="1"/>
  <c r="AZ940" i="1"/>
  <c r="AY940" i="1"/>
  <c r="AX940" i="1"/>
  <c r="AP940" i="1"/>
  <c r="BF939" i="1"/>
  <c r="BE939" i="1"/>
  <c r="BC939" i="1"/>
  <c r="BB939" i="1"/>
  <c r="BA939" i="1"/>
  <c r="AZ939" i="1"/>
  <c r="AY939" i="1"/>
  <c r="AX939" i="1"/>
  <c r="BD939" i="1" s="1"/>
  <c r="AP939" i="1"/>
  <c r="BF938" i="1"/>
  <c r="BE938" i="1"/>
  <c r="BC938" i="1"/>
  <c r="BB938" i="1"/>
  <c r="BA938" i="1"/>
  <c r="AZ938" i="1"/>
  <c r="AY938" i="1"/>
  <c r="AX938" i="1"/>
  <c r="AP938" i="1"/>
  <c r="BF937" i="1"/>
  <c r="BE937" i="1"/>
  <c r="BC937" i="1"/>
  <c r="BB937" i="1"/>
  <c r="BA937" i="1"/>
  <c r="AZ937" i="1"/>
  <c r="AY937" i="1"/>
  <c r="AX937" i="1"/>
  <c r="AP937" i="1"/>
  <c r="BF936" i="1"/>
  <c r="BE936" i="1"/>
  <c r="BD936" i="1"/>
  <c r="BC936" i="1"/>
  <c r="BB936" i="1"/>
  <c r="BA936" i="1"/>
  <c r="AZ936" i="1"/>
  <c r="AY936" i="1"/>
  <c r="AX936" i="1"/>
  <c r="AP936" i="1"/>
  <c r="BF935" i="1"/>
  <c r="BE935" i="1"/>
  <c r="BC935" i="1"/>
  <c r="BB935" i="1"/>
  <c r="BA935" i="1"/>
  <c r="AZ935" i="1"/>
  <c r="AY935" i="1"/>
  <c r="AX935" i="1"/>
  <c r="BD935" i="1" s="1"/>
  <c r="AP935" i="1"/>
  <c r="BF934" i="1"/>
  <c r="BE934" i="1"/>
  <c r="BC934" i="1"/>
  <c r="BB934" i="1"/>
  <c r="BA934" i="1"/>
  <c r="AZ934" i="1"/>
  <c r="AY934" i="1"/>
  <c r="BD934" i="1" s="1"/>
  <c r="AX934" i="1"/>
  <c r="AP934" i="1"/>
  <c r="BF933" i="1"/>
  <c r="BE933" i="1"/>
  <c r="BC933" i="1"/>
  <c r="BB933" i="1"/>
  <c r="BA933" i="1"/>
  <c r="AZ933" i="1"/>
  <c r="AY933" i="1"/>
  <c r="AX933" i="1"/>
  <c r="AP933" i="1"/>
  <c r="BF932" i="1"/>
  <c r="BE932" i="1"/>
  <c r="BD932" i="1"/>
  <c r="BC932" i="1"/>
  <c r="BB932" i="1"/>
  <c r="BA932" i="1"/>
  <c r="AZ932" i="1"/>
  <c r="AY932" i="1"/>
  <c r="AX932" i="1"/>
  <c r="AP932" i="1"/>
  <c r="BF931" i="1"/>
  <c r="BE931" i="1"/>
  <c r="BC931" i="1"/>
  <c r="BB931" i="1"/>
  <c r="BA931" i="1"/>
  <c r="AZ931" i="1"/>
  <c r="AY931" i="1"/>
  <c r="AX931" i="1"/>
  <c r="BD931" i="1" s="1"/>
  <c r="AP931" i="1"/>
  <c r="BF930" i="1"/>
  <c r="BE930" i="1"/>
  <c r="BC930" i="1"/>
  <c r="BB930" i="1"/>
  <c r="BA930" i="1"/>
  <c r="AZ930" i="1"/>
  <c r="AY930" i="1"/>
  <c r="BD930" i="1" s="1"/>
  <c r="AX930" i="1"/>
  <c r="AP930" i="1"/>
  <c r="BF929" i="1"/>
  <c r="BE929" i="1"/>
  <c r="BC929" i="1"/>
  <c r="BB929" i="1"/>
  <c r="BA929" i="1"/>
  <c r="BD929" i="1" s="1"/>
  <c r="AZ929" i="1"/>
  <c r="AY929" i="1"/>
  <c r="AX929" i="1"/>
  <c r="AP929" i="1"/>
  <c r="BF928" i="1"/>
  <c r="BE928" i="1"/>
  <c r="BC928" i="1"/>
  <c r="BD928" i="1" s="1"/>
  <c r="BB928" i="1"/>
  <c r="BA928" i="1"/>
  <c r="AZ928" i="1"/>
  <c r="AY928" i="1"/>
  <c r="AX928" i="1"/>
  <c r="AP928" i="1"/>
  <c r="BF927" i="1"/>
  <c r="BE927" i="1"/>
  <c r="BC927" i="1"/>
  <c r="BB927" i="1"/>
  <c r="BA927" i="1"/>
  <c r="AZ927" i="1"/>
  <c r="AY927" i="1"/>
  <c r="AX927" i="1"/>
  <c r="BD927" i="1" s="1"/>
  <c r="AP927" i="1"/>
  <c r="BF926" i="1"/>
  <c r="BE926" i="1"/>
  <c r="BC926" i="1"/>
  <c r="BB926" i="1"/>
  <c r="BA926" i="1"/>
  <c r="AZ926" i="1"/>
  <c r="AY926" i="1"/>
  <c r="AX926" i="1"/>
  <c r="AP926" i="1"/>
  <c r="BF925" i="1"/>
  <c r="BE925" i="1"/>
  <c r="BC925" i="1"/>
  <c r="BB925" i="1"/>
  <c r="BA925" i="1"/>
  <c r="AZ925" i="1"/>
  <c r="AY925" i="1"/>
  <c r="AX925" i="1"/>
  <c r="AP925" i="1"/>
  <c r="BF924" i="1"/>
  <c r="BE924" i="1"/>
  <c r="BD924" i="1"/>
  <c r="BC924" i="1"/>
  <c r="BB924" i="1"/>
  <c r="BA924" i="1"/>
  <c r="AZ924" i="1"/>
  <c r="AY924" i="1"/>
  <c r="AX924" i="1"/>
  <c r="AP924" i="1"/>
  <c r="BF923" i="1"/>
  <c r="BE923" i="1"/>
  <c r="BC923" i="1"/>
  <c r="BB923" i="1"/>
  <c r="BA923" i="1"/>
  <c r="AZ923" i="1"/>
  <c r="AY923" i="1"/>
  <c r="AX923" i="1"/>
  <c r="BD923" i="1" s="1"/>
  <c r="AP923" i="1"/>
  <c r="BF922" i="1"/>
  <c r="BE922" i="1"/>
  <c r="BC922" i="1"/>
  <c r="BB922" i="1"/>
  <c r="BA922" i="1"/>
  <c r="AZ922" i="1"/>
  <c r="AY922" i="1"/>
  <c r="AX922" i="1"/>
  <c r="AP922" i="1"/>
  <c r="BF921" i="1"/>
  <c r="BE921" i="1"/>
  <c r="BC921" i="1"/>
  <c r="BB921" i="1"/>
  <c r="BA921" i="1"/>
  <c r="AZ921" i="1"/>
  <c r="AY921" i="1"/>
  <c r="AX921" i="1"/>
  <c r="AP921" i="1"/>
  <c r="BF920" i="1"/>
  <c r="BE920" i="1"/>
  <c r="BD920" i="1"/>
  <c r="BC920" i="1"/>
  <c r="BB920" i="1"/>
  <c r="BA920" i="1"/>
  <c r="AZ920" i="1"/>
  <c r="AY920" i="1"/>
  <c r="AX920" i="1"/>
  <c r="AP920" i="1"/>
  <c r="BF919" i="1"/>
  <c r="BE919" i="1"/>
  <c r="BC919" i="1"/>
  <c r="BB919" i="1"/>
  <c r="BA919" i="1"/>
  <c r="AZ919" i="1"/>
  <c r="AY919" i="1"/>
  <c r="AX919" i="1"/>
  <c r="BD919" i="1" s="1"/>
  <c r="AP919" i="1"/>
  <c r="BF918" i="1"/>
  <c r="BE918" i="1"/>
  <c r="BC918" i="1"/>
  <c r="BB918" i="1"/>
  <c r="BA918" i="1"/>
  <c r="AZ918" i="1"/>
  <c r="AY918" i="1"/>
  <c r="BD918" i="1" s="1"/>
  <c r="AX918" i="1"/>
  <c r="AP918" i="1"/>
  <c r="BF917" i="1"/>
  <c r="BE917" i="1"/>
  <c r="BC917" i="1"/>
  <c r="BB917" i="1"/>
  <c r="BA917" i="1"/>
  <c r="AZ917" i="1"/>
  <c r="AY917" i="1"/>
  <c r="AX917" i="1"/>
  <c r="AP917" i="1"/>
  <c r="BF916" i="1"/>
  <c r="BE916" i="1"/>
  <c r="BD916" i="1"/>
  <c r="BC916" i="1"/>
  <c r="BB916" i="1"/>
  <c r="BA916" i="1"/>
  <c r="AZ916" i="1"/>
  <c r="AY916" i="1"/>
  <c r="AX916" i="1"/>
  <c r="AP916" i="1"/>
  <c r="BF915" i="1"/>
  <c r="BE915" i="1"/>
  <c r="BC915" i="1"/>
  <c r="BB915" i="1"/>
  <c r="BA915" i="1"/>
  <c r="AZ915" i="1"/>
  <c r="AY915" i="1"/>
  <c r="AX915" i="1"/>
  <c r="BD915" i="1" s="1"/>
  <c r="AP915" i="1"/>
  <c r="BF914" i="1"/>
  <c r="BE914" i="1"/>
  <c r="BC914" i="1"/>
  <c r="BB914" i="1"/>
  <c r="BA914" i="1"/>
  <c r="AZ914" i="1"/>
  <c r="AY914" i="1"/>
  <c r="AX914" i="1"/>
  <c r="AP914" i="1"/>
  <c r="BF913" i="1"/>
  <c r="BE913" i="1"/>
  <c r="BC913" i="1"/>
  <c r="BB913" i="1"/>
  <c r="BA913" i="1"/>
  <c r="BD913" i="1" s="1"/>
  <c r="AZ913" i="1"/>
  <c r="AY913" i="1"/>
  <c r="AX913" i="1"/>
  <c r="AP913" i="1"/>
  <c r="BF912" i="1"/>
  <c r="BE912" i="1"/>
  <c r="BC912" i="1"/>
  <c r="BD912" i="1" s="1"/>
  <c r="BB912" i="1"/>
  <c r="BA912" i="1"/>
  <c r="AZ912" i="1"/>
  <c r="AY912" i="1"/>
  <c r="AX912" i="1"/>
  <c r="AP912" i="1"/>
  <c r="BF911" i="1"/>
  <c r="BE911" i="1"/>
  <c r="BC911" i="1"/>
  <c r="BB911" i="1"/>
  <c r="BA911" i="1"/>
  <c r="AZ911" i="1"/>
  <c r="AY911" i="1"/>
  <c r="AX911" i="1"/>
  <c r="BD911" i="1" s="1"/>
  <c r="AP911" i="1"/>
  <c r="BF910" i="1"/>
  <c r="BE910" i="1"/>
  <c r="BC910" i="1"/>
  <c r="BB910" i="1"/>
  <c r="BA910" i="1"/>
  <c r="AZ910" i="1"/>
  <c r="AY910" i="1"/>
  <c r="AX910" i="1"/>
  <c r="AP910" i="1"/>
  <c r="BF909" i="1"/>
  <c r="BE909" i="1"/>
  <c r="BC909" i="1"/>
  <c r="BB909" i="1"/>
  <c r="BA909" i="1"/>
  <c r="BD909" i="1" s="1"/>
  <c r="AZ909" i="1"/>
  <c r="AY909" i="1"/>
  <c r="AX909" i="1"/>
  <c r="AP909" i="1"/>
  <c r="BF908" i="1"/>
  <c r="BE908" i="1"/>
  <c r="BC908" i="1"/>
  <c r="BD908" i="1" s="1"/>
  <c r="BB908" i="1"/>
  <c r="BA908" i="1"/>
  <c r="AZ908" i="1"/>
  <c r="AY908" i="1"/>
  <c r="AX908" i="1"/>
  <c r="AP908" i="1"/>
  <c r="BF907" i="1"/>
  <c r="BE907" i="1"/>
  <c r="BC907" i="1"/>
  <c r="BB907" i="1"/>
  <c r="BA907" i="1"/>
  <c r="AZ907" i="1"/>
  <c r="AY907" i="1"/>
  <c r="AX907" i="1"/>
  <c r="BD907" i="1" s="1"/>
  <c r="BF906" i="1"/>
  <c r="BE906" i="1"/>
  <c r="BC906" i="1"/>
  <c r="BB906" i="1"/>
  <c r="BA906" i="1"/>
  <c r="AZ906" i="1"/>
  <c r="AY906" i="1"/>
  <c r="AX906" i="1"/>
  <c r="AP906" i="1"/>
  <c r="BF905" i="1"/>
  <c r="BE905" i="1"/>
  <c r="BC905" i="1"/>
  <c r="BB905" i="1"/>
  <c r="BA905" i="1"/>
  <c r="AZ905" i="1"/>
  <c r="AY905" i="1"/>
  <c r="AX905" i="1"/>
  <c r="AP905" i="1"/>
  <c r="BF904" i="1"/>
  <c r="BE904" i="1"/>
  <c r="BC904" i="1"/>
  <c r="BB904" i="1"/>
  <c r="BA904" i="1"/>
  <c r="AZ904" i="1"/>
  <c r="AY904" i="1"/>
  <c r="AX904" i="1"/>
  <c r="AP904" i="1"/>
  <c r="BF903" i="1"/>
  <c r="BE903" i="1"/>
  <c r="BD903" i="1"/>
  <c r="BC903" i="1"/>
  <c r="BB903" i="1"/>
  <c r="BA903" i="1"/>
  <c r="AZ903" i="1"/>
  <c r="AY903" i="1"/>
  <c r="AX903" i="1"/>
  <c r="AP903" i="1"/>
  <c r="BF902" i="1"/>
  <c r="BE902" i="1"/>
  <c r="BC902" i="1"/>
  <c r="BB902" i="1"/>
  <c r="BA902" i="1"/>
  <c r="AZ902" i="1"/>
  <c r="AY902" i="1"/>
  <c r="AX902" i="1"/>
  <c r="BD902" i="1" s="1"/>
  <c r="AP902" i="1"/>
  <c r="BF901" i="1"/>
  <c r="BE901" i="1"/>
  <c r="BC901" i="1"/>
  <c r="BB901" i="1"/>
  <c r="BA901" i="1"/>
  <c r="AZ901" i="1"/>
  <c r="AY901" i="1"/>
  <c r="AX901" i="1"/>
  <c r="AP901" i="1"/>
  <c r="BF900" i="1"/>
  <c r="BE900" i="1"/>
  <c r="BC900" i="1"/>
  <c r="BB900" i="1"/>
  <c r="BA900" i="1"/>
  <c r="AZ900" i="1"/>
  <c r="AY900" i="1"/>
  <c r="AX900" i="1"/>
  <c r="AP900" i="1"/>
  <c r="BF899" i="1"/>
  <c r="BE899" i="1"/>
  <c r="BD899" i="1"/>
  <c r="BC899" i="1"/>
  <c r="BB899" i="1"/>
  <c r="BA899" i="1"/>
  <c r="AZ899" i="1"/>
  <c r="AY899" i="1"/>
  <c r="AX899" i="1"/>
  <c r="AP899" i="1"/>
  <c r="BF898" i="1"/>
  <c r="BE898" i="1"/>
  <c r="BC898" i="1"/>
  <c r="BB898" i="1"/>
  <c r="BA898" i="1"/>
  <c r="AZ898" i="1"/>
  <c r="AY898" i="1"/>
  <c r="AX898" i="1"/>
  <c r="BD898" i="1" s="1"/>
  <c r="AP898" i="1"/>
  <c r="BF897" i="1"/>
  <c r="BE897" i="1"/>
  <c r="BC897" i="1"/>
  <c r="BB897" i="1"/>
  <c r="BA897" i="1"/>
  <c r="AZ897" i="1"/>
  <c r="AY897" i="1"/>
  <c r="AX897" i="1"/>
  <c r="BD897" i="1" s="1"/>
  <c r="AP897" i="1"/>
  <c r="BF896" i="1"/>
  <c r="BE896" i="1"/>
  <c r="BC896" i="1"/>
  <c r="BB896" i="1"/>
  <c r="BA896" i="1"/>
  <c r="AZ896" i="1"/>
  <c r="AY896" i="1"/>
  <c r="BD896" i="1" s="1"/>
  <c r="AX896" i="1"/>
  <c r="AP896" i="1"/>
  <c r="BF895" i="1"/>
  <c r="BE895" i="1"/>
  <c r="BD895" i="1"/>
  <c r="BC895" i="1"/>
  <c r="BB895" i="1"/>
  <c r="BA895" i="1"/>
  <c r="AZ895" i="1"/>
  <c r="AY895" i="1"/>
  <c r="AX895" i="1"/>
  <c r="AP895" i="1"/>
  <c r="BF894" i="1"/>
  <c r="BE894" i="1"/>
  <c r="BC894" i="1"/>
  <c r="BB894" i="1"/>
  <c r="BA894" i="1"/>
  <c r="AZ894" i="1"/>
  <c r="AY894" i="1"/>
  <c r="AX894" i="1"/>
  <c r="AP894" i="1"/>
  <c r="BF893" i="1"/>
  <c r="BE893" i="1"/>
  <c r="BC893" i="1"/>
  <c r="BB893" i="1"/>
  <c r="BA893" i="1"/>
  <c r="AZ893" i="1"/>
  <c r="AY893" i="1"/>
  <c r="AX893" i="1"/>
  <c r="AP893" i="1"/>
  <c r="BF892" i="1"/>
  <c r="BE892" i="1"/>
  <c r="BC892" i="1"/>
  <c r="BB892" i="1"/>
  <c r="BA892" i="1"/>
  <c r="AZ892" i="1"/>
  <c r="AY892" i="1"/>
  <c r="AX892" i="1"/>
  <c r="AP892" i="1"/>
  <c r="BF891" i="1"/>
  <c r="BE891" i="1"/>
  <c r="BD891" i="1"/>
  <c r="BC891" i="1"/>
  <c r="BB891" i="1"/>
  <c r="BA891" i="1"/>
  <c r="AZ891" i="1"/>
  <c r="AY891" i="1"/>
  <c r="AX891" i="1"/>
  <c r="AP891" i="1"/>
  <c r="BF890" i="1"/>
  <c r="BE890" i="1"/>
  <c r="BC890" i="1"/>
  <c r="BB890" i="1"/>
  <c r="BA890" i="1"/>
  <c r="AZ890" i="1"/>
  <c r="AY890" i="1"/>
  <c r="AX890" i="1"/>
  <c r="AP890" i="1"/>
  <c r="BF889" i="1"/>
  <c r="BE889" i="1"/>
  <c r="BC889" i="1"/>
  <c r="BB889" i="1"/>
  <c r="BA889" i="1"/>
  <c r="AZ889" i="1"/>
  <c r="AY889" i="1"/>
  <c r="AX889" i="1"/>
  <c r="AP889" i="1"/>
  <c r="BF888" i="1"/>
  <c r="BE888" i="1"/>
  <c r="BC888" i="1"/>
  <c r="BB888" i="1"/>
  <c r="BA888" i="1"/>
  <c r="AZ888" i="1"/>
  <c r="AY888" i="1"/>
  <c r="AX888" i="1"/>
  <c r="AP888" i="1"/>
  <c r="BF887" i="1"/>
  <c r="BE887" i="1"/>
  <c r="BD887" i="1"/>
  <c r="BC887" i="1"/>
  <c r="BB887" i="1"/>
  <c r="BA887" i="1"/>
  <c r="AZ887" i="1"/>
  <c r="AY887" i="1"/>
  <c r="AX887" i="1"/>
  <c r="AP887" i="1"/>
  <c r="BF886" i="1"/>
  <c r="BE886" i="1"/>
  <c r="BC886" i="1"/>
  <c r="BB886" i="1"/>
  <c r="BA886" i="1"/>
  <c r="AZ886" i="1"/>
  <c r="AY886" i="1"/>
  <c r="AX886" i="1"/>
  <c r="BD886" i="1" s="1"/>
  <c r="AP886" i="1"/>
  <c r="BF885" i="1"/>
  <c r="BE885" i="1"/>
  <c r="BC885" i="1"/>
  <c r="BB885" i="1"/>
  <c r="BA885" i="1"/>
  <c r="AZ885" i="1"/>
  <c r="AY885" i="1"/>
  <c r="AX885" i="1"/>
  <c r="BD885" i="1" s="1"/>
  <c r="AP885" i="1"/>
  <c r="BF884" i="1"/>
  <c r="BE884" i="1"/>
  <c r="BC884" i="1"/>
  <c r="BB884" i="1"/>
  <c r="BA884" i="1"/>
  <c r="AZ884" i="1"/>
  <c r="AY884" i="1"/>
  <c r="BD884" i="1" s="1"/>
  <c r="AX884" i="1"/>
  <c r="AP884" i="1"/>
  <c r="BF883" i="1"/>
  <c r="BE883" i="1"/>
  <c r="BD883" i="1"/>
  <c r="BC883" i="1"/>
  <c r="BB883" i="1"/>
  <c r="BA883" i="1"/>
  <c r="AZ883" i="1"/>
  <c r="AY883" i="1"/>
  <c r="AX883" i="1"/>
  <c r="AP883" i="1"/>
  <c r="BF882" i="1"/>
  <c r="BE882" i="1"/>
  <c r="BC882" i="1"/>
  <c r="BB882" i="1"/>
  <c r="BA882" i="1"/>
  <c r="AZ882" i="1"/>
  <c r="AY882" i="1"/>
  <c r="AX882" i="1"/>
  <c r="AP882" i="1"/>
  <c r="BF881" i="1"/>
  <c r="BE881" i="1"/>
  <c r="BC881" i="1"/>
  <c r="BB881" i="1"/>
  <c r="BA881" i="1"/>
  <c r="AZ881" i="1"/>
  <c r="AY881" i="1"/>
  <c r="AX881" i="1"/>
  <c r="AP881" i="1"/>
  <c r="BF880" i="1"/>
  <c r="BE880" i="1"/>
  <c r="BC880" i="1"/>
  <c r="BB880" i="1"/>
  <c r="BA880" i="1"/>
  <c r="AZ880" i="1"/>
  <c r="AY880" i="1"/>
  <c r="AX880" i="1"/>
  <c r="AP880" i="1"/>
  <c r="BF879" i="1"/>
  <c r="BE879" i="1"/>
  <c r="BD879" i="1"/>
  <c r="BC879" i="1"/>
  <c r="BB879" i="1"/>
  <c r="BA879" i="1"/>
  <c r="AZ879" i="1"/>
  <c r="AY879" i="1"/>
  <c r="AX879" i="1"/>
  <c r="AP879" i="1"/>
  <c r="BF878" i="1"/>
  <c r="BE878" i="1"/>
  <c r="BC878" i="1"/>
  <c r="BB878" i="1"/>
  <c r="BA878" i="1"/>
  <c r="AZ878" i="1"/>
  <c r="AY878" i="1"/>
  <c r="AX878" i="1"/>
  <c r="AP878" i="1"/>
  <c r="BF877" i="1"/>
  <c r="BE877" i="1"/>
  <c r="BC877" i="1"/>
  <c r="BB877" i="1"/>
  <c r="BA877" i="1"/>
  <c r="AZ877" i="1"/>
  <c r="AY877" i="1"/>
  <c r="AX877" i="1"/>
  <c r="AP877" i="1"/>
  <c r="BF876" i="1"/>
  <c r="BE876" i="1"/>
  <c r="BC876" i="1"/>
  <c r="BB876" i="1"/>
  <c r="BA876" i="1"/>
  <c r="AZ876" i="1"/>
  <c r="AY876" i="1"/>
  <c r="AX876" i="1"/>
  <c r="AP876" i="1"/>
  <c r="BF875" i="1"/>
  <c r="BE875" i="1"/>
  <c r="BD875" i="1"/>
  <c r="BC875" i="1"/>
  <c r="BB875" i="1"/>
  <c r="BA875" i="1"/>
  <c r="AZ875" i="1"/>
  <c r="AY875" i="1"/>
  <c r="AX875" i="1"/>
  <c r="AP875" i="1"/>
  <c r="BF874" i="1"/>
  <c r="BE874" i="1"/>
  <c r="BC874" i="1"/>
  <c r="BB874" i="1"/>
  <c r="BA874" i="1"/>
  <c r="AZ874" i="1"/>
  <c r="AY874" i="1"/>
  <c r="AX874" i="1"/>
  <c r="AP874" i="1"/>
  <c r="BF873" i="1"/>
  <c r="BE873" i="1"/>
  <c r="BC873" i="1"/>
  <c r="BB873" i="1"/>
  <c r="BA873" i="1"/>
  <c r="AZ873" i="1"/>
  <c r="AY873" i="1"/>
  <c r="AX873" i="1"/>
  <c r="AP873" i="1"/>
  <c r="BF872" i="1"/>
  <c r="BE872" i="1"/>
  <c r="BC872" i="1"/>
  <c r="BB872" i="1"/>
  <c r="BA872" i="1"/>
  <c r="AZ872" i="1"/>
  <c r="AY872" i="1"/>
  <c r="AX872" i="1"/>
  <c r="AP872" i="1"/>
  <c r="BF871" i="1"/>
  <c r="BE871" i="1"/>
  <c r="BD871" i="1"/>
  <c r="BC871" i="1"/>
  <c r="BB871" i="1"/>
  <c r="BA871" i="1"/>
  <c r="AZ871" i="1"/>
  <c r="AY871" i="1"/>
  <c r="AX871" i="1"/>
  <c r="AP871" i="1"/>
  <c r="BF870" i="1"/>
  <c r="BE870" i="1"/>
  <c r="BC870" i="1"/>
  <c r="BB870" i="1"/>
  <c r="BA870" i="1"/>
  <c r="AZ870" i="1"/>
  <c r="AY870" i="1"/>
  <c r="AX870" i="1"/>
  <c r="BD870" i="1" s="1"/>
  <c r="AP870" i="1"/>
  <c r="BF869" i="1"/>
  <c r="BE869" i="1"/>
  <c r="BC869" i="1"/>
  <c r="BB869" i="1"/>
  <c r="BA869" i="1"/>
  <c r="AZ869" i="1"/>
  <c r="AY869" i="1"/>
  <c r="AX869" i="1"/>
  <c r="AP869" i="1"/>
  <c r="BF868" i="1"/>
  <c r="BE868" i="1"/>
  <c r="BC868" i="1"/>
  <c r="BB868" i="1"/>
  <c r="BA868" i="1"/>
  <c r="AZ868" i="1"/>
  <c r="AY868" i="1"/>
  <c r="AX868" i="1"/>
  <c r="AP868" i="1"/>
  <c r="BF867" i="1"/>
  <c r="BE867" i="1"/>
  <c r="BD867" i="1"/>
  <c r="BC867" i="1"/>
  <c r="BB867" i="1"/>
  <c r="BA867" i="1"/>
  <c r="AZ867" i="1"/>
  <c r="AY867" i="1"/>
  <c r="AX867" i="1"/>
  <c r="AP867" i="1"/>
  <c r="BF866" i="1"/>
  <c r="BE866" i="1"/>
  <c r="BC866" i="1"/>
  <c r="BB866" i="1"/>
  <c r="BA866" i="1"/>
  <c r="AZ866" i="1"/>
  <c r="AY866" i="1"/>
  <c r="AX866" i="1"/>
  <c r="BD866" i="1" s="1"/>
  <c r="AP866" i="1"/>
  <c r="BF865" i="1"/>
  <c r="BE865" i="1"/>
  <c r="BC865" i="1"/>
  <c r="BB865" i="1"/>
  <c r="BA865" i="1"/>
  <c r="AZ865" i="1"/>
  <c r="AY865" i="1"/>
  <c r="AX865" i="1"/>
  <c r="BD865" i="1" s="1"/>
  <c r="AP865" i="1"/>
  <c r="BF864" i="1"/>
  <c r="BE864" i="1"/>
  <c r="BC864" i="1"/>
  <c r="BB864" i="1"/>
  <c r="BA864" i="1"/>
  <c r="AZ864" i="1"/>
  <c r="AY864" i="1"/>
  <c r="BD864" i="1" s="1"/>
  <c r="AX864" i="1"/>
  <c r="AP864" i="1"/>
  <c r="BF863" i="1"/>
  <c r="BE863" i="1"/>
  <c r="BD863" i="1"/>
  <c r="BC863" i="1"/>
  <c r="BB863" i="1"/>
  <c r="BA863" i="1"/>
  <c r="AZ863" i="1"/>
  <c r="AY863" i="1"/>
  <c r="AX863" i="1"/>
  <c r="AP863" i="1"/>
  <c r="BF862" i="1"/>
  <c r="BE862" i="1"/>
  <c r="BC862" i="1"/>
  <c r="BB862" i="1"/>
  <c r="BA862" i="1"/>
  <c r="AZ862" i="1"/>
  <c r="AY862" i="1"/>
  <c r="AX862" i="1"/>
  <c r="AP862" i="1"/>
  <c r="BF861" i="1"/>
  <c r="BE861" i="1"/>
  <c r="BC861" i="1"/>
  <c r="BB861" i="1"/>
  <c r="BA861" i="1"/>
  <c r="AZ861" i="1"/>
  <c r="AY861" i="1"/>
  <c r="AX861" i="1"/>
  <c r="AP861" i="1"/>
  <c r="BF860" i="1"/>
  <c r="BE860" i="1"/>
  <c r="BC860" i="1"/>
  <c r="BB860" i="1"/>
  <c r="BA860" i="1"/>
  <c r="AZ860" i="1"/>
  <c r="AY860" i="1"/>
  <c r="AX860" i="1"/>
  <c r="AP860" i="1"/>
  <c r="BF859" i="1"/>
  <c r="BE859" i="1"/>
  <c r="BD859" i="1"/>
  <c r="BC859" i="1"/>
  <c r="BB859" i="1"/>
  <c r="BA859" i="1"/>
  <c r="AZ859" i="1"/>
  <c r="AY859" i="1"/>
  <c r="AX859" i="1"/>
  <c r="AP859" i="1"/>
  <c r="BF858" i="1"/>
  <c r="BE858" i="1"/>
  <c r="BC858" i="1"/>
  <c r="BB858" i="1"/>
  <c r="BA858" i="1"/>
  <c r="AZ858" i="1"/>
  <c r="AY858" i="1"/>
  <c r="AX858" i="1"/>
  <c r="AP858" i="1"/>
  <c r="BF857" i="1"/>
  <c r="BE857" i="1"/>
  <c r="BC857" i="1"/>
  <c r="BB857" i="1"/>
  <c r="BA857" i="1"/>
  <c r="AZ857" i="1"/>
  <c r="AY857" i="1"/>
  <c r="AX857" i="1"/>
  <c r="AP857" i="1"/>
  <c r="BF856" i="1"/>
  <c r="BE856" i="1"/>
  <c r="BC856" i="1"/>
  <c r="BB856" i="1"/>
  <c r="BA856" i="1"/>
  <c r="AZ856" i="1"/>
  <c r="AY856" i="1"/>
  <c r="AX856" i="1"/>
  <c r="AP856" i="1"/>
  <c r="BF855" i="1"/>
  <c r="BE855" i="1"/>
  <c r="BD855" i="1"/>
  <c r="BC855" i="1"/>
  <c r="BB855" i="1"/>
  <c r="BA855" i="1"/>
  <c r="AZ855" i="1"/>
  <c r="AY855" i="1"/>
  <c r="AX855" i="1"/>
  <c r="AP855" i="1"/>
  <c r="BF854" i="1"/>
  <c r="BE854" i="1"/>
  <c r="BC854" i="1"/>
  <c r="BB854" i="1"/>
  <c r="BA854" i="1"/>
  <c r="AZ854" i="1"/>
  <c r="AY854" i="1"/>
  <c r="AX854" i="1"/>
  <c r="BD854" i="1" s="1"/>
  <c r="AP854" i="1"/>
  <c r="BF853" i="1"/>
  <c r="BE853" i="1"/>
  <c r="BC853" i="1"/>
  <c r="BB853" i="1"/>
  <c r="BA853" i="1"/>
  <c r="AZ853" i="1"/>
  <c r="AY853" i="1"/>
  <c r="AX853" i="1"/>
  <c r="BD853" i="1" s="1"/>
  <c r="AP853" i="1"/>
  <c r="BF852" i="1"/>
  <c r="BE852" i="1"/>
  <c r="BC852" i="1"/>
  <c r="BB852" i="1"/>
  <c r="BA852" i="1"/>
  <c r="AZ852" i="1"/>
  <c r="AY852" i="1"/>
  <c r="BD852" i="1" s="1"/>
  <c r="AX852" i="1"/>
  <c r="AP852" i="1"/>
  <c r="BF851" i="1"/>
  <c r="BE851" i="1"/>
  <c r="BC851" i="1"/>
  <c r="BB851" i="1"/>
  <c r="BA851" i="1"/>
  <c r="AZ851" i="1"/>
  <c r="AY851" i="1"/>
  <c r="BD851" i="1" s="1"/>
  <c r="AX851" i="1"/>
  <c r="AP851" i="1"/>
  <c r="BF850" i="1"/>
  <c r="BE850" i="1"/>
  <c r="BC850" i="1"/>
  <c r="BB850" i="1"/>
  <c r="BA850" i="1"/>
  <c r="AZ850" i="1"/>
  <c r="AY850" i="1"/>
  <c r="AX850" i="1"/>
  <c r="AP850" i="1"/>
  <c r="BF849" i="1"/>
  <c r="BE849" i="1"/>
  <c r="BC849" i="1"/>
  <c r="BB849" i="1"/>
  <c r="BA849" i="1"/>
  <c r="AZ849" i="1"/>
  <c r="AY849" i="1"/>
  <c r="AX849" i="1"/>
  <c r="AP849" i="1"/>
  <c r="BF848" i="1"/>
  <c r="BE848" i="1"/>
  <c r="BC848" i="1"/>
  <c r="BB848" i="1"/>
  <c r="BA848" i="1"/>
  <c r="AZ848" i="1"/>
  <c r="AY848" i="1"/>
  <c r="AX848" i="1"/>
  <c r="AP848" i="1"/>
  <c r="BF847" i="1"/>
  <c r="BE847" i="1"/>
  <c r="BC847" i="1"/>
  <c r="BB847" i="1"/>
  <c r="BA847" i="1"/>
  <c r="AZ847" i="1"/>
  <c r="AY847" i="1"/>
  <c r="BD847" i="1" s="1"/>
  <c r="AX847" i="1"/>
  <c r="AP847" i="1"/>
  <c r="BF846" i="1"/>
  <c r="BE846" i="1"/>
  <c r="BC846" i="1"/>
  <c r="BB846" i="1"/>
  <c r="BA846" i="1"/>
  <c r="AZ846" i="1"/>
  <c r="AY846" i="1"/>
  <c r="AX846" i="1"/>
  <c r="AP846" i="1"/>
  <c r="BF845" i="1"/>
  <c r="BE845" i="1"/>
  <c r="BC845" i="1"/>
  <c r="BB845" i="1"/>
  <c r="BA845" i="1"/>
  <c r="AZ845" i="1"/>
  <c r="AY845" i="1"/>
  <c r="AX845" i="1"/>
  <c r="AP845" i="1"/>
  <c r="BF844" i="1"/>
  <c r="BE844" i="1"/>
  <c r="BC844" i="1"/>
  <c r="BB844" i="1"/>
  <c r="BA844" i="1"/>
  <c r="AZ844" i="1"/>
  <c r="AY844" i="1"/>
  <c r="AX844" i="1"/>
  <c r="AP844" i="1"/>
  <c r="BF843" i="1"/>
  <c r="BE843" i="1"/>
  <c r="BC843" i="1"/>
  <c r="BB843" i="1"/>
  <c r="BA843" i="1"/>
  <c r="AZ843" i="1"/>
  <c r="AY843" i="1"/>
  <c r="BD843" i="1" s="1"/>
  <c r="AX843" i="1"/>
  <c r="AP843" i="1"/>
  <c r="BF842" i="1"/>
  <c r="BE842" i="1"/>
  <c r="BC842" i="1"/>
  <c r="BB842" i="1"/>
  <c r="BA842" i="1"/>
  <c r="AZ842" i="1"/>
  <c r="AY842" i="1"/>
  <c r="AX842" i="1"/>
  <c r="AP842" i="1"/>
  <c r="BF841" i="1"/>
  <c r="BE841" i="1"/>
  <c r="BC841" i="1"/>
  <c r="BB841" i="1"/>
  <c r="BA841" i="1"/>
  <c r="AZ841" i="1"/>
  <c r="AY841" i="1"/>
  <c r="AX841" i="1"/>
  <c r="AP841" i="1"/>
  <c r="BF840" i="1"/>
  <c r="BE840" i="1"/>
  <c r="BC840" i="1"/>
  <c r="BB840" i="1"/>
  <c r="BA840" i="1"/>
  <c r="AZ840" i="1"/>
  <c r="AY840" i="1"/>
  <c r="AX840" i="1"/>
  <c r="AP840" i="1"/>
  <c r="BF839" i="1"/>
  <c r="BE839" i="1"/>
  <c r="BC839" i="1"/>
  <c r="BB839" i="1"/>
  <c r="BA839" i="1"/>
  <c r="AZ839" i="1"/>
  <c r="AY839" i="1"/>
  <c r="BD839" i="1" s="1"/>
  <c r="AX839" i="1"/>
  <c r="AP839" i="1"/>
  <c r="BF838" i="1"/>
  <c r="BE838" i="1"/>
  <c r="BC838" i="1"/>
  <c r="BB838" i="1"/>
  <c r="BA838" i="1"/>
  <c r="AZ838" i="1"/>
  <c r="AY838" i="1"/>
  <c r="AX838" i="1"/>
  <c r="AP838" i="1"/>
  <c r="BF837" i="1"/>
  <c r="BE837" i="1"/>
  <c r="BC837" i="1"/>
  <c r="BB837" i="1"/>
  <c r="BA837" i="1"/>
  <c r="AZ837" i="1"/>
  <c r="AY837" i="1"/>
  <c r="AX837" i="1"/>
  <c r="BF836" i="1"/>
  <c r="BE836" i="1"/>
  <c r="BC836" i="1"/>
  <c r="BB836" i="1"/>
  <c r="BA836" i="1"/>
  <c r="BD836" i="1" s="1"/>
  <c r="AZ836" i="1"/>
  <c r="AY836" i="1"/>
  <c r="AX836" i="1"/>
  <c r="AP836" i="1"/>
  <c r="BF835" i="1"/>
  <c r="BE835" i="1"/>
  <c r="BD835" i="1"/>
  <c r="BC835" i="1"/>
  <c r="BB835" i="1"/>
  <c r="BA835" i="1"/>
  <c r="AZ835" i="1"/>
  <c r="AY835" i="1"/>
  <c r="AX835" i="1"/>
  <c r="AP835" i="1"/>
  <c r="BF834" i="1"/>
  <c r="BE834" i="1"/>
  <c r="BC834" i="1"/>
  <c r="BB834" i="1"/>
  <c r="BA834" i="1"/>
  <c r="AZ834" i="1"/>
  <c r="AY834" i="1"/>
  <c r="AX834" i="1"/>
  <c r="BD834" i="1" s="1"/>
  <c r="BF833" i="1"/>
  <c r="BE833" i="1"/>
  <c r="BC833" i="1"/>
  <c r="BB833" i="1"/>
  <c r="BA833" i="1"/>
  <c r="AZ833" i="1"/>
  <c r="AY833" i="1"/>
  <c r="AX833" i="1"/>
  <c r="BD833" i="1" s="1"/>
  <c r="AP833" i="1"/>
  <c r="BF832" i="1"/>
  <c r="BE832" i="1"/>
  <c r="BC832" i="1"/>
  <c r="BB832" i="1"/>
  <c r="BA832" i="1"/>
  <c r="AZ832" i="1"/>
  <c r="AY832" i="1"/>
  <c r="BD832" i="1" s="1"/>
  <c r="AX832" i="1"/>
  <c r="AP832" i="1"/>
  <c r="BF831" i="1"/>
  <c r="BE831" i="1"/>
  <c r="BC831" i="1"/>
  <c r="BB831" i="1"/>
  <c r="BA831" i="1"/>
  <c r="AZ831" i="1"/>
  <c r="AY831" i="1"/>
  <c r="BD831" i="1" s="1"/>
  <c r="AX831" i="1"/>
  <c r="AP831" i="1"/>
  <c r="BF830" i="1"/>
  <c r="BE830" i="1"/>
  <c r="BC830" i="1"/>
  <c r="BB830" i="1"/>
  <c r="BA830" i="1"/>
  <c r="AZ830" i="1"/>
  <c r="AY830" i="1"/>
  <c r="BD830" i="1" s="1"/>
  <c r="AX830" i="1"/>
  <c r="AP830" i="1"/>
  <c r="BF829" i="1"/>
  <c r="BE829" i="1"/>
  <c r="BC829" i="1"/>
  <c r="BB829" i="1"/>
  <c r="BA829" i="1"/>
  <c r="AZ829" i="1"/>
  <c r="AY829" i="1"/>
  <c r="AX829" i="1"/>
  <c r="AP829" i="1"/>
  <c r="BF828" i="1"/>
  <c r="BE828" i="1"/>
  <c r="BC828" i="1"/>
  <c r="BB828" i="1"/>
  <c r="BA828" i="1"/>
  <c r="AZ828" i="1"/>
  <c r="AY828" i="1"/>
  <c r="AX828" i="1"/>
  <c r="AP828" i="1"/>
  <c r="BF827" i="1"/>
  <c r="BE827" i="1"/>
  <c r="BC827" i="1"/>
  <c r="BB827" i="1"/>
  <c r="BA827" i="1"/>
  <c r="AZ827" i="1"/>
  <c r="AY827" i="1"/>
  <c r="AX827" i="1"/>
  <c r="AP827" i="1"/>
  <c r="BF826" i="1"/>
  <c r="BE826" i="1"/>
  <c r="BC826" i="1"/>
  <c r="BB826" i="1"/>
  <c r="BA826" i="1"/>
  <c r="AZ826" i="1"/>
  <c r="AY826" i="1"/>
  <c r="BD826" i="1" s="1"/>
  <c r="AX826" i="1"/>
  <c r="AP826" i="1"/>
  <c r="BF825" i="1"/>
  <c r="BE825" i="1"/>
  <c r="BC825" i="1"/>
  <c r="BB825" i="1"/>
  <c r="BA825" i="1"/>
  <c r="AZ825" i="1"/>
  <c r="AY825" i="1"/>
  <c r="AX825" i="1"/>
  <c r="AP825" i="1"/>
  <c r="BF824" i="1"/>
  <c r="BE824" i="1"/>
  <c r="BC824" i="1"/>
  <c r="BB824" i="1"/>
  <c r="BA824" i="1"/>
  <c r="AZ824" i="1"/>
  <c r="AY824" i="1"/>
  <c r="AX824" i="1"/>
  <c r="AP824" i="1"/>
  <c r="BF823" i="1"/>
  <c r="BE823" i="1"/>
  <c r="BC823" i="1"/>
  <c r="BB823" i="1"/>
  <c r="BA823" i="1"/>
  <c r="AZ823" i="1"/>
  <c r="AY823" i="1"/>
  <c r="AX823" i="1"/>
  <c r="AP823" i="1"/>
  <c r="BF822" i="1"/>
  <c r="BE822" i="1"/>
  <c r="BD822" i="1"/>
  <c r="BC822" i="1"/>
  <c r="BB822" i="1"/>
  <c r="BA822" i="1"/>
  <c r="AZ822" i="1"/>
  <c r="AY822" i="1"/>
  <c r="AX822" i="1"/>
  <c r="AP822" i="1"/>
  <c r="BF821" i="1"/>
  <c r="BE821" i="1"/>
  <c r="BC821" i="1"/>
  <c r="BB821" i="1"/>
  <c r="BA821" i="1"/>
  <c r="AZ821" i="1"/>
  <c r="AY821" i="1"/>
  <c r="AX821" i="1"/>
  <c r="BF820" i="1"/>
  <c r="BE820" i="1"/>
  <c r="BC820" i="1"/>
  <c r="BB820" i="1"/>
  <c r="BA820" i="1"/>
  <c r="AZ820" i="1"/>
  <c r="AY820" i="1"/>
  <c r="BD820" i="1" s="1"/>
  <c r="AX820" i="1"/>
  <c r="AP820" i="1"/>
  <c r="BF819" i="1"/>
  <c r="BE819" i="1"/>
  <c r="BD819" i="1"/>
  <c r="BC819" i="1"/>
  <c r="BB819" i="1"/>
  <c r="BA819" i="1"/>
  <c r="AZ819" i="1"/>
  <c r="AY819" i="1"/>
  <c r="AX819" i="1"/>
  <c r="AP819" i="1"/>
  <c r="BF818" i="1"/>
  <c r="BE818" i="1"/>
  <c r="BC818" i="1"/>
  <c r="BB818" i="1"/>
  <c r="BA818" i="1"/>
  <c r="AZ818" i="1"/>
  <c r="AY818" i="1"/>
  <c r="AX818" i="1"/>
  <c r="BD818" i="1" s="1"/>
  <c r="AP818" i="1"/>
  <c r="BF817" i="1"/>
  <c r="BE817" i="1"/>
  <c r="BC817" i="1"/>
  <c r="BB817" i="1"/>
  <c r="BA817" i="1"/>
  <c r="AZ817" i="1"/>
  <c r="AY817" i="1"/>
  <c r="AX817" i="1"/>
  <c r="AP817" i="1"/>
  <c r="BF816" i="1"/>
  <c r="BE816" i="1"/>
  <c r="BD816" i="1"/>
  <c r="BC816" i="1"/>
  <c r="BB816" i="1"/>
  <c r="BA816" i="1"/>
  <c r="AZ816" i="1"/>
  <c r="AY816" i="1"/>
  <c r="AX816" i="1"/>
  <c r="AP816" i="1"/>
  <c r="BF815" i="1"/>
  <c r="BE815" i="1"/>
  <c r="BC815" i="1"/>
  <c r="BB815" i="1"/>
  <c r="BA815" i="1"/>
  <c r="AZ815" i="1"/>
  <c r="AY815" i="1"/>
  <c r="AX815" i="1"/>
  <c r="BD815" i="1" s="1"/>
  <c r="AP815" i="1"/>
  <c r="BF814" i="1"/>
  <c r="BE814" i="1"/>
  <c r="BC814" i="1"/>
  <c r="BB814" i="1"/>
  <c r="BA814" i="1"/>
  <c r="AZ814" i="1"/>
  <c r="AY814" i="1"/>
  <c r="AX814" i="1"/>
  <c r="BD814" i="1" s="1"/>
  <c r="AP814" i="1"/>
  <c r="BF813" i="1"/>
  <c r="BE813" i="1"/>
  <c r="BC813" i="1"/>
  <c r="BB813" i="1"/>
  <c r="BA813" i="1"/>
  <c r="AZ813" i="1"/>
  <c r="AY813" i="1"/>
  <c r="AX813" i="1"/>
  <c r="AP813" i="1"/>
  <c r="BF812" i="1"/>
  <c r="BE812" i="1"/>
  <c r="BD812" i="1"/>
  <c r="BC812" i="1"/>
  <c r="BB812" i="1"/>
  <c r="BA812" i="1"/>
  <c r="AZ812" i="1"/>
  <c r="AY812" i="1"/>
  <c r="AX812" i="1"/>
  <c r="AP812" i="1"/>
  <c r="BF811" i="1"/>
  <c r="BE811" i="1"/>
  <c r="BC811" i="1"/>
  <c r="BB811" i="1"/>
  <c r="BA811" i="1"/>
  <c r="AZ811" i="1"/>
  <c r="AY811" i="1"/>
  <c r="AX811" i="1"/>
  <c r="BD811" i="1" s="1"/>
  <c r="AP811" i="1"/>
  <c r="BF810" i="1"/>
  <c r="BE810" i="1"/>
  <c r="BC810" i="1"/>
  <c r="BB810" i="1"/>
  <c r="BA810" i="1"/>
  <c r="AZ810" i="1"/>
  <c r="BD810" i="1" s="1"/>
  <c r="AY810" i="1"/>
  <c r="AX810" i="1"/>
  <c r="AP810" i="1"/>
  <c r="BF809" i="1"/>
  <c r="BE809" i="1"/>
  <c r="BC809" i="1"/>
  <c r="BB809" i="1"/>
  <c r="BA809" i="1"/>
  <c r="AZ809" i="1"/>
  <c r="AY809" i="1"/>
  <c r="AX809" i="1"/>
  <c r="AP809" i="1"/>
  <c r="BF808" i="1"/>
  <c r="BE808" i="1"/>
  <c r="BC808" i="1"/>
  <c r="BB808" i="1"/>
  <c r="BA808" i="1"/>
  <c r="AZ808" i="1"/>
  <c r="AY808" i="1"/>
  <c r="BD808" i="1" s="1"/>
  <c r="AX808" i="1"/>
  <c r="AP808" i="1"/>
  <c r="BF807" i="1"/>
  <c r="BE807" i="1"/>
  <c r="BD807" i="1"/>
  <c r="BC807" i="1"/>
  <c r="BB807" i="1"/>
  <c r="BA807" i="1"/>
  <c r="AZ807" i="1"/>
  <c r="AY807" i="1"/>
  <c r="AX807" i="1"/>
  <c r="AP807" i="1"/>
  <c r="BF806" i="1"/>
  <c r="BE806" i="1"/>
  <c r="BC806" i="1"/>
  <c r="BB806" i="1"/>
  <c r="BA806" i="1"/>
  <c r="AZ806" i="1"/>
  <c r="AY806" i="1"/>
  <c r="AX806" i="1"/>
  <c r="BD806" i="1" s="1"/>
  <c r="AP806" i="1"/>
  <c r="BF805" i="1"/>
  <c r="BE805" i="1"/>
  <c r="BC805" i="1"/>
  <c r="BB805" i="1"/>
  <c r="BA805" i="1"/>
  <c r="AZ805" i="1"/>
  <c r="AY805" i="1"/>
  <c r="AX805" i="1"/>
  <c r="AP805" i="1"/>
  <c r="BF804" i="1"/>
  <c r="BE804" i="1"/>
  <c r="BC804" i="1"/>
  <c r="BB804" i="1"/>
  <c r="BA804" i="1"/>
  <c r="AZ804" i="1"/>
  <c r="AY804" i="1"/>
  <c r="BD804" i="1" s="1"/>
  <c r="AX804" i="1"/>
  <c r="AP804" i="1"/>
  <c r="BF803" i="1"/>
  <c r="BE803" i="1"/>
  <c r="BD803" i="1"/>
  <c r="BC803" i="1"/>
  <c r="BB803" i="1"/>
  <c r="BA803" i="1"/>
  <c r="AZ803" i="1"/>
  <c r="AY803" i="1"/>
  <c r="AX803" i="1"/>
  <c r="AP803" i="1"/>
  <c r="BF802" i="1"/>
  <c r="BE802" i="1"/>
  <c r="BC802" i="1"/>
  <c r="BB802" i="1"/>
  <c r="BA802" i="1"/>
  <c r="AZ802" i="1"/>
  <c r="AY802" i="1"/>
  <c r="AX802" i="1"/>
  <c r="BD802" i="1" s="1"/>
  <c r="AP802" i="1"/>
  <c r="BF801" i="1"/>
  <c r="BE801" i="1"/>
  <c r="BC801" i="1"/>
  <c r="BB801" i="1"/>
  <c r="BA801" i="1"/>
  <c r="AZ801" i="1"/>
  <c r="AY801" i="1"/>
  <c r="AX801" i="1"/>
  <c r="BD801" i="1" s="1"/>
  <c r="AP801" i="1"/>
  <c r="BF800" i="1"/>
  <c r="BE800" i="1"/>
  <c r="BC800" i="1"/>
  <c r="BB800" i="1"/>
  <c r="BA800" i="1"/>
  <c r="AZ800" i="1"/>
  <c r="AY800" i="1"/>
  <c r="BD800" i="1" s="1"/>
  <c r="AX800" i="1"/>
  <c r="AP800" i="1"/>
  <c r="BF799" i="1"/>
  <c r="BE799" i="1"/>
  <c r="BC799" i="1"/>
  <c r="BB799" i="1"/>
  <c r="BA799" i="1"/>
  <c r="BD799" i="1" s="1"/>
  <c r="AZ799" i="1"/>
  <c r="AY799" i="1"/>
  <c r="AX799" i="1"/>
  <c r="AP799" i="1"/>
  <c r="BF798" i="1"/>
  <c r="BE798" i="1"/>
  <c r="BD798" i="1"/>
  <c r="BC798" i="1"/>
  <c r="BB798" i="1"/>
  <c r="BA798" i="1"/>
  <c r="AZ798" i="1"/>
  <c r="AY798" i="1"/>
  <c r="AX798" i="1"/>
  <c r="AP798" i="1"/>
  <c r="BF797" i="1"/>
  <c r="BE797" i="1"/>
  <c r="BC797" i="1"/>
  <c r="BB797" i="1"/>
  <c r="BA797" i="1"/>
  <c r="AZ797" i="1"/>
  <c r="AY797" i="1"/>
  <c r="AX797" i="1"/>
  <c r="BD797" i="1" s="1"/>
  <c r="AP797" i="1"/>
  <c r="BF796" i="1"/>
  <c r="BE796" i="1"/>
  <c r="BC796" i="1"/>
  <c r="BB796" i="1"/>
  <c r="BA796" i="1"/>
  <c r="AZ796" i="1"/>
  <c r="AY796" i="1"/>
  <c r="BD796" i="1" s="1"/>
  <c r="AX796" i="1"/>
  <c r="AP796" i="1"/>
  <c r="BF795" i="1"/>
  <c r="BE795" i="1"/>
  <c r="BC795" i="1"/>
  <c r="BB795" i="1"/>
  <c r="BA795" i="1"/>
  <c r="AZ795" i="1"/>
  <c r="AY795" i="1"/>
  <c r="AX795" i="1"/>
  <c r="BD795" i="1" s="1"/>
  <c r="AP795" i="1"/>
  <c r="BF794" i="1"/>
  <c r="BE794" i="1"/>
  <c r="BC794" i="1"/>
  <c r="BD794" i="1" s="1"/>
  <c r="BB794" i="1"/>
  <c r="BA794" i="1"/>
  <c r="AZ794" i="1"/>
  <c r="AY794" i="1"/>
  <c r="AX794" i="1"/>
  <c r="AP794" i="1"/>
  <c r="BF793" i="1"/>
  <c r="BE793" i="1"/>
  <c r="BC793" i="1"/>
  <c r="BB793" i="1"/>
  <c r="BA793" i="1"/>
  <c r="AZ793" i="1"/>
  <c r="AY793" i="1"/>
  <c r="AX793" i="1"/>
  <c r="AP793" i="1"/>
  <c r="BF792" i="1"/>
  <c r="BE792" i="1"/>
  <c r="BC792" i="1"/>
  <c r="BB792" i="1"/>
  <c r="BA792" i="1"/>
  <c r="AZ792" i="1"/>
  <c r="AY792" i="1"/>
  <c r="BD792" i="1" s="1"/>
  <c r="AX792" i="1"/>
  <c r="AP792" i="1"/>
  <c r="BF791" i="1"/>
  <c r="BE791" i="1"/>
  <c r="BC791" i="1"/>
  <c r="BB791" i="1"/>
  <c r="BA791" i="1"/>
  <c r="AZ791" i="1"/>
  <c r="AY791" i="1"/>
  <c r="AX791" i="1"/>
  <c r="BD791" i="1" s="1"/>
  <c r="AP791" i="1"/>
  <c r="BF790" i="1"/>
  <c r="BE790" i="1"/>
  <c r="BC790" i="1"/>
  <c r="BB790" i="1"/>
  <c r="BA790" i="1"/>
  <c r="AZ790" i="1"/>
  <c r="BD790" i="1" s="1"/>
  <c r="AY790" i="1"/>
  <c r="AX790" i="1"/>
  <c r="AP790" i="1"/>
  <c r="BF789" i="1"/>
  <c r="BE789" i="1"/>
  <c r="BC789" i="1"/>
  <c r="BB789" i="1"/>
  <c r="BA789" i="1"/>
  <c r="AZ789" i="1"/>
  <c r="AY789" i="1"/>
  <c r="AX789" i="1"/>
  <c r="AP789" i="1"/>
  <c r="BF788" i="1"/>
  <c r="BE788" i="1"/>
  <c r="BC788" i="1"/>
  <c r="BB788" i="1"/>
  <c r="BD788" i="1" s="1"/>
  <c r="BA788" i="1"/>
  <c r="AZ788" i="1"/>
  <c r="AY788" i="1"/>
  <c r="AX788" i="1"/>
  <c r="AP788" i="1"/>
  <c r="BF787" i="1"/>
  <c r="BE787" i="1"/>
  <c r="BD787" i="1"/>
  <c r="BC787" i="1"/>
  <c r="BB787" i="1"/>
  <c r="BA787" i="1"/>
  <c r="AZ787" i="1"/>
  <c r="AY787" i="1"/>
  <c r="AX787" i="1"/>
  <c r="AP787" i="1"/>
  <c r="BF786" i="1"/>
  <c r="BE786" i="1"/>
  <c r="BC786" i="1"/>
  <c r="BB786" i="1"/>
  <c r="BA786" i="1"/>
  <c r="AZ786" i="1"/>
  <c r="AY786" i="1"/>
  <c r="AX786" i="1"/>
  <c r="BD786" i="1" s="1"/>
  <c r="AP786" i="1"/>
  <c r="BF785" i="1"/>
  <c r="BE785" i="1"/>
  <c r="BC785" i="1"/>
  <c r="BB785" i="1"/>
  <c r="BA785" i="1"/>
  <c r="AZ785" i="1"/>
  <c r="AY785" i="1"/>
  <c r="AX785" i="1"/>
  <c r="AP785" i="1"/>
  <c r="BF784" i="1"/>
  <c r="BE784" i="1"/>
  <c r="BD784" i="1"/>
  <c r="BC784" i="1"/>
  <c r="BB784" i="1"/>
  <c r="BA784" i="1"/>
  <c r="AZ784" i="1"/>
  <c r="AY784" i="1"/>
  <c r="AX784" i="1"/>
  <c r="AP784" i="1"/>
  <c r="BF783" i="1"/>
  <c r="BE783" i="1"/>
  <c r="BC783" i="1"/>
  <c r="BB783" i="1"/>
  <c r="BA783" i="1"/>
  <c r="AZ783" i="1"/>
  <c r="AY783" i="1"/>
  <c r="AX783" i="1"/>
  <c r="BD783" i="1" s="1"/>
  <c r="AP783" i="1"/>
  <c r="BF782" i="1"/>
  <c r="BE782" i="1"/>
  <c r="BC782" i="1"/>
  <c r="BB782" i="1"/>
  <c r="BA782" i="1"/>
  <c r="AZ782" i="1"/>
  <c r="AY782" i="1"/>
  <c r="AX782" i="1"/>
  <c r="BD782" i="1" s="1"/>
  <c r="AP782" i="1"/>
  <c r="BF781" i="1"/>
  <c r="BE781" i="1"/>
  <c r="BC781" i="1"/>
  <c r="BB781" i="1"/>
  <c r="BA781" i="1"/>
  <c r="AZ781" i="1"/>
  <c r="AY781" i="1"/>
  <c r="AX781" i="1"/>
  <c r="AP781" i="1"/>
  <c r="BF780" i="1"/>
  <c r="BE780" i="1"/>
  <c r="BD780" i="1"/>
  <c r="BC780" i="1"/>
  <c r="BB780" i="1"/>
  <c r="BA780" i="1"/>
  <c r="AZ780" i="1"/>
  <c r="AY780" i="1"/>
  <c r="AX780" i="1"/>
  <c r="AP780" i="1"/>
  <c r="BF779" i="1"/>
  <c r="BE779" i="1"/>
  <c r="BC779" i="1"/>
  <c r="BB779" i="1"/>
  <c r="BA779" i="1"/>
  <c r="AZ779" i="1"/>
  <c r="AY779" i="1"/>
  <c r="AX779" i="1"/>
  <c r="BD779" i="1" s="1"/>
  <c r="AP779" i="1"/>
  <c r="BF778" i="1"/>
  <c r="BE778" i="1"/>
  <c r="BC778" i="1"/>
  <c r="BB778" i="1"/>
  <c r="BA778" i="1"/>
  <c r="AZ778" i="1"/>
  <c r="BD778" i="1" s="1"/>
  <c r="AY778" i="1"/>
  <c r="AX778" i="1"/>
  <c r="AP778" i="1"/>
  <c r="BF777" i="1"/>
  <c r="BE777" i="1"/>
  <c r="BC777" i="1"/>
  <c r="BB777" i="1"/>
  <c r="BA777" i="1"/>
  <c r="AZ777" i="1"/>
  <c r="AY777" i="1"/>
  <c r="AX777" i="1"/>
  <c r="AP777" i="1"/>
  <c r="BF776" i="1"/>
  <c r="BE776" i="1"/>
  <c r="BC776" i="1"/>
  <c r="BB776" i="1"/>
  <c r="BA776" i="1"/>
  <c r="AZ776" i="1"/>
  <c r="AY776" i="1"/>
  <c r="AX776" i="1"/>
  <c r="AP776" i="1"/>
  <c r="BF775" i="1"/>
  <c r="BE775" i="1"/>
  <c r="BD775" i="1"/>
  <c r="BC775" i="1"/>
  <c r="BB775" i="1"/>
  <c r="BA775" i="1"/>
  <c r="AZ775" i="1"/>
  <c r="AY775" i="1"/>
  <c r="AX775" i="1"/>
  <c r="AP775" i="1"/>
  <c r="BF774" i="1"/>
  <c r="BE774" i="1"/>
  <c r="BC774" i="1"/>
  <c r="BB774" i="1"/>
  <c r="BA774" i="1"/>
  <c r="AZ774" i="1"/>
  <c r="AY774" i="1"/>
  <c r="AX774" i="1"/>
  <c r="BD774" i="1" s="1"/>
  <c r="AP774" i="1"/>
  <c r="BF773" i="1"/>
  <c r="BE773" i="1"/>
  <c r="BC773" i="1"/>
  <c r="BB773" i="1"/>
  <c r="BA773" i="1"/>
  <c r="AZ773" i="1"/>
  <c r="AY773" i="1"/>
  <c r="AX773" i="1"/>
  <c r="AP773" i="1"/>
  <c r="BF772" i="1"/>
  <c r="BE772" i="1"/>
  <c r="BC772" i="1"/>
  <c r="BB772" i="1"/>
  <c r="BA772" i="1"/>
  <c r="AZ772" i="1"/>
  <c r="AY772" i="1"/>
  <c r="BD772" i="1" s="1"/>
  <c r="AX772" i="1"/>
  <c r="AP772" i="1"/>
  <c r="BF771" i="1"/>
  <c r="BE771" i="1"/>
  <c r="BD771" i="1"/>
  <c r="BC771" i="1"/>
  <c r="BB771" i="1"/>
  <c r="BA771" i="1"/>
  <c r="AZ771" i="1"/>
  <c r="AY771" i="1"/>
  <c r="AX771" i="1"/>
  <c r="AP771" i="1"/>
  <c r="BF770" i="1"/>
  <c r="BE770" i="1"/>
  <c r="BC770" i="1"/>
  <c r="BB770" i="1"/>
  <c r="BA770" i="1"/>
  <c r="AZ770" i="1"/>
  <c r="AY770" i="1"/>
  <c r="AX770" i="1"/>
  <c r="BD770" i="1" s="1"/>
  <c r="AP770" i="1"/>
  <c r="BF769" i="1"/>
  <c r="BE769" i="1"/>
  <c r="BC769" i="1"/>
  <c r="BB769" i="1"/>
  <c r="BA769" i="1"/>
  <c r="AZ769" i="1"/>
  <c r="AY769" i="1"/>
  <c r="AX769" i="1"/>
  <c r="BD769" i="1" s="1"/>
  <c r="AP769" i="1"/>
  <c r="BF768" i="1"/>
  <c r="BE768" i="1"/>
  <c r="BC768" i="1"/>
  <c r="BB768" i="1"/>
  <c r="BA768" i="1"/>
  <c r="AZ768" i="1"/>
  <c r="AY768" i="1"/>
  <c r="AX768" i="1"/>
  <c r="AP768" i="1"/>
  <c r="BF767" i="1"/>
  <c r="BE767" i="1"/>
  <c r="BC767" i="1"/>
  <c r="BB767" i="1"/>
  <c r="BA767" i="1"/>
  <c r="BD767" i="1" s="1"/>
  <c r="AZ767" i="1"/>
  <c r="AY767" i="1"/>
  <c r="AX767" i="1"/>
  <c r="AP767" i="1"/>
  <c r="BF766" i="1"/>
  <c r="BE766" i="1"/>
  <c r="BD766" i="1"/>
  <c r="BC766" i="1"/>
  <c r="BB766" i="1"/>
  <c r="BA766" i="1"/>
  <c r="AZ766" i="1"/>
  <c r="AY766" i="1"/>
  <c r="AX766" i="1"/>
  <c r="AP766" i="1"/>
  <c r="BF765" i="1"/>
  <c r="BE765" i="1"/>
  <c r="BC765" i="1"/>
  <c r="BB765" i="1"/>
  <c r="BA765" i="1"/>
  <c r="AZ765" i="1"/>
  <c r="AY765" i="1"/>
  <c r="AX765" i="1"/>
  <c r="BD765" i="1" s="1"/>
  <c r="AP765" i="1"/>
  <c r="BF764" i="1"/>
  <c r="BE764" i="1"/>
  <c r="BC764" i="1"/>
  <c r="BB764" i="1"/>
  <c r="BA764" i="1"/>
  <c r="AZ764" i="1"/>
  <c r="AY764" i="1"/>
  <c r="BD764" i="1" s="1"/>
  <c r="AX764" i="1"/>
  <c r="AP764" i="1"/>
  <c r="BF763" i="1"/>
  <c r="BE763" i="1"/>
  <c r="BC763" i="1"/>
  <c r="BB763" i="1"/>
  <c r="BA763" i="1"/>
  <c r="AZ763" i="1"/>
  <c r="AY763" i="1"/>
  <c r="AX763" i="1"/>
  <c r="AP763" i="1"/>
  <c r="BF762" i="1"/>
  <c r="BE762" i="1"/>
  <c r="BC762" i="1"/>
  <c r="BD762" i="1" s="1"/>
  <c r="BB762" i="1"/>
  <c r="BA762" i="1"/>
  <c r="AZ762" i="1"/>
  <c r="AY762" i="1"/>
  <c r="AX762" i="1"/>
  <c r="AP762" i="1"/>
  <c r="BF761" i="1"/>
  <c r="BE761" i="1"/>
  <c r="BC761" i="1"/>
  <c r="BB761" i="1"/>
  <c r="BA761" i="1"/>
  <c r="AZ761" i="1"/>
  <c r="AY761" i="1"/>
  <c r="AX761" i="1"/>
  <c r="AP761" i="1"/>
  <c r="BF760" i="1"/>
  <c r="BE760" i="1"/>
  <c r="BC760" i="1"/>
  <c r="BB760" i="1"/>
  <c r="BA760" i="1"/>
  <c r="AZ760" i="1"/>
  <c r="AY760" i="1"/>
  <c r="BD760" i="1" s="1"/>
  <c r="AX760" i="1"/>
  <c r="AP760" i="1"/>
  <c r="BF759" i="1"/>
  <c r="BE759" i="1"/>
  <c r="BC759" i="1"/>
  <c r="BB759" i="1"/>
  <c r="BA759" i="1"/>
  <c r="AZ759" i="1"/>
  <c r="AY759" i="1"/>
  <c r="AX759" i="1"/>
  <c r="BD759" i="1" s="1"/>
  <c r="AP759" i="1"/>
  <c r="BF758" i="1"/>
  <c r="BE758" i="1"/>
  <c r="BC758" i="1"/>
  <c r="BB758" i="1"/>
  <c r="BA758" i="1"/>
  <c r="AZ758" i="1"/>
  <c r="BD758" i="1" s="1"/>
  <c r="AY758" i="1"/>
  <c r="AX758" i="1"/>
  <c r="AP758" i="1"/>
  <c r="BF757" i="1"/>
  <c r="BE757" i="1"/>
  <c r="BC757" i="1"/>
  <c r="BB757" i="1"/>
  <c r="BA757" i="1"/>
  <c r="AZ757" i="1"/>
  <c r="AY757" i="1"/>
  <c r="AX757" i="1"/>
  <c r="AP757" i="1"/>
  <c r="BF756" i="1"/>
  <c r="BE756" i="1"/>
  <c r="BC756" i="1"/>
  <c r="BB756" i="1"/>
  <c r="BD756" i="1" s="1"/>
  <c r="BA756" i="1"/>
  <c r="AZ756" i="1"/>
  <c r="AY756" i="1"/>
  <c r="AX756" i="1"/>
  <c r="AP756" i="1"/>
  <c r="BF755" i="1"/>
  <c r="BE755" i="1"/>
  <c r="BD755" i="1"/>
  <c r="BC755" i="1"/>
  <c r="BB755" i="1"/>
  <c r="BA755" i="1"/>
  <c r="AZ755" i="1"/>
  <c r="AY755" i="1"/>
  <c r="AX755" i="1"/>
  <c r="AP755" i="1"/>
  <c r="BF754" i="1"/>
  <c r="BE754" i="1"/>
  <c r="BC754" i="1"/>
  <c r="BB754" i="1"/>
  <c r="BA754" i="1"/>
  <c r="AZ754" i="1"/>
  <c r="AY754" i="1"/>
  <c r="AX754" i="1"/>
  <c r="BD754" i="1" s="1"/>
  <c r="AP754" i="1"/>
  <c r="BF753" i="1"/>
  <c r="BE753" i="1"/>
  <c r="BC753" i="1"/>
  <c r="BB753" i="1"/>
  <c r="BA753" i="1"/>
  <c r="AZ753" i="1"/>
  <c r="AY753" i="1"/>
  <c r="AX753" i="1"/>
  <c r="AP753" i="1"/>
  <c r="BF752" i="1"/>
  <c r="BE752" i="1"/>
  <c r="BD752" i="1"/>
  <c r="BC752" i="1"/>
  <c r="BB752" i="1"/>
  <c r="BA752" i="1"/>
  <c r="AZ752" i="1"/>
  <c r="AY752" i="1"/>
  <c r="AX752" i="1"/>
  <c r="AP752" i="1"/>
  <c r="BF751" i="1"/>
  <c r="BE751" i="1"/>
  <c r="BC751" i="1"/>
  <c r="BB751" i="1"/>
  <c r="BA751" i="1"/>
  <c r="AZ751" i="1"/>
  <c r="AY751" i="1"/>
  <c r="AX751" i="1"/>
  <c r="BD751" i="1" s="1"/>
  <c r="AP751" i="1"/>
  <c r="BF750" i="1"/>
  <c r="BE750" i="1"/>
  <c r="BC750" i="1"/>
  <c r="BB750" i="1"/>
  <c r="BA750" i="1"/>
  <c r="AZ750" i="1"/>
  <c r="AY750" i="1"/>
  <c r="AX750" i="1"/>
  <c r="AP750" i="1"/>
  <c r="BF749" i="1"/>
  <c r="BE749" i="1"/>
  <c r="BC749" i="1"/>
  <c r="BB749" i="1"/>
  <c r="BA749" i="1"/>
  <c r="AZ749" i="1"/>
  <c r="AY749" i="1"/>
  <c r="AX749" i="1"/>
  <c r="AP749" i="1"/>
  <c r="BF748" i="1"/>
  <c r="BE748" i="1"/>
  <c r="BD748" i="1"/>
  <c r="BC748" i="1"/>
  <c r="BB748" i="1"/>
  <c r="BA748" i="1"/>
  <c r="AZ748" i="1"/>
  <c r="AY748" i="1"/>
  <c r="AX748" i="1"/>
  <c r="BF747" i="1"/>
  <c r="BE747" i="1"/>
  <c r="BC747" i="1"/>
  <c r="BB747" i="1"/>
  <c r="BA747" i="1"/>
  <c r="AZ747" i="1"/>
  <c r="AY747" i="1"/>
  <c r="AX747" i="1"/>
  <c r="AP747" i="1"/>
  <c r="BF746" i="1"/>
  <c r="BE746" i="1"/>
  <c r="BC746" i="1"/>
  <c r="BB746" i="1"/>
  <c r="BA746" i="1"/>
  <c r="AZ746" i="1"/>
  <c r="AY746" i="1"/>
  <c r="AX746" i="1"/>
  <c r="AP746" i="1"/>
  <c r="BF745" i="1"/>
  <c r="BE745" i="1"/>
  <c r="BC745" i="1"/>
  <c r="BB745" i="1"/>
  <c r="BA745" i="1"/>
  <c r="AZ745" i="1"/>
  <c r="AY745" i="1"/>
  <c r="BD745" i="1" s="1"/>
  <c r="AX745" i="1"/>
  <c r="AP745" i="1"/>
  <c r="BF744" i="1"/>
  <c r="BE744" i="1"/>
  <c r="BC744" i="1"/>
  <c r="BB744" i="1"/>
  <c r="BA744" i="1"/>
  <c r="AZ744" i="1"/>
  <c r="AY744" i="1"/>
  <c r="AX744" i="1"/>
  <c r="AP744" i="1"/>
  <c r="BF743" i="1"/>
  <c r="BE743" i="1"/>
  <c r="BC743" i="1"/>
  <c r="BB743" i="1"/>
  <c r="BA743" i="1"/>
  <c r="AZ743" i="1"/>
  <c r="AY743" i="1"/>
  <c r="AX743" i="1"/>
  <c r="AP743" i="1"/>
  <c r="BF742" i="1"/>
  <c r="BE742" i="1"/>
  <c r="BC742" i="1"/>
  <c r="BB742" i="1"/>
  <c r="BA742" i="1"/>
  <c r="AZ742" i="1"/>
  <c r="AY742" i="1"/>
  <c r="AX742" i="1"/>
  <c r="AP742" i="1"/>
  <c r="BF741" i="1"/>
  <c r="BE741" i="1"/>
  <c r="BC741" i="1"/>
  <c r="BD741" i="1" s="1"/>
  <c r="BB741" i="1"/>
  <c r="BA741" i="1"/>
  <c r="AZ741" i="1"/>
  <c r="AY741" i="1"/>
  <c r="AX741" i="1"/>
  <c r="AP741" i="1"/>
  <c r="BF740" i="1"/>
  <c r="BE740" i="1"/>
  <c r="BC740" i="1"/>
  <c r="BB740" i="1"/>
  <c r="BA740" i="1"/>
  <c r="AZ740" i="1"/>
  <c r="AY740" i="1"/>
  <c r="AX740" i="1"/>
  <c r="AP740" i="1"/>
  <c r="BF739" i="1"/>
  <c r="BE739" i="1"/>
  <c r="BC739" i="1"/>
  <c r="BB739" i="1"/>
  <c r="BA739" i="1"/>
  <c r="AZ739" i="1"/>
  <c r="AY739" i="1"/>
  <c r="AX739" i="1"/>
  <c r="AP739" i="1"/>
  <c r="BF738" i="1"/>
  <c r="BE738" i="1"/>
  <c r="BC738" i="1"/>
  <c r="BB738" i="1"/>
  <c r="BA738" i="1"/>
  <c r="AZ738" i="1"/>
  <c r="AY738" i="1"/>
  <c r="AX738" i="1"/>
  <c r="BD738" i="1" s="1"/>
  <c r="AP738" i="1"/>
  <c r="BF737" i="1"/>
  <c r="BE737" i="1"/>
  <c r="BC737" i="1"/>
  <c r="BB737" i="1"/>
  <c r="BA737" i="1"/>
  <c r="AZ737" i="1"/>
  <c r="AY737" i="1"/>
  <c r="BD737" i="1" s="1"/>
  <c r="AX737" i="1"/>
  <c r="AP737" i="1"/>
  <c r="BF736" i="1"/>
  <c r="BE736" i="1"/>
  <c r="BC736" i="1"/>
  <c r="BB736" i="1"/>
  <c r="BA736" i="1"/>
  <c r="AZ736" i="1"/>
  <c r="AY736" i="1"/>
  <c r="AX736" i="1"/>
  <c r="AP736" i="1"/>
  <c r="BF735" i="1"/>
  <c r="BE735" i="1"/>
  <c r="BC735" i="1"/>
  <c r="BB735" i="1"/>
  <c r="BA735" i="1"/>
  <c r="AZ735" i="1"/>
  <c r="AY735" i="1"/>
  <c r="AX735" i="1"/>
  <c r="AP735" i="1"/>
  <c r="BF734" i="1"/>
  <c r="BE734" i="1"/>
  <c r="BC734" i="1"/>
  <c r="BB734" i="1"/>
  <c r="BA734" i="1"/>
  <c r="AZ734" i="1"/>
  <c r="AY734" i="1"/>
  <c r="AX734" i="1"/>
  <c r="AP734" i="1"/>
  <c r="BF733" i="1"/>
  <c r="BE733" i="1"/>
  <c r="BC733" i="1"/>
  <c r="BD733" i="1" s="1"/>
  <c r="BB733" i="1"/>
  <c r="BA733" i="1"/>
  <c r="AZ733" i="1"/>
  <c r="AY733" i="1"/>
  <c r="AX733" i="1"/>
  <c r="AP733" i="1"/>
  <c r="BF732" i="1"/>
  <c r="BE732" i="1"/>
  <c r="BC732" i="1"/>
  <c r="BB732" i="1"/>
  <c r="BA732" i="1"/>
  <c r="AZ732" i="1"/>
  <c r="AY732" i="1"/>
  <c r="AX732" i="1"/>
  <c r="BD732" i="1" s="1"/>
  <c r="AP732" i="1"/>
  <c r="BF731" i="1"/>
  <c r="BE731" i="1"/>
  <c r="BC731" i="1"/>
  <c r="BB731" i="1"/>
  <c r="BA731" i="1"/>
  <c r="AZ731" i="1"/>
  <c r="AY731" i="1"/>
  <c r="BD731" i="1" s="1"/>
  <c r="AX731" i="1"/>
  <c r="AP731" i="1"/>
  <c r="BF730" i="1"/>
  <c r="BE730" i="1"/>
  <c r="BC730" i="1"/>
  <c r="BB730" i="1"/>
  <c r="BA730" i="1"/>
  <c r="AZ730" i="1"/>
  <c r="AY730" i="1"/>
  <c r="AX730" i="1"/>
  <c r="AP730" i="1"/>
  <c r="BF729" i="1"/>
  <c r="BE729" i="1"/>
  <c r="BC729" i="1"/>
  <c r="BB729" i="1"/>
  <c r="BA729" i="1"/>
  <c r="AZ729" i="1"/>
  <c r="AY729" i="1"/>
  <c r="BD729" i="1" s="1"/>
  <c r="AX729" i="1"/>
  <c r="AP729" i="1"/>
  <c r="BF728" i="1"/>
  <c r="BE728" i="1"/>
  <c r="BC728" i="1"/>
  <c r="BB728" i="1"/>
  <c r="BA728" i="1"/>
  <c r="AZ728" i="1"/>
  <c r="AY728" i="1"/>
  <c r="AX728" i="1"/>
  <c r="AP728" i="1"/>
  <c r="BF727" i="1"/>
  <c r="BE727" i="1"/>
  <c r="BC727" i="1"/>
  <c r="BB727" i="1"/>
  <c r="BA727" i="1"/>
  <c r="AZ727" i="1"/>
  <c r="AY727" i="1"/>
  <c r="AX727" i="1"/>
  <c r="AP727" i="1"/>
  <c r="BF726" i="1"/>
  <c r="BE726" i="1"/>
  <c r="BC726" i="1"/>
  <c r="BB726" i="1"/>
  <c r="BA726" i="1"/>
  <c r="AZ726" i="1"/>
  <c r="AY726" i="1"/>
  <c r="AX726" i="1"/>
  <c r="BD726" i="1" s="1"/>
  <c r="AP726" i="1"/>
  <c r="BF725" i="1"/>
  <c r="BE725" i="1"/>
  <c r="BC725" i="1"/>
  <c r="BB725" i="1"/>
  <c r="BA725" i="1"/>
  <c r="AZ725" i="1"/>
  <c r="AY725" i="1"/>
  <c r="BD725" i="1" s="1"/>
  <c r="AX725" i="1"/>
  <c r="AP725" i="1"/>
  <c r="BF724" i="1"/>
  <c r="BE724" i="1"/>
  <c r="BC724" i="1"/>
  <c r="BB724" i="1"/>
  <c r="BA724" i="1"/>
  <c r="AZ724" i="1"/>
  <c r="AY724" i="1"/>
  <c r="AX724" i="1"/>
  <c r="AP724" i="1"/>
  <c r="BF723" i="1"/>
  <c r="BE723" i="1"/>
  <c r="BC723" i="1"/>
  <c r="BB723" i="1"/>
  <c r="BA723" i="1"/>
  <c r="AZ723" i="1"/>
  <c r="AY723" i="1"/>
  <c r="AX723" i="1"/>
  <c r="AP723" i="1"/>
  <c r="BF722" i="1"/>
  <c r="BE722" i="1"/>
  <c r="BC722" i="1"/>
  <c r="BB722" i="1"/>
  <c r="BA722" i="1"/>
  <c r="AZ722" i="1"/>
  <c r="AY722" i="1"/>
  <c r="AX722" i="1"/>
  <c r="AP722" i="1"/>
  <c r="BF721" i="1"/>
  <c r="BE721" i="1"/>
  <c r="BD721" i="1"/>
  <c r="BC721" i="1"/>
  <c r="BB721" i="1"/>
  <c r="BA721" i="1"/>
  <c r="AZ721" i="1"/>
  <c r="AY721" i="1"/>
  <c r="AX721" i="1"/>
  <c r="AP721" i="1"/>
  <c r="BF720" i="1"/>
  <c r="BE720" i="1"/>
  <c r="BC720" i="1"/>
  <c r="BB720" i="1"/>
  <c r="BA720" i="1"/>
  <c r="AZ720" i="1"/>
  <c r="AY720" i="1"/>
  <c r="AX720" i="1"/>
  <c r="BD720" i="1" s="1"/>
  <c r="AP720" i="1"/>
  <c r="BF719" i="1"/>
  <c r="BE719" i="1"/>
  <c r="BC719" i="1"/>
  <c r="BB719" i="1"/>
  <c r="BA719" i="1"/>
  <c r="AZ719" i="1"/>
  <c r="AY719" i="1"/>
  <c r="BD719" i="1" s="1"/>
  <c r="AX719" i="1"/>
  <c r="AP719" i="1"/>
  <c r="BF718" i="1"/>
  <c r="BE718" i="1"/>
  <c r="BC718" i="1"/>
  <c r="BB718" i="1"/>
  <c r="BA718" i="1"/>
  <c r="AZ718" i="1"/>
  <c r="AY718" i="1"/>
  <c r="AX718" i="1"/>
  <c r="AP718" i="1"/>
  <c r="BF717" i="1"/>
  <c r="BE717" i="1"/>
  <c r="BC717" i="1"/>
  <c r="BB717" i="1"/>
  <c r="BA717" i="1"/>
  <c r="AZ717" i="1"/>
  <c r="AY717" i="1"/>
  <c r="BD717" i="1" s="1"/>
  <c r="AX717" i="1"/>
  <c r="AP717" i="1"/>
  <c r="BF716" i="1"/>
  <c r="BE716" i="1"/>
  <c r="BC716" i="1"/>
  <c r="BB716" i="1"/>
  <c r="BA716" i="1"/>
  <c r="AZ716" i="1"/>
  <c r="AY716" i="1"/>
  <c r="AX716" i="1"/>
  <c r="AP716" i="1"/>
  <c r="BF715" i="1"/>
  <c r="BE715" i="1"/>
  <c r="BC715" i="1"/>
  <c r="BB715" i="1"/>
  <c r="BA715" i="1"/>
  <c r="AZ715" i="1"/>
  <c r="AY715" i="1"/>
  <c r="AX715" i="1"/>
  <c r="AP715" i="1"/>
  <c r="BF714" i="1"/>
  <c r="BE714" i="1"/>
  <c r="BC714" i="1"/>
  <c r="BB714" i="1"/>
  <c r="BA714" i="1"/>
  <c r="AZ714" i="1"/>
  <c r="AY714" i="1"/>
  <c r="AX714" i="1"/>
  <c r="AP714" i="1"/>
  <c r="BF713" i="1"/>
  <c r="BE713" i="1"/>
  <c r="BC713" i="1"/>
  <c r="BB713" i="1"/>
  <c r="BA713" i="1"/>
  <c r="AZ713" i="1"/>
  <c r="AY713" i="1"/>
  <c r="BD713" i="1" s="1"/>
  <c r="AX713" i="1"/>
  <c r="AP713" i="1"/>
  <c r="BF712" i="1"/>
  <c r="BE712" i="1"/>
  <c r="BC712" i="1"/>
  <c r="BB712" i="1"/>
  <c r="BA712" i="1"/>
  <c r="AZ712" i="1"/>
  <c r="AY712" i="1"/>
  <c r="AX712" i="1"/>
  <c r="AP712" i="1"/>
  <c r="BF711" i="1"/>
  <c r="BE711" i="1"/>
  <c r="BC711" i="1"/>
  <c r="BB711" i="1"/>
  <c r="BA711" i="1"/>
  <c r="AZ711" i="1"/>
  <c r="AY711" i="1"/>
  <c r="AX711" i="1"/>
  <c r="AP711" i="1"/>
  <c r="BF710" i="1"/>
  <c r="BE710" i="1"/>
  <c r="BC710" i="1"/>
  <c r="BB710" i="1"/>
  <c r="BA710" i="1"/>
  <c r="AZ710" i="1"/>
  <c r="AY710" i="1"/>
  <c r="AX710" i="1"/>
  <c r="AP710" i="1"/>
  <c r="BF709" i="1"/>
  <c r="BE709" i="1"/>
  <c r="BD709" i="1"/>
  <c r="BC709" i="1"/>
  <c r="BB709" i="1"/>
  <c r="BA709" i="1"/>
  <c r="AZ709" i="1"/>
  <c r="AY709" i="1"/>
  <c r="AX709" i="1"/>
  <c r="AP709" i="1"/>
  <c r="BF708" i="1"/>
  <c r="BE708" i="1"/>
  <c r="BC708" i="1"/>
  <c r="BB708" i="1"/>
  <c r="BA708" i="1"/>
  <c r="AZ708" i="1"/>
  <c r="AY708" i="1"/>
  <c r="AX708" i="1"/>
  <c r="BD708" i="1" s="1"/>
  <c r="AP708" i="1"/>
  <c r="BF707" i="1"/>
  <c r="BE707" i="1"/>
  <c r="BC707" i="1"/>
  <c r="BB707" i="1"/>
  <c r="BA707" i="1"/>
  <c r="AZ707" i="1"/>
  <c r="AY707" i="1"/>
  <c r="BD707" i="1" s="1"/>
  <c r="AX707" i="1"/>
  <c r="AP707" i="1"/>
  <c r="BF706" i="1"/>
  <c r="BE706" i="1"/>
  <c r="BC706" i="1"/>
  <c r="BB706" i="1"/>
  <c r="BA706" i="1"/>
  <c r="AZ706" i="1"/>
  <c r="AY706" i="1"/>
  <c r="AX706" i="1"/>
  <c r="AP706" i="1"/>
  <c r="BF705" i="1"/>
  <c r="BE705" i="1"/>
  <c r="BC705" i="1"/>
  <c r="BB705" i="1"/>
  <c r="BA705" i="1"/>
  <c r="AZ705" i="1"/>
  <c r="AY705" i="1"/>
  <c r="BD705" i="1" s="1"/>
  <c r="AX705" i="1"/>
  <c r="AP705" i="1"/>
  <c r="BF704" i="1"/>
  <c r="BE704" i="1"/>
  <c r="BC704" i="1"/>
  <c r="BB704" i="1"/>
  <c r="BA704" i="1"/>
  <c r="AZ704" i="1"/>
  <c r="AY704" i="1"/>
  <c r="AX704" i="1"/>
  <c r="AP704" i="1"/>
  <c r="BF703" i="1"/>
  <c r="BE703" i="1"/>
  <c r="BC703" i="1"/>
  <c r="BD703" i="1" s="1"/>
  <c r="BB703" i="1"/>
  <c r="BA703" i="1"/>
  <c r="AZ703" i="1"/>
  <c r="AY703" i="1"/>
  <c r="AX703" i="1"/>
  <c r="AP703" i="1"/>
  <c r="BF702" i="1"/>
  <c r="BE702" i="1"/>
  <c r="BC702" i="1"/>
  <c r="BB702" i="1"/>
  <c r="BA702" i="1"/>
  <c r="AZ702" i="1"/>
  <c r="AY702" i="1"/>
  <c r="AX702" i="1"/>
  <c r="AP702" i="1"/>
  <c r="BF701" i="1"/>
  <c r="BE701" i="1"/>
  <c r="BC701" i="1"/>
  <c r="BB701" i="1"/>
  <c r="BA701" i="1"/>
  <c r="AZ701" i="1"/>
  <c r="AY701" i="1"/>
  <c r="AX701" i="1"/>
  <c r="AP701" i="1"/>
  <c r="BF700" i="1"/>
  <c r="BE700" i="1"/>
  <c r="BC700" i="1"/>
  <c r="BB700" i="1"/>
  <c r="BA700" i="1"/>
  <c r="AZ700" i="1"/>
  <c r="AY700" i="1"/>
  <c r="AX700" i="1"/>
  <c r="AP700" i="1"/>
  <c r="BF699" i="1"/>
  <c r="BE699" i="1"/>
  <c r="BD699" i="1"/>
  <c r="BC699" i="1"/>
  <c r="BB699" i="1"/>
  <c r="BA699" i="1"/>
  <c r="AZ699" i="1"/>
  <c r="AY699" i="1"/>
  <c r="AX699" i="1"/>
  <c r="AP699" i="1"/>
  <c r="BF698" i="1"/>
  <c r="BE698" i="1"/>
  <c r="BC698" i="1"/>
  <c r="BB698" i="1"/>
  <c r="BA698" i="1"/>
  <c r="AZ698" i="1"/>
  <c r="AY698" i="1"/>
  <c r="AX698" i="1"/>
  <c r="AP698" i="1"/>
  <c r="BF697" i="1"/>
  <c r="BE697" i="1"/>
  <c r="BC697" i="1"/>
  <c r="BB697" i="1"/>
  <c r="BA697" i="1"/>
  <c r="AZ697" i="1"/>
  <c r="AY697" i="1"/>
  <c r="BD697" i="1" s="1"/>
  <c r="AX697" i="1"/>
  <c r="AP697" i="1"/>
  <c r="BF696" i="1"/>
  <c r="BE696" i="1"/>
  <c r="BC696" i="1"/>
  <c r="BB696" i="1"/>
  <c r="BA696" i="1"/>
  <c r="AZ696" i="1"/>
  <c r="AY696" i="1"/>
  <c r="AX696" i="1"/>
  <c r="AP696" i="1"/>
  <c r="BF695" i="1"/>
  <c r="BE695" i="1"/>
  <c r="BC695" i="1"/>
  <c r="BB695" i="1"/>
  <c r="BA695" i="1"/>
  <c r="AZ695" i="1"/>
  <c r="AY695" i="1"/>
  <c r="AX695" i="1"/>
  <c r="AP695" i="1"/>
  <c r="BF694" i="1"/>
  <c r="BE694" i="1"/>
  <c r="BC694" i="1"/>
  <c r="BB694" i="1"/>
  <c r="BA694" i="1"/>
  <c r="AZ694" i="1"/>
  <c r="AY694" i="1"/>
  <c r="AX694" i="1"/>
  <c r="AP694" i="1"/>
  <c r="BF693" i="1"/>
  <c r="BE693" i="1"/>
  <c r="BD693" i="1"/>
  <c r="BC693" i="1"/>
  <c r="BB693" i="1"/>
  <c r="BA693" i="1"/>
  <c r="AZ693" i="1"/>
  <c r="AY693" i="1"/>
  <c r="AX693" i="1"/>
  <c r="AP693" i="1"/>
  <c r="BF692" i="1"/>
  <c r="BE692" i="1"/>
  <c r="BC692" i="1"/>
  <c r="BB692" i="1"/>
  <c r="BA692" i="1"/>
  <c r="AZ692" i="1"/>
  <c r="AY692" i="1"/>
  <c r="AX692" i="1"/>
  <c r="BD692" i="1" s="1"/>
  <c r="AP692" i="1"/>
  <c r="BF691" i="1"/>
  <c r="BE691" i="1"/>
  <c r="BC691" i="1"/>
  <c r="BB691" i="1"/>
  <c r="BA691" i="1"/>
  <c r="AZ691" i="1"/>
  <c r="AY691" i="1"/>
  <c r="AX691" i="1"/>
  <c r="AP691" i="1"/>
  <c r="BF690" i="1"/>
  <c r="BE690" i="1"/>
  <c r="BC690" i="1"/>
  <c r="BB690" i="1"/>
  <c r="BA690" i="1"/>
  <c r="AZ690" i="1"/>
  <c r="AY690" i="1"/>
  <c r="AX690" i="1"/>
  <c r="AP690" i="1"/>
  <c r="BF689" i="1"/>
  <c r="BE689" i="1"/>
  <c r="BC689" i="1"/>
  <c r="BB689" i="1"/>
  <c r="BA689" i="1"/>
  <c r="AZ689" i="1"/>
  <c r="AY689" i="1"/>
  <c r="BD689" i="1" s="1"/>
  <c r="AX689" i="1"/>
  <c r="AP689" i="1"/>
  <c r="BF688" i="1"/>
  <c r="BE688" i="1"/>
  <c r="BC688" i="1"/>
  <c r="BB688" i="1"/>
  <c r="BA688" i="1"/>
  <c r="AZ688" i="1"/>
  <c r="AY688" i="1"/>
  <c r="AX688" i="1"/>
  <c r="AP688" i="1"/>
  <c r="BF687" i="1"/>
  <c r="BE687" i="1"/>
  <c r="BC687" i="1"/>
  <c r="BD687" i="1" s="1"/>
  <c r="BB687" i="1"/>
  <c r="BA687" i="1"/>
  <c r="AZ687" i="1"/>
  <c r="AY687" i="1"/>
  <c r="AX687" i="1"/>
  <c r="AP687" i="1"/>
  <c r="BF686" i="1"/>
  <c r="BE686" i="1"/>
  <c r="BC686" i="1"/>
  <c r="BB686" i="1"/>
  <c r="BA686" i="1"/>
  <c r="AZ686" i="1"/>
  <c r="AY686" i="1"/>
  <c r="AX686" i="1"/>
  <c r="BD686" i="1" s="1"/>
  <c r="AP686" i="1"/>
  <c r="BF685" i="1"/>
  <c r="BE685" i="1"/>
  <c r="BC685" i="1"/>
  <c r="BB685" i="1"/>
  <c r="BA685" i="1"/>
  <c r="AZ685" i="1"/>
  <c r="AY685" i="1"/>
  <c r="AX685" i="1"/>
  <c r="BD685" i="1" s="1"/>
  <c r="AP685" i="1"/>
  <c r="BF684" i="1"/>
  <c r="BE684" i="1"/>
  <c r="BC684" i="1"/>
  <c r="BB684" i="1"/>
  <c r="BA684" i="1"/>
  <c r="AZ684" i="1"/>
  <c r="AY684" i="1"/>
  <c r="AX684" i="1"/>
  <c r="AP684" i="1"/>
  <c r="BF683" i="1"/>
  <c r="BE683" i="1"/>
  <c r="BC683" i="1"/>
  <c r="BB683" i="1"/>
  <c r="BD683" i="1" s="1"/>
  <c r="BA683" i="1"/>
  <c r="AZ683" i="1"/>
  <c r="AY683" i="1"/>
  <c r="AX683" i="1"/>
  <c r="AP683" i="1"/>
  <c r="BF682" i="1"/>
  <c r="BE682" i="1"/>
  <c r="BD682" i="1"/>
  <c r="BC682" i="1"/>
  <c r="BB682" i="1"/>
  <c r="BA682" i="1"/>
  <c r="AZ682" i="1"/>
  <c r="AY682" i="1"/>
  <c r="AX682" i="1"/>
  <c r="AP682" i="1"/>
  <c r="BF681" i="1"/>
  <c r="BE681" i="1"/>
  <c r="BC681" i="1"/>
  <c r="BB681" i="1"/>
  <c r="BA681" i="1"/>
  <c r="AZ681" i="1"/>
  <c r="AY681" i="1"/>
  <c r="AX681" i="1"/>
  <c r="AP681" i="1"/>
  <c r="BF680" i="1"/>
  <c r="BE680" i="1"/>
  <c r="BC680" i="1"/>
  <c r="BB680" i="1"/>
  <c r="BA680" i="1"/>
  <c r="AZ680" i="1"/>
  <c r="AY680" i="1"/>
  <c r="AX680" i="1"/>
  <c r="AP680" i="1"/>
  <c r="BF679" i="1"/>
  <c r="BE679" i="1"/>
  <c r="BD679" i="1"/>
  <c r="BC679" i="1"/>
  <c r="BB679" i="1"/>
  <c r="BA679" i="1"/>
  <c r="AZ679" i="1"/>
  <c r="AY679" i="1"/>
  <c r="AX679" i="1"/>
  <c r="AP679" i="1"/>
  <c r="BF678" i="1"/>
  <c r="BE678" i="1"/>
  <c r="BC678" i="1"/>
  <c r="BB678" i="1"/>
  <c r="BA678" i="1"/>
  <c r="AZ678" i="1"/>
  <c r="AY678" i="1"/>
  <c r="AX678" i="1"/>
  <c r="BD678" i="1" s="1"/>
  <c r="AP678" i="1"/>
  <c r="BF677" i="1"/>
  <c r="BE677" i="1"/>
  <c r="BC677" i="1"/>
  <c r="BB677" i="1"/>
  <c r="BA677" i="1"/>
  <c r="AZ677" i="1"/>
  <c r="AY677" i="1"/>
  <c r="AX677" i="1"/>
  <c r="AP677" i="1"/>
  <c r="BF676" i="1"/>
  <c r="BE676" i="1"/>
  <c r="BC676" i="1"/>
  <c r="BB676" i="1"/>
  <c r="BA676" i="1"/>
  <c r="AZ676" i="1"/>
  <c r="AY676" i="1"/>
  <c r="AX676" i="1"/>
  <c r="AP676" i="1"/>
  <c r="BF675" i="1"/>
  <c r="BE675" i="1"/>
  <c r="BC675" i="1"/>
  <c r="BB675" i="1"/>
  <c r="BA675" i="1"/>
  <c r="AZ675" i="1"/>
  <c r="AY675" i="1"/>
  <c r="AX675" i="1"/>
  <c r="AP675" i="1"/>
  <c r="BF674" i="1"/>
  <c r="BE674" i="1"/>
  <c r="BD674" i="1"/>
  <c r="BC674" i="1"/>
  <c r="BB674" i="1"/>
  <c r="BA674" i="1"/>
  <c r="AZ674" i="1"/>
  <c r="AY674" i="1"/>
  <c r="AX674" i="1"/>
  <c r="AP674" i="1"/>
  <c r="BF673" i="1"/>
  <c r="BE673" i="1"/>
  <c r="BC673" i="1"/>
  <c r="BB673" i="1"/>
  <c r="BA673" i="1"/>
  <c r="AZ673" i="1"/>
  <c r="AY673" i="1"/>
  <c r="AX673" i="1"/>
  <c r="BD673" i="1" s="1"/>
  <c r="AP673" i="1"/>
  <c r="BF672" i="1"/>
  <c r="BE672" i="1"/>
  <c r="BC672" i="1"/>
  <c r="BB672" i="1"/>
  <c r="BA672" i="1"/>
  <c r="AZ672" i="1"/>
  <c r="AY672" i="1"/>
  <c r="AX672" i="1"/>
  <c r="AP672" i="1"/>
  <c r="BF671" i="1"/>
  <c r="BE671" i="1"/>
  <c r="BC671" i="1"/>
  <c r="BB671" i="1"/>
  <c r="BA671" i="1"/>
  <c r="AZ671" i="1"/>
  <c r="AY671" i="1"/>
  <c r="AX671" i="1"/>
  <c r="AP671" i="1"/>
  <c r="BF670" i="1"/>
  <c r="BE670" i="1"/>
  <c r="BC670" i="1"/>
  <c r="BB670" i="1"/>
  <c r="BA670" i="1"/>
  <c r="BD670" i="1" s="1"/>
  <c r="AZ670" i="1"/>
  <c r="AY670" i="1"/>
  <c r="AX670" i="1"/>
  <c r="AP670" i="1"/>
  <c r="BF669" i="1"/>
  <c r="BE669" i="1"/>
  <c r="BC669" i="1"/>
  <c r="BB669" i="1"/>
  <c r="BA669" i="1"/>
  <c r="AZ669" i="1"/>
  <c r="AY669" i="1"/>
  <c r="AX669" i="1"/>
  <c r="AP669" i="1"/>
  <c r="BF668" i="1"/>
  <c r="BE668" i="1"/>
  <c r="BC668" i="1"/>
  <c r="BB668" i="1"/>
  <c r="BA668" i="1"/>
  <c r="AZ668" i="1"/>
  <c r="AY668" i="1"/>
  <c r="AX668" i="1"/>
  <c r="BD668" i="1" s="1"/>
  <c r="AP668" i="1"/>
  <c r="BF667" i="1"/>
  <c r="BE667" i="1"/>
  <c r="BC667" i="1"/>
  <c r="BB667" i="1"/>
  <c r="BA667" i="1"/>
  <c r="AZ667" i="1"/>
  <c r="AY667" i="1"/>
  <c r="BD667" i="1" s="1"/>
  <c r="AX667" i="1"/>
  <c r="AP667" i="1"/>
  <c r="BF666" i="1"/>
  <c r="BE666" i="1"/>
  <c r="BC666" i="1"/>
  <c r="BB666" i="1"/>
  <c r="BA666" i="1"/>
  <c r="AZ666" i="1"/>
  <c r="AY666" i="1"/>
  <c r="AX666" i="1"/>
  <c r="BD666" i="1" s="1"/>
  <c r="AP666" i="1"/>
  <c r="BF665" i="1"/>
  <c r="BE665" i="1"/>
  <c r="BC665" i="1"/>
  <c r="BB665" i="1"/>
  <c r="BD665" i="1" s="1"/>
  <c r="BA665" i="1"/>
  <c r="AZ665" i="1"/>
  <c r="AY665" i="1"/>
  <c r="AX665" i="1"/>
  <c r="AP665" i="1"/>
  <c r="BF664" i="1"/>
  <c r="BE664" i="1"/>
  <c r="BC664" i="1"/>
  <c r="BB664" i="1"/>
  <c r="BA664" i="1"/>
  <c r="AZ664" i="1"/>
  <c r="AY664" i="1"/>
  <c r="BD664" i="1" s="1"/>
  <c r="AX664" i="1"/>
  <c r="AP664" i="1"/>
  <c r="BF663" i="1"/>
  <c r="BE663" i="1"/>
  <c r="BC663" i="1"/>
  <c r="BB663" i="1"/>
  <c r="BA663" i="1"/>
  <c r="AZ663" i="1"/>
  <c r="AY663" i="1"/>
  <c r="AX663" i="1"/>
  <c r="AP663" i="1"/>
  <c r="BF662" i="1"/>
  <c r="BE662" i="1"/>
  <c r="BC662" i="1"/>
  <c r="BB662" i="1"/>
  <c r="BA662" i="1"/>
  <c r="AZ662" i="1"/>
  <c r="AY662" i="1"/>
  <c r="AX662" i="1"/>
  <c r="AP662" i="1"/>
  <c r="BF661" i="1"/>
  <c r="BE661" i="1"/>
  <c r="BD661" i="1"/>
  <c r="BC661" i="1"/>
  <c r="BB661" i="1"/>
  <c r="BA661" i="1"/>
  <c r="AZ661" i="1"/>
  <c r="AY661" i="1"/>
  <c r="AX661" i="1"/>
  <c r="AP661" i="1"/>
  <c r="BF660" i="1"/>
  <c r="BE660" i="1"/>
  <c r="BC660" i="1"/>
  <c r="BB660" i="1"/>
  <c r="BA660" i="1"/>
  <c r="AZ660" i="1"/>
  <c r="AY660" i="1"/>
  <c r="AX660" i="1"/>
  <c r="BD660" i="1" s="1"/>
  <c r="AP660" i="1"/>
  <c r="BF659" i="1"/>
  <c r="BE659" i="1"/>
  <c r="BC659" i="1"/>
  <c r="BB659" i="1"/>
  <c r="BA659" i="1"/>
  <c r="AZ659" i="1"/>
  <c r="AY659" i="1"/>
  <c r="AX659" i="1"/>
  <c r="AP659" i="1"/>
  <c r="BF658" i="1"/>
  <c r="BE658" i="1"/>
  <c r="BC658" i="1"/>
  <c r="BB658" i="1"/>
  <c r="BA658" i="1"/>
  <c r="AZ658" i="1"/>
  <c r="AY658" i="1"/>
  <c r="AX658" i="1"/>
  <c r="AP658" i="1"/>
  <c r="BF657" i="1"/>
  <c r="BE657" i="1"/>
  <c r="BD657" i="1"/>
  <c r="BC657" i="1"/>
  <c r="BB657" i="1"/>
  <c r="BA657" i="1"/>
  <c r="AZ657" i="1"/>
  <c r="AY657" i="1"/>
  <c r="AX657" i="1"/>
  <c r="AP657" i="1"/>
  <c r="BF656" i="1"/>
  <c r="BE656" i="1"/>
  <c r="BC656" i="1"/>
  <c r="BB656" i="1"/>
  <c r="BA656" i="1"/>
  <c r="AZ656" i="1"/>
  <c r="AY656" i="1"/>
  <c r="AX656" i="1"/>
  <c r="BD656" i="1" s="1"/>
  <c r="AP656" i="1"/>
  <c r="BF655" i="1"/>
  <c r="BE655" i="1"/>
  <c r="BC655" i="1"/>
  <c r="BB655" i="1"/>
  <c r="BA655" i="1"/>
  <c r="AZ655" i="1"/>
  <c r="AY655" i="1"/>
  <c r="AX655" i="1"/>
  <c r="AP655" i="1"/>
  <c r="BF654" i="1"/>
  <c r="BE654" i="1"/>
  <c r="BC654" i="1"/>
  <c r="BB654" i="1"/>
  <c r="BA654" i="1"/>
  <c r="AZ654" i="1"/>
  <c r="AY654" i="1"/>
  <c r="AX654" i="1"/>
  <c r="AP654" i="1"/>
  <c r="BF653" i="1"/>
  <c r="BE653" i="1"/>
  <c r="BC653" i="1"/>
  <c r="BB653" i="1"/>
  <c r="BD653" i="1" s="1"/>
  <c r="BA653" i="1"/>
  <c r="AZ653" i="1"/>
  <c r="AY653" i="1"/>
  <c r="AX653" i="1"/>
  <c r="AP653" i="1"/>
  <c r="BF652" i="1"/>
  <c r="BE652" i="1"/>
  <c r="BD652" i="1"/>
  <c r="BC652" i="1"/>
  <c r="BB652" i="1"/>
  <c r="BA652" i="1"/>
  <c r="AZ652" i="1"/>
  <c r="AY652" i="1"/>
  <c r="AX652" i="1"/>
  <c r="AP652" i="1"/>
  <c r="BF651" i="1"/>
  <c r="BE651" i="1"/>
  <c r="BC651" i="1"/>
  <c r="BB651" i="1"/>
  <c r="BA651" i="1"/>
  <c r="AZ651" i="1"/>
  <c r="AY651" i="1"/>
  <c r="AX651" i="1"/>
  <c r="BD651" i="1" s="1"/>
  <c r="AP651" i="1"/>
  <c r="BF650" i="1"/>
  <c r="BE650" i="1"/>
  <c r="BC650" i="1"/>
  <c r="BB650" i="1"/>
  <c r="BA650" i="1"/>
  <c r="AZ650" i="1"/>
  <c r="AY650" i="1"/>
  <c r="AX650" i="1"/>
  <c r="BD650" i="1" s="1"/>
  <c r="AP650" i="1"/>
  <c r="BF649" i="1"/>
  <c r="BE649" i="1"/>
  <c r="BC649" i="1"/>
  <c r="BB649" i="1"/>
  <c r="BD649" i="1" s="1"/>
  <c r="BA649" i="1"/>
  <c r="AZ649" i="1"/>
  <c r="AY649" i="1"/>
  <c r="AX649" i="1"/>
  <c r="AP649" i="1"/>
  <c r="BF648" i="1"/>
  <c r="BE648" i="1"/>
  <c r="BD648" i="1"/>
  <c r="BC648" i="1"/>
  <c r="BB648" i="1"/>
  <c r="BA648" i="1"/>
  <c r="AZ648" i="1"/>
  <c r="AY648" i="1"/>
  <c r="AX648" i="1"/>
  <c r="AP648" i="1"/>
  <c r="BF647" i="1"/>
  <c r="BE647" i="1"/>
  <c r="BC647" i="1"/>
  <c r="BB647" i="1"/>
  <c r="BA647" i="1"/>
  <c r="AZ647" i="1"/>
  <c r="AY647" i="1"/>
  <c r="AX647" i="1"/>
  <c r="AP647" i="1"/>
  <c r="BF646" i="1"/>
  <c r="BE646" i="1"/>
  <c r="BC646" i="1"/>
  <c r="BB646" i="1"/>
  <c r="BA646" i="1"/>
  <c r="AZ646" i="1"/>
  <c r="AY646" i="1"/>
  <c r="AX646" i="1"/>
  <c r="BD646" i="1" s="1"/>
  <c r="AP646" i="1"/>
  <c r="BF645" i="1"/>
  <c r="BE645" i="1"/>
  <c r="BD645" i="1"/>
  <c r="BC645" i="1"/>
  <c r="BB645" i="1"/>
  <c r="BA645" i="1"/>
  <c r="AZ645" i="1"/>
  <c r="AY645" i="1"/>
  <c r="AX645" i="1"/>
  <c r="AP645" i="1"/>
  <c r="BF644" i="1"/>
  <c r="BE644" i="1"/>
  <c r="BC644" i="1"/>
  <c r="BB644" i="1"/>
  <c r="BA644" i="1"/>
  <c r="AZ644" i="1"/>
  <c r="AY644" i="1"/>
  <c r="AX644" i="1"/>
  <c r="BD644" i="1" s="1"/>
  <c r="AP644" i="1"/>
  <c r="BF643" i="1"/>
  <c r="BE643" i="1"/>
  <c r="BC643" i="1"/>
  <c r="BB643" i="1"/>
  <c r="BA643" i="1"/>
  <c r="AZ643" i="1"/>
  <c r="AY643" i="1"/>
  <c r="AX643" i="1"/>
  <c r="AP643" i="1"/>
  <c r="BF642" i="1"/>
  <c r="BE642" i="1"/>
  <c r="BC642" i="1"/>
  <c r="BB642" i="1"/>
  <c r="BA642" i="1"/>
  <c r="AZ642" i="1"/>
  <c r="AY642" i="1"/>
  <c r="AX642" i="1"/>
  <c r="AP642" i="1"/>
  <c r="BF641" i="1"/>
  <c r="BE641" i="1"/>
  <c r="BD641" i="1"/>
  <c r="BC641" i="1"/>
  <c r="BB641" i="1"/>
  <c r="BA641" i="1"/>
  <c r="AZ641" i="1"/>
  <c r="AY641" i="1"/>
  <c r="AX641" i="1"/>
  <c r="AP641" i="1"/>
  <c r="BF640" i="1"/>
  <c r="BE640" i="1"/>
  <c r="BC640" i="1"/>
  <c r="BB640" i="1"/>
  <c r="BA640" i="1"/>
  <c r="AZ640" i="1"/>
  <c r="AY640" i="1"/>
  <c r="AX640" i="1"/>
  <c r="BD640" i="1" s="1"/>
  <c r="AP640" i="1"/>
  <c r="BF639" i="1"/>
  <c r="BE639" i="1"/>
  <c r="BC639" i="1"/>
  <c r="BB639" i="1"/>
  <c r="BA639" i="1"/>
  <c r="AZ639" i="1"/>
  <c r="AY639" i="1"/>
  <c r="AX639" i="1"/>
  <c r="AP639" i="1"/>
  <c r="BF638" i="1"/>
  <c r="BE638" i="1"/>
  <c r="BC638" i="1"/>
  <c r="BB638" i="1"/>
  <c r="BA638" i="1"/>
  <c r="AZ638" i="1"/>
  <c r="AY638" i="1"/>
  <c r="AX638" i="1"/>
  <c r="AP638" i="1"/>
  <c r="BF637" i="1"/>
  <c r="BE637" i="1"/>
  <c r="BC637" i="1"/>
  <c r="BB637" i="1"/>
  <c r="BD637" i="1" s="1"/>
  <c r="BA637" i="1"/>
  <c r="AZ637" i="1"/>
  <c r="AY637" i="1"/>
  <c r="AX637" i="1"/>
  <c r="AP637" i="1"/>
  <c r="BF636" i="1"/>
  <c r="BE636" i="1"/>
  <c r="BD636" i="1"/>
  <c r="BC636" i="1"/>
  <c r="BB636" i="1"/>
  <c r="BA636" i="1"/>
  <c r="AZ636" i="1"/>
  <c r="AY636" i="1"/>
  <c r="AX636" i="1"/>
  <c r="AP636" i="1"/>
  <c r="BF635" i="1"/>
  <c r="BE635" i="1"/>
  <c r="BC635" i="1"/>
  <c r="BB635" i="1"/>
  <c r="BA635" i="1"/>
  <c r="AZ635" i="1"/>
  <c r="AY635" i="1"/>
  <c r="AX635" i="1"/>
  <c r="BD635" i="1" s="1"/>
  <c r="AP635" i="1"/>
  <c r="BF634" i="1"/>
  <c r="BE634" i="1"/>
  <c r="BC634" i="1"/>
  <c r="BB634" i="1"/>
  <c r="BA634" i="1"/>
  <c r="AZ634" i="1"/>
  <c r="AY634" i="1"/>
  <c r="AX634" i="1"/>
  <c r="BD634" i="1" s="1"/>
  <c r="AP634" i="1"/>
  <c r="BF633" i="1"/>
  <c r="BE633" i="1"/>
  <c r="BC633" i="1"/>
  <c r="BB633" i="1"/>
  <c r="BD633" i="1" s="1"/>
  <c r="BA633" i="1"/>
  <c r="AZ633" i="1"/>
  <c r="AY633" i="1"/>
  <c r="AX633" i="1"/>
  <c r="BF632" i="1"/>
  <c r="BE632" i="1"/>
  <c r="BC632" i="1"/>
  <c r="BB632" i="1"/>
  <c r="BA632" i="1"/>
  <c r="AZ632" i="1"/>
  <c r="AY632" i="1"/>
  <c r="AX632" i="1"/>
  <c r="BD632" i="1" s="1"/>
  <c r="AP632" i="1"/>
  <c r="BF631" i="1"/>
  <c r="BE631" i="1"/>
  <c r="BC631" i="1"/>
  <c r="BB631" i="1"/>
  <c r="BA631" i="1"/>
  <c r="AZ631" i="1"/>
  <c r="AY631" i="1"/>
  <c r="AX631" i="1"/>
  <c r="AP631" i="1"/>
  <c r="BF630" i="1"/>
  <c r="BE630" i="1"/>
  <c r="BC630" i="1"/>
  <c r="BB630" i="1"/>
  <c r="BA630" i="1"/>
  <c r="AZ630" i="1"/>
  <c r="AY630" i="1"/>
  <c r="AX630" i="1"/>
  <c r="AP630" i="1"/>
  <c r="BF629" i="1"/>
  <c r="BE629" i="1"/>
  <c r="BD629" i="1"/>
  <c r="BC629" i="1"/>
  <c r="BB629" i="1"/>
  <c r="BA629" i="1"/>
  <c r="AZ629" i="1"/>
  <c r="AY629" i="1"/>
  <c r="AX629" i="1"/>
  <c r="AP629" i="1"/>
  <c r="BF628" i="1"/>
  <c r="BE628" i="1"/>
  <c r="BC628" i="1"/>
  <c r="BB628" i="1"/>
  <c r="BA628" i="1"/>
  <c r="AZ628" i="1"/>
  <c r="AY628" i="1"/>
  <c r="AX628" i="1"/>
  <c r="BD628" i="1" s="1"/>
  <c r="AP628" i="1"/>
  <c r="BF627" i="1"/>
  <c r="BE627" i="1"/>
  <c r="BC627" i="1"/>
  <c r="BB627" i="1"/>
  <c r="BA627" i="1"/>
  <c r="AZ627" i="1"/>
  <c r="AY627" i="1"/>
  <c r="AX627" i="1"/>
  <c r="AP627" i="1"/>
  <c r="BF626" i="1"/>
  <c r="BE626" i="1"/>
  <c r="BC626" i="1"/>
  <c r="BB626" i="1"/>
  <c r="BA626" i="1"/>
  <c r="AZ626" i="1"/>
  <c r="AY626" i="1"/>
  <c r="AX626" i="1"/>
  <c r="AP626" i="1"/>
  <c r="BF625" i="1"/>
  <c r="BE625" i="1"/>
  <c r="BC625" i="1"/>
  <c r="BB625" i="1"/>
  <c r="BA625" i="1"/>
  <c r="BD625" i="1" s="1"/>
  <c r="AZ625" i="1"/>
  <c r="AY625" i="1"/>
  <c r="AX625" i="1"/>
  <c r="AP625" i="1"/>
  <c r="BF624" i="1"/>
  <c r="BE624" i="1"/>
  <c r="BC624" i="1"/>
  <c r="BB624" i="1"/>
  <c r="BA624" i="1"/>
  <c r="AZ624" i="1"/>
  <c r="AY624" i="1"/>
  <c r="AX624" i="1"/>
  <c r="AP624" i="1"/>
  <c r="BF623" i="1"/>
  <c r="BE623" i="1"/>
  <c r="BC623" i="1"/>
  <c r="BB623" i="1"/>
  <c r="BA623" i="1"/>
  <c r="AZ623" i="1"/>
  <c r="AY623" i="1"/>
  <c r="AX623" i="1"/>
  <c r="AP623" i="1"/>
  <c r="BF622" i="1"/>
  <c r="BE622" i="1"/>
  <c r="BC622" i="1"/>
  <c r="BB622" i="1"/>
  <c r="BA622" i="1"/>
  <c r="AZ622" i="1"/>
  <c r="AY622" i="1"/>
  <c r="AX622" i="1"/>
  <c r="BD622" i="1" s="1"/>
  <c r="AP622" i="1"/>
  <c r="BF621" i="1"/>
  <c r="BE621" i="1"/>
  <c r="BD621" i="1"/>
  <c r="BC621" i="1"/>
  <c r="BB621" i="1"/>
  <c r="BA621" i="1"/>
  <c r="AZ621" i="1"/>
  <c r="AY621" i="1"/>
  <c r="AX621" i="1"/>
  <c r="AP621" i="1"/>
  <c r="BF620" i="1"/>
  <c r="BE620" i="1"/>
  <c r="BC620" i="1"/>
  <c r="BB620" i="1"/>
  <c r="BA620" i="1"/>
  <c r="AZ620" i="1"/>
  <c r="AY620" i="1"/>
  <c r="AX620" i="1"/>
  <c r="BD620" i="1" s="1"/>
  <c r="AP620" i="1"/>
  <c r="BF619" i="1"/>
  <c r="BE619" i="1"/>
  <c r="BC619" i="1"/>
  <c r="BB619" i="1"/>
  <c r="BA619" i="1"/>
  <c r="AZ619" i="1"/>
  <c r="AY619" i="1"/>
  <c r="AX619" i="1"/>
  <c r="AP619" i="1"/>
  <c r="BF618" i="1"/>
  <c r="BE618" i="1"/>
  <c r="BC618" i="1"/>
  <c r="BB618" i="1"/>
  <c r="BA618" i="1"/>
  <c r="AZ618" i="1"/>
  <c r="AY618" i="1"/>
  <c r="AX618" i="1"/>
  <c r="AP618" i="1"/>
  <c r="BF617" i="1"/>
  <c r="BE617" i="1"/>
  <c r="BD617" i="1"/>
  <c r="BC617" i="1"/>
  <c r="BB617" i="1"/>
  <c r="BA617" i="1"/>
  <c r="AZ617" i="1"/>
  <c r="AY617" i="1"/>
  <c r="AX617" i="1"/>
  <c r="AP617" i="1"/>
  <c r="BF616" i="1"/>
  <c r="BE616" i="1"/>
  <c r="BC616" i="1"/>
  <c r="BB616" i="1"/>
  <c r="BA616" i="1"/>
  <c r="AZ616" i="1"/>
  <c r="AY616" i="1"/>
  <c r="AX616" i="1"/>
  <c r="BD616" i="1" s="1"/>
  <c r="AP616" i="1"/>
  <c r="BF615" i="1"/>
  <c r="BE615" i="1"/>
  <c r="BC615" i="1"/>
  <c r="BB615" i="1"/>
  <c r="BA615" i="1"/>
  <c r="AZ615" i="1"/>
  <c r="AY615" i="1"/>
  <c r="AX615" i="1"/>
  <c r="BD615" i="1" s="1"/>
  <c r="AP615" i="1"/>
  <c r="BF614" i="1"/>
  <c r="BE614" i="1"/>
  <c r="BC614" i="1"/>
  <c r="BB614" i="1"/>
  <c r="BA614" i="1"/>
  <c r="AZ614" i="1"/>
  <c r="AY614" i="1"/>
  <c r="AX614" i="1"/>
  <c r="AP614" i="1"/>
  <c r="BF613" i="1"/>
  <c r="BE613" i="1"/>
  <c r="BC613" i="1"/>
  <c r="BB613" i="1"/>
  <c r="BA613" i="1"/>
  <c r="BD613" i="1" s="1"/>
  <c r="AZ613" i="1"/>
  <c r="AY613" i="1"/>
  <c r="AX613" i="1"/>
  <c r="AP613" i="1"/>
  <c r="BF612" i="1"/>
  <c r="BE612" i="1"/>
  <c r="BC612" i="1"/>
  <c r="BB612" i="1"/>
  <c r="BA612" i="1"/>
  <c r="AZ612" i="1"/>
  <c r="AY612" i="1"/>
  <c r="AX612" i="1"/>
  <c r="AP612" i="1"/>
  <c r="BF611" i="1"/>
  <c r="BE611" i="1"/>
  <c r="BC611" i="1"/>
  <c r="BB611" i="1"/>
  <c r="BA611" i="1"/>
  <c r="AZ611" i="1"/>
  <c r="AY611" i="1"/>
  <c r="AX611" i="1"/>
  <c r="AP611" i="1"/>
  <c r="BF610" i="1"/>
  <c r="BE610" i="1"/>
  <c r="BC610" i="1"/>
  <c r="BB610" i="1"/>
  <c r="BA610" i="1"/>
  <c r="AZ610" i="1"/>
  <c r="AY610" i="1"/>
  <c r="AX610" i="1"/>
  <c r="AP610" i="1"/>
  <c r="BF609" i="1"/>
  <c r="BE609" i="1"/>
  <c r="BD609" i="1"/>
  <c r="BC609" i="1"/>
  <c r="BB609" i="1"/>
  <c r="BA609" i="1"/>
  <c r="AZ609" i="1"/>
  <c r="AY609" i="1"/>
  <c r="AX609" i="1"/>
  <c r="AP609" i="1"/>
  <c r="BF608" i="1"/>
  <c r="BE608" i="1"/>
  <c r="BC608" i="1"/>
  <c r="BB608" i="1"/>
  <c r="BA608" i="1"/>
  <c r="AZ608" i="1"/>
  <c r="AY608" i="1"/>
  <c r="AX608" i="1"/>
  <c r="BD608" i="1" s="1"/>
  <c r="AP608" i="1"/>
  <c r="BF607" i="1"/>
  <c r="BE607" i="1"/>
  <c r="BC607" i="1"/>
  <c r="BB607" i="1"/>
  <c r="BA607" i="1"/>
  <c r="AZ607" i="1"/>
  <c r="AY607" i="1"/>
  <c r="AX607" i="1"/>
  <c r="AP607" i="1"/>
  <c r="BF606" i="1"/>
  <c r="BE606" i="1"/>
  <c r="BC606" i="1"/>
  <c r="BB606" i="1"/>
  <c r="BA606" i="1"/>
  <c r="AZ606" i="1"/>
  <c r="AY606" i="1"/>
  <c r="AX606" i="1"/>
  <c r="AP606" i="1"/>
  <c r="BF605" i="1"/>
  <c r="BE605" i="1"/>
  <c r="BC605" i="1"/>
  <c r="BD605" i="1" s="1"/>
  <c r="BB605" i="1"/>
  <c r="BA605" i="1"/>
  <c r="AZ605" i="1"/>
  <c r="AY605" i="1"/>
  <c r="AX605" i="1"/>
  <c r="AP605" i="1"/>
  <c r="BF604" i="1"/>
  <c r="BE604" i="1"/>
  <c r="BC604" i="1"/>
  <c r="BB604" i="1"/>
  <c r="BA604" i="1"/>
  <c r="AZ604" i="1"/>
  <c r="AY604" i="1"/>
  <c r="AX604" i="1"/>
  <c r="AP604" i="1"/>
  <c r="BF603" i="1"/>
  <c r="BE603" i="1"/>
  <c r="BC603" i="1"/>
  <c r="BB603" i="1"/>
  <c r="BA603" i="1"/>
  <c r="AZ603" i="1"/>
  <c r="AY603" i="1"/>
  <c r="AX603" i="1"/>
  <c r="BD603" i="1" s="1"/>
  <c r="AP603" i="1"/>
  <c r="BF602" i="1"/>
  <c r="BE602" i="1"/>
  <c r="BC602" i="1"/>
  <c r="BB602" i="1"/>
  <c r="BA602" i="1"/>
  <c r="AZ602" i="1"/>
  <c r="AY602" i="1"/>
  <c r="AX602" i="1"/>
  <c r="BD602" i="1" s="1"/>
  <c r="AP602" i="1"/>
  <c r="BF601" i="1"/>
  <c r="BE601" i="1"/>
  <c r="BC601" i="1"/>
  <c r="BB601" i="1"/>
  <c r="BA601" i="1"/>
  <c r="BD601" i="1" s="1"/>
  <c r="AZ601" i="1"/>
  <c r="AY601" i="1"/>
  <c r="AX601" i="1"/>
  <c r="AP601" i="1"/>
  <c r="BF600" i="1"/>
  <c r="BE600" i="1"/>
  <c r="BC600" i="1"/>
  <c r="BB600" i="1"/>
  <c r="BA600" i="1"/>
  <c r="AZ600" i="1"/>
  <c r="AY600" i="1"/>
  <c r="AX600" i="1"/>
  <c r="BD600" i="1" s="1"/>
  <c r="AP600" i="1"/>
  <c r="BF599" i="1"/>
  <c r="BE599" i="1"/>
  <c r="BC599" i="1"/>
  <c r="BB599" i="1"/>
  <c r="BA599" i="1"/>
  <c r="AZ599" i="1"/>
  <c r="AY599" i="1"/>
  <c r="AX599" i="1"/>
  <c r="AP599" i="1"/>
  <c r="BF598" i="1"/>
  <c r="BE598" i="1"/>
  <c r="BC598" i="1"/>
  <c r="BB598" i="1"/>
  <c r="BA598" i="1"/>
  <c r="AZ598" i="1"/>
  <c r="AY598" i="1"/>
  <c r="AX598" i="1"/>
  <c r="AP598" i="1"/>
  <c r="BF597" i="1"/>
  <c r="BE597" i="1"/>
  <c r="BD597" i="1"/>
  <c r="BC597" i="1"/>
  <c r="BB597" i="1"/>
  <c r="BA597" i="1"/>
  <c r="AZ597" i="1"/>
  <c r="AY597" i="1"/>
  <c r="AX597" i="1"/>
  <c r="AP597" i="1"/>
  <c r="BF596" i="1"/>
  <c r="BE596" i="1"/>
  <c r="BC596" i="1"/>
  <c r="BB596" i="1"/>
  <c r="BA596" i="1"/>
  <c r="AZ596" i="1"/>
  <c r="AY596" i="1"/>
  <c r="AX596" i="1"/>
  <c r="BD596" i="1" s="1"/>
  <c r="AP596" i="1"/>
  <c r="BF595" i="1"/>
  <c r="BE595" i="1"/>
  <c r="BC595" i="1"/>
  <c r="BB595" i="1"/>
  <c r="BA595" i="1"/>
  <c r="AZ595" i="1"/>
  <c r="AY595" i="1"/>
  <c r="AX595" i="1"/>
  <c r="AP595" i="1"/>
  <c r="BF594" i="1"/>
  <c r="BE594" i="1"/>
  <c r="BC594" i="1"/>
  <c r="BB594" i="1"/>
  <c r="BA594" i="1"/>
  <c r="AZ594" i="1"/>
  <c r="AY594" i="1"/>
  <c r="AX594" i="1"/>
  <c r="AP594" i="1"/>
  <c r="BF593" i="1"/>
  <c r="BE593" i="1"/>
  <c r="BC593" i="1"/>
  <c r="BB593" i="1"/>
  <c r="BA593" i="1"/>
  <c r="BD593" i="1" s="1"/>
  <c r="AZ593" i="1"/>
  <c r="AY593" i="1"/>
  <c r="AX593" i="1"/>
  <c r="AP593" i="1"/>
  <c r="BF592" i="1"/>
  <c r="BE592" i="1"/>
  <c r="BC592" i="1"/>
  <c r="BB592" i="1"/>
  <c r="BA592" i="1"/>
  <c r="AZ592" i="1"/>
  <c r="AY592" i="1"/>
  <c r="AX592" i="1"/>
  <c r="AP592" i="1"/>
  <c r="BF591" i="1"/>
  <c r="BE591" i="1"/>
  <c r="BC591" i="1"/>
  <c r="BB591" i="1"/>
  <c r="BA591" i="1"/>
  <c r="AZ591" i="1"/>
  <c r="AY591" i="1"/>
  <c r="AX591" i="1"/>
  <c r="AP591" i="1"/>
  <c r="BF590" i="1"/>
  <c r="BE590" i="1"/>
  <c r="BC590" i="1"/>
  <c r="BB590" i="1"/>
  <c r="BA590" i="1"/>
  <c r="AZ590" i="1"/>
  <c r="AY590" i="1"/>
  <c r="AX590" i="1"/>
  <c r="BD590" i="1" s="1"/>
  <c r="AP590" i="1"/>
  <c r="BF589" i="1"/>
  <c r="BE589" i="1"/>
  <c r="BD589" i="1"/>
  <c r="BC589" i="1"/>
  <c r="BB589" i="1"/>
  <c r="BA589" i="1"/>
  <c r="AZ589" i="1"/>
  <c r="AY589" i="1"/>
  <c r="AX589" i="1"/>
  <c r="AP589" i="1"/>
  <c r="BF588" i="1"/>
  <c r="BE588" i="1"/>
  <c r="BC588" i="1"/>
  <c r="BB588" i="1"/>
  <c r="BA588" i="1"/>
  <c r="AZ588" i="1"/>
  <c r="AY588" i="1"/>
  <c r="AX588" i="1"/>
  <c r="BD588" i="1" s="1"/>
  <c r="AP588" i="1"/>
  <c r="BF587" i="1"/>
  <c r="BE587" i="1"/>
  <c r="BC587" i="1"/>
  <c r="BB587" i="1"/>
  <c r="BA587" i="1"/>
  <c r="AZ587" i="1"/>
  <c r="AY587" i="1"/>
  <c r="AX587" i="1"/>
  <c r="AP587" i="1"/>
  <c r="BF586" i="1"/>
  <c r="BE586" i="1"/>
  <c r="BC586" i="1"/>
  <c r="BB586" i="1"/>
  <c r="BA586" i="1"/>
  <c r="AZ586" i="1"/>
  <c r="AY586" i="1"/>
  <c r="AX586" i="1"/>
  <c r="AP586" i="1"/>
  <c r="BF585" i="1"/>
  <c r="BE585" i="1"/>
  <c r="BD585" i="1"/>
  <c r="BC585" i="1"/>
  <c r="BB585" i="1"/>
  <c r="BA585" i="1"/>
  <c r="AZ585" i="1"/>
  <c r="AY585" i="1"/>
  <c r="AX585" i="1"/>
  <c r="AP585" i="1"/>
  <c r="BF584" i="1"/>
  <c r="BE584" i="1"/>
  <c r="BC584" i="1"/>
  <c r="BB584" i="1"/>
  <c r="BA584" i="1"/>
  <c r="AZ584" i="1"/>
  <c r="AY584" i="1"/>
  <c r="AX584" i="1"/>
  <c r="BD584" i="1" s="1"/>
  <c r="AP584" i="1"/>
  <c r="BF583" i="1"/>
  <c r="BE583" i="1"/>
  <c r="BC583" i="1"/>
  <c r="BB583" i="1"/>
  <c r="BA583" i="1"/>
  <c r="AZ583" i="1"/>
  <c r="AY583" i="1"/>
  <c r="AX583" i="1"/>
  <c r="BD583" i="1" s="1"/>
  <c r="AP583" i="1"/>
  <c r="BF582" i="1"/>
  <c r="BE582" i="1"/>
  <c r="BC582" i="1"/>
  <c r="BB582" i="1"/>
  <c r="BA582" i="1"/>
  <c r="AZ582" i="1"/>
  <c r="AY582" i="1"/>
  <c r="AX582" i="1"/>
  <c r="AP582" i="1"/>
  <c r="BF581" i="1"/>
  <c r="BE581" i="1"/>
  <c r="BC581" i="1"/>
  <c r="BB581" i="1"/>
  <c r="BA581" i="1"/>
  <c r="BD581" i="1" s="1"/>
  <c r="AZ581" i="1"/>
  <c r="AY581" i="1"/>
  <c r="AX581" i="1"/>
  <c r="AP581" i="1"/>
  <c r="BF580" i="1"/>
  <c r="BE580" i="1"/>
  <c r="BC580" i="1"/>
  <c r="BB580" i="1"/>
  <c r="BA580" i="1"/>
  <c r="AZ580" i="1"/>
  <c r="AY580" i="1"/>
  <c r="AX580" i="1"/>
  <c r="AP580" i="1"/>
  <c r="BF579" i="1"/>
  <c r="BE579" i="1"/>
  <c r="BC579" i="1"/>
  <c r="BB579" i="1"/>
  <c r="BA579" i="1"/>
  <c r="AZ579" i="1"/>
  <c r="AY579" i="1"/>
  <c r="AX579" i="1"/>
  <c r="AP579" i="1"/>
  <c r="BF578" i="1"/>
  <c r="BE578" i="1"/>
  <c r="BC578" i="1"/>
  <c r="BB578" i="1"/>
  <c r="BA578" i="1"/>
  <c r="AZ578" i="1"/>
  <c r="AY578" i="1"/>
  <c r="AX578" i="1"/>
  <c r="AP578" i="1"/>
  <c r="BF577" i="1"/>
  <c r="BE577" i="1"/>
  <c r="BC577" i="1"/>
  <c r="BD577" i="1" s="1"/>
  <c r="BB577" i="1"/>
  <c r="BA577" i="1"/>
  <c r="AZ577" i="1"/>
  <c r="AY577" i="1"/>
  <c r="AX577" i="1"/>
  <c r="AP577" i="1"/>
  <c r="BF576" i="1"/>
  <c r="BE576" i="1"/>
  <c r="BC576" i="1"/>
  <c r="BB576" i="1"/>
  <c r="BA576" i="1"/>
  <c r="AZ576" i="1"/>
  <c r="AY576" i="1"/>
  <c r="AX576" i="1"/>
  <c r="BD576" i="1" s="1"/>
  <c r="AP576" i="1"/>
  <c r="BF575" i="1"/>
  <c r="BE575" i="1"/>
  <c r="BC575" i="1"/>
  <c r="BB575" i="1"/>
  <c r="BA575" i="1"/>
  <c r="AZ575" i="1"/>
  <c r="AY575" i="1"/>
  <c r="AX575" i="1"/>
  <c r="AP575" i="1"/>
  <c r="BF574" i="1"/>
  <c r="BE574" i="1"/>
  <c r="BC574" i="1"/>
  <c r="BB574" i="1"/>
  <c r="BA574" i="1"/>
  <c r="AZ574" i="1"/>
  <c r="AY574" i="1"/>
  <c r="AX574" i="1"/>
  <c r="AP574" i="1"/>
  <c r="BF573" i="1"/>
  <c r="BE573" i="1"/>
  <c r="BC573" i="1"/>
  <c r="BD573" i="1" s="1"/>
  <c r="BB573" i="1"/>
  <c r="BA573" i="1"/>
  <c r="AZ573" i="1"/>
  <c r="AY573" i="1"/>
  <c r="AX573" i="1"/>
  <c r="AP573" i="1"/>
  <c r="BF572" i="1"/>
  <c r="BE572" i="1"/>
  <c r="BC572" i="1"/>
  <c r="BB572" i="1"/>
  <c r="BA572" i="1"/>
  <c r="AZ572" i="1"/>
  <c r="AY572" i="1"/>
  <c r="AX572" i="1"/>
  <c r="AP572" i="1"/>
  <c r="BF571" i="1"/>
  <c r="BE571" i="1"/>
  <c r="BC571" i="1"/>
  <c r="BB571" i="1"/>
  <c r="BA571" i="1"/>
  <c r="AZ571" i="1"/>
  <c r="AY571" i="1"/>
  <c r="AX571" i="1"/>
  <c r="BD571" i="1" s="1"/>
  <c r="AP571" i="1"/>
  <c r="BF570" i="1"/>
  <c r="BE570" i="1"/>
  <c r="BC570" i="1"/>
  <c r="BB570" i="1"/>
  <c r="BA570" i="1"/>
  <c r="AZ570" i="1"/>
  <c r="AY570" i="1"/>
  <c r="AX570" i="1"/>
  <c r="BD570" i="1" s="1"/>
  <c r="AP570" i="1"/>
  <c r="BF569" i="1"/>
  <c r="BE569" i="1"/>
  <c r="BC569" i="1"/>
  <c r="BB569" i="1"/>
  <c r="BA569" i="1"/>
  <c r="BD569" i="1" s="1"/>
  <c r="AZ569" i="1"/>
  <c r="AY569" i="1"/>
  <c r="AX569" i="1"/>
  <c r="AP569" i="1"/>
  <c r="BF568" i="1"/>
  <c r="BE568" i="1"/>
  <c r="BC568" i="1"/>
  <c r="BB568" i="1"/>
  <c r="BA568" i="1"/>
  <c r="AZ568" i="1"/>
  <c r="AY568" i="1"/>
  <c r="AX568" i="1"/>
  <c r="BD568" i="1" s="1"/>
  <c r="AP568" i="1"/>
  <c r="BF567" i="1"/>
  <c r="BE567" i="1"/>
  <c r="BC567" i="1"/>
  <c r="BB567" i="1"/>
  <c r="BA567" i="1"/>
  <c r="AZ567" i="1"/>
  <c r="AY567" i="1"/>
  <c r="AX567" i="1"/>
  <c r="AP567" i="1"/>
  <c r="BF566" i="1"/>
  <c r="BE566" i="1"/>
  <c r="BC566" i="1"/>
  <c r="BB566" i="1"/>
  <c r="BA566" i="1"/>
  <c r="AZ566" i="1"/>
  <c r="AY566" i="1"/>
  <c r="AX566" i="1"/>
  <c r="AP566" i="1"/>
  <c r="BF565" i="1"/>
  <c r="BE565" i="1"/>
  <c r="BD565" i="1"/>
  <c r="BC565" i="1"/>
  <c r="BB565" i="1"/>
  <c r="BA565" i="1"/>
  <c r="AZ565" i="1"/>
  <c r="AY565" i="1"/>
  <c r="AX565" i="1"/>
  <c r="AP565" i="1"/>
  <c r="BF564" i="1"/>
  <c r="BE564" i="1"/>
  <c r="BC564" i="1"/>
  <c r="BB564" i="1"/>
  <c r="BA564" i="1"/>
  <c r="AZ564" i="1"/>
  <c r="AY564" i="1"/>
  <c r="AX564" i="1"/>
  <c r="BD564" i="1" s="1"/>
  <c r="AP564" i="1"/>
  <c r="BF563" i="1"/>
  <c r="BE563" i="1"/>
  <c r="BC563" i="1"/>
  <c r="BB563" i="1"/>
  <c r="BA563" i="1"/>
  <c r="AZ563" i="1"/>
  <c r="AY563" i="1"/>
  <c r="AX563" i="1"/>
  <c r="AP563" i="1"/>
  <c r="BF562" i="1"/>
  <c r="BE562" i="1"/>
  <c r="BC562" i="1"/>
  <c r="BB562" i="1"/>
  <c r="BA562" i="1"/>
  <c r="AZ562" i="1"/>
  <c r="AY562" i="1"/>
  <c r="AX562" i="1"/>
  <c r="AP562" i="1"/>
  <c r="BF561" i="1"/>
  <c r="BE561" i="1"/>
  <c r="BC561" i="1"/>
  <c r="BB561" i="1"/>
  <c r="BA561" i="1"/>
  <c r="BD561" i="1" s="1"/>
  <c r="AZ561" i="1"/>
  <c r="AY561" i="1"/>
  <c r="AX561" i="1"/>
  <c r="AP561" i="1"/>
  <c r="BF560" i="1"/>
  <c r="BE560" i="1"/>
  <c r="BC560" i="1"/>
  <c r="BB560" i="1"/>
  <c r="BA560" i="1"/>
  <c r="AZ560" i="1"/>
  <c r="AY560" i="1"/>
  <c r="AX560" i="1"/>
  <c r="AP560" i="1"/>
  <c r="BF559" i="1"/>
  <c r="BE559" i="1"/>
  <c r="BC559" i="1"/>
  <c r="BB559" i="1"/>
  <c r="BA559" i="1"/>
  <c r="AZ559" i="1"/>
  <c r="AY559" i="1"/>
  <c r="AX559" i="1"/>
  <c r="AP559" i="1"/>
  <c r="BF558" i="1"/>
  <c r="BE558" i="1"/>
  <c r="BC558" i="1"/>
  <c r="BB558" i="1"/>
  <c r="BA558" i="1"/>
  <c r="AZ558" i="1"/>
  <c r="AY558" i="1"/>
  <c r="AX558" i="1"/>
  <c r="BD558" i="1" s="1"/>
  <c r="AP558" i="1"/>
  <c r="BF557" i="1"/>
  <c r="BE557" i="1"/>
  <c r="BD557" i="1"/>
  <c r="BC557" i="1"/>
  <c r="BB557" i="1"/>
  <c r="BA557" i="1"/>
  <c r="AZ557" i="1"/>
  <c r="AY557" i="1"/>
  <c r="AX557" i="1"/>
  <c r="AP557" i="1"/>
  <c r="BF556" i="1"/>
  <c r="BE556" i="1"/>
  <c r="BC556" i="1"/>
  <c r="BB556" i="1"/>
  <c r="BA556" i="1"/>
  <c r="AZ556" i="1"/>
  <c r="AY556" i="1"/>
  <c r="AX556" i="1"/>
  <c r="BD556" i="1" s="1"/>
  <c r="AP556" i="1"/>
  <c r="BF555" i="1"/>
  <c r="BE555" i="1"/>
  <c r="BC555" i="1"/>
  <c r="BB555" i="1"/>
  <c r="BA555" i="1"/>
  <c r="AZ555" i="1"/>
  <c r="AY555" i="1"/>
  <c r="AX555" i="1"/>
  <c r="AP555" i="1"/>
  <c r="BF554" i="1"/>
  <c r="BE554" i="1"/>
  <c r="BC554" i="1"/>
  <c r="BB554" i="1"/>
  <c r="BA554" i="1"/>
  <c r="AZ554" i="1"/>
  <c r="AY554" i="1"/>
  <c r="AX554" i="1"/>
  <c r="AP554" i="1"/>
  <c r="BF553" i="1"/>
  <c r="BE553" i="1"/>
  <c r="BD553" i="1"/>
  <c r="BC553" i="1"/>
  <c r="BB553" i="1"/>
  <c r="BA553" i="1"/>
  <c r="AZ553" i="1"/>
  <c r="AY553" i="1"/>
  <c r="AX553" i="1"/>
  <c r="AP553" i="1"/>
  <c r="BF552" i="1"/>
  <c r="BE552" i="1"/>
  <c r="BC552" i="1"/>
  <c r="BB552" i="1"/>
  <c r="BA552" i="1"/>
  <c r="AZ552" i="1"/>
  <c r="AY552" i="1"/>
  <c r="AX552" i="1"/>
  <c r="BD552" i="1" s="1"/>
  <c r="AP552" i="1"/>
  <c r="BF551" i="1"/>
  <c r="BE551" i="1"/>
  <c r="BC551" i="1"/>
  <c r="BB551" i="1"/>
  <c r="BA551" i="1"/>
  <c r="AZ551" i="1"/>
  <c r="AY551" i="1"/>
  <c r="AX551" i="1"/>
  <c r="BD551" i="1" s="1"/>
  <c r="AP551" i="1"/>
  <c r="BF550" i="1"/>
  <c r="BE550" i="1"/>
  <c r="BC550" i="1"/>
  <c r="BB550" i="1"/>
  <c r="BA550" i="1"/>
  <c r="AZ550" i="1"/>
  <c r="AY550" i="1"/>
  <c r="AX550" i="1"/>
  <c r="AP550" i="1"/>
  <c r="BF549" i="1"/>
  <c r="BE549" i="1"/>
  <c r="BC549" i="1"/>
  <c r="BB549" i="1"/>
  <c r="BA549" i="1"/>
  <c r="BD549" i="1" s="1"/>
  <c r="AZ549" i="1"/>
  <c r="AY549" i="1"/>
  <c r="AX549" i="1"/>
  <c r="AP549" i="1"/>
  <c r="BF548" i="1"/>
  <c r="BE548" i="1"/>
  <c r="BC548" i="1"/>
  <c r="BB548" i="1"/>
  <c r="BA548" i="1"/>
  <c r="AZ548" i="1"/>
  <c r="AY548" i="1"/>
  <c r="AX548" i="1"/>
  <c r="AP548" i="1"/>
  <c r="BF547" i="1"/>
  <c r="BE547" i="1"/>
  <c r="BC547" i="1"/>
  <c r="BB547" i="1"/>
  <c r="BA547" i="1"/>
  <c r="AZ547" i="1"/>
  <c r="AY547" i="1"/>
  <c r="AX547" i="1"/>
  <c r="AP547" i="1"/>
  <c r="BF546" i="1"/>
  <c r="BE546" i="1"/>
  <c r="BC546" i="1"/>
  <c r="BB546" i="1"/>
  <c r="BA546" i="1"/>
  <c r="AZ546" i="1"/>
  <c r="AY546" i="1"/>
  <c r="AX546" i="1"/>
  <c r="AP546" i="1"/>
  <c r="BF545" i="1"/>
  <c r="BE545" i="1"/>
  <c r="BC545" i="1"/>
  <c r="BD545" i="1" s="1"/>
  <c r="BB545" i="1"/>
  <c r="BA545" i="1"/>
  <c r="AZ545" i="1"/>
  <c r="AY545" i="1"/>
  <c r="AX545" i="1"/>
  <c r="AP545" i="1"/>
  <c r="BF544" i="1"/>
  <c r="BE544" i="1"/>
  <c r="BC544" i="1"/>
  <c r="BB544" i="1"/>
  <c r="BA544" i="1"/>
  <c r="AZ544" i="1"/>
  <c r="AY544" i="1"/>
  <c r="AX544" i="1"/>
  <c r="BD544" i="1" s="1"/>
  <c r="AP544" i="1"/>
  <c r="BF543" i="1"/>
  <c r="BE543" i="1"/>
  <c r="BC543" i="1"/>
  <c r="BB543" i="1"/>
  <c r="BA543" i="1"/>
  <c r="AZ543" i="1"/>
  <c r="AY543" i="1"/>
  <c r="AX543" i="1"/>
  <c r="AP543" i="1"/>
  <c r="BF542" i="1"/>
  <c r="BE542" i="1"/>
  <c r="BC542" i="1"/>
  <c r="BB542" i="1"/>
  <c r="BA542" i="1"/>
  <c r="AZ542" i="1"/>
  <c r="AY542" i="1"/>
  <c r="AX542" i="1"/>
  <c r="AP542" i="1"/>
  <c r="BF541" i="1"/>
  <c r="BE541" i="1"/>
  <c r="BC541" i="1"/>
  <c r="BD541" i="1" s="1"/>
  <c r="BB541" i="1"/>
  <c r="BA541" i="1"/>
  <c r="AZ541" i="1"/>
  <c r="AY541" i="1"/>
  <c r="AX541" i="1"/>
  <c r="AP541" i="1"/>
  <c r="BF540" i="1"/>
  <c r="BE540" i="1"/>
  <c r="BC540" i="1"/>
  <c r="BB540" i="1"/>
  <c r="BA540" i="1"/>
  <c r="AZ540" i="1"/>
  <c r="AY540" i="1"/>
  <c r="AX540" i="1"/>
  <c r="AP540" i="1"/>
  <c r="BF539" i="1"/>
  <c r="BE539" i="1"/>
  <c r="BC539" i="1"/>
  <c r="BB539" i="1"/>
  <c r="BA539" i="1"/>
  <c r="AZ539" i="1"/>
  <c r="AY539" i="1"/>
  <c r="AX539" i="1"/>
  <c r="BD539" i="1" s="1"/>
  <c r="AP539" i="1"/>
  <c r="BF538" i="1"/>
  <c r="BE538" i="1"/>
  <c r="BC538" i="1"/>
  <c r="BB538" i="1"/>
  <c r="BA538" i="1"/>
  <c r="AZ538" i="1"/>
  <c r="AY538" i="1"/>
  <c r="AX538" i="1"/>
  <c r="BD538" i="1" s="1"/>
  <c r="AP538" i="1"/>
  <c r="BF537" i="1"/>
  <c r="BE537" i="1"/>
  <c r="BC537" i="1"/>
  <c r="BB537" i="1"/>
  <c r="BA537" i="1"/>
  <c r="BD537" i="1" s="1"/>
  <c r="AZ537" i="1"/>
  <c r="AY537" i="1"/>
  <c r="AX537" i="1"/>
  <c r="AP537" i="1"/>
  <c r="BF536" i="1"/>
  <c r="BE536" i="1"/>
  <c r="BC536" i="1"/>
  <c r="BB536" i="1"/>
  <c r="BA536" i="1"/>
  <c r="AZ536" i="1"/>
  <c r="AY536" i="1"/>
  <c r="AX536" i="1"/>
  <c r="BD536" i="1" s="1"/>
  <c r="AP536" i="1"/>
  <c r="BF535" i="1"/>
  <c r="BE535" i="1"/>
  <c r="BC535" i="1"/>
  <c r="BB535" i="1"/>
  <c r="BA535" i="1"/>
  <c r="AZ535" i="1"/>
  <c r="AY535" i="1"/>
  <c r="AX535" i="1"/>
  <c r="AP535" i="1"/>
  <c r="BF534" i="1"/>
  <c r="BE534" i="1"/>
  <c r="BC534" i="1"/>
  <c r="BB534" i="1"/>
  <c r="BA534" i="1"/>
  <c r="AZ534" i="1"/>
  <c r="AY534" i="1"/>
  <c r="AX534" i="1"/>
  <c r="AP534" i="1"/>
  <c r="BF533" i="1"/>
  <c r="BE533" i="1"/>
  <c r="BD533" i="1"/>
  <c r="BC533" i="1"/>
  <c r="BB533" i="1"/>
  <c r="BA533" i="1"/>
  <c r="AZ533" i="1"/>
  <c r="AY533" i="1"/>
  <c r="AX533" i="1"/>
  <c r="AP533" i="1"/>
  <c r="BF532" i="1"/>
  <c r="BE532" i="1"/>
  <c r="BC532" i="1"/>
  <c r="BB532" i="1"/>
  <c r="BA532" i="1"/>
  <c r="AZ532" i="1"/>
  <c r="AY532" i="1"/>
  <c r="AX532" i="1"/>
  <c r="BD532" i="1" s="1"/>
  <c r="AP532" i="1"/>
  <c r="BF531" i="1"/>
  <c r="BE531" i="1"/>
  <c r="BC531" i="1"/>
  <c r="BB531" i="1"/>
  <c r="BA531" i="1"/>
  <c r="AZ531" i="1"/>
  <c r="AY531" i="1"/>
  <c r="AX531" i="1"/>
  <c r="AP531" i="1"/>
  <c r="BF530" i="1"/>
  <c r="BE530" i="1"/>
  <c r="BC530" i="1"/>
  <c r="BB530" i="1"/>
  <c r="BA530" i="1"/>
  <c r="AZ530" i="1"/>
  <c r="AY530" i="1"/>
  <c r="AX530" i="1"/>
  <c r="AP530" i="1"/>
  <c r="BF529" i="1"/>
  <c r="BE529" i="1"/>
  <c r="BC529" i="1"/>
  <c r="BB529" i="1"/>
  <c r="BA529" i="1"/>
  <c r="BD529" i="1" s="1"/>
  <c r="AZ529" i="1"/>
  <c r="AY529" i="1"/>
  <c r="AX529" i="1"/>
  <c r="AP529" i="1"/>
  <c r="BF528" i="1"/>
  <c r="BE528" i="1"/>
  <c r="BC528" i="1"/>
  <c r="BB528" i="1"/>
  <c r="BA528" i="1"/>
  <c r="AZ528" i="1"/>
  <c r="AY528" i="1"/>
  <c r="AX528" i="1"/>
  <c r="AP528" i="1"/>
  <c r="BF527" i="1"/>
  <c r="BE527" i="1"/>
  <c r="BC527" i="1"/>
  <c r="BB527" i="1"/>
  <c r="BA527" i="1"/>
  <c r="AZ527" i="1"/>
  <c r="AY527" i="1"/>
  <c r="AX527" i="1"/>
  <c r="AP527" i="1"/>
  <c r="BF526" i="1"/>
  <c r="BE526" i="1"/>
  <c r="BC526" i="1"/>
  <c r="BB526" i="1"/>
  <c r="BA526" i="1"/>
  <c r="AZ526" i="1"/>
  <c r="AY526" i="1"/>
  <c r="AX526" i="1"/>
  <c r="BD526" i="1" s="1"/>
  <c r="AP526" i="1"/>
  <c r="BF525" i="1"/>
  <c r="BE525" i="1"/>
  <c r="BD525" i="1"/>
  <c r="BC525" i="1"/>
  <c r="BB525" i="1"/>
  <c r="BA525" i="1"/>
  <c r="AZ525" i="1"/>
  <c r="AY525" i="1"/>
  <c r="AX525" i="1"/>
  <c r="AP525" i="1"/>
  <c r="BF524" i="1"/>
  <c r="BE524" i="1"/>
  <c r="BC524" i="1"/>
  <c r="BB524" i="1"/>
  <c r="BA524" i="1"/>
  <c r="AZ524" i="1"/>
  <c r="AY524" i="1"/>
  <c r="AX524" i="1"/>
  <c r="BD524" i="1" s="1"/>
  <c r="AP524" i="1"/>
  <c r="BF523" i="1"/>
  <c r="BE523" i="1"/>
  <c r="BC523" i="1"/>
  <c r="BB523" i="1"/>
  <c r="BA523" i="1"/>
  <c r="AZ523" i="1"/>
  <c r="AY523" i="1"/>
  <c r="AX523" i="1"/>
  <c r="BF522" i="1"/>
  <c r="BE522" i="1"/>
  <c r="BC522" i="1"/>
  <c r="BB522" i="1"/>
  <c r="BA522" i="1"/>
  <c r="AZ522" i="1"/>
  <c r="AY522" i="1"/>
  <c r="AX522" i="1"/>
  <c r="AP522" i="1"/>
  <c r="BF521" i="1"/>
  <c r="BE521" i="1"/>
  <c r="BC521" i="1"/>
  <c r="BB521" i="1"/>
  <c r="BA521" i="1"/>
  <c r="AZ521" i="1"/>
  <c r="AY521" i="1"/>
  <c r="AX521" i="1"/>
  <c r="AP521" i="1"/>
  <c r="BF520" i="1"/>
  <c r="BE520" i="1"/>
  <c r="BD520" i="1"/>
  <c r="BC520" i="1"/>
  <c r="BB520" i="1"/>
  <c r="BA520" i="1"/>
  <c r="AZ520" i="1"/>
  <c r="AY520" i="1"/>
  <c r="AX520" i="1"/>
  <c r="AP520" i="1"/>
  <c r="BF519" i="1"/>
  <c r="BE519" i="1"/>
  <c r="BC519" i="1"/>
  <c r="BB519" i="1"/>
  <c r="BA519" i="1"/>
  <c r="AZ519" i="1"/>
  <c r="AY519" i="1"/>
  <c r="AX519" i="1"/>
  <c r="BD519" i="1" s="1"/>
  <c r="AP519" i="1"/>
  <c r="BF518" i="1"/>
  <c r="BE518" i="1"/>
  <c r="BC518" i="1"/>
  <c r="BB518" i="1"/>
  <c r="BA518" i="1"/>
  <c r="AZ518" i="1"/>
  <c r="AY518" i="1"/>
  <c r="AX518" i="1"/>
  <c r="BD518" i="1" s="1"/>
  <c r="AP518" i="1"/>
  <c r="BF517" i="1"/>
  <c r="BE517" i="1"/>
  <c r="BC517" i="1"/>
  <c r="BB517" i="1"/>
  <c r="BA517" i="1"/>
  <c r="AZ517" i="1"/>
  <c r="AY517" i="1"/>
  <c r="AX517" i="1"/>
  <c r="AP517" i="1"/>
  <c r="BF516" i="1"/>
  <c r="BE516" i="1"/>
  <c r="BC516" i="1"/>
  <c r="BB516" i="1"/>
  <c r="BD516" i="1" s="1"/>
  <c r="BA516" i="1"/>
  <c r="AZ516" i="1"/>
  <c r="AY516" i="1"/>
  <c r="AX516" i="1"/>
  <c r="AP516" i="1"/>
  <c r="BF515" i="1"/>
  <c r="BE515" i="1"/>
  <c r="BD515" i="1"/>
  <c r="BC515" i="1"/>
  <c r="BB515" i="1"/>
  <c r="BA515" i="1"/>
  <c r="AZ515" i="1"/>
  <c r="AY515" i="1"/>
  <c r="AX515" i="1"/>
  <c r="AP515" i="1"/>
  <c r="BF514" i="1"/>
  <c r="BE514" i="1"/>
  <c r="BC514" i="1"/>
  <c r="BB514" i="1"/>
  <c r="BA514" i="1"/>
  <c r="AZ514" i="1"/>
  <c r="AY514" i="1"/>
  <c r="AX514" i="1"/>
  <c r="BD514" i="1" s="1"/>
  <c r="AP514" i="1"/>
  <c r="BF513" i="1"/>
  <c r="BE513" i="1"/>
  <c r="BC513" i="1"/>
  <c r="BB513" i="1"/>
  <c r="BA513" i="1"/>
  <c r="AZ513" i="1"/>
  <c r="AY513" i="1"/>
  <c r="AX513" i="1"/>
  <c r="BD513" i="1" s="1"/>
  <c r="AP513" i="1"/>
  <c r="BF512" i="1"/>
  <c r="BE512" i="1"/>
  <c r="BD512" i="1"/>
  <c r="BC512" i="1"/>
  <c r="BB512" i="1"/>
  <c r="BA512" i="1"/>
  <c r="AZ512" i="1"/>
  <c r="AY512" i="1"/>
  <c r="AX512" i="1"/>
  <c r="AP512" i="1"/>
  <c r="BF511" i="1"/>
  <c r="BE511" i="1"/>
  <c r="BC511" i="1"/>
  <c r="BB511" i="1"/>
  <c r="BA511" i="1"/>
  <c r="AZ511" i="1"/>
  <c r="AY511" i="1"/>
  <c r="AX511" i="1"/>
  <c r="BD511" i="1" s="1"/>
  <c r="AP511" i="1"/>
  <c r="BF510" i="1"/>
  <c r="BE510" i="1"/>
  <c r="BC510" i="1"/>
  <c r="BB510" i="1"/>
  <c r="BA510" i="1"/>
  <c r="AZ510" i="1"/>
  <c r="AY510" i="1"/>
  <c r="AX510" i="1"/>
  <c r="AP510" i="1"/>
  <c r="BF509" i="1"/>
  <c r="BE509" i="1"/>
  <c r="BC509" i="1"/>
  <c r="BB509" i="1"/>
  <c r="BA509" i="1"/>
  <c r="AZ509" i="1"/>
  <c r="AY509" i="1"/>
  <c r="AX509" i="1"/>
  <c r="AP509" i="1"/>
  <c r="BF508" i="1"/>
  <c r="BE508" i="1"/>
  <c r="BD508" i="1"/>
  <c r="BC508" i="1"/>
  <c r="BB508" i="1"/>
  <c r="BA508" i="1"/>
  <c r="AZ508" i="1"/>
  <c r="AY508" i="1"/>
  <c r="AX508" i="1"/>
  <c r="AP508" i="1"/>
  <c r="BF507" i="1"/>
  <c r="BE507" i="1"/>
  <c r="BC507" i="1"/>
  <c r="BB507" i="1"/>
  <c r="BA507" i="1"/>
  <c r="AZ507" i="1"/>
  <c r="AY507" i="1"/>
  <c r="AX507" i="1"/>
  <c r="BD507" i="1" s="1"/>
  <c r="AP507" i="1"/>
  <c r="BF506" i="1"/>
  <c r="BE506" i="1"/>
  <c r="BC506" i="1"/>
  <c r="BB506" i="1"/>
  <c r="BA506" i="1"/>
  <c r="AZ506" i="1"/>
  <c r="AY506" i="1"/>
  <c r="AX506" i="1"/>
  <c r="AP506" i="1"/>
  <c r="BF505" i="1"/>
  <c r="BE505" i="1"/>
  <c r="BC505" i="1"/>
  <c r="BB505" i="1"/>
  <c r="BA505" i="1"/>
  <c r="AZ505" i="1"/>
  <c r="AY505" i="1"/>
  <c r="AX505" i="1"/>
  <c r="AP505" i="1"/>
  <c r="BF504" i="1"/>
  <c r="BE504" i="1"/>
  <c r="BD504" i="1"/>
  <c r="BC504" i="1"/>
  <c r="BB504" i="1"/>
  <c r="BA504" i="1"/>
  <c r="AZ504" i="1"/>
  <c r="AY504" i="1"/>
  <c r="AX504" i="1"/>
  <c r="AP504" i="1"/>
  <c r="BF503" i="1"/>
  <c r="BE503" i="1"/>
  <c r="BC503" i="1"/>
  <c r="BB503" i="1"/>
  <c r="BA503" i="1"/>
  <c r="AZ503" i="1"/>
  <c r="AY503" i="1"/>
  <c r="AX503" i="1"/>
  <c r="BD503" i="1" s="1"/>
  <c r="AP503" i="1"/>
  <c r="BF502" i="1"/>
  <c r="BE502" i="1"/>
  <c r="BC502" i="1"/>
  <c r="BB502" i="1"/>
  <c r="BA502" i="1"/>
  <c r="AZ502" i="1"/>
  <c r="AY502" i="1"/>
  <c r="AX502" i="1"/>
  <c r="BD502" i="1" s="1"/>
  <c r="AP502" i="1"/>
  <c r="BF501" i="1"/>
  <c r="BE501" i="1"/>
  <c r="BC501" i="1"/>
  <c r="BB501" i="1"/>
  <c r="BA501" i="1"/>
  <c r="AZ501" i="1"/>
  <c r="AY501" i="1"/>
  <c r="AX501" i="1"/>
  <c r="AP501" i="1"/>
  <c r="BF500" i="1"/>
  <c r="BE500" i="1"/>
  <c r="BC500" i="1"/>
  <c r="BB500" i="1"/>
  <c r="BD500" i="1" s="1"/>
  <c r="BA500" i="1"/>
  <c r="AZ500" i="1"/>
  <c r="AY500" i="1"/>
  <c r="AX500" i="1"/>
  <c r="AP500" i="1"/>
  <c r="BF499" i="1"/>
  <c r="BE499" i="1"/>
  <c r="BD499" i="1"/>
  <c r="BC499" i="1"/>
  <c r="BB499" i="1"/>
  <c r="BA499" i="1"/>
  <c r="AZ499" i="1"/>
  <c r="AY499" i="1"/>
  <c r="AX499" i="1"/>
  <c r="AP499" i="1"/>
  <c r="BF498" i="1"/>
  <c r="BE498" i="1"/>
  <c r="BC498" i="1"/>
  <c r="BB498" i="1"/>
  <c r="BA498" i="1"/>
  <c r="AZ498" i="1"/>
  <c r="AY498" i="1"/>
  <c r="AX498" i="1"/>
  <c r="BD498" i="1" s="1"/>
  <c r="AP498" i="1"/>
  <c r="BF497" i="1"/>
  <c r="BE497" i="1"/>
  <c r="BC497" i="1"/>
  <c r="BB497" i="1"/>
  <c r="BA497" i="1"/>
  <c r="AZ497" i="1"/>
  <c r="AY497" i="1"/>
  <c r="AX497" i="1"/>
  <c r="BD497" i="1" s="1"/>
  <c r="AP497" i="1"/>
  <c r="BF496" i="1"/>
  <c r="BE496" i="1"/>
  <c r="BD496" i="1"/>
  <c r="BC496" i="1"/>
  <c r="BB496" i="1"/>
  <c r="BA496" i="1"/>
  <c r="AZ496" i="1"/>
  <c r="AY496" i="1"/>
  <c r="AX496" i="1"/>
  <c r="AP496" i="1"/>
  <c r="BF495" i="1"/>
  <c r="BE495" i="1"/>
  <c r="BC495" i="1"/>
  <c r="BB495" i="1"/>
  <c r="BA495" i="1"/>
  <c r="AZ495" i="1"/>
  <c r="AY495" i="1"/>
  <c r="AX495" i="1"/>
  <c r="BD495" i="1" s="1"/>
  <c r="AP495" i="1"/>
  <c r="BF494" i="1"/>
  <c r="BE494" i="1"/>
  <c r="BC494" i="1"/>
  <c r="BB494" i="1"/>
  <c r="BA494" i="1"/>
  <c r="AZ494" i="1"/>
  <c r="AY494" i="1"/>
  <c r="AX494" i="1"/>
  <c r="AP494" i="1"/>
  <c r="BF493" i="1"/>
  <c r="BE493" i="1"/>
  <c r="BC493" i="1"/>
  <c r="BB493" i="1"/>
  <c r="BA493" i="1"/>
  <c r="AZ493" i="1"/>
  <c r="AY493" i="1"/>
  <c r="AX493" i="1"/>
  <c r="AP493" i="1"/>
  <c r="BF492" i="1"/>
  <c r="BE492" i="1"/>
  <c r="BC492" i="1"/>
  <c r="BD492" i="1" s="1"/>
  <c r="BB492" i="1"/>
  <c r="BA492" i="1"/>
  <c r="AZ492" i="1"/>
  <c r="AY492" i="1"/>
  <c r="AX492" i="1"/>
  <c r="AP492" i="1"/>
  <c r="BF491" i="1"/>
  <c r="BE491" i="1"/>
  <c r="BC491" i="1"/>
  <c r="BB491" i="1"/>
  <c r="BA491" i="1"/>
  <c r="AZ491" i="1"/>
  <c r="AY491" i="1"/>
  <c r="AX491" i="1"/>
  <c r="BD491" i="1" s="1"/>
  <c r="AP491" i="1"/>
  <c r="BF490" i="1"/>
  <c r="BE490" i="1"/>
  <c r="BC490" i="1"/>
  <c r="BB490" i="1"/>
  <c r="BA490" i="1"/>
  <c r="AZ490" i="1"/>
  <c r="AY490" i="1"/>
  <c r="AX490" i="1"/>
  <c r="AP490" i="1"/>
  <c r="BF489" i="1"/>
  <c r="BE489" i="1"/>
  <c r="BC489" i="1"/>
  <c r="BB489" i="1"/>
  <c r="BA489" i="1"/>
  <c r="AZ489" i="1"/>
  <c r="AY489" i="1"/>
  <c r="AX489" i="1"/>
  <c r="AP489" i="1"/>
  <c r="BF488" i="1"/>
  <c r="BE488" i="1"/>
  <c r="BD488" i="1"/>
  <c r="BC488" i="1"/>
  <c r="BB488" i="1"/>
  <c r="BA488" i="1"/>
  <c r="AZ488" i="1"/>
  <c r="AY488" i="1"/>
  <c r="AX488" i="1"/>
  <c r="AP488" i="1"/>
  <c r="BF487" i="1"/>
  <c r="BE487" i="1"/>
  <c r="BC487" i="1"/>
  <c r="BB487" i="1"/>
  <c r="BA487" i="1"/>
  <c r="AZ487" i="1"/>
  <c r="AY487" i="1"/>
  <c r="AX487" i="1"/>
  <c r="BD487" i="1" s="1"/>
  <c r="AP487" i="1"/>
  <c r="BF486" i="1"/>
  <c r="BE486" i="1"/>
  <c r="BC486" i="1"/>
  <c r="BB486" i="1"/>
  <c r="BA486" i="1"/>
  <c r="AZ486" i="1"/>
  <c r="AY486" i="1"/>
  <c r="AX486" i="1"/>
  <c r="AP486" i="1"/>
  <c r="BF485" i="1"/>
  <c r="BE485" i="1"/>
  <c r="BC485" i="1"/>
  <c r="BB485" i="1"/>
  <c r="BA485" i="1"/>
  <c r="AZ485" i="1"/>
  <c r="AY485" i="1"/>
  <c r="AX485" i="1"/>
  <c r="AP485" i="1"/>
  <c r="BF484" i="1"/>
  <c r="BE484" i="1"/>
  <c r="BC484" i="1"/>
  <c r="BB484" i="1"/>
  <c r="BD484" i="1" s="1"/>
  <c r="BA484" i="1"/>
  <c r="AZ484" i="1"/>
  <c r="AY484" i="1"/>
  <c r="AX484" i="1"/>
  <c r="AP484" i="1"/>
  <c r="BF483" i="1"/>
  <c r="BE483" i="1"/>
  <c r="BD483" i="1"/>
  <c r="BC483" i="1"/>
  <c r="BB483" i="1"/>
  <c r="BA483" i="1"/>
  <c r="AZ483" i="1"/>
  <c r="AY483" i="1"/>
  <c r="AX483" i="1"/>
  <c r="AP483" i="1"/>
  <c r="BF482" i="1"/>
  <c r="BE482" i="1"/>
  <c r="BC482" i="1"/>
  <c r="BB482" i="1"/>
  <c r="BA482" i="1"/>
  <c r="AZ482" i="1"/>
  <c r="AY482" i="1"/>
  <c r="AX482" i="1"/>
  <c r="BD482" i="1" s="1"/>
  <c r="AP482" i="1"/>
  <c r="BF481" i="1"/>
  <c r="BE481" i="1"/>
  <c r="BC481" i="1"/>
  <c r="BB481" i="1"/>
  <c r="BA481" i="1"/>
  <c r="AZ481" i="1"/>
  <c r="AY481" i="1"/>
  <c r="AX481" i="1"/>
  <c r="BD481" i="1" s="1"/>
  <c r="AP481" i="1"/>
  <c r="BF480" i="1"/>
  <c r="BE480" i="1"/>
  <c r="BD480" i="1"/>
  <c r="BC480" i="1"/>
  <c r="BB480" i="1"/>
  <c r="BA480" i="1"/>
  <c r="AZ480" i="1"/>
  <c r="AY480" i="1"/>
  <c r="AX480" i="1"/>
  <c r="AP480" i="1"/>
  <c r="BF479" i="1"/>
  <c r="BE479" i="1"/>
  <c r="BC479" i="1"/>
  <c r="BB479" i="1"/>
  <c r="BA479" i="1"/>
  <c r="AZ479" i="1"/>
  <c r="AY479" i="1"/>
  <c r="AX479" i="1"/>
  <c r="BD479" i="1" s="1"/>
  <c r="AP479" i="1"/>
  <c r="BF478" i="1"/>
  <c r="BE478" i="1"/>
  <c r="BC478" i="1"/>
  <c r="BB478" i="1"/>
  <c r="BA478" i="1"/>
  <c r="AZ478" i="1"/>
  <c r="AY478" i="1"/>
  <c r="AX478" i="1"/>
  <c r="AP478" i="1"/>
  <c r="BF477" i="1"/>
  <c r="BE477" i="1"/>
  <c r="BC477" i="1"/>
  <c r="BB477" i="1"/>
  <c r="BA477" i="1"/>
  <c r="AZ477" i="1"/>
  <c r="AY477" i="1"/>
  <c r="AX477" i="1"/>
  <c r="AP477" i="1"/>
  <c r="BF476" i="1"/>
  <c r="BE476" i="1"/>
  <c r="BC476" i="1"/>
  <c r="BD476" i="1" s="1"/>
  <c r="BB476" i="1"/>
  <c r="BA476" i="1"/>
  <c r="AZ476" i="1"/>
  <c r="AY476" i="1"/>
  <c r="AX476" i="1"/>
  <c r="AP476" i="1"/>
  <c r="BF475" i="1"/>
  <c r="BE475" i="1"/>
  <c r="BC475" i="1"/>
  <c r="BB475" i="1"/>
  <c r="BA475" i="1"/>
  <c r="AZ475" i="1"/>
  <c r="AY475" i="1"/>
  <c r="AX475" i="1"/>
  <c r="BD475" i="1" s="1"/>
  <c r="AP475" i="1"/>
  <c r="BF474" i="1"/>
  <c r="BE474" i="1"/>
  <c r="BC474" i="1"/>
  <c r="BB474" i="1"/>
  <c r="BA474" i="1"/>
  <c r="AZ474" i="1"/>
  <c r="AY474" i="1"/>
  <c r="AX474" i="1"/>
  <c r="BD474" i="1" s="1"/>
  <c r="AP474" i="1"/>
  <c r="BF473" i="1"/>
  <c r="BE473" i="1"/>
  <c r="BC473" i="1"/>
  <c r="BB473" i="1"/>
  <c r="BA473" i="1"/>
  <c r="AZ473" i="1"/>
  <c r="AY473" i="1"/>
  <c r="AX473" i="1"/>
  <c r="AP473" i="1"/>
  <c r="BF472" i="1"/>
  <c r="BE472" i="1"/>
  <c r="BC472" i="1"/>
  <c r="BB472" i="1"/>
  <c r="BD472" i="1" s="1"/>
  <c r="BA472" i="1"/>
  <c r="AZ472" i="1"/>
  <c r="AY472" i="1"/>
  <c r="AX472" i="1"/>
  <c r="AP472" i="1"/>
  <c r="BF471" i="1"/>
  <c r="BE471" i="1"/>
  <c r="BC471" i="1"/>
  <c r="BB471" i="1"/>
  <c r="BA471" i="1"/>
  <c r="AZ471" i="1"/>
  <c r="AY471" i="1"/>
  <c r="BD471" i="1" s="1"/>
  <c r="AX471" i="1"/>
  <c r="AP471" i="1"/>
  <c r="BF470" i="1"/>
  <c r="BE470" i="1"/>
  <c r="BC470" i="1"/>
  <c r="BB470" i="1"/>
  <c r="BA470" i="1"/>
  <c r="AZ470" i="1"/>
  <c r="AY470" i="1"/>
  <c r="AX470" i="1"/>
  <c r="BD470" i="1" s="1"/>
  <c r="AP470" i="1"/>
  <c r="BF469" i="1"/>
  <c r="BE469" i="1"/>
  <c r="BC469" i="1"/>
  <c r="BB469" i="1"/>
  <c r="BA469" i="1"/>
  <c r="AZ469" i="1"/>
  <c r="AY469" i="1"/>
  <c r="AX469" i="1"/>
  <c r="AP469" i="1"/>
  <c r="BF468" i="1"/>
  <c r="BE468" i="1"/>
  <c r="BD468" i="1"/>
  <c r="BC468" i="1"/>
  <c r="BB468" i="1"/>
  <c r="BA468" i="1"/>
  <c r="AZ468" i="1"/>
  <c r="AY468" i="1"/>
  <c r="AX468" i="1"/>
  <c r="AP468" i="1"/>
  <c r="BF467" i="1"/>
  <c r="BE467" i="1"/>
  <c r="BC467" i="1"/>
  <c r="BB467" i="1"/>
  <c r="BA467" i="1"/>
  <c r="AZ467" i="1"/>
  <c r="AY467" i="1"/>
  <c r="AX467" i="1"/>
  <c r="BD467" i="1" s="1"/>
  <c r="AP467" i="1"/>
  <c r="BF466" i="1"/>
  <c r="BE466" i="1"/>
  <c r="BC466" i="1"/>
  <c r="BB466" i="1"/>
  <c r="BA466" i="1"/>
  <c r="AZ466" i="1"/>
  <c r="AY466" i="1"/>
  <c r="AX466" i="1"/>
  <c r="AP466" i="1"/>
  <c r="BF465" i="1"/>
  <c r="BE465" i="1"/>
  <c r="BC465" i="1"/>
  <c r="BB465" i="1"/>
  <c r="BA465" i="1"/>
  <c r="AZ465" i="1"/>
  <c r="AY465" i="1"/>
  <c r="AX465" i="1"/>
  <c r="AP465" i="1"/>
  <c r="BF464" i="1"/>
  <c r="BE464" i="1"/>
  <c r="BC464" i="1"/>
  <c r="BB464" i="1"/>
  <c r="BA464" i="1"/>
  <c r="AZ464" i="1"/>
  <c r="AY464" i="1"/>
  <c r="AX464" i="1"/>
  <c r="AP464" i="1"/>
  <c r="BF463" i="1"/>
  <c r="BE463" i="1"/>
  <c r="BC463" i="1"/>
  <c r="BB463" i="1"/>
  <c r="BD463" i="1" s="1"/>
  <c r="BA463" i="1"/>
  <c r="AZ463" i="1"/>
  <c r="AY463" i="1"/>
  <c r="AX463" i="1"/>
  <c r="AP463" i="1"/>
  <c r="BF462" i="1"/>
  <c r="BE462" i="1"/>
  <c r="BC462" i="1"/>
  <c r="BB462" i="1"/>
  <c r="BA462" i="1"/>
  <c r="AZ462" i="1"/>
  <c r="AY462" i="1"/>
  <c r="BD462" i="1" s="1"/>
  <c r="AX462" i="1"/>
  <c r="AP462" i="1"/>
  <c r="BF461" i="1"/>
  <c r="BE461" i="1"/>
  <c r="BC461" i="1"/>
  <c r="BB461" i="1"/>
  <c r="BA461" i="1"/>
  <c r="AZ461" i="1"/>
  <c r="AY461" i="1"/>
  <c r="AX461" i="1"/>
  <c r="AP461" i="1"/>
  <c r="BF460" i="1"/>
  <c r="BE460" i="1"/>
  <c r="BC460" i="1"/>
  <c r="BB460" i="1"/>
  <c r="BA460" i="1"/>
  <c r="AZ460" i="1"/>
  <c r="BD460" i="1" s="1"/>
  <c r="AY460" i="1"/>
  <c r="AX460" i="1"/>
  <c r="AP460" i="1"/>
  <c r="BF459" i="1"/>
  <c r="BE459" i="1"/>
  <c r="BD459" i="1"/>
  <c r="BC459" i="1"/>
  <c r="BB459" i="1"/>
  <c r="BA459" i="1"/>
  <c r="AZ459" i="1"/>
  <c r="AY459" i="1"/>
  <c r="AX459" i="1"/>
  <c r="AP459" i="1"/>
  <c r="BF458" i="1"/>
  <c r="BE458" i="1"/>
  <c r="BC458" i="1"/>
  <c r="BB458" i="1"/>
  <c r="BA458" i="1"/>
  <c r="AZ458" i="1"/>
  <c r="AY458" i="1"/>
  <c r="AX458" i="1"/>
  <c r="BD458" i="1" s="1"/>
  <c r="AP458" i="1"/>
  <c r="BF457" i="1"/>
  <c r="BE457" i="1"/>
  <c r="BC457" i="1"/>
  <c r="BB457" i="1"/>
  <c r="BA457" i="1"/>
  <c r="AZ457" i="1"/>
  <c r="AY457" i="1"/>
  <c r="AX457" i="1"/>
  <c r="BD457" i="1" s="1"/>
  <c r="AP457" i="1"/>
  <c r="BF456" i="1"/>
  <c r="BE456" i="1"/>
  <c r="BC456" i="1"/>
  <c r="BB456" i="1"/>
  <c r="BA456" i="1"/>
  <c r="AZ456" i="1"/>
  <c r="BD456" i="1" s="1"/>
  <c r="AY456" i="1"/>
  <c r="AX456" i="1"/>
  <c r="AP456" i="1"/>
  <c r="BF455" i="1"/>
  <c r="BE455" i="1"/>
  <c r="BC455" i="1"/>
  <c r="BB455" i="1"/>
  <c r="BD455" i="1" s="1"/>
  <c r="BA455" i="1"/>
  <c r="AZ455" i="1"/>
  <c r="AY455" i="1"/>
  <c r="AX455" i="1"/>
  <c r="AP455" i="1"/>
  <c r="BF454" i="1"/>
  <c r="BE454" i="1"/>
  <c r="BD454" i="1"/>
  <c r="BC454" i="1"/>
  <c r="BB454" i="1"/>
  <c r="BA454" i="1"/>
  <c r="AZ454" i="1"/>
  <c r="AY454" i="1"/>
  <c r="AX454" i="1"/>
  <c r="AP454" i="1"/>
  <c r="BF453" i="1"/>
  <c r="BE453" i="1"/>
  <c r="BC453" i="1"/>
  <c r="BB453" i="1"/>
  <c r="BA453" i="1"/>
  <c r="AZ453" i="1"/>
  <c r="AY453" i="1"/>
  <c r="AX453" i="1"/>
  <c r="BD453" i="1" s="1"/>
  <c r="AP453" i="1"/>
  <c r="BF452" i="1"/>
  <c r="BE452" i="1"/>
  <c r="BC452" i="1"/>
  <c r="BB452" i="1"/>
  <c r="BA452" i="1"/>
  <c r="AZ452" i="1"/>
  <c r="BD452" i="1" s="1"/>
  <c r="AY452" i="1"/>
  <c r="AX452" i="1"/>
  <c r="AP452" i="1"/>
  <c r="BF451" i="1"/>
  <c r="BE451" i="1"/>
  <c r="BC451" i="1"/>
  <c r="BB451" i="1"/>
  <c r="BA451" i="1"/>
  <c r="AZ451" i="1"/>
  <c r="AY451" i="1"/>
  <c r="AX451" i="1"/>
  <c r="AP451" i="1"/>
  <c r="BF450" i="1"/>
  <c r="BE450" i="1"/>
  <c r="BD450" i="1"/>
  <c r="BC450" i="1"/>
  <c r="BB450" i="1"/>
  <c r="BA450" i="1"/>
  <c r="AZ450" i="1"/>
  <c r="AY450" i="1"/>
  <c r="AX450" i="1"/>
  <c r="AP450" i="1"/>
  <c r="BF449" i="1"/>
  <c r="BE449" i="1"/>
  <c r="BC449" i="1"/>
  <c r="BB449" i="1"/>
  <c r="BA449" i="1"/>
  <c r="AZ449" i="1"/>
  <c r="AY449" i="1"/>
  <c r="AX449" i="1"/>
  <c r="AP449" i="1"/>
  <c r="BF448" i="1"/>
  <c r="BE448" i="1"/>
  <c r="BD448" i="1"/>
  <c r="BC448" i="1"/>
  <c r="BB448" i="1"/>
  <c r="BA448" i="1"/>
  <c r="AZ448" i="1"/>
  <c r="AY448" i="1"/>
  <c r="AX448" i="1"/>
  <c r="AP448" i="1"/>
  <c r="BF447" i="1"/>
  <c r="BE447" i="1"/>
  <c r="BC447" i="1"/>
  <c r="BB447" i="1"/>
  <c r="BA447" i="1"/>
  <c r="AZ447" i="1"/>
  <c r="AY447" i="1"/>
  <c r="AX447" i="1"/>
  <c r="BD447" i="1" s="1"/>
  <c r="AP447" i="1"/>
  <c r="BF446" i="1"/>
  <c r="BE446" i="1"/>
  <c r="BC446" i="1"/>
  <c r="BB446" i="1"/>
  <c r="BA446" i="1"/>
  <c r="AZ446" i="1"/>
  <c r="BD446" i="1" s="1"/>
  <c r="AY446" i="1"/>
  <c r="AX446" i="1"/>
  <c r="AP446" i="1"/>
  <c r="BF445" i="1"/>
  <c r="BE445" i="1"/>
  <c r="BC445" i="1"/>
  <c r="BB445" i="1"/>
  <c r="BA445" i="1"/>
  <c r="AZ445" i="1"/>
  <c r="AY445" i="1"/>
  <c r="AX445" i="1"/>
  <c r="AP445" i="1"/>
  <c r="BF444" i="1"/>
  <c r="BE444" i="1"/>
  <c r="BC444" i="1"/>
  <c r="BD444" i="1" s="1"/>
  <c r="BB444" i="1"/>
  <c r="BA444" i="1"/>
  <c r="AZ444" i="1"/>
  <c r="AY444" i="1"/>
  <c r="AX444" i="1"/>
  <c r="AP444" i="1"/>
  <c r="BF443" i="1"/>
  <c r="BE443" i="1"/>
  <c r="BC443" i="1"/>
  <c r="BB443" i="1"/>
  <c r="BA443" i="1"/>
  <c r="AZ443" i="1"/>
  <c r="AY443" i="1"/>
  <c r="AX443" i="1"/>
  <c r="BD443" i="1" s="1"/>
  <c r="AP443" i="1"/>
  <c r="BF442" i="1"/>
  <c r="BE442" i="1"/>
  <c r="BC442" i="1"/>
  <c r="BB442" i="1"/>
  <c r="BA442" i="1"/>
  <c r="AZ442" i="1"/>
  <c r="AY442" i="1"/>
  <c r="AX442" i="1"/>
  <c r="BD442" i="1" s="1"/>
  <c r="AP442" i="1"/>
  <c r="BF441" i="1"/>
  <c r="BE441" i="1"/>
  <c r="BC441" i="1"/>
  <c r="BB441" i="1"/>
  <c r="BA441" i="1"/>
  <c r="AZ441" i="1"/>
  <c r="AY441" i="1"/>
  <c r="AX441" i="1"/>
  <c r="AP441" i="1"/>
  <c r="BF440" i="1"/>
  <c r="BE440" i="1"/>
  <c r="BC440" i="1"/>
  <c r="BB440" i="1"/>
  <c r="BD440" i="1" s="1"/>
  <c r="BA440" i="1"/>
  <c r="AZ440" i="1"/>
  <c r="AY440" i="1"/>
  <c r="AX440" i="1"/>
  <c r="AP440" i="1"/>
  <c r="BF439" i="1"/>
  <c r="BE439" i="1"/>
  <c r="BC439" i="1"/>
  <c r="BB439" i="1"/>
  <c r="BA439" i="1"/>
  <c r="AZ439" i="1"/>
  <c r="AY439" i="1"/>
  <c r="BD439" i="1" s="1"/>
  <c r="AX439" i="1"/>
  <c r="AP439" i="1"/>
  <c r="BF438" i="1"/>
  <c r="BE438" i="1"/>
  <c r="BC438" i="1"/>
  <c r="BB438" i="1"/>
  <c r="BA438" i="1"/>
  <c r="AZ438" i="1"/>
  <c r="AY438" i="1"/>
  <c r="AX438" i="1"/>
  <c r="AP438" i="1"/>
  <c r="BF437" i="1"/>
  <c r="BE437" i="1"/>
  <c r="BC437" i="1"/>
  <c r="BB437" i="1"/>
  <c r="BA437" i="1"/>
  <c r="AZ437" i="1"/>
  <c r="AY437" i="1"/>
  <c r="AX437" i="1"/>
  <c r="AP437" i="1"/>
  <c r="BF436" i="1"/>
  <c r="BE436" i="1"/>
  <c r="BD436" i="1"/>
  <c r="BC436" i="1"/>
  <c r="BB436" i="1"/>
  <c r="BA436" i="1"/>
  <c r="AZ436" i="1"/>
  <c r="AY436" i="1"/>
  <c r="AX436" i="1"/>
  <c r="AP436" i="1"/>
  <c r="BF435" i="1"/>
  <c r="BE435" i="1"/>
  <c r="BC435" i="1"/>
  <c r="BB435" i="1"/>
  <c r="BA435" i="1"/>
  <c r="AZ435" i="1"/>
  <c r="AY435" i="1"/>
  <c r="AX435" i="1"/>
  <c r="BD435" i="1" s="1"/>
  <c r="AP435" i="1"/>
  <c r="BF434" i="1"/>
  <c r="BE434" i="1"/>
  <c r="BC434" i="1"/>
  <c r="BB434" i="1"/>
  <c r="BA434" i="1"/>
  <c r="AZ434" i="1"/>
  <c r="AY434" i="1"/>
  <c r="AX434" i="1"/>
  <c r="BD434" i="1" s="1"/>
  <c r="AP434" i="1"/>
  <c r="BF433" i="1"/>
  <c r="BE433" i="1"/>
  <c r="BC433" i="1"/>
  <c r="BB433" i="1"/>
  <c r="BA433" i="1"/>
  <c r="AZ433" i="1"/>
  <c r="AY433" i="1"/>
  <c r="AX433" i="1"/>
  <c r="AP433" i="1"/>
  <c r="BF432" i="1"/>
  <c r="BE432" i="1"/>
  <c r="BC432" i="1"/>
  <c r="BB432" i="1"/>
  <c r="BA432" i="1"/>
  <c r="AZ432" i="1"/>
  <c r="BD432" i="1" s="1"/>
  <c r="AY432" i="1"/>
  <c r="AX432" i="1"/>
  <c r="AP432" i="1"/>
  <c r="BF431" i="1"/>
  <c r="BE431" i="1"/>
  <c r="BC431" i="1"/>
  <c r="BB431" i="1"/>
  <c r="BD431" i="1" s="1"/>
  <c r="BA431" i="1"/>
  <c r="AZ431" i="1"/>
  <c r="AY431" i="1"/>
  <c r="AX431" i="1"/>
  <c r="AP431" i="1"/>
  <c r="BF430" i="1"/>
  <c r="BE430" i="1"/>
  <c r="BC430" i="1"/>
  <c r="BB430" i="1"/>
  <c r="BA430" i="1"/>
  <c r="AZ430" i="1"/>
  <c r="AY430" i="1"/>
  <c r="BD430" i="1" s="1"/>
  <c r="AX430" i="1"/>
  <c r="AP430" i="1"/>
  <c r="BF429" i="1"/>
  <c r="BE429" i="1"/>
  <c r="BC429" i="1"/>
  <c r="BB429" i="1"/>
  <c r="BA429" i="1"/>
  <c r="AZ429" i="1"/>
  <c r="AY429" i="1"/>
  <c r="AX429" i="1"/>
  <c r="AP429" i="1"/>
  <c r="BF428" i="1"/>
  <c r="BE428" i="1"/>
  <c r="BC428" i="1"/>
  <c r="BB428" i="1"/>
  <c r="BA428" i="1"/>
  <c r="AZ428" i="1"/>
  <c r="AY428" i="1"/>
  <c r="AX428" i="1"/>
  <c r="AP428" i="1"/>
  <c r="BF427" i="1"/>
  <c r="BE427" i="1"/>
  <c r="BD427" i="1"/>
  <c r="BC427" i="1"/>
  <c r="BB427" i="1"/>
  <c r="BA427" i="1"/>
  <c r="AZ427" i="1"/>
  <c r="AY427" i="1"/>
  <c r="AX427" i="1"/>
  <c r="AP427" i="1"/>
  <c r="BF426" i="1"/>
  <c r="BE426" i="1"/>
  <c r="BC426" i="1"/>
  <c r="BB426" i="1"/>
  <c r="BA426" i="1"/>
  <c r="AZ426" i="1"/>
  <c r="AY426" i="1"/>
  <c r="AX426" i="1"/>
  <c r="BD426" i="1" s="1"/>
  <c r="AP426" i="1"/>
  <c r="BF425" i="1"/>
  <c r="BE425" i="1"/>
  <c r="BC425" i="1"/>
  <c r="BB425" i="1"/>
  <c r="BA425" i="1"/>
  <c r="AZ425" i="1"/>
  <c r="AY425" i="1"/>
  <c r="AX425" i="1"/>
  <c r="AP425" i="1"/>
  <c r="BF424" i="1"/>
  <c r="BE424" i="1"/>
  <c r="BC424" i="1"/>
  <c r="BB424" i="1"/>
  <c r="BA424" i="1"/>
  <c r="AZ424" i="1"/>
  <c r="BD424" i="1" s="1"/>
  <c r="AY424" i="1"/>
  <c r="AX424" i="1"/>
  <c r="AP424" i="1"/>
  <c r="BF423" i="1"/>
  <c r="BE423" i="1"/>
  <c r="BC423" i="1"/>
  <c r="BB423" i="1"/>
  <c r="BA423" i="1"/>
  <c r="AZ423" i="1"/>
  <c r="AY423" i="1"/>
  <c r="AX423" i="1"/>
  <c r="AP423" i="1"/>
  <c r="BF422" i="1"/>
  <c r="BE422" i="1"/>
  <c r="BD422" i="1"/>
  <c r="BC422" i="1"/>
  <c r="BB422" i="1"/>
  <c r="BA422" i="1"/>
  <c r="AZ422" i="1"/>
  <c r="AY422" i="1"/>
  <c r="AX422" i="1"/>
  <c r="BF421" i="1"/>
  <c r="BE421" i="1"/>
  <c r="BC421" i="1"/>
  <c r="BB421" i="1"/>
  <c r="BA421" i="1"/>
  <c r="AZ421" i="1"/>
  <c r="AY421" i="1"/>
  <c r="AX421" i="1"/>
  <c r="AP421" i="1"/>
  <c r="BF420" i="1"/>
  <c r="BE420" i="1"/>
  <c r="BC420" i="1"/>
  <c r="BB420" i="1"/>
  <c r="BA420" i="1"/>
  <c r="AZ420" i="1"/>
  <c r="AY420" i="1"/>
  <c r="BD420" i="1" s="1"/>
  <c r="AX420" i="1"/>
  <c r="AP420" i="1"/>
  <c r="BF419" i="1"/>
  <c r="BE419" i="1"/>
  <c r="BC419" i="1"/>
  <c r="BB419" i="1"/>
  <c r="BA419" i="1"/>
  <c r="AZ419" i="1"/>
  <c r="AY419" i="1"/>
  <c r="AX419" i="1"/>
  <c r="BD419" i="1" s="1"/>
  <c r="AP419" i="1"/>
  <c r="BF418" i="1"/>
  <c r="BE418" i="1"/>
  <c r="BC418" i="1"/>
  <c r="BB418" i="1"/>
  <c r="BA418" i="1"/>
  <c r="AZ418" i="1"/>
  <c r="BD418" i="1" s="1"/>
  <c r="AY418" i="1"/>
  <c r="AX418" i="1"/>
  <c r="AP418" i="1"/>
  <c r="BF417" i="1"/>
  <c r="BE417" i="1"/>
  <c r="BC417" i="1"/>
  <c r="BB417" i="1"/>
  <c r="BA417" i="1"/>
  <c r="AZ417" i="1"/>
  <c r="AY417" i="1"/>
  <c r="AX417" i="1"/>
  <c r="AP417" i="1"/>
  <c r="BF416" i="1"/>
  <c r="BE416" i="1"/>
  <c r="BC416" i="1"/>
  <c r="BB416" i="1"/>
  <c r="BA416" i="1"/>
  <c r="AZ416" i="1"/>
  <c r="AY416" i="1"/>
  <c r="BD416" i="1" s="1"/>
  <c r="AX416" i="1"/>
  <c r="AP416" i="1"/>
  <c r="BF415" i="1"/>
  <c r="BE415" i="1"/>
  <c r="BC415" i="1"/>
  <c r="BB415" i="1"/>
  <c r="BA415" i="1"/>
  <c r="AZ415" i="1"/>
  <c r="AY415" i="1"/>
  <c r="AX415" i="1"/>
  <c r="BD415" i="1" s="1"/>
  <c r="AP415" i="1"/>
  <c r="BF414" i="1"/>
  <c r="BE414" i="1"/>
  <c r="BC414" i="1"/>
  <c r="BB414" i="1"/>
  <c r="BA414" i="1"/>
  <c r="AZ414" i="1"/>
  <c r="AY414" i="1"/>
  <c r="AX414" i="1"/>
  <c r="BD414" i="1" s="1"/>
  <c r="AP414" i="1"/>
  <c r="BF413" i="1"/>
  <c r="BE413" i="1"/>
  <c r="BC413" i="1"/>
  <c r="BB413" i="1"/>
  <c r="BA413" i="1"/>
  <c r="AZ413" i="1"/>
  <c r="AY413" i="1"/>
  <c r="AX413" i="1"/>
  <c r="AP413" i="1"/>
  <c r="BF412" i="1"/>
  <c r="BE412" i="1"/>
  <c r="BC412" i="1"/>
  <c r="BB412" i="1"/>
  <c r="BD412" i="1" s="1"/>
  <c r="BA412" i="1"/>
  <c r="AZ412" i="1"/>
  <c r="AY412" i="1"/>
  <c r="AX412" i="1"/>
  <c r="AP412" i="1"/>
  <c r="BF411" i="1"/>
  <c r="BE411" i="1"/>
  <c r="BD411" i="1"/>
  <c r="BC411" i="1"/>
  <c r="BB411" i="1"/>
  <c r="BA411" i="1"/>
  <c r="AZ411" i="1"/>
  <c r="AY411" i="1"/>
  <c r="AX411" i="1"/>
  <c r="AP411" i="1"/>
  <c r="BF410" i="1"/>
  <c r="BE410" i="1"/>
  <c r="BC410" i="1"/>
  <c r="BB410" i="1"/>
  <c r="BA410" i="1"/>
  <c r="AZ410" i="1"/>
  <c r="AY410" i="1"/>
  <c r="AX410" i="1"/>
  <c r="BD410" i="1" s="1"/>
  <c r="AP410" i="1"/>
  <c r="BF409" i="1"/>
  <c r="BE409" i="1"/>
  <c r="BC409" i="1"/>
  <c r="BB409" i="1"/>
  <c r="BA409" i="1"/>
  <c r="AZ409" i="1"/>
  <c r="AY409" i="1"/>
  <c r="AX409" i="1"/>
  <c r="AP409" i="1"/>
  <c r="BF408" i="1"/>
  <c r="BE408" i="1"/>
  <c r="BD408" i="1"/>
  <c r="BC408" i="1"/>
  <c r="BB408" i="1"/>
  <c r="BA408" i="1"/>
  <c r="AZ408" i="1"/>
  <c r="AY408" i="1"/>
  <c r="AX408" i="1"/>
  <c r="AP408" i="1"/>
  <c r="BF407" i="1"/>
  <c r="BE407" i="1"/>
  <c r="BC407" i="1"/>
  <c r="BB407" i="1"/>
  <c r="BA407" i="1"/>
  <c r="AZ407" i="1"/>
  <c r="AY407" i="1"/>
  <c r="AX407" i="1"/>
  <c r="BD407" i="1" s="1"/>
  <c r="AP407" i="1"/>
  <c r="BF406" i="1"/>
  <c r="BE406" i="1"/>
  <c r="BC406" i="1"/>
  <c r="BB406" i="1"/>
  <c r="BA406" i="1"/>
  <c r="AZ406" i="1"/>
  <c r="AY406" i="1"/>
  <c r="AX406" i="1"/>
  <c r="BD406" i="1" s="1"/>
  <c r="AP406" i="1"/>
  <c r="BF405" i="1"/>
  <c r="BE405" i="1"/>
  <c r="BC405" i="1"/>
  <c r="BB405" i="1"/>
  <c r="BA405" i="1"/>
  <c r="AZ405" i="1"/>
  <c r="AY405" i="1"/>
  <c r="AX405" i="1"/>
  <c r="AP405" i="1"/>
  <c r="BF404" i="1"/>
  <c r="BE404" i="1"/>
  <c r="BC404" i="1"/>
  <c r="BB404" i="1"/>
  <c r="BA404" i="1"/>
  <c r="AZ404" i="1"/>
  <c r="BD404" i="1" s="1"/>
  <c r="AY404" i="1"/>
  <c r="AX404" i="1"/>
  <c r="AP404" i="1"/>
  <c r="BF403" i="1"/>
  <c r="BE403" i="1"/>
  <c r="BC403" i="1"/>
  <c r="BB403" i="1"/>
  <c r="BD403" i="1" s="1"/>
  <c r="BA403" i="1"/>
  <c r="AZ403" i="1"/>
  <c r="AY403" i="1"/>
  <c r="AX403" i="1"/>
  <c r="AP403" i="1"/>
  <c r="BF402" i="1"/>
  <c r="BE402" i="1"/>
  <c r="BC402" i="1"/>
  <c r="BB402" i="1"/>
  <c r="BA402" i="1"/>
  <c r="AZ402" i="1"/>
  <c r="AY402" i="1"/>
  <c r="AX402" i="1"/>
  <c r="AP402" i="1"/>
  <c r="BF401" i="1"/>
  <c r="BE401" i="1"/>
  <c r="BC401" i="1"/>
  <c r="BB401" i="1"/>
  <c r="BA401" i="1"/>
  <c r="AZ401" i="1"/>
  <c r="AY401" i="1"/>
  <c r="AX401" i="1"/>
  <c r="AP401" i="1"/>
  <c r="BF400" i="1"/>
  <c r="BE400" i="1"/>
  <c r="BC400" i="1"/>
  <c r="BB400" i="1"/>
  <c r="BA400" i="1"/>
  <c r="AZ400" i="1"/>
  <c r="AY400" i="1"/>
  <c r="AX400" i="1"/>
  <c r="AP400" i="1"/>
  <c r="BF399" i="1"/>
  <c r="BE399" i="1"/>
  <c r="BD399" i="1"/>
  <c r="BC399" i="1"/>
  <c r="BB399" i="1"/>
  <c r="BA399" i="1"/>
  <c r="AZ399" i="1"/>
  <c r="AY399" i="1"/>
  <c r="AX399" i="1"/>
  <c r="AP399" i="1"/>
  <c r="BF398" i="1"/>
  <c r="BE398" i="1"/>
  <c r="BC398" i="1"/>
  <c r="BB398" i="1"/>
  <c r="BA398" i="1"/>
  <c r="AZ398" i="1"/>
  <c r="AY398" i="1"/>
  <c r="AX398" i="1"/>
  <c r="BD398" i="1" s="1"/>
  <c r="AP398" i="1"/>
  <c r="BF397" i="1"/>
  <c r="BE397" i="1"/>
  <c r="BC397" i="1"/>
  <c r="BB397" i="1"/>
  <c r="BA397" i="1"/>
  <c r="AZ397" i="1"/>
  <c r="AY397" i="1"/>
  <c r="AX397" i="1"/>
  <c r="AP397" i="1"/>
  <c r="BF396" i="1"/>
  <c r="BE396" i="1"/>
  <c r="BC396" i="1"/>
  <c r="BB396" i="1"/>
  <c r="BA396" i="1"/>
  <c r="AZ396" i="1"/>
  <c r="AY396" i="1"/>
  <c r="BD396" i="1" s="1"/>
  <c r="AX396" i="1"/>
  <c r="AP396" i="1"/>
  <c r="BF395" i="1"/>
  <c r="BE395" i="1"/>
  <c r="BC395" i="1"/>
  <c r="BB395" i="1"/>
  <c r="BD395" i="1" s="1"/>
  <c r="BA395" i="1"/>
  <c r="AZ395" i="1"/>
  <c r="AY395" i="1"/>
  <c r="AX395" i="1"/>
  <c r="AP395" i="1"/>
  <c r="BF394" i="1"/>
  <c r="BE394" i="1"/>
  <c r="BD394" i="1"/>
  <c r="BC394" i="1"/>
  <c r="BB394" i="1"/>
  <c r="BA394" i="1"/>
  <c r="AZ394" i="1"/>
  <c r="AY394" i="1"/>
  <c r="AX394" i="1"/>
  <c r="AP394" i="1"/>
  <c r="BF393" i="1"/>
  <c r="BE393" i="1"/>
  <c r="BC393" i="1"/>
  <c r="BB393" i="1"/>
  <c r="BA393" i="1"/>
  <c r="AZ393" i="1"/>
  <c r="AY393" i="1"/>
  <c r="AX393" i="1"/>
  <c r="BD393" i="1" s="1"/>
  <c r="AP393" i="1"/>
  <c r="BF392" i="1"/>
  <c r="BE392" i="1"/>
  <c r="BC392" i="1"/>
  <c r="BB392" i="1"/>
  <c r="BA392" i="1"/>
  <c r="AZ392" i="1"/>
  <c r="AY392" i="1"/>
  <c r="BD392" i="1" s="1"/>
  <c r="AX392" i="1"/>
  <c r="AP392" i="1"/>
  <c r="BF391" i="1"/>
  <c r="BE391" i="1"/>
  <c r="BC391" i="1"/>
  <c r="BB391" i="1"/>
  <c r="BA391" i="1"/>
  <c r="AZ391" i="1"/>
  <c r="AY391" i="1"/>
  <c r="AX391" i="1"/>
  <c r="BD391" i="1" s="1"/>
  <c r="AP391" i="1"/>
  <c r="BF390" i="1"/>
  <c r="BE390" i="1"/>
  <c r="BD390" i="1"/>
  <c r="BC390" i="1"/>
  <c r="BB390" i="1"/>
  <c r="BA390" i="1"/>
  <c r="AZ390" i="1"/>
  <c r="AY390" i="1"/>
  <c r="AX390" i="1"/>
  <c r="AP390" i="1"/>
  <c r="BF389" i="1"/>
  <c r="BE389" i="1"/>
  <c r="BC389" i="1"/>
  <c r="BB389" i="1"/>
  <c r="BA389" i="1"/>
  <c r="AZ389" i="1"/>
  <c r="AY389" i="1"/>
  <c r="AX389" i="1"/>
  <c r="AP389" i="1"/>
  <c r="BF388" i="1"/>
  <c r="BE388" i="1"/>
  <c r="BC388" i="1"/>
  <c r="BB388" i="1"/>
  <c r="BA388" i="1"/>
  <c r="AZ388" i="1"/>
  <c r="AY388" i="1"/>
  <c r="BD388" i="1" s="1"/>
  <c r="AX388" i="1"/>
  <c r="AP388" i="1"/>
  <c r="BF387" i="1"/>
  <c r="BE387" i="1"/>
  <c r="BC387" i="1"/>
  <c r="BB387" i="1"/>
  <c r="BA387" i="1"/>
  <c r="AZ387" i="1"/>
  <c r="AY387" i="1"/>
  <c r="AX387" i="1"/>
  <c r="AP387" i="1"/>
  <c r="BF386" i="1"/>
  <c r="BE386" i="1"/>
  <c r="BC386" i="1"/>
  <c r="BB386" i="1"/>
  <c r="BA386" i="1"/>
  <c r="AZ386" i="1"/>
  <c r="AY386" i="1"/>
  <c r="AX386" i="1"/>
  <c r="AP386" i="1"/>
  <c r="BF385" i="1"/>
  <c r="BE385" i="1"/>
  <c r="BC385" i="1"/>
  <c r="BB385" i="1"/>
  <c r="BA385" i="1"/>
  <c r="AZ385" i="1"/>
  <c r="AY385" i="1"/>
  <c r="AX385" i="1"/>
  <c r="AP385" i="1"/>
  <c r="BF384" i="1"/>
  <c r="BE384" i="1"/>
  <c r="BC384" i="1"/>
  <c r="BB384" i="1"/>
  <c r="BA384" i="1"/>
  <c r="AZ384" i="1"/>
  <c r="AY384" i="1"/>
  <c r="BD384" i="1" s="1"/>
  <c r="AX384" i="1"/>
  <c r="AP384" i="1"/>
  <c r="BF383" i="1"/>
  <c r="BE383" i="1"/>
  <c r="BC383" i="1"/>
  <c r="BB383" i="1"/>
  <c r="BA383" i="1"/>
  <c r="AZ383" i="1"/>
  <c r="AY383" i="1"/>
  <c r="AX383" i="1"/>
  <c r="BD383" i="1" s="1"/>
  <c r="AP383" i="1"/>
  <c r="BF382" i="1"/>
  <c r="BE382" i="1"/>
  <c r="BC382" i="1"/>
  <c r="BB382" i="1"/>
  <c r="BA382" i="1"/>
  <c r="AZ382" i="1"/>
  <c r="AY382" i="1"/>
  <c r="AX382" i="1"/>
  <c r="BD382" i="1" s="1"/>
  <c r="AP382" i="1"/>
  <c r="BF381" i="1"/>
  <c r="BE381" i="1"/>
  <c r="BC381" i="1"/>
  <c r="BB381" i="1"/>
  <c r="BA381" i="1"/>
  <c r="AZ381" i="1"/>
  <c r="AY381" i="1"/>
  <c r="AX381" i="1"/>
  <c r="AP381" i="1"/>
  <c r="BF380" i="1"/>
  <c r="BE380" i="1"/>
  <c r="BD380" i="1"/>
  <c r="BC380" i="1"/>
  <c r="BB380" i="1"/>
  <c r="BA380" i="1"/>
  <c r="AZ380" i="1"/>
  <c r="AY380" i="1"/>
  <c r="AX380" i="1"/>
  <c r="AP380" i="1"/>
  <c r="BF379" i="1"/>
  <c r="BE379" i="1"/>
  <c r="BC379" i="1"/>
  <c r="BB379" i="1"/>
  <c r="BA379" i="1"/>
  <c r="AZ379" i="1"/>
  <c r="AY379" i="1"/>
  <c r="AX379" i="1"/>
  <c r="BD379" i="1" s="1"/>
  <c r="AP379" i="1"/>
  <c r="BF378" i="1"/>
  <c r="BE378" i="1"/>
  <c r="BC378" i="1"/>
  <c r="BB378" i="1"/>
  <c r="BA378" i="1"/>
  <c r="AZ378" i="1"/>
  <c r="AY378" i="1"/>
  <c r="AX378" i="1"/>
  <c r="BD378" i="1" s="1"/>
  <c r="AP378" i="1"/>
  <c r="BF377" i="1"/>
  <c r="BE377" i="1"/>
  <c r="BC377" i="1"/>
  <c r="BB377" i="1"/>
  <c r="BA377" i="1"/>
  <c r="AZ377" i="1"/>
  <c r="AY377" i="1"/>
  <c r="AX377" i="1"/>
  <c r="AP377" i="1"/>
  <c r="BF376" i="1"/>
  <c r="BE376" i="1"/>
  <c r="BD376" i="1"/>
  <c r="BC376" i="1"/>
  <c r="BB376" i="1"/>
  <c r="BA376" i="1"/>
  <c r="AZ376" i="1"/>
  <c r="AY376" i="1"/>
  <c r="AX376" i="1"/>
  <c r="AP376" i="1"/>
  <c r="BF375" i="1"/>
  <c r="BE375" i="1"/>
  <c r="BC375" i="1"/>
  <c r="BB375" i="1"/>
  <c r="BA375" i="1"/>
  <c r="AZ375" i="1"/>
  <c r="AY375" i="1"/>
  <c r="AX375" i="1"/>
  <c r="BD375" i="1" s="1"/>
  <c r="AP375" i="1"/>
  <c r="BF374" i="1"/>
  <c r="BE374" i="1"/>
  <c r="BC374" i="1"/>
  <c r="BB374" i="1"/>
  <c r="BA374" i="1"/>
  <c r="AZ374" i="1"/>
  <c r="AY374" i="1"/>
  <c r="AX374" i="1"/>
  <c r="AP374" i="1"/>
  <c r="BF373" i="1"/>
  <c r="BE373" i="1"/>
  <c r="BC373" i="1"/>
  <c r="BB373" i="1"/>
  <c r="BA373" i="1"/>
  <c r="AZ373" i="1"/>
  <c r="AY373" i="1"/>
  <c r="AX373" i="1"/>
  <c r="AP373" i="1"/>
  <c r="BF372" i="1"/>
  <c r="BE372" i="1"/>
  <c r="BC372" i="1"/>
  <c r="BB372" i="1"/>
  <c r="BA372" i="1"/>
  <c r="AZ372" i="1"/>
  <c r="AY372" i="1"/>
  <c r="AX372" i="1"/>
  <c r="AP372" i="1"/>
  <c r="BF371" i="1"/>
  <c r="BE371" i="1"/>
  <c r="BD371" i="1"/>
  <c r="BC371" i="1"/>
  <c r="BB371" i="1"/>
  <c r="BA371" i="1"/>
  <c r="AZ371" i="1"/>
  <c r="AY371" i="1"/>
  <c r="AX371" i="1"/>
  <c r="AP371" i="1"/>
  <c r="BF370" i="1"/>
  <c r="BE370" i="1"/>
  <c r="BC370" i="1"/>
  <c r="BB370" i="1"/>
  <c r="BA370" i="1"/>
  <c r="AZ370" i="1"/>
  <c r="AY370" i="1"/>
  <c r="AX370" i="1"/>
  <c r="BD370" i="1" s="1"/>
  <c r="AP370" i="1"/>
  <c r="BF369" i="1"/>
  <c r="BE369" i="1"/>
  <c r="BC369" i="1"/>
  <c r="BB369" i="1"/>
  <c r="BA369" i="1"/>
  <c r="AZ369" i="1"/>
  <c r="AY369" i="1"/>
  <c r="AX369" i="1"/>
  <c r="AP369" i="1"/>
  <c r="BF368" i="1"/>
  <c r="BE368" i="1"/>
  <c r="BC368" i="1"/>
  <c r="BB368" i="1"/>
  <c r="BA368" i="1"/>
  <c r="AZ368" i="1"/>
  <c r="AY368" i="1"/>
  <c r="BD368" i="1" s="1"/>
  <c r="AX368" i="1"/>
  <c r="AP368" i="1"/>
  <c r="BF367" i="1"/>
  <c r="BE367" i="1"/>
  <c r="BD367" i="1"/>
  <c r="BC367" i="1"/>
  <c r="BB367" i="1"/>
  <c r="BA367" i="1"/>
  <c r="AZ367" i="1"/>
  <c r="AY367" i="1"/>
  <c r="AX367" i="1"/>
  <c r="AP367" i="1"/>
  <c r="BF366" i="1"/>
  <c r="BE366" i="1"/>
  <c r="BC366" i="1"/>
  <c r="BB366" i="1"/>
  <c r="BA366" i="1"/>
  <c r="AZ366" i="1"/>
  <c r="AY366" i="1"/>
  <c r="AX366" i="1"/>
  <c r="BD366" i="1" s="1"/>
  <c r="AP366" i="1"/>
  <c r="BF365" i="1"/>
  <c r="BE365" i="1"/>
  <c r="BC365" i="1"/>
  <c r="BB365" i="1"/>
  <c r="BA365" i="1"/>
  <c r="AZ365" i="1"/>
  <c r="AY365" i="1"/>
  <c r="AX365" i="1"/>
  <c r="AP365" i="1"/>
  <c r="BF364" i="1"/>
  <c r="BE364" i="1"/>
  <c r="BC364" i="1"/>
  <c r="BB364" i="1"/>
  <c r="BA364" i="1"/>
  <c r="AZ364" i="1"/>
  <c r="AY364" i="1"/>
  <c r="BD364" i="1" s="1"/>
  <c r="AX364" i="1"/>
  <c r="AP364" i="1"/>
  <c r="BF363" i="1"/>
  <c r="BE363" i="1"/>
  <c r="BC363" i="1"/>
  <c r="BB363" i="1"/>
  <c r="BA363" i="1"/>
  <c r="AZ363" i="1"/>
  <c r="AY363" i="1"/>
  <c r="AX363" i="1"/>
  <c r="AP363" i="1"/>
  <c r="BF362" i="1"/>
  <c r="BE362" i="1"/>
  <c r="BD362" i="1"/>
  <c r="BC362" i="1"/>
  <c r="BB362" i="1"/>
  <c r="BA362" i="1"/>
  <c r="AZ362" i="1"/>
  <c r="AY362" i="1"/>
  <c r="AX362" i="1"/>
  <c r="AP362" i="1"/>
  <c r="BF361" i="1"/>
  <c r="BE361" i="1"/>
  <c r="BC361" i="1"/>
  <c r="BB361" i="1"/>
  <c r="BA361" i="1"/>
  <c r="AZ361" i="1"/>
  <c r="AY361" i="1"/>
  <c r="AX361" i="1"/>
  <c r="BD361" i="1" s="1"/>
  <c r="AP361" i="1"/>
  <c r="BF360" i="1"/>
  <c r="BE360" i="1"/>
  <c r="BC360" i="1"/>
  <c r="BB360" i="1"/>
  <c r="BA360" i="1"/>
  <c r="AZ360" i="1"/>
  <c r="AY360" i="1"/>
  <c r="BD360" i="1" s="1"/>
  <c r="AX360" i="1"/>
  <c r="AP360" i="1"/>
  <c r="BF359" i="1"/>
  <c r="BE359" i="1"/>
  <c r="BC359" i="1"/>
  <c r="BB359" i="1"/>
  <c r="BA359" i="1"/>
  <c r="AZ359" i="1"/>
  <c r="AY359" i="1"/>
  <c r="AX359" i="1"/>
  <c r="AP359" i="1"/>
  <c r="BF358" i="1"/>
  <c r="BE358" i="1"/>
  <c r="BD358" i="1"/>
  <c r="BC358" i="1"/>
  <c r="BB358" i="1"/>
  <c r="BA358" i="1"/>
  <c r="AZ358" i="1"/>
  <c r="AY358" i="1"/>
  <c r="AX358" i="1"/>
  <c r="AP358" i="1"/>
  <c r="BF357" i="1"/>
  <c r="BE357" i="1"/>
  <c r="BC357" i="1"/>
  <c r="BB357" i="1"/>
  <c r="BA357" i="1"/>
  <c r="AZ357" i="1"/>
  <c r="AY357" i="1"/>
  <c r="AX357" i="1"/>
  <c r="AP357" i="1"/>
  <c r="BF356" i="1"/>
  <c r="BE356" i="1"/>
  <c r="BC356" i="1"/>
  <c r="BB356" i="1"/>
  <c r="BA356" i="1"/>
  <c r="AZ356" i="1"/>
  <c r="AY356" i="1"/>
  <c r="AX356" i="1"/>
  <c r="BD356" i="1" s="1"/>
  <c r="AP356" i="1"/>
  <c r="BF355" i="1"/>
  <c r="BE355" i="1"/>
  <c r="BC355" i="1"/>
  <c r="BB355" i="1"/>
  <c r="BA355" i="1"/>
  <c r="AZ355" i="1"/>
  <c r="AY355" i="1"/>
  <c r="AX355" i="1"/>
  <c r="AP355" i="1"/>
  <c r="BF354" i="1"/>
  <c r="BE354" i="1"/>
  <c r="BC354" i="1"/>
  <c r="BB354" i="1"/>
  <c r="BA354" i="1"/>
  <c r="AZ354" i="1"/>
  <c r="BD354" i="1" s="1"/>
  <c r="AY354" i="1"/>
  <c r="AX354" i="1"/>
  <c r="AP354" i="1"/>
  <c r="BF353" i="1"/>
  <c r="BE353" i="1"/>
  <c r="BD353" i="1"/>
  <c r="BC353" i="1"/>
  <c r="BB353" i="1"/>
  <c r="BA353" i="1"/>
  <c r="AZ353" i="1"/>
  <c r="AY353" i="1"/>
  <c r="AX353" i="1"/>
  <c r="AP353" i="1"/>
  <c r="BF352" i="1"/>
  <c r="BE352" i="1"/>
  <c r="BC352" i="1"/>
  <c r="BB352" i="1"/>
  <c r="BA352" i="1"/>
  <c r="AZ352" i="1"/>
  <c r="AY352" i="1"/>
  <c r="AX352" i="1"/>
  <c r="BD352" i="1" s="1"/>
  <c r="AP352" i="1"/>
  <c r="BF351" i="1"/>
  <c r="BE351" i="1"/>
  <c r="BC351" i="1"/>
  <c r="BB351" i="1"/>
  <c r="BA351" i="1"/>
  <c r="AZ351" i="1"/>
  <c r="AY351" i="1"/>
  <c r="AX351" i="1"/>
  <c r="BD351" i="1" s="1"/>
  <c r="AP351" i="1"/>
  <c r="BF350" i="1"/>
  <c r="BE350" i="1"/>
  <c r="BC350" i="1"/>
  <c r="BB350" i="1"/>
  <c r="BA350" i="1"/>
  <c r="AZ350" i="1"/>
  <c r="AY350" i="1"/>
  <c r="AX350" i="1"/>
  <c r="AP350" i="1"/>
  <c r="BF349" i="1"/>
  <c r="BE349" i="1"/>
  <c r="BD349" i="1"/>
  <c r="BC349" i="1"/>
  <c r="BB349" i="1"/>
  <c r="BA349" i="1"/>
  <c r="AZ349" i="1"/>
  <c r="AY349" i="1"/>
  <c r="AX349" i="1"/>
  <c r="AP349" i="1"/>
  <c r="BF348" i="1"/>
  <c r="BE348" i="1"/>
  <c r="BC348" i="1"/>
  <c r="BB348" i="1"/>
  <c r="BA348" i="1"/>
  <c r="AZ348" i="1"/>
  <c r="AY348" i="1"/>
  <c r="AX348" i="1"/>
  <c r="BD348" i="1" s="1"/>
  <c r="AP348" i="1"/>
  <c r="BF347" i="1"/>
  <c r="BE347" i="1"/>
  <c r="BC347" i="1"/>
  <c r="BB347" i="1"/>
  <c r="BA347" i="1"/>
  <c r="AZ347" i="1"/>
  <c r="AY347" i="1"/>
  <c r="AX347" i="1"/>
  <c r="AP347" i="1"/>
  <c r="BF346" i="1"/>
  <c r="BE346" i="1"/>
  <c r="BC346" i="1"/>
  <c r="BB346" i="1"/>
  <c r="BA346" i="1"/>
  <c r="AZ346" i="1"/>
  <c r="AY346" i="1"/>
  <c r="AX346" i="1"/>
  <c r="AP346" i="1"/>
  <c r="BF345" i="1"/>
  <c r="BE345" i="1"/>
  <c r="BD345" i="1"/>
  <c r="BC345" i="1"/>
  <c r="BB345" i="1"/>
  <c r="BA345" i="1"/>
  <c r="AZ345" i="1"/>
  <c r="AY345" i="1"/>
  <c r="AX345" i="1"/>
  <c r="AP345" i="1"/>
  <c r="BF344" i="1"/>
  <c r="BE344" i="1"/>
  <c r="BC344" i="1"/>
  <c r="BB344" i="1"/>
  <c r="BA344" i="1"/>
  <c r="AZ344" i="1"/>
  <c r="AY344" i="1"/>
  <c r="AX344" i="1"/>
  <c r="BD344" i="1" s="1"/>
  <c r="AP344" i="1"/>
  <c r="BF343" i="1"/>
  <c r="BE343" i="1"/>
  <c r="BC343" i="1"/>
  <c r="BB343" i="1"/>
  <c r="BA343" i="1"/>
  <c r="AZ343" i="1"/>
  <c r="AY343" i="1"/>
  <c r="AX343" i="1"/>
  <c r="BD343" i="1" s="1"/>
  <c r="AP343" i="1"/>
  <c r="BF342" i="1"/>
  <c r="BE342" i="1"/>
  <c r="BC342" i="1"/>
  <c r="BB342" i="1"/>
  <c r="BA342" i="1"/>
  <c r="AZ342" i="1"/>
  <c r="BD342" i="1" s="1"/>
  <c r="AY342" i="1"/>
  <c r="AX342" i="1"/>
  <c r="AP342" i="1"/>
  <c r="BF341" i="1"/>
  <c r="BE341" i="1"/>
  <c r="BD341" i="1"/>
  <c r="BC341" i="1"/>
  <c r="BB341" i="1"/>
  <c r="BA341" i="1"/>
  <c r="AZ341" i="1"/>
  <c r="AY341" i="1"/>
  <c r="AX341" i="1"/>
  <c r="AP341" i="1"/>
  <c r="BF340" i="1"/>
  <c r="BE340" i="1"/>
  <c r="BC340" i="1"/>
  <c r="BB340" i="1"/>
  <c r="BA340" i="1"/>
  <c r="AZ340" i="1"/>
  <c r="AY340" i="1"/>
  <c r="AX340" i="1"/>
  <c r="BD340" i="1" s="1"/>
  <c r="AP340" i="1"/>
  <c r="BF339" i="1"/>
  <c r="BE339" i="1"/>
  <c r="BC339" i="1"/>
  <c r="BB339" i="1"/>
  <c r="BA339" i="1"/>
  <c r="AZ339" i="1"/>
  <c r="AY339" i="1"/>
  <c r="AX339" i="1"/>
  <c r="AP339" i="1"/>
  <c r="BF338" i="1"/>
  <c r="BE338" i="1"/>
  <c r="BC338" i="1"/>
  <c r="BB338" i="1"/>
  <c r="BA338" i="1"/>
  <c r="AZ338" i="1"/>
  <c r="BD338" i="1" s="1"/>
  <c r="AY338" i="1"/>
  <c r="AX338" i="1"/>
  <c r="AP338" i="1"/>
  <c r="BF337" i="1"/>
  <c r="BE337" i="1"/>
  <c r="BD337" i="1"/>
  <c r="BC337" i="1"/>
  <c r="BB337" i="1"/>
  <c r="BA337" i="1"/>
  <c r="AZ337" i="1"/>
  <c r="AY337" i="1"/>
  <c r="AX337" i="1"/>
  <c r="AP337" i="1"/>
  <c r="BF336" i="1"/>
  <c r="BE336" i="1"/>
  <c r="BC336" i="1"/>
  <c r="BB336" i="1"/>
  <c r="BA336" i="1"/>
  <c r="AZ336" i="1"/>
  <c r="AY336" i="1"/>
  <c r="AX336" i="1"/>
  <c r="AP336" i="1"/>
  <c r="BF335" i="1"/>
  <c r="BE335" i="1"/>
  <c r="BC335" i="1"/>
  <c r="BB335" i="1"/>
  <c r="BA335" i="1"/>
  <c r="AZ335" i="1"/>
  <c r="AY335" i="1"/>
  <c r="AX335" i="1"/>
  <c r="AP335" i="1"/>
  <c r="BF334" i="1"/>
  <c r="BE334" i="1"/>
  <c r="BC334" i="1"/>
  <c r="BB334" i="1"/>
  <c r="BA334" i="1"/>
  <c r="AZ334" i="1"/>
  <c r="AY334" i="1"/>
  <c r="AX334" i="1"/>
  <c r="AP334" i="1"/>
  <c r="BF333" i="1"/>
  <c r="BE333" i="1"/>
  <c r="BD333" i="1"/>
  <c r="BC333" i="1"/>
  <c r="BB333" i="1"/>
  <c r="BA333" i="1"/>
  <c r="AZ333" i="1"/>
  <c r="AY333" i="1"/>
  <c r="AX333" i="1"/>
  <c r="BF332" i="1"/>
  <c r="BE332" i="1"/>
  <c r="BC332" i="1"/>
  <c r="BB332" i="1"/>
  <c r="BA332" i="1"/>
  <c r="AZ332" i="1"/>
  <c r="AY332" i="1"/>
  <c r="AX332" i="1"/>
  <c r="BD332" i="1" s="1"/>
  <c r="AP332" i="1"/>
  <c r="BF331" i="1"/>
  <c r="BE331" i="1"/>
  <c r="BC331" i="1"/>
  <c r="BB331" i="1"/>
  <c r="BA331" i="1"/>
  <c r="AZ331" i="1"/>
  <c r="AY331" i="1"/>
  <c r="BD331" i="1" s="1"/>
  <c r="AX331" i="1"/>
  <c r="AP331" i="1"/>
  <c r="BF330" i="1"/>
  <c r="BE330" i="1"/>
  <c r="BC330" i="1"/>
  <c r="BB330" i="1"/>
  <c r="BA330" i="1"/>
  <c r="AZ330" i="1"/>
  <c r="AY330" i="1"/>
  <c r="AX330" i="1"/>
  <c r="BD330" i="1" s="1"/>
  <c r="AP330" i="1"/>
  <c r="BF329" i="1"/>
  <c r="BE329" i="1"/>
  <c r="BC329" i="1"/>
  <c r="BD329" i="1" s="1"/>
  <c r="BB329" i="1"/>
  <c r="BA329" i="1"/>
  <c r="AZ329" i="1"/>
  <c r="AY329" i="1"/>
  <c r="AX329" i="1"/>
  <c r="AP329" i="1"/>
  <c r="BF328" i="1"/>
  <c r="BE328" i="1"/>
  <c r="BC328" i="1"/>
  <c r="BB328" i="1"/>
  <c r="BA328" i="1"/>
  <c r="AZ328" i="1"/>
  <c r="AY328" i="1"/>
  <c r="AX328" i="1"/>
  <c r="BD328" i="1" s="1"/>
  <c r="AP328" i="1"/>
  <c r="BF327" i="1"/>
  <c r="BE327" i="1"/>
  <c r="BC327" i="1"/>
  <c r="BB327" i="1"/>
  <c r="BA327" i="1"/>
  <c r="AZ327" i="1"/>
  <c r="AY327" i="1"/>
  <c r="BD327" i="1" s="1"/>
  <c r="AX327" i="1"/>
  <c r="AP327" i="1"/>
  <c r="BF326" i="1"/>
  <c r="BE326" i="1"/>
  <c r="BC326" i="1"/>
  <c r="BB326" i="1"/>
  <c r="BA326" i="1"/>
  <c r="AZ326" i="1"/>
  <c r="AY326" i="1"/>
  <c r="AX326" i="1"/>
  <c r="AP326" i="1"/>
  <c r="BF325" i="1"/>
  <c r="BE325" i="1"/>
  <c r="BD325" i="1"/>
  <c r="BC325" i="1"/>
  <c r="BB325" i="1"/>
  <c r="BA325" i="1"/>
  <c r="AZ325" i="1"/>
  <c r="AY325" i="1"/>
  <c r="AX325" i="1"/>
  <c r="AP325" i="1"/>
  <c r="BF324" i="1"/>
  <c r="BE324" i="1"/>
  <c r="BC324" i="1"/>
  <c r="BB324" i="1"/>
  <c r="BA324" i="1"/>
  <c r="AZ324" i="1"/>
  <c r="AY324" i="1"/>
  <c r="AX324" i="1"/>
  <c r="BD324" i="1" s="1"/>
  <c r="AP324" i="1"/>
  <c r="BF323" i="1"/>
  <c r="BE323" i="1"/>
  <c r="BC323" i="1"/>
  <c r="BB323" i="1"/>
  <c r="BA323" i="1"/>
  <c r="AZ323" i="1"/>
  <c r="AY323" i="1"/>
  <c r="BD323" i="1" s="1"/>
  <c r="AX323" i="1"/>
  <c r="AP323" i="1"/>
  <c r="BF322" i="1"/>
  <c r="BE322" i="1"/>
  <c r="BC322" i="1"/>
  <c r="BB322" i="1"/>
  <c r="BA322" i="1"/>
  <c r="AZ322" i="1"/>
  <c r="AY322" i="1"/>
  <c r="AX322" i="1"/>
  <c r="AP322" i="1"/>
  <c r="BF321" i="1"/>
  <c r="BE321" i="1"/>
  <c r="BD321" i="1"/>
  <c r="BC321" i="1"/>
  <c r="BB321" i="1"/>
  <c r="BA321" i="1"/>
  <c r="AZ321" i="1"/>
  <c r="AY321" i="1"/>
  <c r="AX321" i="1"/>
  <c r="AP321" i="1"/>
  <c r="BF320" i="1"/>
  <c r="BE320" i="1"/>
  <c r="BC320" i="1"/>
  <c r="BB320" i="1"/>
  <c r="BA320" i="1"/>
  <c r="AZ320" i="1"/>
  <c r="AY320" i="1"/>
  <c r="AX320" i="1"/>
  <c r="BD320" i="1" s="1"/>
  <c r="AP320" i="1"/>
  <c r="BF319" i="1"/>
  <c r="BE319" i="1"/>
  <c r="BC319" i="1"/>
  <c r="BB319" i="1"/>
  <c r="BA319" i="1"/>
  <c r="AZ319" i="1"/>
  <c r="AY319" i="1"/>
  <c r="BD319" i="1" s="1"/>
  <c r="AX319" i="1"/>
  <c r="AP319" i="1"/>
  <c r="BF318" i="1"/>
  <c r="BE318" i="1"/>
  <c r="BC318" i="1"/>
  <c r="BB318" i="1"/>
  <c r="BA318" i="1"/>
  <c r="AZ318" i="1"/>
  <c r="AY318" i="1"/>
  <c r="AX318" i="1"/>
  <c r="BF317" i="1"/>
  <c r="BE317" i="1"/>
  <c r="BC317" i="1"/>
  <c r="BB317" i="1"/>
  <c r="BA317" i="1"/>
  <c r="AZ317" i="1"/>
  <c r="AY317" i="1"/>
  <c r="AX317" i="1"/>
  <c r="AP317" i="1"/>
  <c r="BF316" i="1"/>
  <c r="BE316" i="1"/>
  <c r="BD316" i="1"/>
  <c r="BC316" i="1"/>
  <c r="BB316" i="1"/>
  <c r="BA316" i="1"/>
  <c r="AZ316" i="1"/>
  <c r="AY316" i="1"/>
  <c r="AX316" i="1"/>
  <c r="AP316" i="1"/>
  <c r="BF315" i="1"/>
  <c r="BE315" i="1"/>
  <c r="BC315" i="1"/>
  <c r="BB315" i="1"/>
  <c r="BA315" i="1"/>
  <c r="AZ315" i="1"/>
  <c r="AY315" i="1"/>
  <c r="AX315" i="1"/>
  <c r="AP315" i="1"/>
  <c r="BF314" i="1"/>
  <c r="BE314" i="1"/>
  <c r="BC314" i="1"/>
  <c r="BB314" i="1"/>
  <c r="BA314" i="1"/>
  <c r="AZ314" i="1"/>
  <c r="AY314" i="1"/>
  <c r="AX314" i="1"/>
  <c r="AP314" i="1"/>
  <c r="BF313" i="1"/>
  <c r="BE313" i="1"/>
  <c r="BC313" i="1"/>
  <c r="BB313" i="1"/>
  <c r="BA313" i="1"/>
  <c r="AZ313" i="1"/>
  <c r="AY313" i="1"/>
  <c r="AX313" i="1"/>
  <c r="AP313" i="1"/>
  <c r="BF312" i="1"/>
  <c r="BE312" i="1"/>
  <c r="BD312" i="1"/>
  <c r="BC312" i="1"/>
  <c r="BB312" i="1"/>
  <c r="BA312" i="1"/>
  <c r="AZ312" i="1"/>
  <c r="AY312" i="1"/>
  <c r="AX312" i="1"/>
  <c r="AP312" i="1"/>
  <c r="BF311" i="1"/>
  <c r="BE311" i="1"/>
  <c r="BC311" i="1"/>
  <c r="BB311" i="1"/>
  <c r="BA311" i="1"/>
  <c r="AZ311" i="1"/>
  <c r="AY311" i="1"/>
  <c r="AX311" i="1"/>
  <c r="AP311" i="1"/>
  <c r="BF310" i="1"/>
  <c r="BE310" i="1"/>
  <c r="BC310" i="1"/>
  <c r="BB310" i="1"/>
  <c r="BA310" i="1"/>
  <c r="AZ310" i="1"/>
  <c r="AY310" i="1"/>
  <c r="AX310" i="1"/>
  <c r="BD310" i="1" s="1"/>
  <c r="AP310" i="1"/>
  <c r="BF309" i="1"/>
  <c r="BE309" i="1"/>
  <c r="BC309" i="1"/>
  <c r="BB309" i="1"/>
  <c r="BA309" i="1"/>
  <c r="AZ309" i="1"/>
  <c r="AY309" i="1"/>
  <c r="AX309" i="1"/>
  <c r="AP309" i="1"/>
  <c r="BF308" i="1"/>
  <c r="BE308" i="1"/>
  <c r="BD308" i="1"/>
  <c r="BC308" i="1"/>
  <c r="BB308" i="1"/>
  <c r="BA308" i="1"/>
  <c r="AZ308" i="1"/>
  <c r="AY308" i="1"/>
  <c r="AX308" i="1"/>
  <c r="AP308" i="1"/>
  <c r="BF307" i="1"/>
  <c r="BE307" i="1"/>
  <c r="BC307" i="1"/>
  <c r="BB307" i="1"/>
  <c r="BA307" i="1"/>
  <c r="AZ307" i="1"/>
  <c r="AY307" i="1"/>
  <c r="AX307" i="1"/>
  <c r="AP307" i="1"/>
  <c r="BF306" i="1"/>
  <c r="BE306" i="1"/>
  <c r="BC306" i="1"/>
  <c r="BB306" i="1"/>
  <c r="BA306" i="1"/>
  <c r="AZ306" i="1"/>
  <c r="AY306" i="1"/>
  <c r="AX306" i="1"/>
  <c r="AP306" i="1"/>
  <c r="BF305" i="1"/>
  <c r="BE305" i="1"/>
  <c r="BC305" i="1"/>
  <c r="BB305" i="1"/>
  <c r="BA305" i="1"/>
  <c r="AZ305" i="1"/>
  <c r="AY305" i="1"/>
  <c r="AX305" i="1"/>
  <c r="AP305" i="1"/>
  <c r="BF304" i="1"/>
  <c r="BE304" i="1"/>
  <c r="BD304" i="1"/>
  <c r="BC304" i="1"/>
  <c r="BB304" i="1"/>
  <c r="BA304" i="1"/>
  <c r="AZ304" i="1"/>
  <c r="AY304" i="1"/>
  <c r="AX304" i="1"/>
  <c r="AP304" i="1"/>
  <c r="BF303" i="1"/>
  <c r="BE303" i="1"/>
  <c r="BC303" i="1"/>
  <c r="BB303" i="1"/>
  <c r="BA303" i="1"/>
  <c r="AZ303" i="1"/>
  <c r="AY303" i="1"/>
  <c r="AX303" i="1"/>
  <c r="BD303" i="1" s="1"/>
  <c r="AP303" i="1"/>
  <c r="BF302" i="1"/>
  <c r="BE302" i="1"/>
  <c r="BC302" i="1"/>
  <c r="BB302" i="1"/>
  <c r="BA302" i="1"/>
  <c r="AZ302" i="1"/>
  <c r="AY302" i="1"/>
  <c r="AX302" i="1"/>
  <c r="AP302" i="1"/>
  <c r="BF301" i="1"/>
  <c r="BE301" i="1"/>
  <c r="BC301" i="1"/>
  <c r="BB301" i="1"/>
  <c r="BA301" i="1"/>
  <c r="AZ301" i="1"/>
  <c r="BD301" i="1" s="1"/>
  <c r="AY301" i="1"/>
  <c r="AX301" i="1"/>
  <c r="AP301" i="1"/>
  <c r="BF300" i="1"/>
  <c r="BE300" i="1"/>
  <c r="BD300" i="1"/>
  <c r="BC300" i="1"/>
  <c r="BB300" i="1"/>
  <c r="BA300" i="1"/>
  <c r="AZ300" i="1"/>
  <c r="AY300" i="1"/>
  <c r="AX300" i="1"/>
  <c r="AP300" i="1"/>
  <c r="BF299" i="1"/>
  <c r="BE299" i="1"/>
  <c r="BC299" i="1"/>
  <c r="BB299" i="1"/>
  <c r="BA299" i="1"/>
  <c r="AZ299" i="1"/>
  <c r="AY299" i="1"/>
  <c r="AX299" i="1"/>
  <c r="BD299" i="1" s="1"/>
  <c r="AP299" i="1"/>
  <c r="BF298" i="1"/>
  <c r="BE298" i="1"/>
  <c r="BC298" i="1"/>
  <c r="BB298" i="1"/>
  <c r="BA298" i="1"/>
  <c r="AZ298" i="1"/>
  <c r="AY298" i="1"/>
  <c r="AX298" i="1"/>
  <c r="AP298" i="1"/>
  <c r="BF297" i="1"/>
  <c r="BE297" i="1"/>
  <c r="BC297" i="1"/>
  <c r="BB297" i="1"/>
  <c r="BA297" i="1"/>
  <c r="AZ297" i="1"/>
  <c r="AY297" i="1"/>
  <c r="AX297" i="1"/>
  <c r="AP297" i="1"/>
  <c r="BF296" i="1"/>
  <c r="BE296" i="1"/>
  <c r="BD296" i="1"/>
  <c r="BC296" i="1"/>
  <c r="BB296" i="1"/>
  <c r="BA296" i="1"/>
  <c r="AZ296" i="1"/>
  <c r="AY296" i="1"/>
  <c r="AX296" i="1"/>
  <c r="AP296" i="1"/>
  <c r="BF295" i="1"/>
  <c r="BE295" i="1"/>
  <c r="BC295" i="1"/>
  <c r="BB295" i="1"/>
  <c r="BA295" i="1"/>
  <c r="AZ295" i="1"/>
  <c r="AY295" i="1"/>
  <c r="AX295" i="1"/>
  <c r="BD295" i="1" s="1"/>
  <c r="AP295" i="1"/>
  <c r="BF294" i="1"/>
  <c r="BE294" i="1"/>
  <c r="BC294" i="1"/>
  <c r="BB294" i="1"/>
  <c r="BA294" i="1"/>
  <c r="AZ294" i="1"/>
  <c r="AY294" i="1"/>
  <c r="AX294" i="1"/>
  <c r="AP294" i="1"/>
  <c r="BF293" i="1"/>
  <c r="BE293" i="1"/>
  <c r="BC293" i="1"/>
  <c r="BB293" i="1"/>
  <c r="BA293" i="1"/>
  <c r="AZ293" i="1"/>
  <c r="AY293" i="1"/>
  <c r="AX293" i="1"/>
  <c r="AP293" i="1"/>
  <c r="BF292" i="1"/>
  <c r="BE292" i="1"/>
  <c r="BD292" i="1"/>
  <c r="BC292" i="1"/>
  <c r="BB292" i="1"/>
  <c r="BA292" i="1"/>
  <c r="AZ292" i="1"/>
  <c r="AY292" i="1"/>
  <c r="AX292" i="1"/>
  <c r="AP292" i="1"/>
  <c r="BF291" i="1"/>
  <c r="BE291" i="1"/>
  <c r="BC291" i="1"/>
  <c r="BB291" i="1"/>
  <c r="BA291" i="1"/>
  <c r="AZ291" i="1"/>
  <c r="AY291" i="1"/>
  <c r="AX291" i="1"/>
  <c r="BD291" i="1" s="1"/>
  <c r="AP291" i="1"/>
  <c r="BF290" i="1"/>
  <c r="BE290" i="1"/>
  <c r="BC290" i="1"/>
  <c r="BB290" i="1"/>
  <c r="BA290" i="1"/>
  <c r="AZ290" i="1"/>
  <c r="AY290" i="1"/>
  <c r="AX290" i="1"/>
  <c r="BD290" i="1" s="1"/>
  <c r="AP290" i="1"/>
  <c r="BF289" i="1"/>
  <c r="BE289" i="1"/>
  <c r="BC289" i="1"/>
  <c r="BB289" i="1"/>
  <c r="BA289" i="1"/>
  <c r="AZ289" i="1"/>
  <c r="BD289" i="1" s="1"/>
  <c r="AY289" i="1"/>
  <c r="AX289" i="1"/>
  <c r="AP289" i="1"/>
  <c r="BF288" i="1"/>
  <c r="BE288" i="1"/>
  <c r="BD288" i="1"/>
  <c r="BC288" i="1"/>
  <c r="BB288" i="1"/>
  <c r="BA288" i="1"/>
  <c r="AZ288" i="1"/>
  <c r="AY288" i="1"/>
  <c r="AX288" i="1"/>
  <c r="AP288" i="1"/>
  <c r="BF287" i="1"/>
  <c r="BE287" i="1"/>
  <c r="BC287" i="1"/>
  <c r="BB287" i="1"/>
  <c r="BA287" i="1"/>
  <c r="AZ287" i="1"/>
  <c r="AY287" i="1"/>
  <c r="AX287" i="1"/>
  <c r="BD287" i="1" s="1"/>
  <c r="AP287" i="1"/>
  <c r="BF286" i="1"/>
  <c r="BE286" i="1"/>
  <c r="BC286" i="1"/>
  <c r="BB286" i="1"/>
  <c r="BA286" i="1"/>
  <c r="AZ286" i="1"/>
  <c r="AY286" i="1"/>
  <c r="AX286" i="1"/>
  <c r="AP286" i="1"/>
  <c r="BF285" i="1"/>
  <c r="BE285" i="1"/>
  <c r="BC285" i="1"/>
  <c r="BB285" i="1"/>
  <c r="BA285" i="1"/>
  <c r="AZ285" i="1"/>
  <c r="AY285" i="1"/>
  <c r="AX285" i="1"/>
  <c r="BF284" i="1"/>
  <c r="BE284" i="1"/>
  <c r="BC284" i="1"/>
  <c r="BD284" i="1" s="1"/>
  <c r="BB284" i="1"/>
  <c r="BA284" i="1"/>
  <c r="AZ284" i="1"/>
  <c r="AY284" i="1"/>
  <c r="AX284" i="1"/>
  <c r="AP284" i="1"/>
  <c r="BF283" i="1"/>
  <c r="BE283" i="1"/>
  <c r="BC283" i="1"/>
  <c r="BB283" i="1"/>
  <c r="BA283" i="1"/>
  <c r="AZ283" i="1"/>
  <c r="AY283" i="1"/>
  <c r="AX283" i="1"/>
  <c r="BD283" i="1" s="1"/>
  <c r="AP283" i="1"/>
  <c r="BF282" i="1"/>
  <c r="BE282" i="1"/>
  <c r="BC282" i="1"/>
  <c r="BB282" i="1"/>
  <c r="BA282" i="1"/>
  <c r="AZ282" i="1"/>
  <c r="AY282" i="1"/>
  <c r="BD282" i="1" s="1"/>
  <c r="AX282" i="1"/>
  <c r="AP282" i="1"/>
  <c r="BF281" i="1"/>
  <c r="BE281" i="1"/>
  <c r="BC281" i="1"/>
  <c r="BB281" i="1"/>
  <c r="BA281" i="1"/>
  <c r="AZ281" i="1"/>
  <c r="AY281" i="1"/>
  <c r="AX281" i="1"/>
  <c r="AP281" i="1"/>
  <c r="BF280" i="1"/>
  <c r="BE280" i="1"/>
  <c r="BC280" i="1"/>
  <c r="BD280" i="1" s="1"/>
  <c r="BB280" i="1"/>
  <c r="BA280" i="1"/>
  <c r="AZ280" i="1"/>
  <c r="AY280" i="1"/>
  <c r="AX280" i="1"/>
  <c r="AP280" i="1"/>
  <c r="BF279" i="1"/>
  <c r="BE279" i="1"/>
  <c r="BC279" i="1"/>
  <c r="BB279" i="1"/>
  <c r="BA279" i="1"/>
  <c r="AZ279" i="1"/>
  <c r="AY279" i="1"/>
  <c r="AX279" i="1"/>
  <c r="BD279" i="1" s="1"/>
  <c r="AP279" i="1"/>
  <c r="BF278" i="1"/>
  <c r="BE278" i="1"/>
  <c r="BC278" i="1"/>
  <c r="BB278" i="1"/>
  <c r="BA278" i="1"/>
  <c r="AZ278" i="1"/>
  <c r="AY278" i="1"/>
  <c r="BD278" i="1" s="1"/>
  <c r="AX278" i="1"/>
  <c r="AP278" i="1"/>
  <c r="BF277" i="1"/>
  <c r="BE277" i="1"/>
  <c r="BC277" i="1"/>
  <c r="BB277" i="1"/>
  <c r="BA277" i="1"/>
  <c r="AZ277" i="1"/>
  <c r="AY277" i="1"/>
  <c r="AX277" i="1"/>
  <c r="BD277" i="1" s="1"/>
  <c r="AP277" i="1"/>
  <c r="BF276" i="1"/>
  <c r="BE276" i="1"/>
  <c r="BC276" i="1"/>
  <c r="BD276" i="1" s="1"/>
  <c r="BB276" i="1"/>
  <c r="BA276" i="1"/>
  <c r="AZ276" i="1"/>
  <c r="AY276" i="1"/>
  <c r="AX276" i="1"/>
  <c r="AP276" i="1"/>
  <c r="BF275" i="1"/>
  <c r="BE275" i="1"/>
  <c r="BC275" i="1"/>
  <c r="BB275" i="1"/>
  <c r="BA275" i="1"/>
  <c r="AZ275" i="1"/>
  <c r="AY275" i="1"/>
  <c r="AX275" i="1"/>
  <c r="BD275" i="1" s="1"/>
  <c r="AP275" i="1"/>
  <c r="BF274" i="1"/>
  <c r="BE274" i="1"/>
  <c r="BC274" i="1"/>
  <c r="BB274" i="1"/>
  <c r="BA274" i="1"/>
  <c r="AZ274" i="1"/>
  <c r="AY274" i="1"/>
  <c r="BD274" i="1" s="1"/>
  <c r="AX274" i="1"/>
  <c r="AP274" i="1"/>
  <c r="BF273" i="1"/>
  <c r="BE273" i="1"/>
  <c r="BC273" i="1"/>
  <c r="BB273" i="1"/>
  <c r="BA273" i="1"/>
  <c r="AZ273" i="1"/>
  <c r="AY273" i="1"/>
  <c r="AX273" i="1"/>
  <c r="AP273" i="1"/>
  <c r="BF272" i="1"/>
  <c r="BE272" i="1"/>
  <c r="BD272" i="1"/>
  <c r="BC272" i="1"/>
  <c r="BB272" i="1"/>
  <c r="BA272" i="1"/>
  <c r="AZ272" i="1"/>
  <c r="AY272" i="1"/>
  <c r="AX272" i="1"/>
  <c r="AP272" i="1"/>
  <c r="BF271" i="1"/>
  <c r="BE271" i="1"/>
  <c r="BC271" i="1"/>
  <c r="BB271" i="1"/>
  <c r="BA271" i="1"/>
  <c r="AZ271" i="1"/>
  <c r="AY271" i="1"/>
  <c r="AX271" i="1"/>
  <c r="BD271" i="1" s="1"/>
  <c r="AP271" i="1"/>
  <c r="BF270" i="1"/>
  <c r="BE270" i="1"/>
  <c r="BC270" i="1"/>
  <c r="BB270" i="1"/>
  <c r="BA270" i="1"/>
  <c r="AZ270" i="1"/>
  <c r="AY270" i="1"/>
  <c r="BD270" i="1" s="1"/>
  <c r="AX270" i="1"/>
  <c r="AP270" i="1"/>
  <c r="BF269" i="1"/>
  <c r="BE269" i="1"/>
  <c r="BC269" i="1"/>
  <c r="BB269" i="1"/>
  <c r="BA269" i="1"/>
  <c r="AZ269" i="1"/>
  <c r="AY269" i="1"/>
  <c r="AX269" i="1"/>
  <c r="AP269" i="1"/>
  <c r="BF268" i="1"/>
  <c r="BE268" i="1"/>
  <c r="BD268" i="1"/>
  <c r="BC268" i="1"/>
  <c r="BB268" i="1"/>
  <c r="BA268" i="1"/>
  <c r="AZ268" i="1"/>
  <c r="AY268" i="1"/>
  <c r="AX268" i="1"/>
  <c r="AP268" i="1"/>
  <c r="BF267" i="1"/>
  <c r="BE267" i="1"/>
  <c r="BC267" i="1"/>
  <c r="BB267" i="1"/>
  <c r="BA267" i="1"/>
  <c r="AZ267" i="1"/>
  <c r="AY267" i="1"/>
  <c r="AX267" i="1"/>
  <c r="BD267" i="1" s="1"/>
  <c r="AP267" i="1"/>
  <c r="BF266" i="1"/>
  <c r="BE266" i="1"/>
  <c r="BC266" i="1"/>
  <c r="BB266" i="1"/>
  <c r="BA266" i="1"/>
  <c r="AZ266" i="1"/>
  <c r="AY266" i="1"/>
  <c r="BD266" i="1" s="1"/>
  <c r="AX266" i="1"/>
  <c r="AP266" i="1"/>
  <c r="BF265" i="1"/>
  <c r="BE265" i="1"/>
  <c r="BC265" i="1"/>
  <c r="BB265" i="1"/>
  <c r="BA265" i="1"/>
  <c r="AZ265" i="1"/>
  <c r="AY265" i="1"/>
  <c r="AX265" i="1"/>
  <c r="AP265" i="1"/>
  <c r="BF264" i="1"/>
  <c r="BE264" i="1"/>
  <c r="BD264" i="1"/>
  <c r="BC264" i="1"/>
  <c r="BB264" i="1"/>
  <c r="BA264" i="1"/>
  <c r="AZ264" i="1"/>
  <c r="AY264" i="1"/>
  <c r="AX264" i="1"/>
  <c r="AP264" i="1"/>
  <c r="BF263" i="1"/>
  <c r="BE263" i="1"/>
  <c r="BC263" i="1"/>
  <c r="BB263" i="1"/>
  <c r="BA263" i="1"/>
  <c r="AZ263" i="1"/>
  <c r="AY263" i="1"/>
  <c r="AX263" i="1"/>
  <c r="BD263" i="1" s="1"/>
  <c r="AP263" i="1"/>
  <c r="BF262" i="1"/>
  <c r="BE262" i="1"/>
  <c r="BC262" i="1"/>
  <c r="BB262" i="1"/>
  <c r="BA262" i="1"/>
  <c r="AZ262" i="1"/>
  <c r="AY262" i="1"/>
  <c r="AX262" i="1"/>
  <c r="AP262" i="1"/>
  <c r="BF261" i="1"/>
  <c r="BE261" i="1"/>
  <c r="BC261" i="1"/>
  <c r="BB261" i="1"/>
  <c r="BA261" i="1"/>
  <c r="AZ261" i="1"/>
  <c r="AY261" i="1"/>
  <c r="AX261" i="1"/>
  <c r="AP261" i="1"/>
  <c r="BF260" i="1"/>
  <c r="BE260" i="1"/>
  <c r="BD260" i="1"/>
  <c r="BC260" i="1"/>
  <c r="BB260" i="1"/>
  <c r="BA260" i="1"/>
  <c r="AZ260" i="1"/>
  <c r="AY260" i="1"/>
  <c r="AX260" i="1"/>
  <c r="AP260" i="1"/>
  <c r="BF259" i="1"/>
  <c r="BE259" i="1"/>
  <c r="BC259" i="1"/>
  <c r="BB259" i="1"/>
  <c r="BA259" i="1"/>
  <c r="AZ259" i="1"/>
  <c r="AY259" i="1"/>
  <c r="AX259" i="1"/>
  <c r="BD259" i="1" s="1"/>
  <c r="AP259" i="1"/>
  <c r="BF258" i="1"/>
  <c r="BE258" i="1"/>
  <c r="BC258" i="1"/>
  <c r="BB258" i="1"/>
  <c r="BA258" i="1"/>
  <c r="AZ258" i="1"/>
  <c r="AY258" i="1"/>
  <c r="AX258" i="1"/>
  <c r="AP258" i="1"/>
  <c r="BF257" i="1"/>
  <c r="BE257" i="1"/>
  <c r="BC257" i="1"/>
  <c r="BB257" i="1"/>
  <c r="BA257" i="1"/>
  <c r="AZ257" i="1"/>
  <c r="AY257" i="1"/>
  <c r="AX257" i="1"/>
  <c r="BD257" i="1" s="1"/>
  <c r="AP257" i="1"/>
  <c r="BF256" i="1"/>
  <c r="BE256" i="1"/>
  <c r="BC256" i="1"/>
  <c r="BD256" i="1" s="1"/>
  <c r="BB256" i="1"/>
  <c r="BA256" i="1"/>
  <c r="AZ256" i="1"/>
  <c r="AY256" i="1"/>
  <c r="AX256" i="1"/>
  <c r="AP256" i="1"/>
  <c r="BF255" i="1"/>
  <c r="BE255" i="1"/>
  <c r="BC255" i="1"/>
  <c r="BB255" i="1"/>
  <c r="BA255" i="1"/>
  <c r="AZ255" i="1"/>
  <c r="AY255" i="1"/>
  <c r="AX255" i="1"/>
  <c r="BD255" i="1" s="1"/>
  <c r="AP255" i="1"/>
  <c r="BF254" i="1"/>
  <c r="BE254" i="1"/>
  <c r="BC254" i="1"/>
  <c r="BB254" i="1"/>
  <c r="BA254" i="1"/>
  <c r="AZ254" i="1"/>
  <c r="AY254" i="1"/>
  <c r="AX254" i="1"/>
  <c r="AP254" i="1"/>
  <c r="BF253" i="1"/>
  <c r="BE253" i="1"/>
  <c r="BC253" i="1"/>
  <c r="BB253" i="1"/>
  <c r="BA253" i="1"/>
  <c r="AZ253" i="1"/>
  <c r="AY253" i="1"/>
  <c r="AX253" i="1"/>
  <c r="AP253" i="1"/>
  <c r="BF252" i="1"/>
  <c r="BE252" i="1"/>
  <c r="BC252" i="1"/>
  <c r="BD252" i="1" s="1"/>
  <c r="BB252" i="1"/>
  <c r="BA252" i="1"/>
  <c r="AZ252" i="1"/>
  <c r="AY252" i="1"/>
  <c r="AX252" i="1"/>
  <c r="AP252" i="1"/>
  <c r="BF251" i="1"/>
  <c r="BE251" i="1"/>
  <c r="BC251" i="1"/>
  <c r="BB251" i="1"/>
  <c r="BA251" i="1"/>
  <c r="AZ251" i="1"/>
  <c r="AY251" i="1"/>
  <c r="AX251" i="1"/>
  <c r="BD251" i="1" s="1"/>
  <c r="AP251" i="1"/>
  <c r="BF250" i="1"/>
  <c r="BE250" i="1"/>
  <c r="BC250" i="1"/>
  <c r="BB250" i="1"/>
  <c r="BA250" i="1"/>
  <c r="AZ250" i="1"/>
  <c r="AY250" i="1"/>
  <c r="AX250" i="1"/>
  <c r="AP250" i="1"/>
  <c r="BF249" i="1"/>
  <c r="BE249" i="1"/>
  <c r="BC249" i="1"/>
  <c r="BB249" i="1"/>
  <c r="BA249" i="1"/>
  <c r="AZ249" i="1"/>
  <c r="AY249" i="1"/>
  <c r="AX249" i="1"/>
  <c r="AP249" i="1"/>
  <c r="BF248" i="1"/>
  <c r="BE248" i="1"/>
  <c r="BC248" i="1"/>
  <c r="BD248" i="1" s="1"/>
  <c r="BB248" i="1"/>
  <c r="BA248" i="1"/>
  <c r="AZ248" i="1"/>
  <c r="AY248" i="1"/>
  <c r="AX248" i="1"/>
  <c r="AP248" i="1"/>
  <c r="BF247" i="1"/>
  <c r="BE247" i="1"/>
  <c r="BC247" i="1"/>
  <c r="BB247" i="1"/>
  <c r="BA247" i="1"/>
  <c r="AZ247" i="1"/>
  <c r="AY247" i="1"/>
  <c r="AX247" i="1"/>
  <c r="BD247" i="1" s="1"/>
  <c r="AP247" i="1"/>
  <c r="BF246" i="1"/>
  <c r="BE246" i="1"/>
  <c r="BC246" i="1"/>
  <c r="BB246" i="1"/>
  <c r="BA246" i="1"/>
  <c r="AZ246" i="1"/>
  <c r="AY246" i="1"/>
  <c r="BD246" i="1" s="1"/>
  <c r="AX246" i="1"/>
  <c r="AP246" i="1"/>
  <c r="BF245" i="1"/>
  <c r="BE245" i="1"/>
  <c r="BC245" i="1"/>
  <c r="BB245" i="1"/>
  <c r="BA245" i="1"/>
  <c r="AZ245" i="1"/>
  <c r="AY245" i="1"/>
  <c r="AX245" i="1"/>
  <c r="BD245" i="1" s="1"/>
  <c r="AP245" i="1"/>
  <c r="BF244" i="1"/>
  <c r="BE244" i="1"/>
  <c r="BC244" i="1"/>
  <c r="BD244" i="1" s="1"/>
  <c r="BB244" i="1"/>
  <c r="BA244" i="1"/>
  <c r="AZ244" i="1"/>
  <c r="AY244" i="1"/>
  <c r="AX244" i="1"/>
  <c r="AP244" i="1"/>
  <c r="BF243" i="1"/>
  <c r="BE243" i="1"/>
  <c r="BC243" i="1"/>
  <c r="BB243" i="1"/>
  <c r="BA243" i="1"/>
  <c r="AZ243" i="1"/>
  <c r="AY243" i="1"/>
  <c r="AX243" i="1"/>
  <c r="BD243" i="1" s="1"/>
  <c r="AP243" i="1"/>
  <c r="BF242" i="1"/>
  <c r="BE242" i="1"/>
  <c r="BC242" i="1"/>
  <c r="BB242" i="1"/>
  <c r="BA242" i="1"/>
  <c r="AZ242" i="1"/>
  <c r="AY242" i="1"/>
  <c r="BD242" i="1" s="1"/>
  <c r="AX242" i="1"/>
  <c r="AP242" i="1"/>
  <c r="BF241" i="1"/>
  <c r="BE241" i="1"/>
  <c r="BC241" i="1"/>
  <c r="BB241" i="1"/>
  <c r="BA241" i="1"/>
  <c r="AZ241" i="1"/>
  <c r="AY241" i="1"/>
  <c r="AX241" i="1"/>
  <c r="AP241" i="1"/>
  <c r="BF240" i="1"/>
  <c r="BE240" i="1"/>
  <c r="BD240" i="1"/>
  <c r="BC240" i="1"/>
  <c r="BB240" i="1"/>
  <c r="BA240" i="1"/>
  <c r="AZ240" i="1"/>
  <c r="AY240" i="1"/>
  <c r="AX240" i="1"/>
  <c r="AP240" i="1"/>
  <c r="BF239" i="1"/>
  <c r="BE239" i="1"/>
  <c r="BC239" i="1"/>
  <c r="BB239" i="1"/>
  <c r="BA239" i="1"/>
  <c r="AZ239" i="1"/>
  <c r="AY239" i="1"/>
  <c r="AX239" i="1"/>
  <c r="BD239" i="1" s="1"/>
  <c r="AP239" i="1"/>
  <c r="BF238" i="1"/>
  <c r="BE238" i="1"/>
  <c r="BC238" i="1"/>
  <c r="BB238" i="1"/>
  <c r="BA238" i="1"/>
  <c r="AZ238" i="1"/>
  <c r="AY238" i="1"/>
  <c r="BD238" i="1" s="1"/>
  <c r="AX238" i="1"/>
  <c r="AP238" i="1"/>
  <c r="BF237" i="1"/>
  <c r="BE237" i="1"/>
  <c r="BC237" i="1"/>
  <c r="BB237" i="1"/>
  <c r="BA237" i="1"/>
  <c r="AZ237" i="1"/>
  <c r="AY237" i="1"/>
  <c r="AX237" i="1"/>
  <c r="AP237" i="1"/>
  <c r="BF236" i="1"/>
  <c r="BE236" i="1"/>
  <c r="BC236" i="1"/>
  <c r="BB236" i="1"/>
  <c r="BA236" i="1"/>
  <c r="BD236" i="1" s="1"/>
  <c r="AZ236" i="1"/>
  <c r="AY236" i="1"/>
  <c r="AX236" i="1"/>
  <c r="AP236" i="1"/>
  <c r="BF235" i="1"/>
  <c r="BE235" i="1"/>
  <c r="BC235" i="1"/>
  <c r="BB235" i="1"/>
  <c r="BA235" i="1"/>
  <c r="AZ235" i="1"/>
  <c r="AY235" i="1"/>
  <c r="AX235" i="1"/>
  <c r="AP235" i="1"/>
  <c r="BF234" i="1"/>
  <c r="BE234" i="1"/>
  <c r="BC234" i="1"/>
  <c r="BB234" i="1"/>
  <c r="BA234" i="1"/>
  <c r="AZ234" i="1"/>
  <c r="AY234" i="1"/>
  <c r="BD234" i="1" s="1"/>
  <c r="AX234" i="1"/>
  <c r="AP234" i="1"/>
  <c r="BF233" i="1"/>
  <c r="BE233" i="1"/>
  <c r="BC233" i="1"/>
  <c r="BB233" i="1"/>
  <c r="BA233" i="1"/>
  <c r="AZ233" i="1"/>
  <c r="AY233" i="1"/>
  <c r="AX233" i="1"/>
  <c r="AP233" i="1"/>
  <c r="BF232" i="1"/>
  <c r="BE232" i="1"/>
  <c r="BD232" i="1"/>
  <c r="BC232" i="1"/>
  <c r="BB232" i="1"/>
  <c r="BA232" i="1"/>
  <c r="AZ232" i="1"/>
  <c r="AY232" i="1"/>
  <c r="AX232" i="1"/>
  <c r="AP232" i="1"/>
  <c r="BF231" i="1"/>
  <c r="BE231" i="1"/>
  <c r="BC231" i="1"/>
  <c r="BB231" i="1"/>
  <c r="BA231" i="1"/>
  <c r="AZ231" i="1"/>
  <c r="AY231" i="1"/>
  <c r="AX231" i="1"/>
  <c r="AP231" i="1"/>
  <c r="BF230" i="1"/>
  <c r="BE230" i="1"/>
  <c r="BC230" i="1"/>
  <c r="BB230" i="1"/>
  <c r="BA230" i="1"/>
  <c r="AZ230" i="1"/>
  <c r="AY230" i="1"/>
  <c r="AX230" i="1"/>
  <c r="AP230" i="1"/>
  <c r="BF229" i="1"/>
  <c r="BE229" i="1"/>
  <c r="BC229" i="1"/>
  <c r="BB229" i="1"/>
  <c r="BA229" i="1"/>
  <c r="AZ229" i="1"/>
  <c r="AY229" i="1"/>
  <c r="AX229" i="1"/>
  <c r="AP229" i="1"/>
  <c r="BF228" i="1"/>
  <c r="BE228" i="1"/>
  <c r="BD228" i="1"/>
  <c r="BC228" i="1"/>
  <c r="BB228" i="1"/>
  <c r="BA228" i="1"/>
  <c r="AZ228" i="1"/>
  <c r="AY228" i="1"/>
  <c r="AX228" i="1"/>
  <c r="AP228" i="1"/>
  <c r="BF227" i="1"/>
  <c r="BE227" i="1"/>
  <c r="BC227" i="1"/>
  <c r="BB227" i="1"/>
  <c r="BA227" i="1"/>
  <c r="AZ227" i="1"/>
  <c r="AY227" i="1"/>
  <c r="AX227" i="1"/>
  <c r="BD227" i="1" s="1"/>
  <c r="AP227" i="1"/>
  <c r="BF226" i="1"/>
  <c r="BE226" i="1"/>
  <c r="BC226" i="1"/>
  <c r="BB226" i="1"/>
  <c r="BA226" i="1"/>
  <c r="AZ226" i="1"/>
  <c r="AY226" i="1"/>
  <c r="AX226" i="1"/>
  <c r="AP226" i="1"/>
  <c r="BF225" i="1"/>
  <c r="BE225" i="1"/>
  <c r="BC225" i="1"/>
  <c r="BB225" i="1"/>
  <c r="BA225" i="1"/>
  <c r="AZ225" i="1"/>
  <c r="AY225" i="1"/>
  <c r="AX225" i="1"/>
  <c r="AP225" i="1"/>
  <c r="BF224" i="1"/>
  <c r="BE224" i="1"/>
  <c r="BC224" i="1"/>
  <c r="BB224" i="1"/>
  <c r="BA224" i="1"/>
  <c r="BD224" i="1" s="1"/>
  <c r="AZ224" i="1"/>
  <c r="AY224" i="1"/>
  <c r="AX224" i="1"/>
  <c r="AP224" i="1"/>
  <c r="BF223" i="1"/>
  <c r="BE223" i="1"/>
  <c r="BC223" i="1"/>
  <c r="BB223" i="1"/>
  <c r="BA223" i="1"/>
  <c r="AZ223" i="1"/>
  <c r="AY223" i="1"/>
  <c r="AX223" i="1"/>
  <c r="AP223" i="1"/>
  <c r="BF222" i="1"/>
  <c r="BE222" i="1"/>
  <c r="BC222" i="1"/>
  <c r="BB222" i="1"/>
  <c r="BA222" i="1"/>
  <c r="AZ222" i="1"/>
  <c r="AY222" i="1"/>
  <c r="AX222" i="1"/>
  <c r="AP222" i="1"/>
  <c r="BF221" i="1"/>
  <c r="BE221" i="1"/>
  <c r="BC221" i="1"/>
  <c r="BB221" i="1"/>
  <c r="BA221" i="1"/>
  <c r="AZ221" i="1"/>
  <c r="AY221" i="1"/>
  <c r="AX221" i="1"/>
  <c r="AP221" i="1"/>
  <c r="BF220" i="1"/>
  <c r="BE220" i="1"/>
  <c r="BC220" i="1"/>
  <c r="BB220" i="1"/>
  <c r="BA220" i="1"/>
  <c r="BD220" i="1" s="1"/>
  <c r="AZ220" i="1"/>
  <c r="AY220" i="1"/>
  <c r="AX220" i="1"/>
  <c r="AP220" i="1"/>
  <c r="BF219" i="1"/>
  <c r="BE219" i="1"/>
  <c r="BC219" i="1"/>
  <c r="BB219" i="1"/>
  <c r="BA219" i="1"/>
  <c r="AZ219" i="1"/>
  <c r="AY219" i="1"/>
  <c r="AX219" i="1"/>
  <c r="AP219" i="1"/>
  <c r="BF218" i="1"/>
  <c r="BE218" i="1"/>
  <c r="BC218" i="1"/>
  <c r="BB218" i="1"/>
  <c r="BA218" i="1"/>
  <c r="AZ218" i="1"/>
  <c r="AY218" i="1"/>
  <c r="AX218" i="1"/>
  <c r="AP218" i="1"/>
  <c r="BF217" i="1"/>
  <c r="BE217" i="1"/>
  <c r="BC217" i="1"/>
  <c r="BB217" i="1"/>
  <c r="BA217" i="1"/>
  <c r="AZ217" i="1"/>
  <c r="AY217" i="1"/>
  <c r="AX217" i="1"/>
  <c r="AP217" i="1"/>
  <c r="BF216" i="1"/>
  <c r="BE216" i="1"/>
  <c r="BC216" i="1"/>
  <c r="BD216" i="1" s="1"/>
  <c r="BB216" i="1"/>
  <c r="BA216" i="1"/>
  <c r="AZ216" i="1"/>
  <c r="AY216" i="1"/>
  <c r="AX216" i="1"/>
  <c r="AP216" i="1"/>
  <c r="BF215" i="1"/>
  <c r="BE215" i="1"/>
  <c r="BC215" i="1"/>
  <c r="BB215" i="1"/>
  <c r="BA215" i="1"/>
  <c r="AZ215" i="1"/>
  <c r="AY215" i="1"/>
  <c r="AX215" i="1"/>
  <c r="AP215" i="1"/>
  <c r="BF214" i="1"/>
  <c r="BE214" i="1"/>
  <c r="BC214" i="1"/>
  <c r="BB214" i="1"/>
  <c r="BA214" i="1"/>
  <c r="AZ214" i="1"/>
  <c r="AY214" i="1"/>
  <c r="BD214" i="1" s="1"/>
  <c r="AX214" i="1"/>
  <c r="AP214" i="1"/>
  <c r="BF213" i="1"/>
  <c r="BE213" i="1"/>
  <c r="BC213" i="1"/>
  <c r="BB213" i="1"/>
  <c r="BA213" i="1"/>
  <c r="AZ213" i="1"/>
  <c r="AY213" i="1"/>
  <c r="AX213" i="1"/>
  <c r="BD213" i="1" s="1"/>
  <c r="AP213" i="1"/>
  <c r="BF212" i="1"/>
  <c r="BE212" i="1"/>
  <c r="BC212" i="1"/>
  <c r="BB212" i="1"/>
  <c r="BA212" i="1"/>
  <c r="BD212" i="1" s="1"/>
  <c r="AZ212" i="1"/>
  <c r="AY212" i="1"/>
  <c r="AX212" i="1"/>
  <c r="AP212" i="1"/>
  <c r="BF211" i="1"/>
  <c r="BE211" i="1"/>
  <c r="BC211" i="1"/>
  <c r="BB211" i="1"/>
  <c r="BA211" i="1"/>
  <c r="AZ211" i="1"/>
  <c r="AY211" i="1"/>
  <c r="AX211" i="1"/>
  <c r="BD211" i="1" s="1"/>
  <c r="AP211" i="1"/>
  <c r="BF210" i="1"/>
  <c r="BE210" i="1"/>
  <c r="BC210" i="1"/>
  <c r="BB210" i="1"/>
  <c r="BA210" i="1"/>
  <c r="AZ210" i="1"/>
  <c r="AY210" i="1"/>
  <c r="AX210" i="1"/>
  <c r="AP210" i="1"/>
  <c r="BF209" i="1"/>
  <c r="BE209" i="1"/>
  <c r="BC209" i="1"/>
  <c r="BB209" i="1"/>
  <c r="BA209" i="1"/>
  <c r="AZ209" i="1"/>
  <c r="AY209" i="1"/>
  <c r="AX209" i="1"/>
  <c r="AP209" i="1"/>
  <c r="BF208" i="1"/>
  <c r="BE208" i="1"/>
  <c r="BD208" i="1"/>
  <c r="BC208" i="1"/>
  <c r="BB208" i="1"/>
  <c r="BA208" i="1"/>
  <c r="AZ208" i="1"/>
  <c r="AY208" i="1"/>
  <c r="AX208" i="1"/>
  <c r="AP208" i="1"/>
  <c r="BF207" i="1"/>
  <c r="BE207" i="1"/>
  <c r="BC207" i="1"/>
  <c r="BB207" i="1"/>
  <c r="BA207" i="1"/>
  <c r="AZ207" i="1"/>
  <c r="AY207" i="1"/>
  <c r="AX207" i="1"/>
  <c r="BD207" i="1" s="1"/>
  <c r="AP207" i="1"/>
  <c r="BF206" i="1"/>
  <c r="BE206" i="1"/>
  <c r="BC206" i="1"/>
  <c r="BB206" i="1"/>
  <c r="BA206" i="1"/>
  <c r="AZ206" i="1"/>
  <c r="AY206" i="1"/>
  <c r="BD206" i="1" s="1"/>
  <c r="AX206" i="1"/>
  <c r="AP206" i="1"/>
  <c r="BF205" i="1"/>
  <c r="BE205" i="1"/>
  <c r="BC205" i="1"/>
  <c r="BB205" i="1"/>
  <c r="BA205" i="1"/>
  <c r="AZ205" i="1"/>
  <c r="AY205" i="1"/>
  <c r="AX205" i="1"/>
  <c r="AP205" i="1"/>
  <c r="BF204" i="1"/>
  <c r="BE204" i="1"/>
  <c r="BC204" i="1"/>
  <c r="BB204" i="1"/>
  <c r="BA204" i="1"/>
  <c r="BD204" i="1" s="1"/>
  <c r="AZ204" i="1"/>
  <c r="AY204" i="1"/>
  <c r="AX204" i="1"/>
  <c r="AP204" i="1"/>
  <c r="BF203" i="1"/>
  <c r="BE203" i="1"/>
  <c r="BC203" i="1"/>
  <c r="BB203" i="1"/>
  <c r="BA203" i="1"/>
  <c r="AZ203" i="1"/>
  <c r="AY203" i="1"/>
  <c r="AX203" i="1"/>
  <c r="AP203" i="1"/>
  <c r="BF202" i="1"/>
  <c r="BE202" i="1"/>
  <c r="BC202" i="1"/>
  <c r="BB202" i="1"/>
  <c r="BA202" i="1"/>
  <c r="AZ202" i="1"/>
  <c r="AY202" i="1"/>
  <c r="AX202" i="1"/>
  <c r="AP202" i="1"/>
  <c r="BF201" i="1"/>
  <c r="BE201" i="1"/>
  <c r="BC201" i="1"/>
  <c r="BB201" i="1"/>
  <c r="BA201" i="1"/>
  <c r="AZ201" i="1"/>
  <c r="AY201" i="1"/>
  <c r="AX201" i="1"/>
  <c r="AP201" i="1"/>
  <c r="BF200" i="1"/>
  <c r="BE200" i="1"/>
  <c r="BD200" i="1"/>
  <c r="BC200" i="1"/>
  <c r="BB200" i="1"/>
  <c r="BA200" i="1"/>
  <c r="AZ200" i="1"/>
  <c r="AY200" i="1"/>
  <c r="AX200" i="1"/>
  <c r="AP200" i="1"/>
  <c r="BF199" i="1"/>
  <c r="BE199" i="1"/>
  <c r="BC199" i="1"/>
  <c r="BB199" i="1"/>
  <c r="BA199" i="1"/>
  <c r="AZ199" i="1"/>
  <c r="AY199" i="1"/>
  <c r="AX199" i="1"/>
  <c r="AP199" i="1"/>
  <c r="BF198" i="1"/>
  <c r="BE198" i="1"/>
  <c r="BC198" i="1"/>
  <c r="BB198" i="1"/>
  <c r="BA198" i="1"/>
  <c r="AZ198" i="1"/>
  <c r="AY198" i="1"/>
  <c r="AX198" i="1"/>
  <c r="AP198" i="1"/>
  <c r="BF197" i="1"/>
  <c r="BE197" i="1"/>
  <c r="BC197" i="1"/>
  <c r="BB197" i="1"/>
  <c r="BA197" i="1"/>
  <c r="AZ197" i="1"/>
  <c r="AY197" i="1"/>
  <c r="AX197" i="1"/>
  <c r="AP197" i="1"/>
  <c r="BF196" i="1"/>
  <c r="BE196" i="1"/>
  <c r="BD196" i="1"/>
  <c r="BC196" i="1"/>
  <c r="BB196" i="1"/>
  <c r="BA196" i="1"/>
  <c r="AZ196" i="1"/>
  <c r="AY196" i="1"/>
  <c r="AX196" i="1"/>
  <c r="AP196" i="1"/>
  <c r="BF195" i="1"/>
  <c r="BE195" i="1"/>
  <c r="BC195" i="1"/>
  <c r="BB195" i="1"/>
  <c r="BA195" i="1"/>
  <c r="AZ195" i="1"/>
  <c r="AY195" i="1"/>
  <c r="AX195" i="1"/>
  <c r="AP195" i="1"/>
  <c r="BF194" i="1"/>
  <c r="BE194" i="1"/>
  <c r="BC194" i="1"/>
  <c r="BB194" i="1"/>
  <c r="BA194" i="1"/>
  <c r="AZ194" i="1"/>
  <c r="AY194" i="1"/>
  <c r="AX194" i="1"/>
  <c r="AP194" i="1"/>
  <c r="BF193" i="1"/>
  <c r="BE193" i="1"/>
  <c r="BC193" i="1"/>
  <c r="BB193" i="1"/>
  <c r="BA193" i="1"/>
  <c r="AZ193" i="1"/>
  <c r="AY193" i="1"/>
  <c r="AX193" i="1"/>
  <c r="AP193" i="1"/>
  <c r="BF192" i="1"/>
  <c r="BE192" i="1"/>
  <c r="BC192" i="1"/>
  <c r="BB192" i="1"/>
  <c r="BA192" i="1"/>
  <c r="BD192" i="1" s="1"/>
  <c r="AZ192" i="1"/>
  <c r="AY192" i="1"/>
  <c r="AX192" i="1"/>
  <c r="AP192" i="1"/>
  <c r="BF191" i="1"/>
  <c r="BE191" i="1"/>
  <c r="BC191" i="1"/>
  <c r="BB191" i="1"/>
  <c r="BA191" i="1"/>
  <c r="AZ191" i="1"/>
  <c r="AY191" i="1"/>
  <c r="AX191" i="1"/>
  <c r="AP191" i="1"/>
  <c r="BF190" i="1"/>
  <c r="BE190" i="1"/>
  <c r="BD190" i="1"/>
  <c r="BC190" i="1"/>
  <c r="BB190" i="1"/>
  <c r="BA190" i="1"/>
  <c r="AZ190" i="1"/>
  <c r="AY190" i="1"/>
  <c r="AX190" i="1"/>
  <c r="AP190" i="1"/>
  <c r="BF189" i="1"/>
  <c r="BE189" i="1"/>
  <c r="BC189" i="1"/>
  <c r="BB189" i="1"/>
  <c r="BA189" i="1"/>
  <c r="AZ189" i="1"/>
  <c r="AY189" i="1"/>
  <c r="AX189" i="1"/>
  <c r="AP189" i="1"/>
  <c r="BF188" i="1"/>
  <c r="BE188" i="1"/>
  <c r="BD188" i="1"/>
  <c r="BC188" i="1"/>
  <c r="BB188" i="1"/>
  <c r="BA188" i="1"/>
  <c r="AZ188" i="1"/>
  <c r="AY188" i="1"/>
  <c r="AX188" i="1"/>
  <c r="AP188" i="1"/>
  <c r="BF187" i="1"/>
  <c r="BE187" i="1"/>
  <c r="BC187" i="1"/>
  <c r="BB187" i="1"/>
  <c r="BA187" i="1"/>
  <c r="AZ187" i="1"/>
  <c r="AY187" i="1"/>
  <c r="AX187" i="1"/>
  <c r="AP187" i="1"/>
  <c r="BF186" i="1"/>
  <c r="BE186" i="1"/>
  <c r="BC186" i="1"/>
  <c r="BB186" i="1"/>
  <c r="BA186" i="1"/>
  <c r="AZ186" i="1"/>
  <c r="AY186" i="1"/>
  <c r="BD186" i="1" s="1"/>
  <c r="AX186" i="1"/>
  <c r="AP186" i="1"/>
  <c r="BF185" i="1"/>
  <c r="BE185" i="1"/>
  <c r="BC185" i="1"/>
  <c r="BB185" i="1"/>
  <c r="BA185" i="1"/>
  <c r="AZ185" i="1"/>
  <c r="AY185" i="1"/>
  <c r="AX185" i="1"/>
  <c r="AP185" i="1"/>
  <c r="BF184" i="1"/>
  <c r="BE184" i="1"/>
  <c r="BD184" i="1"/>
  <c r="BC184" i="1"/>
  <c r="BB184" i="1"/>
  <c r="BA184" i="1"/>
  <c r="AZ184" i="1"/>
  <c r="AY184" i="1"/>
  <c r="AX184" i="1"/>
  <c r="AP184" i="1"/>
  <c r="BF183" i="1"/>
  <c r="BE183" i="1"/>
  <c r="BC183" i="1"/>
  <c r="BB183" i="1"/>
  <c r="BA183" i="1"/>
  <c r="AZ183" i="1"/>
  <c r="AY183" i="1"/>
  <c r="AX183" i="1"/>
  <c r="BD183" i="1" s="1"/>
  <c r="AP183" i="1"/>
  <c r="BF182" i="1"/>
  <c r="BE182" i="1"/>
  <c r="BC182" i="1"/>
  <c r="BB182" i="1"/>
  <c r="BA182" i="1"/>
  <c r="AZ182" i="1"/>
  <c r="AY182" i="1"/>
  <c r="BD182" i="1" s="1"/>
  <c r="AX182" i="1"/>
  <c r="AP182" i="1"/>
  <c r="BF181" i="1"/>
  <c r="BE181" i="1"/>
  <c r="BC181" i="1"/>
  <c r="BB181" i="1"/>
  <c r="BA181" i="1"/>
  <c r="AZ181" i="1"/>
  <c r="AY181" i="1"/>
  <c r="AX181" i="1"/>
  <c r="AP181" i="1"/>
  <c r="BF180" i="1"/>
  <c r="BE180" i="1"/>
  <c r="BC180" i="1"/>
  <c r="BB180" i="1"/>
  <c r="BA180" i="1"/>
  <c r="AZ180" i="1"/>
  <c r="BD180" i="1" s="1"/>
  <c r="AY180" i="1"/>
  <c r="AX180" i="1"/>
  <c r="AP180" i="1"/>
  <c r="BF179" i="1"/>
  <c r="BE179" i="1"/>
  <c r="BC179" i="1"/>
  <c r="BB179" i="1"/>
  <c r="BA179" i="1"/>
  <c r="AZ179" i="1"/>
  <c r="AY179" i="1"/>
  <c r="AX179" i="1"/>
  <c r="AP179" i="1"/>
  <c r="BF178" i="1"/>
  <c r="BE178" i="1"/>
  <c r="BC178" i="1"/>
  <c r="BB178" i="1"/>
  <c r="BA178" i="1"/>
  <c r="AZ178" i="1"/>
  <c r="AY178" i="1"/>
  <c r="BD178" i="1" s="1"/>
  <c r="AX178" i="1"/>
  <c r="AP178" i="1"/>
  <c r="BF177" i="1"/>
  <c r="BE177" i="1"/>
  <c r="BC177" i="1"/>
  <c r="BB177" i="1"/>
  <c r="BA177" i="1"/>
  <c r="AZ177" i="1"/>
  <c r="AY177" i="1"/>
  <c r="AX177" i="1"/>
  <c r="AP177" i="1"/>
  <c r="BF176" i="1"/>
  <c r="BE176" i="1"/>
  <c r="BC176" i="1"/>
  <c r="BB176" i="1"/>
  <c r="BA176" i="1"/>
  <c r="AZ176" i="1"/>
  <c r="BD176" i="1" s="1"/>
  <c r="AY176" i="1"/>
  <c r="AX176" i="1"/>
  <c r="AP176" i="1"/>
  <c r="BF175" i="1"/>
  <c r="BE175" i="1"/>
  <c r="BC175" i="1"/>
  <c r="BB175" i="1"/>
  <c r="BA175" i="1"/>
  <c r="AZ175" i="1"/>
  <c r="AY175" i="1"/>
  <c r="AX175" i="1"/>
  <c r="AP175" i="1"/>
  <c r="BF174" i="1"/>
  <c r="BE174" i="1"/>
  <c r="BD174" i="1"/>
  <c r="BC174" i="1"/>
  <c r="BB174" i="1"/>
  <c r="BA174" i="1"/>
  <c r="AZ174" i="1"/>
  <c r="AY174" i="1"/>
  <c r="AX174" i="1"/>
  <c r="AP174" i="1"/>
  <c r="BF173" i="1"/>
  <c r="BE173" i="1"/>
  <c r="BC173" i="1"/>
  <c r="BB173" i="1"/>
  <c r="BA173" i="1"/>
  <c r="AZ173" i="1"/>
  <c r="AY173" i="1"/>
  <c r="AX173" i="1"/>
  <c r="AP173" i="1"/>
  <c r="BF172" i="1"/>
  <c r="BE172" i="1"/>
  <c r="BD172" i="1"/>
  <c r="BC172" i="1"/>
  <c r="BB172" i="1"/>
  <c r="BA172" i="1"/>
  <c r="AZ172" i="1"/>
  <c r="AY172" i="1"/>
  <c r="AX172" i="1"/>
  <c r="AP172" i="1"/>
  <c r="BF171" i="1"/>
  <c r="BE171" i="1"/>
  <c r="BC171" i="1"/>
  <c r="BB171" i="1"/>
  <c r="BA171" i="1"/>
  <c r="AZ171" i="1"/>
  <c r="AY171" i="1"/>
  <c r="AX171" i="1"/>
  <c r="AP171" i="1"/>
  <c r="BF170" i="1"/>
  <c r="BE170" i="1"/>
  <c r="BC170" i="1"/>
  <c r="BB170" i="1"/>
  <c r="BA170" i="1"/>
  <c r="AZ170" i="1"/>
  <c r="AY170" i="1"/>
  <c r="BD170" i="1" s="1"/>
  <c r="AX170" i="1"/>
  <c r="AP170" i="1"/>
  <c r="BF169" i="1"/>
  <c r="BE169" i="1"/>
  <c r="BC169" i="1"/>
  <c r="BB169" i="1"/>
  <c r="BA169" i="1"/>
  <c r="AZ169" i="1"/>
  <c r="AY169" i="1"/>
  <c r="AX169" i="1"/>
  <c r="AP169" i="1"/>
  <c r="BF168" i="1"/>
  <c r="BE168" i="1"/>
  <c r="BD168" i="1"/>
  <c r="BC168" i="1"/>
  <c r="BB168" i="1"/>
  <c r="BA168" i="1"/>
  <c r="AZ168" i="1"/>
  <c r="AY168" i="1"/>
  <c r="AX168" i="1"/>
  <c r="AP168" i="1"/>
  <c r="BF167" i="1"/>
  <c r="BE167" i="1"/>
  <c r="BC167" i="1"/>
  <c r="BB167" i="1"/>
  <c r="BA167" i="1"/>
  <c r="AZ167" i="1"/>
  <c r="AY167" i="1"/>
  <c r="AX167" i="1"/>
  <c r="BD167" i="1" s="1"/>
  <c r="AP167" i="1"/>
  <c r="BF166" i="1"/>
  <c r="BE166" i="1"/>
  <c r="BC166" i="1"/>
  <c r="BB166" i="1"/>
  <c r="BA166" i="1"/>
  <c r="AZ166" i="1"/>
  <c r="AY166" i="1"/>
  <c r="BD166" i="1" s="1"/>
  <c r="AX166" i="1"/>
  <c r="AP166" i="1"/>
  <c r="BF165" i="1"/>
  <c r="BE165" i="1"/>
  <c r="BC165" i="1"/>
  <c r="BB165" i="1"/>
  <c r="BA165" i="1"/>
  <c r="AZ165" i="1"/>
  <c r="AY165" i="1"/>
  <c r="AX165" i="1"/>
  <c r="AP165" i="1"/>
  <c r="BF164" i="1"/>
  <c r="BE164" i="1"/>
  <c r="BC164" i="1"/>
  <c r="BB164" i="1"/>
  <c r="BA164" i="1"/>
  <c r="AZ164" i="1"/>
  <c r="BD164" i="1" s="1"/>
  <c r="AY164" i="1"/>
  <c r="AX164" i="1"/>
  <c r="AP164" i="1"/>
  <c r="BF163" i="1"/>
  <c r="BE163" i="1"/>
  <c r="BC163" i="1"/>
  <c r="BB163" i="1"/>
  <c r="BA163" i="1"/>
  <c r="AZ163" i="1"/>
  <c r="AY163" i="1"/>
  <c r="AX163" i="1"/>
  <c r="AP163" i="1"/>
  <c r="BF162" i="1"/>
  <c r="BE162" i="1"/>
  <c r="BC162" i="1"/>
  <c r="BB162" i="1"/>
  <c r="BA162" i="1"/>
  <c r="AZ162" i="1"/>
  <c r="AY162" i="1"/>
  <c r="BD162" i="1" s="1"/>
  <c r="AX162" i="1"/>
  <c r="AP162" i="1"/>
  <c r="BF161" i="1"/>
  <c r="BE161" i="1"/>
  <c r="BC161" i="1"/>
  <c r="BB161" i="1"/>
  <c r="BA161" i="1"/>
  <c r="AZ161" i="1"/>
  <c r="AY161" i="1"/>
  <c r="AX161" i="1"/>
  <c r="AP161" i="1"/>
  <c r="BF160" i="1"/>
  <c r="BE160" i="1"/>
  <c r="BC160" i="1"/>
  <c r="BB160" i="1"/>
  <c r="BA160" i="1"/>
  <c r="AZ160" i="1"/>
  <c r="BD160" i="1" s="1"/>
  <c r="AY160" i="1"/>
  <c r="AX160" i="1"/>
  <c r="AP160" i="1"/>
  <c r="BF159" i="1"/>
  <c r="BE159" i="1"/>
  <c r="BC159" i="1"/>
  <c r="BB159" i="1"/>
  <c r="BA159" i="1"/>
  <c r="AZ159" i="1"/>
  <c r="AY159" i="1"/>
  <c r="AX159" i="1"/>
  <c r="AP159" i="1"/>
  <c r="BF158" i="1"/>
  <c r="BE158" i="1"/>
  <c r="BD158" i="1"/>
  <c r="BC158" i="1"/>
  <c r="BB158" i="1"/>
  <c r="BA158" i="1"/>
  <c r="AZ158" i="1"/>
  <c r="AY158" i="1"/>
  <c r="AX158" i="1"/>
  <c r="AP158" i="1"/>
  <c r="BF157" i="1"/>
  <c r="BE157" i="1"/>
  <c r="BC157" i="1"/>
  <c r="BB157" i="1"/>
  <c r="BA157" i="1"/>
  <c r="AZ157" i="1"/>
  <c r="AY157" i="1"/>
  <c r="AX157" i="1"/>
  <c r="AP157" i="1"/>
  <c r="BF156" i="1"/>
  <c r="BE156" i="1"/>
  <c r="BD156" i="1"/>
  <c r="BC156" i="1"/>
  <c r="BB156" i="1"/>
  <c r="BA156" i="1"/>
  <c r="AZ156" i="1"/>
  <c r="AY156" i="1"/>
  <c r="AX156" i="1"/>
  <c r="AP156" i="1"/>
  <c r="BF155" i="1"/>
  <c r="BE155" i="1"/>
  <c r="BC155" i="1"/>
  <c r="BB155" i="1"/>
  <c r="BA155" i="1"/>
  <c r="AZ155" i="1"/>
  <c r="AY155" i="1"/>
  <c r="AX155" i="1"/>
  <c r="AP155" i="1"/>
  <c r="BF154" i="1"/>
  <c r="BE154" i="1"/>
  <c r="BC154" i="1"/>
  <c r="BB154" i="1"/>
  <c r="BA154" i="1"/>
  <c r="AZ154" i="1"/>
  <c r="AY154" i="1"/>
  <c r="BD154" i="1" s="1"/>
  <c r="AX154" i="1"/>
  <c r="AP154" i="1"/>
  <c r="BF153" i="1"/>
  <c r="BE153" i="1"/>
  <c r="BC153" i="1"/>
  <c r="BB153" i="1"/>
  <c r="BA153" i="1"/>
  <c r="AZ153" i="1"/>
  <c r="AY153" i="1"/>
  <c r="AX153" i="1"/>
  <c r="AP153" i="1"/>
  <c r="BF152" i="1"/>
  <c r="BE152" i="1"/>
  <c r="BD152" i="1"/>
  <c r="BC152" i="1"/>
  <c r="BB152" i="1"/>
  <c r="BA152" i="1"/>
  <c r="AZ152" i="1"/>
  <c r="AY152" i="1"/>
  <c r="AX152" i="1"/>
  <c r="AP152" i="1"/>
  <c r="BF151" i="1"/>
  <c r="BE151" i="1"/>
  <c r="BC151" i="1"/>
  <c r="BB151" i="1"/>
  <c r="BA151" i="1"/>
  <c r="AZ151" i="1"/>
  <c r="AY151" i="1"/>
  <c r="AX151" i="1"/>
  <c r="BD151" i="1" s="1"/>
  <c r="AP151" i="1"/>
  <c r="BF150" i="1"/>
  <c r="BE150" i="1"/>
  <c r="BC150" i="1"/>
  <c r="BB150" i="1"/>
  <c r="BA150" i="1"/>
  <c r="AZ150" i="1"/>
  <c r="AY150" i="1"/>
  <c r="BD150" i="1" s="1"/>
  <c r="AX150" i="1"/>
  <c r="AP150" i="1"/>
  <c r="BF149" i="1"/>
  <c r="BE149" i="1"/>
  <c r="BC149" i="1"/>
  <c r="BB149" i="1"/>
  <c r="BA149" i="1"/>
  <c r="AZ149" i="1"/>
  <c r="AY149" i="1"/>
  <c r="AX149" i="1"/>
  <c r="AP149" i="1"/>
  <c r="BF148" i="1"/>
  <c r="BE148" i="1"/>
  <c r="BC148" i="1"/>
  <c r="BB148" i="1"/>
  <c r="BA148" i="1"/>
  <c r="AZ148" i="1"/>
  <c r="BD148" i="1" s="1"/>
  <c r="AY148" i="1"/>
  <c r="AX148" i="1"/>
  <c r="AP148" i="1"/>
  <c r="BF147" i="1"/>
  <c r="BE147" i="1"/>
  <c r="BC147" i="1"/>
  <c r="BB147" i="1"/>
  <c r="BA147" i="1"/>
  <c r="AZ147" i="1"/>
  <c r="AY147" i="1"/>
  <c r="AX147" i="1"/>
  <c r="AP147" i="1"/>
  <c r="BF146" i="1"/>
  <c r="BE146" i="1"/>
  <c r="BC146" i="1"/>
  <c r="BB146" i="1"/>
  <c r="BA146" i="1"/>
  <c r="AZ146" i="1"/>
  <c r="AY146" i="1"/>
  <c r="BD146" i="1" s="1"/>
  <c r="AX146" i="1"/>
  <c r="AP146" i="1"/>
  <c r="BF145" i="1"/>
  <c r="BE145" i="1"/>
  <c r="BC145" i="1"/>
  <c r="BB145" i="1"/>
  <c r="BA145" i="1"/>
  <c r="AZ145" i="1"/>
  <c r="AY145" i="1"/>
  <c r="AX145" i="1"/>
  <c r="AP145" i="1"/>
  <c r="BF144" i="1"/>
  <c r="BE144" i="1"/>
  <c r="BC144" i="1"/>
  <c r="BB144" i="1"/>
  <c r="BA144" i="1"/>
  <c r="AZ144" i="1"/>
  <c r="BD144" i="1" s="1"/>
  <c r="AY144" i="1"/>
  <c r="AX144" i="1"/>
  <c r="AP144" i="1"/>
  <c r="BF143" i="1"/>
  <c r="BE143" i="1"/>
  <c r="BC143" i="1"/>
  <c r="BB143" i="1"/>
  <c r="BA143" i="1"/>
  <c r="AZ143" i="1"/>
  <c r="AY143" i="1"/>
  <c r="AX143" i="1"/>
  <c r="AP143" i="1"/>
  <c r="BF142" i="1"/>
  <c r="BE142" i="1"/>
  <c r="BD142" i="1"/>
  <c r="BC142" i="1"/>
  <c r="BB142" i="1"/>
  <c r="BA142" i="1"/>
  <c r="AZ142" i="1"/>
  <c r="AY142" i="1"/>
  <c r="AX142" i="1"/>
  <c r="AP142" i="1"/>
  <c r="BF141" i="1"/>
  <c r="BE141" i="1"/>
  <c r="BC141" i="1"/>
  <c r="BB141" i="1"/>
  <c r="BA141" i="1"/>
  <c r="AZ141" i="1"/>
  <c r="AY141" i="1"/>
  <c r="AX141" i="1"/>
  <c r="AP141" i="1"/>
  <c r="BF140" i="1"/>
  <c r="BE140" i="1"/>
  <c r="BD140" i="1"/>
  <c r="BC140" i="1"/>
  <c r="BB140" i="1"/>
  <c r="BA140" i="1"/>
  <c r="AZ140" i="1"/>
  <c r="AY140" i="1"/>
  <c r="AX140" i="1"/>
  <c r="AP140" i="1"/>
  <c r="BF139" i="1"/>
  <c r="BE139" i="1"/>
  <c r="BC139" i="1"/>
  <c r="BB139" i="1"/>
  <c r="BA139" i="1"/>
  <c r="AZ139" i="1"/>
  <c r="AY139" i="1"/>
  <c r="AX139" i="1"/>
  <c r="AP139" i="1"/>
  <c r="BF138" i="1"/>
  <c r="BE138" i="1"/>
  <c r="BC138" i="1"/>
  <c r="BB138" i="1"/>
  <c r="BA138" i="1"/>
  <c r="AZ138" i="1"/>
  <c r="AY138" i="1"/>
  <c r="BD138" i="1" s="1"/>
  <c r="AX138" i="1"/>
  <c r="AP138" i="1"/>
  <c r="BF137" i="1"/>
  <c r="BE137" i="1"/>
  <c r="BC137" i="1"/>
  <c r="BB137" i="1"/>
  <c r="BA137" i="1"/>
  <c r="AZ137" i="1"/>
  <c r="AY137" i="1"/>
  <c r="AX137" i="1"/>
  <c r="AP137" i="1"/>
  <c r="BF136" i="1"/>
  <c r="BE136" i="1"/>
  <c r="BD136" i="1"/>
  <c r="BC136" i="1"/>
  <c r="BB136" i="1"/>
  <c r="BA136" i="1"/>
  <c r="AZ136" i="1"/>
  <c r="AY136" i="1"/>
  <c r="AX136" i="1"/>
  <c r="AP136" i="1"/>
  <c r="BF135" i="1"/>
  <c r="BE135" i="1"/>
  <c r="BC135" i="1"/>
  <c r="BB135" i="1"/>
  <c r="BA135" i="1"/>
  <c r="AZ135" i="1"/>
  <c r="AY135" i="1"/>
  <c r="AX135" i="1"/>
  <c r="BD135" i="1" s="1"/>
  <c r="AP135" i="1"/>
  <c r="BF134" i="1"/>
  <c r="BE134" i="1"/>
  <c r="BC134" i="1"/>
  <c r="BB134" i="1"/>
  <c r="BA134" i="1"/>
  <c r="AZ134" i="1"/>
  <c r="AY134" i="1"/>
  <c r="AX134" i="1"/>
  <c r="BD134" i="1" s="1"/>
  <c r="AP134" i="1"/>
  <c r="BF133" i="1"/>
  <c r="BE133" i="1"/>
  <c r="BC133" i="1"/>
  <c r="BB133" i="1"/>
  <c r="BA133" i="1"/>
  <c r="AZ133" i="1"/>
  <c r="AY133" i="1"/>
  <c r="AX133" i="1"/>
  <c r="AP133" i="1"/>
  <c r="BF132" i="1"/>
  <c r="BE132" i="1"/>
  <c r="BD132" i="1"/>
  <c r="BC132" i="1"/>
  <c r="BB132" i="1"/>
  <c r="BA132" i="1"/>
  <c r="AZ132" i="1"/>
  <c r="AY132" i="1"/>
  <c r="AX132" i="1"/>
  <c r="AP132" i="1"/>
  <c r="BF131" i="1"/>
  <c r="BE131" i="1"/>
  <c r="BC131" i="1"/>
  <c r="BB131" i="1"/>
  <c r="BA131" i="1"/>
  <c r="AZ131" i="1"/>
  <c r="AY131" i="1"/>
  <c r="AX131" i="1"/>
  <c r="BD131" i="1" s="1"/>
  <c r="AP131" i="1"/>
  <c r="BF130" i="1"/>
  <c r="BE130" i="1"/>
  <c r="BC130" i="1"/>
  <c r="BB130" i="1"/>
  <c r="BA130" i="1"/>
  <c r="AZ130" i="1"/>
  <c r="AY130" i="1"/>
  <c r="AX130" i="1"/>
  <c r="BD130" i="1" s="1"/>
  <c r="AP130" i="1"/>
  <c r="BF129" i="1"/>
  <c r="BE129" i="1"/>
  <c r="BC129" i="1"/>
  <c r="BB129" i="1"/>
  <c r="BA129" i="1"/>
  <c r="AZ129" i="1"/>
  <c r="AY129" i="1"/>
  <c r="AX129" i="1"/>
  <c r="AP129" i="1"/>
  <c r="BF128" i="1"/>
  <c r="BE128" i="1"/>
  <c r="BC128" i="1"/>
  <c r="BB128" i="1"/>
  <c r="BA128" i="1"/>
  <c r="AZ128" i="1"/>
  <c r="BD128" i="1" s="1"/>
  <c r="AY128" i="1"/>
  <c r="AX128" i="1"/>
  <c r="AP128" i="1"/>
  <c r="BF127" i="1"/>
  <c r="BE127" i="1"/>
  <c r="BD127" i="1"/>
  <c r="BC127" i="1"/>
  <c r="BB127" i="1"/>
  <c r="BA127" i="1"/>
  <c r="AZ127" i="1"/>
  <c r="AY127" i="1"/>
  <c r="AX127" i="1"/>
  <c r="AP127" i="1"/>
  <c r="BF126" i="1"/>
  <c r="BE126" i="1"/>
  <c r="BC126" i="1"/>
  <c r="BB126" i="1"/>
  <c r="BA126" i="1"/>
  <c r="AZ126" i="1"/>
  <c r="AY126" i="1"/>
  <c r="AX126" i="1"/>
  <c r="BD126" i="1" s="1"/>
  <c r="AP126" i="1"/>
  <c r="BF125" i="1"/>
  <c r="BE125" i="1"/>
  <c r="BC125" i="1"/>
  <c r="BB125" i="1"/>
  <c r="BA125" i="1"/>
  <c r="AZ125" i="1"/>
  <c r="AY125" i="1"/>
  <c r="AX125" i="1"/>
  <c r="AP125" i="1"/>
  <c r="BF124" i="1"/>
  <c r="BE124" i="1"/>
  <c r="BC124" i="1"/>
  <c r="BB124" i="1"/>
  <c r="BA124" i="1"/>
  <c r="AZ124" i="1"/>
  <c r="BD124" i="1" s="1"/>
  <c r="AY124" i="1"/>
  <c r="AX124" i="1"/>
  <c r="AP124" i="1"/>
  <c r="BF123" i="1"/>
  <c r="BE123" i="1"/>
  <c r="BD123" i="1"/>
  <c r="BC123" i="1"/>
  <c r="BB123" i="1"/>
  <c r="BA123" i="1"/>
  <c r="AZ123" i="1"/>
  <c r="AY123" i="1"/>
  <c r="AX123" i="1"/>
  <c r="AP123" i="1"/>
  <c r="BF122" i="1"/>
  <c r="BE122" i="1"/>
  <c r="BC122" i="1"/>
  <c r="BB122" i="1"/>
  <c r="BA122" i="1"/>
  <c r="AZ122" i="1"/>
  <c r="AY122" i="1"/>
  <c r="AX122" i="1"/>
  <c r="BD122" i="1" s="1"/>
  <c r="AP122" i="1"/>
  <c r="BF121" i="1"/>
  <c r="BE121" i="1"/>
  <c r="BC121" i="1"/>
  <c r="BB121" i="1"/>
  <c r="BA121" i="1"/>
  <c r="AZ121" i="1"/>
  <c r="AY121" i="1"/>
  <c r="AX121" i="1"/>
  <c r="BD121" i="1" s="1"/>
  <c r="AP121" i="1"/>
  <c r="BF120" i="1"/>
  <c r="BE120" i="1"/>
  <c r="BC120" i="1"/>
  <c r="BB120" i="1"/>
  <c r="BA120" i="1"/>
  <c r="AZ120" i="1"/>
  <c r="BD120" i="1" s="1"/>
  <c r="AY120" i="1"/>
  <c r="AX120" i="1"/>
  <c r="AP120" i="1"/>
  <c r="BF119" i="1"/>
  <c r="BE119" i="1"/>
  <c r="BD119" i="1"/>
  <c r="BC119" i="1"/>
  <c r="BB119" i="1"/>
  <c r="BA119" i="1"/>
  <c r="AZ119" i="1"/>
  <c r="AY119" i="1"/>
  <c r="AX119" i="1"/>
  <c r="AP119" i="1"/>
  <c r="BF118" i="1"/>
  <c r="BE118" i="1"/>
  <c r="BC118" i="1"/>
  <c r="BB118" i="1"/>
  <c r="BA118" i="1"/>
  <c r="AZ118" i="1"/>
  <c r="AY118" i="1"/>
  <c r="AX118" i="1"/>
  <c r="BD118" i="1" s="1"/>
  <c r="AP118" i="1"/>
  <c r="BF117" i="1"/>
  <c r="BE117" i="1"/>
  <c r="BC117" i="1"/>
  <c r="BB117" i="1"/>
  <c r="BA117" i="1"/>
  <c r="AZ117" i="1"/>
  <c r="AY117" i="1"/>
  <c r="AX117" i="1"/>
  <c r="BD117" i="1" s="1"/>
  <c r="AP117" i="1"/>
  <c r="BF116" i="1"/>
  <c r="BE116" i="1"/>
  <c r="BC116" i="1"/>
  <c r="BB116" i="1"/>
  <c r="BA116" i="1"/>
  <c r="AZ116" i="1"/>
  <c r="BD116" i="1" s="1"/>
  <c r="AY116" i="1"/>
  <c r="AX116" i="1"/>
  <c r="AP116" i="1"/>
  <c r="BF115" i="1"/>
  <c r="BE115" i="1"/>
  <c r="BD115" i="1"/>
  <c r="BC115" i="1"/>
  <c r="BB115" i="1"/>
  <c r="BA115" i="1"/>
  <c r="AZ115" i="1"/>
  <c r="AY115" i="1"/>
  <c r="AX115" i="1"/>
  <c r="AP115" i="1"/>
  <c r="BF114" i="1"/>
  <c r="BE114" i="1"/>
  <c r="BC114" i="1"/>
  <c r="BB114" i="1"/>
  <c r="BA114" i="1"/>
  <c r="AZ114" i="1"/>
  <c r="AY114" i="1"/>
  <c r="AX114" i="1"/>
  <c r="BD114" i="1" s="1"/>
  <c r="AP114" i="1"/>
  <c r="BF113" i="1"/>
  <c r="BE113" i="1"/>
  <c r="BC113" i="1"/>
  <c r="BB113" i="1"/>
  <c r="BA113" i="1"/>
  <c r="AZ113" i="1"/>
  <c r="AY113" i="1"/>
  <c r="AX113" i="1"/>
  <c r="BD113" i="1" s="1"/>
  <c r="AP113" i="1"/>
  <c r="BF112" i="1"/>
  <c r="BE112" i="1"/>
  <c r="BC112" i="1"/>
  <c r="BB112" i="1"/>
  <c r="BA112" i="1"/>
  <c r="AZ112" i="1"/>
  <c r="BD112" i="1" s="1"/>
  <c r="AY112" i="1"/>
  <c r="AX112" i="1"/>
  <c r="AP112" i="1"/>
  <c r="BF111" i="1"/>
  <c r="BE111" i="1"/>
  <c r="BD111" i="1"/>
  <c r="BC111" i="1"/>
  <c r="BB111" i="1"/>
  <c r="BA111" i="1"/>
  <c r="AZ111" i="1"/>
  <c r="AY111" i="1"/>
  <c r="AX111" i="1"/>
  <c r="AP111" i="1"/>
  <c r="BF110" i="1"/>
  <c r="BE110" i="1"/>
  <c r="BC110" i="1"/>
  <c r="BB110" i="1"/>
  <c r="BA110" i="1"/>
  <c r="AZ110" i="1"/>
  <c r="AY110" i="1"/>
  <c r="AX110" i="1"/>
  <c r="BD110" i="1" s="1"/>
  <c r="AP110" i="1"/>
  <c r="BF109" i="1"/>
  <c r="BE109" i="1"/>
  <c r="BC109" i="1"/>
  <c r="BB109" i="1"/>
  <c r="BA109" i="1"/>
  <c r="AZ109" i="1"/>
  <c r="AY109" i="1"/>
  <c r="AX109" i="1"/>
  <c r="BD109" i="1" s="1"/>
  <c r="AP109" i="1"/>
  <c r="BF108" i="1"/>
  <c r="BE108" i="1"/>
  <c r="BC108" i="1"/>
  <c r="BB108" i="1"/>
  <c r="BA108" i="1"/>
  <c r="AZ108" i="1"/>
  <c r="BD108" i="1" s="1"/>
  <c r="AY108" i="1"/>
  <c r="AX108" i="1"/>
  <c r="AP108" i="1"/>
  <c r="BF107" i="1"/>
  <c r="BE107" i="1"/>
  <c r="BD107" i="1"/>
  <c r="BC107" i="1"/>
  <c r="BB107" i="1"/>
  <c r="BA107" i="1"/>
  <c r="AZ107" i="1"/>
  <c r="AY107" i="1"/>
  <c r="AX107" i="1"/>
  <c r="AP107" i="1"/>
  <c r="BF106" i="1"/>
  <c r="BE106" i="1"/>
  <c r="BC106" i="1"/>
  <c r="BB106" i="1"/>
  <c r="BA106" i="1"/>
  <c r="AZ106" i="1"/>
  <c r="AY106" i="1"/>
  <c r="AX106" i="1"/>
  <c r="BD106" i="1" s="1"/>
  <c r="AP106" i="1"/>
  <c r="BF105" i="1"/>
  <c r="BE105" i="1"/>
  <c r="BC105" i="1"/>
  <c r="BB105" i="1"/>
  <c r="BA105" i="1"/>
  <c r="AZ105" i="1"/>
  <c r="AY105" i="1"/>
  <c r="AX105" i="1"/>
  <c r="BD105" i="1" s="1"/>
  <c r="AP105" i="1"/>
  <c r="BF104" i="1"/>
  <c r="BE104" i="1"/>
  <c r="BC104" i="1"/>
  <c r="BB104" i="1"/>
  <c r="BA104" i="1"/>
  <c r="AZ104" i="1"/>
  <c r="BD104" i="1" s="1"/>
  <c r="AY104" i="1"/>
  <c r="AX104" i="1"/>
  <c r="AP104" i="1"/>
  <c r="BF103" i="1"/>
  <c r="BE103" i="1"/>
  <c r="BD103" i="1"/>
  <c r="BC103" i="1"/>
  <c r="BB103" i="1"/>
  <c r="BA103" i="1"/>
  <c r="AZ103" i="1"/>
  <c r="AY103" i="1"/>
  <c r="AX103" i="1"/>
  <c r="AP103" i="1"/>
  <c r="BF102" i="1"/>
  <c r="BE102" i="1"/>
  <c r="BC102" i="1"/>
  <c r="BB102" i="1"/>
  <c r="BA102" i="1"/>
  <c r="AZ102" i="1"/>
  <c r="AY102" i="1"/>
  <c r="AX102" i="1"/>
  <c r="BD102" i="1" s="1"/>
  <c r="AP102" i="1"/>
  <c r="BF101" i="1"/>
  <c r="BE101" i="1"/>
  <c r="BC101" i="1"/>
  <c r="BB101" i="1"/>
  <c r="BA101" i="1"/>
  <c r="AZ101" i="1"/>
  <c r="AY101" i="1"/>
  <c r="AX101" i="1"/>
  <c r="BD101" i="1" s="1"/>
  <c r="AP101" i="1"/>
  <c r="BF100" i="1"/>
  <c r="BE100" i="1"/>
  <c r="BC100" i="1"/>
  <c r="BB100" i="1"/>
  <c r="BA100" i="1"/>
  <c r="AZ100" i="1"/>
  <c r="BD100" i="1" s="1"/>
  <c r="AY100" i="1"/>
  <c r="AX100" i="1"/>
  <c r="AP100" i="1"/>
  <c r="BF99" i="1"/>
  <c r="BE99" i="1"/>
  <c r="BD99" i="1"/>
  <c r="BC99" i="1"/>
  <c r="BB99" i="1"/>
  <c r="BA99" i="1"/>
  <c r="AZ99" i="1"/>
  <c r="AY99" i="1"/>
  <c r="AX99" i="1"/>
  <c r="AP99" i="1"/>
  <c r="BF98" i="1"/>
  <c r="BE98" i="1"/>
  <c r="BC98" i="1"/>
  <c r="BB98" i="1"/>
  <c r="BA98" i="1"/>
  <c r="AZ98" i="1"/>
  <c r="AY98" i="1"/>
  <c r="AX98" i="1"/>
  <c r="BD98" i="1" s="1"/>
  <c r="AP98" i="1"/>
  <c r="BF97" i="1"/>
  <c r="BE97" i="1"/>
  <c r="BC97" i="1"/>
  <c r="BB97" i="1"/>
  <c r="BA97" i="1"/>
  <c r="AZ97" i="1"/>
  <c r="AY97" i="1"/>
  <c r="AX97" i="1"/>
  <c r="BD97" i="1" s="1"/>
  <c r="AP97" i="1"/>
  <c r="BF96" i="1"/>
  <c r="BE96" i="1"/>
  <c r="BC96" i="1"/>
  <c r="BB96" i="1"/>
  <c r="BA96" i="1"/>
  <c r="AZ96" i="1"/>
  <c r="BD96" i="1" s="1"/>
  <c r="AY96" i="1"/>
  <c r="AX96" i="1"/>
  <c r="AP96" i="1"/>
  <c r="BF95" i="1"/>
  <c r="BE95" i="1"/>
  <c r="BD95" i="1"/>
  <c r="BC95" i="1"/>
  <c r="BB95" i="1"/>
  <c r="BA95" i="1"/>
  <c r="AZ95" i="1"/>
  <c r="AY95" i="1"/>
  <c r="AX95" i="1"/>
  <c r="AP95" i="1"/>
  <c r="BF94" i="1"/>
  <c r="BE94" i="1"/>
  <c r="BC94" i="1"/>
  <c r="BB94" i="1"/>
  <c r="BA94" i="1"/>
  <c r="AZ94" i="1"/>
  <c r="AY94" i="1"/>
  <c r="AX94" i="1"/>
  <c r="BD94" i="1" s="1"/>
  <c r="AP94" i="1"/>
  <c r="BF93" i="1"/>
  <c r="BE93" i="1"/>
  <c r="BC93" i="1"/>
  <c r="BB93" i="1"/>
  <c r="BA93" i="1"/>
  <c r="AZ93" i="1"/>
  <c r="AY93" i="1"/>
  <c r="AX93" i="1"/>
  <c r="BD93" i="1" s="1"/>
  <c r="AP93" i="1"/>
  <c r="BF92" i="1"/>
  <c r="BE92" i="1"/>
  <c r="BC92" i="1"/>
  <c r="BB92" i="1"/>
  <c r="BA92" i="1"/>
  <c r="AZ92" i="1"/>
  <c r="BD92" i="1" s="1"/>
  <c r="AY92" i="1"/>
  <c r="AX92" i="1"/>
  <c r="AP92" i="1"/>
  <c r="BF91" i="1"/>
  <c r="BE91" i="1"/>
  <c r="BD91" i="1"/>
  <c r="BC91" i="1"/>
  <c r="BB91" i="1"/>
  <c r="BA91" i="1"/>
  <c r="AZ91" i="1"/>
  <c r="AY91" i="1"/>
  <c r="AX91" i="1"/>
  <c r="AP91" i="1"/>
  <c r="BF90" i="1"/>
  <c r="BE90" i="1"/>
  <c r="BC90" i="1"/>
  <c r="BB90" i="1"/>
  <c r="BA90" i="1"/>
  <c r="AZ90" i="1"/>
  <c r="AY90" i="1"/>
  <c r="AX90" i="1"/>
  <c r="BD90" i="1" s="1"/>
  <c r="AP90" i="1"/>
  <c r="BF89" i="1"/>
  <c r="BE89" i="1"/>
  <c r="BC89" i="1"/>
  <c r="BB89" i="1"/>
  <c r="BA89" i="1"/>
  <c r="AZ89" i="1"/>
  <c r="AY89" i="1"/>
  <c r="AX89" i="1"/>
  <c r="BD89" i="1" s="1"/>
  <c r="AP89" i="1"/>
  <c r="BF88" i="1"/>
  <c r="BE88" i="1"/>
  <c r="BC88" i="1"/>
  <c r="BB88" i="1"/>
  <c r="BA88" i="1"/>
  <c r="AZ88" i="1"/>
  <c r="BD88" i="1" s="1"/>
  <c r="AY88" i="1"/>
  <c r="AX88" i="1"/>
  <c r="AP88" i="1"/>
  <c r="BF87" i="1"/>
  <c r="BE87" i="1"/>
  <c r="BD87" i="1"/>
  <c r="BC87" i="1"/>
  <c r="BB87" i="1"/>
  <c r="BA87" i="1"/>
  <c r="AZ87" i="1"/>
  <c r="AY87" i="1"/>
  <c r="AX87" i="1"/>
  <c r="AP87" i="1"/>
  <c r="BF86" i="1"/>
  <c r="BE86" i="1"/>
  <c r="BC86" i="1"/>
  <c r="BB86" i="1"/>
  <c r="BA86" i="1"/>
  <c r="AZ86" i="1"/>
  <c r="AY86" i="1"/>
  <c r="AX86" i="1"/>
  <c r="BD86" i="1" s="1"/>
  <c r="AP86" i="1"/>
  <c r="BF85" i="1"/>
  <c r="BE85" i="1"/>
  <c r="BC85" i="1"/>
  <c r="BB85" i="1"/>
  <c r="BA85" i="1"/>
  <c r="AZ85" i="1"/>
  <c r="AY85" i="1"/>
  <c r="AX85" i="1"/>
  <c r="BD85" i="1" s="1"/>
  <c r="AP85" i="1"/>
  <c r="BF84" i="1"/>
  <c r="BE84" i="1"/>
  <c r="BC84" i="1"/>
  <c r="BB84" i="1"/>
  <c r="BA84" i="1"/>
  <c r="AZ84" i="1"/>
  <c r="BD84" i="1" s="1"/>
  <c r="AY84" i="1"/>
  <c r="AX84" i="1"/>
  <c r="AP84" i="1"/>
  <c r="BF83" i="1"/>
  <c r="BE83" i="1"/>
  <c r="BD83" i="1"/>
  <c r="BC83" i="1"/>
  <c r="BB83" i="1"/>
  <c r="BA83" i="1"/>
  <c r="AZ83" i="1"/>
  <c r="AY83" i="1"/>
  <c r="AX83" i="1"/>
  <c r="AP83" i="1"/>
  <c r="BF82" i="1"/>
  <c r="BE82" i="1"/>
  <c r="BC82" i="1"/>
  <c r="BB82" i="1"/>
  <c r="BA82" i="1"/>
  <c r="AZ82" i="1"/>
  <c r="AY82" i="1"/>
  <c r="AX82" i="1"/>
  <c r="BD82" i="1" s="1"/>
  <c r="AP82" i="1"/>
  <c r="BF81" i="1"/>
  <c r="BE81" i="1"/>
  <c r="BC81" i="1"/>
  <c r="BB81" i="1"/>
  <c r="BA81" i="1"/>
  <c r="AZ81" i="1"/>
  <c r="AY81" i="1"/>
  <c r="AX81" i="1"/>
  <c r="BD81" i="1" s="1"/>
  <c r="AP81" i="1"/>
  <c r="BF80" i="1"/>
  <c r="BE80" i="1"/>
  <c r="BC80" i="1"/>
  <c r="BB80" i="1"/>
  <c r="BA80" i="1"/>
  <c r="AZ80" i="1"/>
  <c r="BD80" i="1" s="1"/>
  <c r="AY80" i="1"/>
  <c r="AX80" i="1"/>
  <c r="AP80" i="1"/>
  <c r="BF79" i="1"/>
  <c r="BE79" i="1"/>
  <c r="BD79" i="1"/>
  <c r="BC79" i="1"/>
  <c r="BB79" i="1"/>
  <c r="BA79" i="1"/>
  <c r="AZ79" i="1"/>
  <c r="AY79" i="1"/>
  <c r="AX79" i="1"/>
  <c r="AP79" i="1"/>
  <c r="BF78" i="1"/>
  <c r="BE78" i="1"/>
  <c r="BC78" i="1"/>
  <c r="BB78" i="1"/>
  <c r="BA78" i="1"/>
  <c r="AZ78" i="1"/>
  <c r="AY78" i="1"/>
  <c r="AX78" i="1"/>
  <c r="BD78" i="1" s="1"/>
  <c r="AP78" i="1"/>
  <c r="BF77" i="1"/>
  <c r="BE77" i="1"/>
  <c r="BC77" i="1"/>
  <c r="BB77" i="1"/>
  <c r="BA77" i="1"/>
  <c r="AZ77" i="1"/>
  <c r="AY77" i="1"/>
  <c r="AX77" i="1"/>
  <c r="BD77" i="1" s="1"/>
  <c r="AP77" i="1"/>
  <c r="BF76" i="1"/>
  <c r="BE76" i="1"/>
  <c r="BC76" i="1"/>
  <c r="BB76" i="1"/>
  <c r="BA76" i="1"/>
  <c r="AZ76" i="1"/>
  <c r="BD76" i="1" s="1"/>
  <c r="AY76" i="1"/>
  <c r="AX76" i="1"/>
  <c r="AP76" i="1"/>
  <c r="BF75" i="1"/>
  <c r="BE75" i="1"/>
  <c r="BD75" i="1"/>
  <c r="BC75" i="1"/>
  <c r="BB75" i="1"/>
  <c r="BA75" i="1"/>
  <c r="AZ75" i="1"/>
  <c r="AY75" i="1"/>
  <c r="AX75" i="1"/>
  <c r="AP75" i="1"/>
  <c r="BF74" i="1"/>
  <c r="BE74" i="1"/>
  <c r="BC74" i="1"/>
  <c r="BB74" i="1"/>
  <c r="BA74" i="1"/>
  <c r="AZ74" i="1"/>
  <c r="AY74" i="1"/>
  <c r="AX74" i="1"/>
  <c r="BD74" i="1" s="1"/>
  <c r="AP74" i="1"/>
  <c r="BF73" i="1"/>
  <c r="BE73" i="1"/>
  <c r="BC73" i="1"/>
  <c r="BB73" i="1"/>
  <c r="BA73" i="1"/>
  <c r="AZ73" i="1"/>
  <c r="AY73" i="1"/>
  <c r="AX73" i="1"/>
  <c r="BD73" i="1" s="1"/>
  <c r="AP73" i="1"/>
  <c r="BF72" i="1"/>
  <c r="BE72" i="1"/>
  <c r="BC72" i="1"/>
  <c r="BB72" i="1"/>
  <c r="BA72" i="1"/>
  <c r="AZ72" i="1"/>
  <c r="AY72" i="1"/>
  <c r="BD72" i="1" s="1"/>
  <c r="AX72" i="1"/>
  <c r="AP72" i="1"/>
  <c r="BF71" i="1"/>
  <c r="BE71" i="1"/>
  <c r="BD71" i="1"/>
  <c r="BC71" i="1"/>
  <c r="BB71" i="1"/>
  <c r="BA71" i="1"/>
  <c r="AZ71" i="1"/>
  <c r="AY71" i="1"/>
  <c r="AX71" i="1"/>
  <c r="AP71" i="1"/>
  <c r="BF70" i="1"/>
  <c r="BE70" i="1"/>
  <c r="BC70" i="1"/>
  <c r="BB70" i="1"/>
  <c r="BA70" i="1"/>
  <c r="AZ70" i="1"/>
  <c r="AY70" i="1"/>
  <c r="AX70" i="1"/>
  <c r="BD70" i="1" s="1"/>
  <c r="AP70" i="1"/>
  <c r="BF69" i="1"/>
  <c r="BE69" i="1"/>
  <c r="BC69" i="1"/>
  <c r="BB69" i="1"/>
  <c r="BA69" i="1"/>
  <c r="AZ69" i="1"/>
  <c r="AY69" i="1"/>
  <c r="AX69" i="1"/>
  <c r="BD69" i="1" s="1"/>
  <c r="AP69" i="1"/>
  <c r="BF68" i="1"/>
  <c r="BE68" i="1"/>
  <c r="BC68" i="1"/>
  <c r="BB68" i="1"/>
  <c r="BA68" i="1"/>
  <c r="AZ68" i="1"/>
  <c r="AY68" i="1"/>
  <c r="BD68" i="1" s="1"/>
  <c r="AX68" i="1"/>
  <c r="AP68" i="1"/>
  <c r="BF67" i="1"/>
  <c r="BE67" i="1"/>
  <c r="BD67" i="1"/>
  <c r="BC67" i="1"/>
  <c r="BB67" i="1"/>
  <c r="BA67" i="1"/>
  <c r="AZ67" i="1"/>
  <c r="AY67" i="1"/>
  <c r="AX67" i="1"/>
  <c r="AP67" i="1"/>
  <c r="BF66" i="1"/>
  <c r="BE66" i="1"/>
  <c r="BC66" i="1"/>
  <c r="BB66" i="1"/>
  <c r="BA66" i="1"/>
  <c r="AZ66" i="1"/>
  <c r="AY66" i="1"/>
  <c r="AX66" i="1"/>
  <c r="BD66" i="1" s="1"/>
  <c r="AP66" i="1"/>
  <c r="BF65" i="1"/>
  <c r="BE65" i="1"/>
  <c r="BC65" i="1"/>
  <c r="BB65" i="1"/>
  <c r="BA65" i="1"/>
  <c r="AZ65" i="1"/>
  <c r="AY65" i="1"/>
  <c r="AX65" i="1"/>
  <c r="BD65" i="1" s="1"/>
  <c r="AP65" i="1"/>
  <c r="BF64" i="1"/>
  <c r="BE64" i="1"/>
  <c r="BC64" i="1"/>
  <c r="BB64" i="1"/>
  <c r="BA64" i="1"/>
  <c r="AZ64" i="1"/>
  <c r="AY64" i="1"/>
  <c r="BD64" i="1" s="1"/>
  <c r="AX64" i="1"/>
  <c r="AP64" i="1"/>
  <c r="BF63" i="1"/>
  <c r="BE63" i="1"/>
  <c r="BD63" i="1"/>
  <c r="BC63" i="1"/>
  <c r="BB63" i="1"/>
  <c r="BA63" i="1"/>
  <c r="AZ63" i="1"/>
  <c r="AY63" i="1"/>
  <c r="AX63" i="1"/>
  <c r="AP63" i="1"/>
  <c r="BF62" i="1"/>
  <c r="BE62" i="1"/>
  <c r="BC62" i="1"/>
  <c r="BB62" i="1"/>
  <c r="BA62" i="1"/>
  <c r="AZ62" i="1"/>
  <c r="AY62" i="1"/>
  <c r="AX62" i="1"/>
  <c r="BD62" i="1" s="1"/>
  <c r="AP62" i="1"/>
  <c r="BF61" i="1"/>
  <c r="BE61" i="1"/>
  <c r="BC61" i="1"/>
  <c r="BB61" i="1"/>
  <c r="BA61" i="1"/>
  <c r="AZ61" i="1"/>
  <c r="AY61" i="1"/>
  <c r="AX61" i="1"/>
  <c r="BD61" i="1" s="1"/>
  <c r="AP61" i="1"/>
  <c r="BF60" i="1"/>
  <c r="BE60" i="1"/>
  <c r="BC60" i="1"/>
  <c r="BB60" i="1"/>
  <c r="BA60" i="1"/>
  <c r="AZ60" i="1"/>
  <c r="AY60" i="1"/>
  <c r="BD60" i="1" s="1"/>
  <c r="AX60" i="1"/>
  <c r="AP60" i="1"/>
  <c r="BF59" i="1"/>
  <c r="BE59" i="1"/>
  <c r="BD59" i="1"/>
  <c r="BC59" i="1"/>
  <c r="BB59" i="1"/>
  <c r="BA59" i="1"/>
  <c r="AZ59" i="1"/>
  <c r="AY59" i="1"/>
  <c r="AX59" i="1"/>
  <c r="AP59" i="1"/>
  <c r="BF58" i="1"/>
  <c r="BE58" i="1"/>
  <c r="BC58" i="1"/>
  <c r="BB58" i="1"/>
  <c r="BA58" i="1"/>
  <c r="AZ58" i="1"/>
  <c r="AY58" i="1"/>
  <c r="AX58" i="1"/>
  <c r="BD58" i="1" s="1"/>
  <c r="AP58" i="1"/>
  <c r="BF57" i="1"/>
  <c r="BE57" i="1"/>
  <c r="BC57" i="1"/>
  <c r="BB57" i="1"/>
  <c r="BA57" i="1"/>
  <c r="AZ57" i="1"/>
  <c r="AY57" i="1"/>
  <c r="AX57" i="1"/>
  <c r="BD57" i="1" s="1"/>
  <c r="AP57" i="1"/>
  <c r="BF56" i="1"/>
  <c r="BE56" i="1"/>
  <c r="BC56" i="1"/>
  <c r="BB56" i="1"/>
  <c r="BA56" i="1"/>
  <c r="AZ56" i="1"/>
  <c r="AY56" i="1"/>
  <c r="BD56" i="1" s="1"/>
  <c r="AX56" i="1"/>
  <c r="AP56" i="1"/>
  <c r="BF55" i="1"/>
  <c r="BE55" i="1"/>
  <c r="BD55" i="1"/>
  <c r="BC55" i="1"/>
  <c r="BB55" i="1"/>
  <c r="BA55" i="1"/>
  <c r="AZ55" i="1"/>
  <c r="AY55" i="1"/>
  <c r="AX55" i="1"/>
  <c r="AP55" i="1"/>
  <c r="BF54" i="1"/>
  <c r="BE54" i="1"/>
  <c r="BC54" i="1"/>
  <c r="BB54" i="1"/>
  <c r="BA54" i="1"/>
  <c r="AZ54" i="1"/>
  <c r="AY54" i="1"/>
  <c r="AX54" i="1"/>
  <c r="BD54" i="1" s="1"/>
  <c r="AP54" i="1"/>
  <c r="BF53" i="1"/>
  <c r="BE53" i="1"/>
  <c r="BC53" i="1"/>
  <c r="BB53" i="1"/>
  <c r="BA53" i="1"/>
  <c r="AZ53" i="1"/>
  <c r="AY53" i="1"/>
  <c r="AX53" i="1"/>
  <c r="BD53" i="1" s="1"/>
  <c r="AP53" i="1"/>
  <c r="BF52" i="1"/>
  <c r="BE52" i="1"/>
  <c r="BC52" i="1"/>
  <c r="BB52" i="1"/>
  <c r="BA52" i="1"/>
  <c r="AZ52" i="1"/>
  <c r="AY52" i="1"/>
  <c r="BD52" i="1" s="1"/>
  <c r="AX52" i="1"/>
  <c r="AP52" i="1"/>
  <c r="BF51" i="1"/>
  <c r="BE51" i="1"/>
  <c r="BD51" i="1"/>
  <c r="BC51" i="1"/>
  <c r="BB51" i="1"/>
  <c r="BA51" i="1"/>
  <c r="AZ51" i="1"/>
  <c r="AY51" i="1"/>
  <c r="AX51" i="1"/>
  <c r="AP51" i="1"/>
  <c r="BF50" i="1"/>
  <c r="BE50" i="1"/>
  <c r="BC50" i="1"/>
  <c r="BB50" i="1"/>
  <c r="BA50" i="1"/>
  <c r="AZ50" i="1"/>
  <c r="AY50" i="1"/>
  <c r="AX50" i="1"/>
  <c r="BD50" i="1" s="1"/>
  <c r="AP50" i="1"/>
  <c r="BF49" i="1"/>
  <c r="BE49" i="1"/>
  <c r="BC49" i="1"/>
  <c r="BB49" i="1"/>
  <c r="BA49" i="1"/>
  <c r="AZ49" i="1"/>
  <c r="AY49" i="1"/>
  <c r="AX49" i="1"/>
  <c r="BD49" i="1" s="1"/>
  <c r="AP49" i="1"/>
  <c r="BF48" i="1"/>
  <c r="BE48" i="1"/>
  <c r="BC48" i="1"/>
  <c r="BB48" i="1"/>
  <c r="BA48" i="1"/>
  <c r="AZ48" i="1"/>
  <c r="AY48" i="1"/>
  <c r="AX48" i="1"/>
  <c r="BD48" i="1" s="1"/>
  <c r="AP48" i="1"/>
  <c r="BF47" i="1"/>
  <c r="BE47" i="1"/>
  <c r="BD47" i="1"/>
  <c r="BC47" i="1"/>
  <c r="BB47" i="1"/>
  <c r="BA47" i="1"/>
  <c r="AZ47" i="1"/>
  <c r="AY47" i="1"/>
  <c r="AX47" i="1"/>
  <c r="AP47" i="1"/>
  <c r="BF46" i="1"/>
  <c r="BE46" i="1"/>
  <c r="BC46" i="1"/>
  <c r="BB46" i="1"/>
  <c r="BA46" i="1"/>
  <c r="AZ46" i="1"/>
  <c r="AY46" i="1"/>
  <c r="AX46" i="1"/>
  <c r="BD46" i="1" s="1"/>
  <c r="AP46" i="1"/>
  <c r="BF45" i="1"/>
  <c r="BE45" i="1"/>
  <c r="BC45" i="1"/>
  <c r="BB45" i="1"/>
  <c r="BA45" i="1"/>
  <c r="AZ45" i="1"/>
  <c r="AY45" i="1"/>
  <c r="AX45" i="1"/>
  <c r="BD45" i="1" s="1"/>
  <c r="AP45" i="1"/>
  <c r="BF44" i="1"/>
  <c r="BE44" i="1"/>
  <c r="BC44" i="1"/>
  <c r="BB44" i="1"/>
  <c r="BA44" i="1"/>
  <c r="AZ44" i="1"/>
  <c r="AY44" i="1"/>
  <c r="AX44" i="1"/>
  <c r="BD44" i="1" s="1"/>
  <c r="AP44" i="1"/>
  <c r="BF43" i="1"/>
  <c r="BE43" i="1"/>
  <c r="BC43" i="1"/>
  <c r="BD43" i="1" s="1"/>
  <c r="BB43" i="1"/>
  <c r="BA43" i="1"/>
  <c r="AZ43" i="1"/>
  <c r="AY43" i="1"/>
  <c r="AX43" i="1"/>
  <c r="AP43" i="1"/>
  <c r="BF42" i="1"/>
  <c r="BE42" i="1"/>
  <c r="BC42" i="1"/>
  <c r="BB42" i="1"/>
  <c r="BA42" i="1"/>
  <c r="AZ42" i="1"/>
  <c r="AY42" i="1"/>
  <c r="AX42" i="1"/>
  <c r="BD42" i="1" s="1"/>
  <c r="AP42" i="1"/>
  <c r="BF41" i="1"/>
  <c r="BE41" i="1"/>
  <c r="BC41" i="1"/>
  <c r="BB41" i="1"/>
  <c r="BA41" i="1"/>
  <c r="AZ41" i="1"/>
  <c r="AY41" i="1"/>
  <c r="AX41" i="1"/>
  <c r="BD41" i="1" s="1"/>
  <c r="AP41" i="1"/>
  <c r="BF40" i="1"/>
  <c r="BE40" i="1"/>
  <c r="BC40" i="1"/>
  <c r="BB40" i="1"/>
  <c r="BA40" i="1"/>
  <c r="AZ40" i="1"/>
  <c r="AY40" i="1"/>
  <c r="AX40" i="1"/>
  <c r="BD40" i="1" s="1"/>
  <c r="AP40" i="1"/>
  <c r="BF39" i="1"/>
  <c r="BE39" i="1"/>
  <c r="BC39" i="1"/>
  <c r="BD39" i="1" s="1"/>
  <c r="BB39" i="1"/>
  <c r="BA39" i="1"/>
  <c r="AZ39" i="1"/>
  <c r="AY39" i="1"/>
  <c r="AX39" i="1"/>
  <c r="AP39" i="1"/>
  <c r="BF38" i="1"/>
  <c r="BE38" i="1"/>
  <c r="BC38" i="1"/>
  <c r="BB38" i="1"/>
  <c r="BA38" i="1"/>
  <c r="AZ38" i="1"/>
  <c r="AY38" i="1"/>
  <c r="AX38" i="1"/>
  <c r="BD38" i="1" s="1"/>
  <c r="AP38" i="1"/>
  <c r="BF37" i="1"/>
  <c r="BE37" i="1"/>
  <c r="BC37" i="1"/>
  <c r="BB37" i="1"/>
  <c r="BA37" i="1"/>
  <c r="AZ37" i="1"/>
  <c r="AY37" i="1"/>
  <c r="AX37" i="1"/>
  <c r="BD37" i="1" s="1"/>
  <c r="AP37" i="1"/>
  <c r="BF36" i="1"/>
  <c r="BE36" i="1"/>
  <c r="BC36" i="1"/>
  <c r="BB36" i="1"/>
  <c r="BA36" i="1"/>
  <c r="AZ36" i="1"/>
  <c r="AY36" i="1"/>
  <c r="AX36" i="1"/>
  <c r="BD36" i="1" s="1"/>
  <c r="AP36" i="1"/>
  <c r="BF35" i="1"/>
  <c r="BE35" i="1"/>
  <c r="BC35" i="1"/>
  <c r="BD35" i="1" s="1"/>
  <c r="BB35" i="1"/>
  <c r="BA35" i="1"/>
  <c r="AZ35" i="1"/>
  <c r="AY35" i="1"/>
  <c r="AX35" i="1"/>
  <c r="AP35" i="1"/>
  <c r="BF34" i="1"/>
  <c r="BE34" i="1"/>
  <c r="BC34" i="1"/>
  <c r="BB34" i="1"/>
  <c r="BA34" i="1"/>
  <c r="AZ34" i="1"/>
  <c r="AY34" i="1"/>
  <c r="AX34" i="1"/>
  <c r="BD34" i="1" s="1"/>
  <c r="AP34" i="1"/>
  <c r="BF33" i="1"/>
  <c r="BE33" i="1"/>
  <c r="BC33" i="1"/>
  <c r="BB33" i="1"/>
  <c r="BA33" i="1"/>
  <c r="AZ33" i="1"/>
  <c r="AY33" i="1"/>
  <c r="AX33" i="1"/>
  <c r="BD33" i="1" s="1"/>
  <c r="AP33" i="1"/>
  <c r="BF32" i="1"/>
  <c r="BE32" i="1"/>
  <c r="BC32" i="1"/>
  <c r="BB32" i="1"/>
  <c r="BA32" i="1"/>
  <c r="AZ32" i="1"/>
  <c r="AY32" i="1"/>
  <c r="AX32" i="1"/>
  <c r="BD32" i="1" s="1"/>
  <c r="AP32" i="1"/>
  <c r="BF31" i="1"/>
  <c r="BE31" i="1"/>
  <c r="BC31" i="1"/>
  <c r="BD31" i="1" s="1"/>
  <c r="BB31" i="1"/>
  <c r="BA31" i="1"/>
  <c r="AZ31" i="1"/>
  <c r="AY31" i="1"/>
  <c r="AX31" i="1"/>
  <c r="AP31" i="1"/>
  <c r="BF30" i="1"/>
  <c r="BE30" i="1"/>
  <c r="BC30" i="1"/>
  <c r="BB30" i="1"/>
  <c r="BA30" i="1"/>
  <c r="AZ30" i="1"/>
  <c r="AY30" i="1"/>
  <c r="AX30" i="1"/>
  <c r="BD30" i="1" s="1"/>
  <c r="AP30" i="1"/>
  <c r="BF29" i="1"/>
  <c r="BE29" i="1"/>
  <c r="BC29" i="1"/>
  <c r="BB29" i="1"/>
  <c r="BA29" i="1"/>
  <c r="AZ29" i="1"/>
  <c r="AY29" i="1"/>
  <c r="AX29" i="1"/>
  <c r="BD29" i="1" s="1"/>
  <c r="AP29" i="1"/>
  <c r="BF28" i="1"/>
  <c r="BE28" i="1"/>
  <c r="BC28" i="1"/>
  <c r="BB28" i="1"/>
  <c r="BA28" i="1"/>
  <c r="AZ28" i="1"/>
  <c r="AY28" i="1"/>
  <c r="AX28" i="1"/>
  <c r="BD28" i="1" s="1"/>
  <c r="AP28" i="1"/>
  <c r="BF27" i="1"/>
  <c r="BE27" i="1"/>
  <c r="BC27" i="1"/>
  <c r="BD27" i="1" s="1"/>
  <c r="BB27" i="1"/>
  <c r="BA27" i="1"/>
  <c r="AZ27" i="1"/>
  <c r="AY27" i="1"/>
  <c r="AX27" i="1"/>
  <c r="AP27" i="1"/>
  <c r="BF26" i="1"/>
  <c r="BE26" i="1"/>
  <c r="BC26" i="1"/>
  <c r="BB26" i="1"/>
  <c r="BA26" i="1"/>
  <c r="AZ26" i="1"/>
  <c r="AY26" i="1"/>
  <c r="AX26" i="1"/>
  <c r="BD26" i="1" s="1"/>
  <c r="AP26" i="1"/>
  <c r="BF25" i="1"/>
  <c r="BE25" i="1"/>
  <c r="BC25" i="1"/>
  <c r="BB25" i="1"/>
  <c r="BA25" i="1"/>
  <c r="AZ25" i="1"/>
  <c r="AY25" i="1"/>
  <c r="AX25" i="1"/>
  <c r="BD25" i="1" s="1"/>
  <c r="AP25" i="1"/>
  <c r="BF24" i="1"/>
  <c r="BE24" i="1"/>
  <c r="BC24" i="1"/>
  <c r="BB24" i="1"/>
  <c r="BA24" i="1"/>
  <c r="AZ24" i="1"/>
  <c r="AY24" i="1"/>
  <c r="AX24" i="1"/>
  <c r="BD24" i="1" s="1"/>
  <c r="AP24" i="1"/>
  <c r="BF23" i="1"/>
  <c r="BE23" i="1"/>
  <c r="BC23" i="1"/>
  <c r="BD23" i="1" s="1"/>
  <c r="BB23" i="1"/>
  <c r="BA23" i="1"/>
  <c r="AZ23" i="1"/>
  <c r="AY23" i="1"/>
  <c r="AX23" i="1"/>
  <c r="AP23" i="1"/>
  <c r="BF22" i="1"/>
  <c r="BE22" i="1"/>
  <c r="BC22" i="1"/>
  <c r="BB22" i="1"/>
  <c r="BA22" i="1"/>
  <c r="AZ22" i="1"/>
  <c r="AY22" i="1"/>
  <c r="AX22" i="1"/>
  <c r="BD22" i="1" s="1"/>
  <c r="AP22" i="1"/>
  <c r="BF21" i="1"/>
  <c r="BE21" i="1"/>
  <c r="BC21" i="1"/>
  <c r="BB21" i="1"/>
  <c r="BA21" i="1"/>
  <c r="AZ21" i="1"/>
  <c r="AY21" i="1"/>
  <c r="AX21" i="1"/>
  <c r="BD21" i="1" s="1"/>
  <c r="AP21" i="1"/>
  <c r="BF20" i="1"/>
  <c r="BE20" i="1"/>
  <c r="BC20" i="1"/>
  <c r="BB20" i="1"/>
  <c r="BA20" i="1"/>
  <c r="AZ20" i="1"/>
  <c r="AY20" i="1"/>
  <c r="AX20" i="1"/>
  <c r="BD20" i="1" s="1"/>
  <c r="AP20" i="1"/>
  <c r="BF19" i="1"/>
  <c r="BE19" i="1"/>
  <c r="BC19" i="1"/>
  <c r="BD19" i="1" s="1"/>
  <c r="BB19" i="1"/>
  <c r="BA19" i="1"/>
  <c r="AZ19" i="1"/>
  <c r="AY19" i="1"/>
  <c r="AX19" i="1"/>
  <c r="AP19" i="1"/>
  <c r="BF18" i="1"/>
  <c r="BE18" i="1"/>
  <c r="BC18" i="1"/>
  <c r="BB18" i="1"/>
  <c r="BA18" i="1"/>
  <c r="AZ18" i="1"/>
  <c r="AY18" i="1"/>
  <c r="AX18" i="1"/>
  <c r="BD18" i="1" s="1"/>
  <c r="AP18" i="1"/>
  <c r="BF17" i="1"/>
  <c r="BE17" i="1"/>
  <c r="BC17" i="1"/>
  <c r="BB17" i="1"/>
  <c r="BA17" i="1"/>
  <c r="AZ17" i="1"/>
  <c r="AY17" i="1"/>
  <c r="AX17" i="1"/>
  <c r="BD17" i="1" s="1"/>
  <c r="AP17" i="1"/>
  <c r="BF16" i="1"/>
  <c r="BE16" i="1"/>
  <c r="BC16" i="1"/>
  <c r="BB16" i="1"/>
  <c r="BA16" i="1"/>
  <c r="AZ16" i="1"/>
  <c r="AY16" i="1"/>
  <c r="AX16" i="1"/>
  <c r="BD16" i="1" s="1"/>
  <c r="AP16" i="1"/>
  <c r="BF15" i="1"/>
  <c r="BE15" i="1"/>
  <c r="BC15" i="1"/>
  <c r="BD15" i="1" s="1"/>
  <c r="BB15" i="1"/>
  <c r="BA15" i="1"/>
  <c r="AZ15" i="1"/>
  <c r="AY15" i="1"/>
  <c r="AX15" i="1"/>
  <c r="AP15" i="1"/>
  <c r="BF14" i="1"/>
  <c r="BE14" i="1"/>
  <c r="BC14" i="1"/>
  <c r="BB14" i="1"/>
  <c r="BA14" i="1"/>
  <c r="AZ14" i="1"/>
  <c r="AY14" i="1"/>
  <c r="AX14" i="1"/>
  <c r="BD14" i="1" s="1"/>
  <c r="AP14" i="1"/>
  <c r="BF13" i="1"/>
  <c r="BE13" i="1"/>
  <c r="BC13" i="1"/>
  <c r="BB13" i="1"/>
  <c r="BA13" i="1"/>
  <c r="AZ13" i="1"/>
  <c r="AY13" i="1"/>
  <c r="AX13" i="1"/>
  <c r="BD13" i="1" s="1"/>
  <c r="AP13" i="1"/>
  <c r="BF12" i="1"/>
  <c r="BE12" i="1"/>
  <c r="BC12" i="1"/>
  <c r="BB12" i="1"/>
  <c r="BA12" i="1"/>
  <c r="AZ12" i="1"/>
  <c r="AY12" i="1"/>
  <c r="AX12" i="1"/>
  <c r="BD12" i="1" s="1"/>
  <c r="AP12" i="1"/>
  <c r="BF11" i="1"/>
  <c r="BE11" i="1"/>
  <c r="BC11" i="1"/>
  <c r="BD11" i="1" s="1"/>
  <c r="BB11" i="1"/>
  <c r="BA11" i="1"/>
  <c r="AZ11" i="1"/>
  <c r="AY11" i="1"/>
  <c r="AX11" i="1"/>
  <c r="AP11" i="1"/>
  <c r="BF10" i="1"/>
  <c r="BE10" i="1"/>
  <c r="BC10" i="1"/>
  <c r="BB10" i="1"/>
  <c r="BA10" i="1"/>
  <c r="AZ10" i="1"/>
  <c r="AY10" i="1"/>
  <c r="AX10" i="1"/>
  <c r="BD10" i="1" s="1"/>
  <c r="AP10" i="1"/>
  <c r="BF9" i="1"/>
  <c r="BE9" i="1"/>
  <c r="BC9" i="1"/>
  <c r="BB9" i="1"/>
  <c r="BA9" i="1"/>
  <c r="AZ9" i="1"/>
  <c r="AY9" i="1"/>
  <c r="AX9" i="1"/>
  <c r="BD9" i="1" s="1"/>
  <c r="AP9" i="1"/>
  <c r="BF8" i="1"/>
  <c r="BE8" i="1"/>
  <c r="BC8" i="1"/>
  <c r="BB8" i="1"/>
  <c r="BA8" i="1"/>
  <c r="AZ8" i="1"/>
  <c r="AY8" i="1"/>
  <c r="AX8" i="1"/>
  <c r="BD8" i="1" s="1"/>
  <c r="AP8" i="1"/>
  <c r="BF7" i="1"/>
  <c r="BE7" i="1"/>
  <c r="BC7" i="1"/>
  <c r="BD7" i="1" s="1"/>
  <c r="BB7" i="1"/>
  <c r="BA7" i="1"/>
  <c r="AZ7" i="1"/>
  <c r="AY7" i="1"/>
  <c r="AX7" i="1"/>
  <c r="AP7" i="1"/>
  <c r="BF6" i="1"/>
  <c r="BE6" i="1"/>
  <c r="BC6" i="1"/>
  <c r="BB6" i="1"/>
  <c r="BA6" i="1"/>
  <c r="AZ6" i="1"/>
  <c r="AY6" i="1"/>
  <c r="AX6" i="1"/>
  <c r="BD6" i="1" s="1"/>
  <c r="AP6" i="1"/>
  <c r="BF5" i="1"/>
  <c r="BE5" i="1"/>
  <c r="BC5" i="1"/>
  <c r="BB5" i="1"/>
  <c r="BA5" i="1"/>
  <c r="AZ5" i="1"/>
  <c r="AY5" i="1"/>
  <c r="AX5" i="1"/>
  <c r="BD5" i="1" s="1"/>
  <c r="AP5" i="1"/>
  <c r="BF4" i="1"/>
  <c r="BE4" i="1"/>
  <c r="BC4" i="1"/>
  <c r="BB4" i="1"/>
  <c r="BA4" i="1"/>
  <c r="AZ4" i="1"/>
  <c r="AY4" i="1"/>
  <c r="AX4" i="1"/>
  <c r="BD4" i="1" s="1"/>
  <c r="AP4" i="1"/>
  <c r="BF3" i="1"/>
  <c r="BE3" i="1"/>
  <c r="BC3" i="1"/>
  <c r="BD3" i="1" s="1"/>
  <c r="BB3" i="1"/>
  <c r="BA3" i="1"/>
  <c r="AZ3" i="1"/>
  <c r="AY3" i="1"/>
  <c r="AX3" i="1"/>
  <c r="AP3" i="1"/>
  <c r="BF2" i="1"/>
  <c r="BE2" i="1"/>
  <c r="BC2" i="1"/>
  <c r="BB2" i="1"/>
  <c r="BA2" i="1"/>
  <c r="AZ2" i="1"/>
  <c r="AY2" i="1"/>
  <c r="AX2" i="1"/>
  <c r="BD2" i="1" s="1"/>
  <c r="AP2" i="1"/>
  <c r="BD145" i="1" l="1"/>
  <c r="BD161" i="1"/>
  <c r="BD177" i="1"/>
  <c r="BD193" i="1"/>
  <c r="BD218" i="1"/>
  <c r="BD219" i="1"/>
  <c r="BD225" i="1"/>
  <c r="BD250" i="1"/>
  <c r="BD141" i="1"/>
  <c r="BD157" i="1"/>
  <c r="BD173" i="1"/>
  <c r="BD189" i="1"/>
  <c r="BD194" i="1"/>
  <c r="BD195" i="1"/>
  <c r="BD201" i="1"/>
  <c r="BD226" i="1"/>
  <c r="BD233" i="1"/>
  <c r="BD258" i="1"/>
  <c r="BD265" i="1"/>
  <c r="BD298" i="1"/>
  <c r="BD309" i="1"/>
  <c r="BD311" i="1"/>
  <c r="BD318" i="1"/>
  <c r="BD423" i="1"/>
  <c r="BD147" i="1"/>
  <c r="BD163" i="1"/>
  <c r="BD179" i="1"/>
  <c r="BD215" i="1"/>
  <c r="BD221" i="1"/>
  <c r="BD253" i="1"/>
  <c r="BD286" i="1"/>
  <c r="BD297" i="1"/>
  <c r="BD339" i="1"/>
  <c r="BD350" i="1"/>
  <c r="BD137" i="1"/>
  <c r="BD153" i="1"/>
  <c r="BD169" i="1"/>
  <c r="BD185" i="1"/>
  <c r="BD202" i="1"/>
  <c r="BD203" i="1"/>
  <c r="BD209" i="1"/>
  <c r="BD235" i="1"/>
  <c r="BD241" i="1"/>
  <c r="BD273" i="1"/>
  <c r="BD285" i="1"/>
  <c r="BD306" i="1"/>
  <c r="BD317" i="1"/>
  <c r="BD326" i="1"/>
  <c r="BD133" i="1"/>
  <c r="BD143" i="1"/>
  <c r="BD159" i="1"/>
  <c r="BD175" i="1"/>
  <c r="BD191" i="1"/>
  <c r="BD197" i="1"/>
  <c r="BD222" i="1"/>
  <c r="BD223" i="1"/>
  <c r="BD229" i="1"/>
  <c r="BD254" i="1"/>
  <c r="BD261" i="1"/>
  <c r="BD294" i="1"/>
  <c r="BD305" i="1"/>
  <c r="BD307" i="1"/>
  <c r="BD347" i="1"/>
  <c r="BD363" i="1"/>
  <c r="BD387" i="1"/>
  <c r="BD129" i="1"/>
  <c r="BD149" i="1"/>
  <c r="BD165" i="1"/>
  <c r="BD181" i="1"/>
  <c r="BD210" i="1"/>
  <c r="BD217" i="1"/>
  <c r="BD249" i="1"/>
  <c r="BD281" i="1"/>
  <c r="BD293" i="1"/>
  <c r="BD314" i="1"/>
  <c r="BD335" i="1"/>
  <c r="BD346" i="1"/>
  <c r="BD372" i="1"/>
  <c r="BD374" i="1"/>
  <c r="BD386" i="1"/>
  <c r="BD400" i="1"/>
  <c r="BD428" i="1"/>
  <c r="BD451" i="1"/>
  <c r="BD125" i="1"/>
  <c r="BD139" i="1"/>
  <c r="BD155" i="1"/>
  <c r="BD171" i="1"/>
  <c r="BD187" i="1"/>
  <c r="BD198" i="1"/>
  <c r="BD199" i="1"/>
  <c r="BD205" i="1"/>
  <c r="BD230" i="1"/>
  <c r="BD231" i="1"/>
  <c r="BD237" i="1"/>
  <c r="BD262" i="1"/>
  <c r="BD269" i="1"/>
  <c r="BD302" i="1"/>
  <c r="BD313" i="1"/>
  <c r="BD315" i="1"/>
  <c r="BD322" i="1"/>
  <c r="BD334" i="1"/>
  <c r="BD336" i="1"/>
  <c r="BD355" i="1"/>
  <c r="BD359" i="1"/>
  <c r="BD402" i="1"/>
  <c r="BD438" i="1"/>
  <c r="BD464" i="1"/>
  <c r="BD466" i="1"/>
  <c r="BD365" i="1"/>
  <c r="BD397" i="1"/>
  <c r="BD425" i="1"/>
  <c r="BD486" i="1"/>
  <c r="BD531" i="1"/>
  <c r="BD550" i="1"/>
  <c r="BD563" i="1"/>
  <c r="BD582" i="1"/>
  <c r="BD595" i="1"/>
  <c r="BD614" i="1"/>
  <c r="BD627" i="1"/>
  <c r="BD691" i="1"/>
  <c r="BD357" i="1"/>
  <c r="BD389" i="1"/>
  <c r="BD421" i="1"/>
  <c r="BD449" i="1"/>
  <c r="BD662" i="1"/>
  <c r="BD385" i="1"/>
  <c r="BD417" i="1"/>
  <c r="BD445" i="1"/>
  <c r="BD477" i="1"/>
  <c r="BD493" i="1"/>
  <c r="BD509" i="1"/>
  <c r="BD527" i="1"/>
  <c r="BD540" i="1"/>
  <c r="BD546" i="1"/>
  <c r="BD559" i="1"/>
  <c r="BD572" i="1"/>
  <c r="BD578" i="1"/>
  <c r="BD591" i="1"/>
  <c r="BD604" i="1"/>
  <c r="BD610" i="1"/>
  <c r="BD623" i="1"/>
  <c r="BD647" i="1"/>
  <c r="BD663" i="1"/>
  <c r="BD669" i="1"/>
  <c r="BD681" i="1"/>
  <c r="BD381" i="1"/>
  <c r="BD413" i="1"/>
  <c r="BD441" i="1"/>
  <c r="BD473" i="1"/>
  <c r="BD478" i="1"/>
  <c r="BD494" i="1"/>
  <c r="BD510" i="1"/>
  <c r="BD528" i="1"/>
  <c r="BD534" i="1"/>
  <c r="BD547" i="1"/>
  <c r="BD560" i="1"/>
  <c r="BD566" i="1"/>
  <c r="BD579" i="1"/>
  <c r="BD592" i="1"/>
  <c r="BD598" i="1"/>
  <c r="BD611" i="1"/>
  <c r="BD624" i="1"/>
  <c r="BD630" i="1"/>
  <c r="BD642" i="1"/>
  <c r="BD658" i="1"/>
  <c r="BD701" i="1"/>
  <c r="BD702" i="1"/>
  <c r="BD768" i="1"/>
  <c r="BD377" i="1"/>
  <c r="BD409" i="1"/>
  <c r="BD437" i="1"/>
  <c r="BD469" i="1"/>
  <c r="BD489" i="1"/>
  <c r="BD505" i="1"/>
  <c r="BD521" i="1"/>
  <c r="BD535" i="1"/>
  <c r="BD548" i="1"/>
  <c r="BD554" i="1"/>
  <c r="BD567" i="1"/>
  <c r="BD580" i="1"/>
  <c r="BD586" i="1"/>
  <c r="BD599" i="1"/>
  <c r="BD612" i="1"/>
  <c r="BD618" i="1"/>
  <c r="BD631" i="1"/>
  <c r="BD643" i="1"/>
  <c r="BD659" i="1"/>
  <c r="BD675" i="1"/>
  <c r="BD676" i="1"/>
  <c r="BD695" i="1"/>
  <c r="BD763" i="1"/>
  <c r="BD373" i="1"/>
  <c r="BD405" i="1"/>
  <c r="BD433" i="1"/>
  <c r="BD465" i="1"/>
  <c r="BD490" i="1"/>
  <c r="BD506" i="1"/>
  <c r="BD522" i="1"/>
  <c r="BD523" i="1"/>
  <c r="BD542" i="1"/>
  <c r="BD555" i="1"/>
  <c r="BD574" i="1"/>
  <c r="BD587" i="1"/>
  <c r="BD606" i="1"/>
  <c r="BD619" i="1"/>
  <c r="BD638" i="1"/>
  <c r="BD654" i="1"/>
  <c r="BD677" i="1"/>
  <c r="BD750" i="1"/>
  <c r="BD776" i="1"/>
  <c r="BD369" i="1"/>
  <c r="BD401" i="1"/>
  <c r="BD429" i="1"/>
  <c r="BD461" i="1"/>
  <c r="BD485" i="1"/>
  <c r="BD501" i="1"/>
  <c r="BD517" i="1"/>
  <c r="BD530" i="1"/>
  <c r="BD543" i="1"/>
  <c r="BD562" i="1"/>
  <c r="BD575" i="1"/>
  <c r="BD594" i="1"/>
  <c r="BD607" i="1"/>
  <c r="BD626" i="1"/>
  <c r="BD639" i="1"/>
  <c r="BD655" i="1"/>
  <c r="BD671" i="1"/>
  <c r="BD711" i="1"/>
  <c r="BD672" i="1"/>
  <c r="BD696" i="1"/>
  <c r="BD712" i="1"/>
  <c r="BD718" i="1"/>
  <c r="BD743" i="1"/>
  <c r="BD744" i="1"/>
  <c r="BD773" i="1"/>
  <c r="BD805" i="1"/>
  <c r="BD824" i="1"/>
  <c r="BD825" i="1"/>
  <c r="BD844" i="1"/>
  <c r="BD845" i="1"/>
  <c r="BD858" i="1"/>
  <c r="BD876" i="1"/>
  <c r="BD877" i="1"/>
  <c r="BD890" i="1"/>
  <c r="BD922" i="1"/>
  <c r="BD933" i="1"/>
  <c r="BD942" i="1"/>
  <c r="BD962" i="1"/>
  <c r="BD965" i="1"/>
  <c r="BD975" i="1"/>
  <c r="BD994" i="1"/>
  <c r="BD1016" i="1"/>
  <c r="BD1041" i="1"/>
  <c r="BD1058" i="1"/>
  <c r="BD1059" i="1"/>
  <c r="BD1067" i="1"/>
  <c r="BD1075" i="1"/>
  <c r="BD846" i="1"/>
  <c r="BD878" i="1"/>
  <c r="BD910" i="1"/>
  <c r="BD921" i="1"/>
  <c r="BD953" i="1"/>
  <c r="BD963" i="1"/>
  <c r="BD985" i="1"/>
  <c r="BD995" i="1"/>
  <c r="BD1006" i="1"/>
  <c r="BD1024" i="1"/>
  <c r="BD1032" i="1"/>
  <c r="BD698" i="1"/>
  <c r="BD714" i="1"/>
  <c r="BD739" i="1"/>
  <c r="BD740" i="1"/>
  <c r="BD746" i="1"/>
  <c r="BD761" i="1"/>
  <c r="BD793" i="1"/>
  <c r="BD821" i="1"/>
  <c r="BD840" i="1"/>
  <c r="BD841" i="1"/>
  <c r="BD872" i="1"/>
  <c r="BD873" i="1"/>
  <c r="BD904" i="1"/>
  <c r="BD905" i="1"/>
  <c r="BD990" i="1"/>
  <c r="BD688" i="1"/>
  <c r="BD704" i="1"/>
  <c r="BD727" i="1"/>
  <c r="BD728" i="1"/>
  <c r="BD734" i="1"/>
  <c r="BD757" i="1"/>
  <c r="BD789" i="1"/>
  <c r="BD827" i="1"/>
  <c r="BD842" i="1"/>
  <c r="BD860" i="1"/>
  <c r="BD861" i="1"/>
  <c r="BD874" i="1"/>
  <c r="BD892" i="1"/>
  <c r="BD893" i="1"/>
  <c r="BD906" i="1"/>
  <c r="BD917" i="1"/>
  <c r="BD938" i="1"/>
  <c r="BD949" i="1"/>
  <c r="BD959" i="1"/>
  <c r="BD978" i="1"/>
  <c r="BD981" i="1"/>
  <c r="BD991" i="1"/>
  <c r="BD1002" i="1"/>
  <c r="BD1045" i="1"/>
  <c r="BD1054" i="1"/>
  <c r="BD1063" i="1"/>
  <c r="BD1080" i="1"/>
  <c r="BD684" i="1"/>
  <c r="BD694" i="1"/>
  <c r="BD710" i="1"/>
  <c r="BD715" i="1"/>
  <c r="BD716" i="1"/>
  <c r="BD722" i="1"/>
  <c r="BD747" i="1"/>
  <c r="BD753" i="1"/>
  <c r="BD785" i="1"/>
  <c r="BD817" i="1"/>
  <c r="BD828" i="1"/>
  <c r="BD829" i="1"/>
  <c r="BD848" i="1"/>
  <c r="BD849" i="1"/>
  <c r="BD862" i="1"/>
  <c r="BD880" i="1"/>
  <c r="BD881" i="1"/>
  <c r="BD894" i="1"/>
  <c r="BD926" i="1"/>
  <c r="BD937" i="1"/>
  <c r="BD946" i="1"/>
  <c r="BD966" i="1"/>
  <c r="BD969" i="1"/>
  <c r="BD979" i="1"/>
  <c r="BD999" i="1"/>
  <c r="BD1011" i="1"/>
  <c r="BD1020" i="1"/>
  <c r="BD1028" i="1"/>
  <c r="BD1036" i="1"/>
  <c r="BD680" i="1"/>
  <c r="BD700" i="1"/>
  <c r="BD735" i="1"/>
  <c r="BD736" i="1"/>
  <c r="BD742" i="1"/>
  <c r="BD749" i="1"/>
  <c r="BD781" i="1"/>
  <c r="BD813" i="1"/>
  <c r="BD837" i="1"/>
  <c r="BD850" i="1"/>
  <c r="BD868" i="1"/>
  <c r="BD869" i="1"/>
  <c r="BD882" i="1"/>
  <c r="BD900" i="1"/>
  <c r="BD901" i="1"/>
  <c r="BD914" i="1"/>
  <c r="BD925" i="1"/>
  <c r="BD957" i="1"/>
  <c r="BD967" i="1"/>
  <c r="BD986" i="1"/>
  <c r="BD989" i="1"/>
  <c r="BD1007" i="1"/>
  <c r="BD1008" i="1"/>
  <c r="BD690" i="1"/>
  <c r="BD706" i="1"/>
  <c r="BD723" i="1"/>
  <c r="BD724" i="1"/>
  <c r="BD730" i="1"/>
  <c r="BD777" i="1"/>
  <c r="BD809" i="1"/>
  <c r="BD823" i="1"/>
  <c r="BD838" i="1"/>
  <c r="BD856" i="1"/>
  <c r="BD857" i="1"/>
  <c r="BD888" i="1"/>
  <c r="BD889" i="1"/>
  <c r="BD974" i="1"/>
</calcChain>
</file>

<file path=xl/sharedStrings.xml><?xml version="1.0" encoding="utf-8"?>
<sst xmlns="http://schemas.openxmlformats.org/spreadsheetml/2006/main" count="21145" uniqueCount="9197">
  <si>
    <t>id</t>
  </si>
  <si>
    <t>observed_on_string</t>
  </si>
  <si>
    <t>observed_on</t>
  </si>
  <si>
    <t>time_observed_at</t>
  </si>
  <si>
    <t>time_zone</t>
  </si>
  <si>
    <t>user_id</t>
  </si>
  <si>
    <t>user_login</t>
  </si>
  <si>
    <t>user_name</t>
  </si>
  <si>
    <t>created_at</t>
  </si>
  <si>
    <t>updated_at</t>
  </si>
  <si>
    <t>quality_grade</t>
  </si>
  <si>
    <t>license</t>
  </si>
  <si>
    <t>url</t>
  </si>
  <si>
    <t>image_url</t>
  </si>
  <si>
    <t>sound_url</t>
  </si>
  <si>
    <t>tag_list</t>
  </si>
  <si>
    <t>description</t>
  </si>
  <si>
    <t>num_identification_agreements</t>
  </si>
  <si>
    <t>num_identification_disagreements</t>
  </si>
  <si>
    <t>captive_cultivated</t>
  </si>
  <si>
    <t>oauth_application_id</t>
  </si>
  <si>
    <t>place_guess</t>
  </si>
  <si>
    <t>latitude</t>
  </si>
  <si>
    <t>longitude</t>
  </si>
  <si>
    <t>positional_accuracy</t>
  </si>
  <si>
    <t>private_place_guess</t>
  </si>
  <si>
    <t>private_latitude</t>
  </si>
  <si>
    <t>private_longitude</t>
  </si>
  <si>
    <t>public_positional_accuracy</t>
  </si>
  <si>
    <t>geoprivacy</t>
  </si>
  <si>
    <t>taxon_geoprivacy</t>
  </si>
  <si>
    <t>coordinates_obscured</t>
  </si>
  <si>
    <t>positioning_method</t>
  </si>
  <si>
    <t>positioning_device</t>
  </si>
  <si>
    <t>species_guess</t>
  </si>
  <si>
    <t>scientific_name</t>
  </si>
  <si>
    <t>common_name</t>
  </si>
  <si>
    <t>iconic_taxon_name</t>
  </si>
  <si>
    <t>taxon_id</t>
  </si>
  <si>
    <t>Categorisation (P. Kennedy)</t>
  </si>
  <si>
    <t>Automatic: categorisation, with all foundress nests listed as "Nest (foundress)" only:</t>
  </si>
  <si>
    <t>If nest: total group size (females or males)</t>
  </si>
  <si>
    <t>Total females</t>
  </si>
  <si>
    <t>Total males</t>
  </si>
  <si>
    <t>If nest photo: is there an invisible part of the nest where there could be additional wasps?</t>
  </si>
  <si>
    <t>If post-emergence nest photo: males *visible*?</t>
  </si>
  <si>
    <t>Notes</t>
  </si>
  <si>
    <t>West Africa</t>
  </si>
  <si>
    <t>Equatorial tropical forest</t>
  </si>
  <si>
    <t>Somali peninsula</t>
  </si>
  <si>
    <t>East Africa</t>
  </si>
  <si>
    <t>Temperate seasonal</t>
  </si>
  <si>
    <t>Desert and high aridity</t>
  </si>
  <si>
    <t>Therefore, categorised as follows (using table on Methods tab):</t>
  </si>
  <si>
    <t>Day of month of observation</t>
  </si>
  <si>
    <t>Month of observation</t>
  </si>
  <si>
    <t>Is</t>
  </si>
  <si>
    <t>West Central Africa</t>
  </si>
  <si>
    <t>dotun55</t>
  </si>
  <si>
    <t>Adedotun Ajibade</t>
  </si>
  <si>
    <t>2014-03-11 14:24:05 UTC</t>
  </si>
  <si>
    <t>2022-09-22 07:59:42 UTC</t>
  </si>
  <si>
    <t>needs_id</t>
  </si>
  <si>
    <t>CC-BY-NC</t>
  </si>
  <si>
    <t>http://www.inaturalist.org/observations/562621</t>
  </si>
  <si>
    <t>https://inaturalist-open-data.s3.amazonaws.com/photos/716713/medium.JPG</t>
  </si>
  <si>
    <t>insect, water, wasp, nature</t>
  </si>
  <si>
    <t>Not sure whether this Belonogaster wasp was imbibing liquid for itself or for its larvae in the nest back in the nearby building.</t>
  </si>
  <si>
    <t>Lagos, Nigeria</t>
  </si>
  <si>
    <t>Hornets and Paper Wasps</t>
  </si>
  <si>
    <t>Belonogaster</t>
  </si>
  <si>
    <t>Needle-waisted Paper Wasps</t>
  </si>
  <si>
    <t>Insecta</t>
  </si>
  <si>
    <t>Off-nest female</t>
  </si>
  <si>
    <t>Harare</t>
  </si>
  <si>
    <t>graeme</t>
  </si>
  <si>
    <t>Graeme White</t>
  </si>
  <si>
    <t>2014-03-13 14:28:33 UTC</t>
  </si>
  <si>
    <t>2022-09-22 07:59:20 UTC</t>
  </si>
  <si>
    <t>http://www.inaturalist.org/observations/566113</t>
  </si>
  <si>
    <t>https://inaturalist-open-data.s3.amazonaws.com/photos/719740/medium.JPG</t>
  </si>
  <si>
    <t>Paper wasp</t>
  </si>
  <si>
    <t>TCT Dalmann Catapu</t>
  </si>
  <si>
    <t>2014-04-12 12:00:02 UTC</t>
  </si>
  <si>
    <t>Nairobi</t>
  </si>
  <si>
    <t>martingrimm</t>
  </si>
  <si>
    <t>Martin Grimm</t>
  </si>
  <si>
    <t>2014-04-13 17:42:49 UTC</t>
  </si>
  <si>
    <t>2022-09-22 07:58:55 UTC</t>
  </si>
  <si>
    <t>http://www.inaturalist.org/observations/622255</t>
  </si>
  <si>
    <t>https://inaturalist-open-data.s3.amazonaws.com/photos/782747/medium.jpg</t>
  </si>
  <si>
    <t>Matema, Tanzania</t>
  </si>
  <si>
    <t>google</t>
  </si>
  <si>
    <t>Berlin</t>
  </si>
  <si>
    <t>jakob</t>
  </si>
  <si>
    <t>Jakob Fahr</t>
  </si>
  <si>
    <t>2014-06-03 13:52:14 UTC</t>
  </si>
  <si>
    <t>2022-02-03 07:56:21 UTC</t>
  </si>
  <si>
    <t>CC-BY</t>
  </si>
  <si>
    <t>http://www.inaturalist.org/observations/714543</t>
  </si>
  <si>
    <t>https://inaturalist-open-data.s3.amazonaws.com/photos/897701/medium.JPG</t>
  </si>
  <si>
    <t>WWF Camp near LobÃ©kÃ© National Park</t>
  </si>
  <si>
    <t>Belonogaster juncea</t>
  </si>
  <si>
    <t>Nest (unclear stage)</t>
  </si>
  <si>
    <t>No</t>
  </si>
  <si>
    <t>2014-06-03 20:27:34 UTC</t>
  </si>
  <si>
    <t>2022-02-02 21:31:49 UTC</t>
  </si>
  <si>
    <t>http://www.inaturalist.org/observations/715213</t>
  </si>
  <si>
    <t>https://inaturalist-open-data.s3.amazonaws.com/photos/898813/medium.JPG</t>
  </si>
  <si>
    <t>Ranch Ngaoundaba</t>
  </si>
  <si>
    <t>Nest (foundress, no large larvae)</t>
  </si>
  <si>
    <t>August 14, 2014 16:49</t>
  </si>
  <si>
    <t>2014-08-14 12:49:00 UTC</t>
  </si>
  <si>
    <t>Pretoria</t>
  </si>
  <si>
    <t>muir</t>
  </si>
  <si>
    <t>Matt Muir</t>
  </si>
  <si>
    <t>2014-08-24 18:27:46 UTC</t>
  </si>
  <si>
    <t>2022-03-30 14:46:35 UTC</t>
  </si>
  <si>
    <t>CC-BY-SA</t>
  </si>
  <si>
    <t>http://www.inaturalist.org/observations/845695</t>
  </si>
  <si>
    <t>https://inaturalist-open-data.s3.amazonaws.com/photos/1070787/medium.JPG</t>
  </si>
  <si>
    <t>Kruger National Park</t>
  </si>
  <si>
    <t>Eastern Time (US &amp; Canada)</t>
  </si>
  <si>
    <t>ronsavage</t>
  </si>
  <si>
    <t>Ron Savage</t>
  </si>
  <si>
    <t>2014-09-08 17:57:58 UTC</t>
  </si>
  <si>
    <t>2022-09-29 03:24:14 UTC</t>
  </si>
  <si>
    <t>CC-BY-NC-SA</t>
  </si>
  <si>
    <t>http://www.inaturalist.org/observations/867500</t>
  </si>
  <si>
    <t>https://inaturalist-open-data.s3.amazonaws.com/photos/1100713/medium.jpg</t>
  </si>
  <si>
    <t>Wasp, Hymenopetera, S. Sudan</t>
  </si>
  <si>
    <t>Only one observed</t>
  </si>
  <si>
    <t>Juba, South Sudan</t>
  </si>
  <si>
    <t>2014-09-04 12:43:23 UTC</t>
  </si>
  <si>
    <t>caseyzill</t>
  </si>
  <si>
    <t>2014-10-31 14:27:21 UTC</t>
  </si>
  <si>
    <t>2022-09-22 07:57:46 UTC</t>
  </si>
  <si>
    <t>http://www.inaturalist.org/observations/1048278</t>
  </si>
  <si>
    <t>https://inaturalist-open-data.s3.amazonaws.com/photos/1315137/medium.JPG</t>
  </si>
  <si>
    <t>arusha, tz</t>
  </si>
  <si>
    <t>Post-emergence nest</t>
  </si>
  <si>
    <t>Yes</t>
  </si>
  <si>
    <t>December 02, 2014 07:32</t>
  </si>
  <si>
    <t>2014-12-02 12:32:00 UTC</t>
  </si>
  <si>
    <t>2014-12-19 18:55:48 UTC</t>
  </si>
  <si>
    <t>2022-09-22 07:57:23 UTC</t>
  </si>
  <si>
    <t>http://www.inaturalist.org/observations/1138814</t>
  </si>
  <si>
    <t>https://inaturalist-open-data.s3.amazonaws.com/photos/1432749/medium.JPG</t>
  </si>
  <si>
    <t>Kindu</t>
  </si>
  <si>
    <t>manual</t>
  </si>
  <si>
    <t>Male (off nest)</t>
  </si>
  <si>
    <t>Thu Feb 26 2015 09:05:29 GMT+0200 (GMT+2)</t>
  </si>
  <si>
    <t>2015-02-26 05:05:29 UTC</t>
  </si>
  <si>
    <t>johnnybirder</t>
  </si>
  <si>
    <t>Johnny Wilson</t>
  </si>
  <si>
    <t>2015-03-16 18:36:36 UTC</t>
  </si>
  <si>
    <t>2022-02-02 18:29:56 UTC</t>
  </si>
  <si>
    <t>research</t>
  </si>
  <si>
    <t>http://www.inaturalist.org/observations/1297338</t>
  </si>
  <si>
    <t>http://static.inaturalist.org/photos/1627958/medium.jpg</t>
  </si>
  <si>
    <t>Ehlanzeni, ZA-MP, ZA</t>
  </si>
  <si>
    <t>Belonogaster dubia</t>
  </si>
  <si>
    <t>Not clear, but apparent curly antennae (= male)</t>
  </si>
  <si>
    <t>2005-01-14 08:53:14 UTC</t>
  </si>
  <si>
    <t>Rome</t>
  </si>
  <si>
    <t>sindic</t>
  </si>
  <si>
    <t>Roberto Sindaco</t>
  </si>
  <si>
    <t>2015-05-02 16:26:45 UTC</t>
  </si>
  <si>
    <t>2022-09-22 15:48:08 UTC</t>
  </si>
  <si>
    <t>http://www.inaturalist.org/observations/1446007</t>
  </si>
  <si>
    <t>https://inaturalist-open-data.s3.amazonaws.com/photos/1790301/medium.JPG</t>
  </si>
  <si>
    <t>Nairobi neighb. / Kenya</t>
  </si>
  <si>
    <t>Nest (foundress, contains pupae)</t>
  </si>
  <si>
    <t>No apparent opened pupae caps, so believed foundress nest</t>
  </si>
  <si>
    <t>2008-12-22 05:49:35 UTC</t>
  </si>
  <si>
    <t>2015-05-04 19:22:15 UTC</t>
  </si>
  <si>
    <t>2022-10-05 13:32:30 UTC</t>
  </si>
  <si>
    <t>http://www.inaturalist.org/observations/1454705</t>
  </si>
  <si>
    <t>https://inaturalist-open-data.s3.amazonaws.com/photos/1803231/medium.JPG</t>
  </si>
  <si>
    <t>Sokotra</t>
  </si>
  <si>
    <t>Belonogaster saussurei</t>
  </si>
  <si>
    <t>Sheared edge of leftmost pupae cell suggests former pupa cell removed (=post-emergence)</t>
  </si>
  <si>
    <t>As line above (second photo)</t>
  </si>
  <si>
    <t>2015-05-07 08:39:16 UTC</t>
  </si>
  <si>
    <t>i_c_riddell</t>
  </si>
  <si>
    <t>2015-05-16 18:50:38 UTC</t>
  </si>
  <si>
    <t>2022-09-22 15:48:00 UTC</t>
  </si>
  <si>
    <t>http://www.inaturalist.org/observations/1496891</t>
  </si>
  <si>
    <t>https://inaturalist-open-data.s3.amazonaws.com/photos/1854060/medium.jpg</t>
  </si>
  <si>
    <t>Harare, Zimbabwe</t>
  </si>
  <si>
    <t>Much of the nest not visible</t>
  </si>
  <si>
    <t>Sun May 31 2015 21:34:17 GMT+0100 (GMT+1)</t>
  </si>
  <si>
    <t>2015-05-31 19:34:17 UTC</t>
  </si>
  <si>
    <t>Amsterdam</t>
  </si>
  <si>
    <t>congonaturalist</t>
  </si>
  <si>
    <t>2015-06-01 08:26:02 UTC</t>
  </si>
  <si>
    <t>2022-09-22 16:07:16 UTC</t>
  </si>
  <si>
    <t>http://www.inaturalist.org/observations/1571659</t>
  </si>
  <si>
    <t>https://inaturalist-open-data.s3.amazonaws.com/photos/1944894/medium.jpg</t>
  </si>
  <si>
    <t xml:space="preserve">Large wasps </t>
  </si>
  <si>
    <t>Ouesso, CG-SA, CG</t>
  </si>
  <si>
    <t>Hawaii</t>
  </si>
  <si>
    <t>onjalalaina</t>
  </si>
  <si>
    <t>Guy Eric Onjalalaina</t>
  </si>
  <si>
    <t>2015-10-19 06:19:50 UTC</t>
  </si>
  <si>
    <t>2022-02-02 18:28:33 UTC</t>
  </si>
  <si>
    <t>http://www.inaturalist.org/observations/2201130</t>
  </si>
  <si>
    <t>https://inaturalist-open-data.s3.amazonaws.com/photos/2544397/medium.JPG</t>
  </si>
  <si>
    <t>Sakaramy</t>
  </si>
  <si>
    <t>Belonogaster bicolor</t>
  </si>
  <si>
    <t>Beautiful photograph</t>
  </si>
  <si>
    <t>2015-10-12 07:37:54 UTC</t>
  </si>
  <si>
    <t>2015-10-19 12:52:56 UTC</t>
  </si>
  <si>
    <t>2022-09-22 16:06:30 UTC</t>
  </si>
  <si>
    <t>http://www.inaturalist.org/observations/2205764</t>
  </si>
  <si>
    <t>https://inaturalist-open-data.s3.amazonaws.com/photos/2544945/medium.jpg</t>
  </si>
  <si>
    <t>Kivukoni, Morogoro, Tanzania</t>
  </si>
  <si>
    <t>2015-10-12 18:16:02 UTC</t>
  </si>
  <si>
    <t>2015-10-19 19:50:53 UTC</t>
  </si>
  <si>
    <t>2022-09-22 16:06:27 UTC</t>
  </si>
  <si>
    <t>http://www.inaturalist.org/observations/2211188</t>
  </si>
  <si>
    <t>https://inaturalist-open-data.s3.amazonaws.com/photos/2546424/medium.jpg</t>
  </si>
  <si>
    <t>Kiberege, Iringa, Tanzania</t>
  </si>
  <si>
    <t>2015-10-15 14:27:59 UTC</t>
  </si>
  <si>
    <t>2015-10-21 11:38:04 UTC</t>
  </si>
  <si>
    <t>2022-09-16 20:51:46 UTC</t>
  </si>
  <si>
    <t>http://www.inaturalist.org/observations/2253381</t>
  </si>
  <si>
    <t>https://inaturalist-open-data.s3.amazonaws.com/photos/2552002/medium.jpg</t>
  </si>
  <si>
    <t>Matombo, Morogoro, Tanzania</t>
  </si>
  <si>
    <t>2015-10-16 14:14:06 UTC</t>
  </si>
  <si>
    <t>2015-10-21 22:13:54 UTC</t>
  </si>
  <si>
    <t>2022-09-22 16:06:22 UTC</t>
  </si>
  <si>
    <t>http://www.inaturalist.org/observations/2262720</t>
  </si>
  <si>
    <t>https://inaturalist-open-data.s3.amazonaws.com/photos/2553894/medium.jpg</t>
  </si>
  <si>
    <t>Cape Verde Is.</t>
  </si>
  <si>
    <t>tierraiberica</t>
  </si>
  <si>
    <t>FundaciÃ³n Tierra IbÃ©rica</t>
  </si>
  <si>
    <t>2015-12-30 12:45:13 UTC</t>
  </si>
  <si>
    <t>2022-09-22 16:05:56 UTC</t>
  </si>
  <si>
    <t>http://www.inaturalist.org/observations/2518080</t>
  </si>
  <si>
    <t>https://inaturalist-open-data.s3.amazonaws.com/photos/2826820/medium.jpg</t>
  </si>
  <si>
    <t>Orango, Bijagos, Guinea-Bissau</t>
  </si>
  <si>
    <t>Orango Island</t>
  </si>
  <si>
    <t>Paris</t>
  </si>
  <si>
    <t>zanskar</t>
  </si>
  <si>
    <t>David Renoult</t>
  </si>
  <si>
    <t>2016-04-07 21:02:18 UTC</t>
  </si>
  <si>
    <t>2022-10-05 13:32:17 UTC</t>
  </si>
  <si>
    <t>http://www.inaturalist.org/observations/2895637</t>
  </si>
  <si>
    <t>https://inaturalist-open-data.s3.amazonaws.com/photos/3311924/medium.JPG</t>
  </si>
  <si>
    <t>wasp endemic to Madagascar</t>
  </si>
  <si>
    <t>montagne ambre</t>
  </si>
  <si>
    <t>Belonogaster eumenoides</t>
  </si>
  <si>
    <t>Aggregation of females off-nest</t>
  </si>
  <si>
    <t>2016/01/20 8:30 AM PST</t>
  </si>
  <si>
    <t>2016-01-20 16:30:00 UTC</t>
  </si>
  <si>
    <t>Pacific Time (US &amp; Canada)</t>
  </si>
  <si>
    <t>henicorhina</t>
  </si>
  <si>
    <t>Oscar Johnson</t>
  </si>
  <si>
    <t>2016-08-29 15:28:45 UTC</t>
  </si>
  <si>
    <t>2022-09-22 15:47:22 UTC</t>
  </si>
  <si>
    <t>CC-BY-NC-ND</t>
  </si>
  <si>
    <t>http://www.inaturalist.org/observations/3987163</t>
  </si>
  <si>
    <t>https://inaturalist-open-data.s3.amazonaws.com/photos/4706730/medium.jpg</t>
  </si>
  <si>
    <t>Moka, Equatorial Guinea</t>
  </si>
  <si>
    <t>2016/08/27 8:24 AM EDT</t>
  </si>
  <si>
    <t>2016-08-27 12:24:00 UTC</t>
  </si>
  <si>
    <t>2016-08-30 18:32:23 UTC</t>
  </si>
  <si>
    <t>2022-09-22 15:47:17 UTC</t>
  </si>
  <si>
    <t>http://www.inaturalist.org/observations/3996348</t>
  </si>
  <si>
    <t>https://inaturalist-open-data.s3.amazonaws.com/photos/4718715/medium.jpeg</t>
  </si>
  <si>
    <t>Nagero, Garamba NP HQ</t>
  </si>
  <si>
    <t>2013-03-19 07:05:04 UTC</t>
  </si>
  <si>
    <t>dan_cawley</t>
  </si>
  <si>
    <t>Dan Cawley</t>
  </si>
  <si>
    <t>2016-11-30 10:59:47 UTC</t>
  </si>
  <si>
    <t>2022-09-22 15:46:51 UTC</t>
  </si>
  <si>
    <t>http://www.inaturalist.org/observations/4665708</t>
  </si>
  <si>
    <t>http://static.inaturalist.org/photos/5650580/medium.jpg</t>
  </si>
  <si>
    <t>Wicked looking thing I found this morning.</t>
  </si>
  <si>
    <t>Kunduchi, Dar es Salaam, Tanzania</t>
  </si>
  <si>
    <t>2016/11/21 9:24 AM EST</t>
  </si>
  <si>
    <t>2016-11-21 06:24:00 UTC</t>
  </si>
  <si>
    <t>2016-12-02 16:44:50 UTC</t>
  </si>
  <si>
    <t>2022-09-16 20:50:07 UTC</t>
  </si>
  <si>
    <t>http://www.inaturalist.org/observations/4679450</t>
  </si>
  <si>
    <t>https://inaturalist-open-data.s3.amazonaws.com/photos/5678242/medium.jpeg</t>
  </si>
  <si>
    <t>Entebbe Botanical Garden</t>
  </si>
  <si>
    <t>Paper Wasps</t>
  </si>
  <si>
    <t>2015/06/20 3:10 PM CEST</t>
  </si>
  <si>
    <t>2015-06-20 13:10:00 UTC</t>
  </si>
  <si>
    <t>joachim</t>
  </si>
  <si>
    <t>Joachim Louis</t>
  </si>
  <si>
    <t>2017-01-07 11:52:44 UTC</t>
  </si>
  <si>
    <t>2022-09-22 15:46:20 UTC</t>
  </si>
  <si>
    <t>https://www.inaturalist.org/observations/4907016</t>
  </si>
  <si>
    <t>https://inaturalist-open-data.s3.amazonaws.com/photos/5972482/medium.jpg</t>
  </si>
  <si>
    <t>Rubirizi, Uganda</t>
  </si>
  <si>
    <t>2016/09/20 2:08 PM EDT</t>
  </si>
  <si>
    <t>2016-09-20 18:08:00 UTC</t>
  </si>
  <si>
    <t>tapaculo99</t>
  </si>
  <si>
    <t>2017-01-11 22:51:00 UTC</t>
  </si>
  <si>
    <t>2022-09-22 15:46:12 UTC</t>
  </si>
  <si>
    <t>https://www.inaturalist.org/observations/4929669</t>
  </si>
  <si>
    <t>https://inaturalist-open-data.s3.amazonaws.com/photos/6008045/medium.jpeg</t>
  </si>
  <si>
    <t>Machinga, Malawi</t>
  </si>
  <si>
    <t>2016/06/04 3:33 PM EAT</t>
  </si>
  <si>
    <t>2016-06-04 12:33:00 UTC</t>
  </si>
  <si>
    <t>tadrisa</t>
  </si>
  <si>
    <t>2017-02-20 13:21:01 UTC</t>
  </si>
  <si>
    <t>2022-09-22 15:45:16 UTC</t>
  </si>
  <si>
    <t>https://www.inaturalist.org/observations/5141635</t>
  </si>
  <si>
    <t>https://inaturalist-open-data.s3.amazonaws.com/photos/6330790/medium.jpeg</t>
  </si>
  <si>
    <t>wasps like these are pretty common on  high rafters around here. Varying reports on whether they sting, perhaps because there are varying species (the kid I was with when I took this picture in her classroom said these ones sting)</t>
  </si>
  <si>
    <t>Singida, Tanzania</t>
  </si>
  <si>
    <t>Unclear</t>
  </si>
  <si>
    <t>2017/05/14 10:54 AM CEST</t>
  </si>
  <si>
    <t>2017-05-14 08:54:00 UTC</t>
  </si>
  <si>
    <t>florem</t>
  </si>
  <si>
    <t>RÃ©mi Cardinael</t>
  </si>
  <si>
    <t>2017-05-14 16:31:07 UTC</t>
  </si>
  <si>
    <t>2022-09-22 15:44:23 UTC</t>
  </si>
  <si>
    <t>https://www.inaturalist.org/observations/6207092</t>
  </si>
  <si>
    <t>https://inaturalist-open-data.s3.amazonaws.com/photos/7794796/medium.jpeg</t>
  </si>
  <si>
    <t>Alexandra Park, Harare, Zimbabwe</t>
  </si>
  <si>
    <t>2017/04/30 11:49 AM CEST</t>
  </si>
  <si>
    <t>2017-04-30 09:49:00 UTC</t>
  </si>
  <si>
    <t>2017-05-27 08:54:50 UTC</t>
  </si>
  <si>
    <t>2022-09-22 15:39:34 UTC</t>
  </si>
  <si>
    <t>https://www.inaturalist.org/observations/6378291</t>
  </si>
  <si>
    <t>https://inaturalist-open-data.s3.amazonaws.com/photos/8050421/medium.jpg</t>
  </si>
  <si>
    <t>Matobo, Simbabwe</t>
  </si>
  <si>
    <t>2013/05/20 3:35 PM CEST</t>
  </si>
  <si>
    <t>2013-05-20 13:35:00 UTC</t>
  </si>
  <si>
    <t>oddb</t>
  </si>
  <si>
    <t>ONG ODDB</t>
  </si>
  <si>
    <t>2017-06-13 19:48:27 UTC</t>
  </si>
  <si>
    <t>2022-09-22 15:39:30 UTC</t>
  </si>
  <si>
    <t>https://www.inaturalist.org/observations/6625673</t>
  </si>
  <si>
    <t>https://inaturalist-open-data.s3.amazonaws.com/photos/8416711/medium.jpeg</t>
  </si>
  <si>
    <t xml:space="preserve"> GnanhouizounmÃ¨, Bonou, Benin</t>
  </si>
  <si>
    <t>2017-07-19 9:13:00 AM GMT+02:00</t>
  </si>
  <si>
    <t>2017-07-19 07:13:00 UTC</t>
  </si>
  <si>
    <t>chinga</t>
  </si>
  <si>
    <t>Chinga Miteche</t>
  </si>
  <si>
    <t>2017-07-19 12:42:14 UTC</t>
  </si>
  <si>
    <t>2022-09-22 16:09:53 UTC</t>
  </si>
  <si>
    <t>https://www.inaturalist.org/observations/7115756</t>
  </si>
  <si>
    <t>https://static.inaturalist.org/photos/9152002/medium.jpeg</t>
  </si>
  <si>
    <t>Mteme Road Blantyre</t>
  </si>
  <si>
    <t>gps</t>
  </si>
  <si>
    <t>2017/07/21 8:58 PM CEST</t>
  </si>
  <si>
    <t>2017-07-21 18:58:00 UTC</t>
  </si>
  <si>
    <t>2017-07-22 18:15:26 UTC</t>
  </si>
  <si>
    <t>2022-09-22 16:01:34 UTC</t>
  </si>
  <si>
    <t>https://www.inaturalist.org/observations/7160127</t>
  </si>
  <si>
    <t>https://inaturalist-open-data.s3.amazonaws.com/photos/9222315/medium.jpg</t>
  </si>
  <si>
    <t>Micheweni, Pemba North, Tanzania</t>
  </si>
  <si>
    <t>2012/04/09 8:36 AM HST</t>
  </si>
  <si>
    <t>2012-04-09 18:36:00 UTC</t>
  </si>
  <si>
    <t>wildnothos</t>
  </si>
  <si>
    <t>WildNothos</t>
  </si>
  <si>
    <t>2017-08-24 12:39:33 UTC</t>
  </si>
  <si>
    <t>2022-09-22 05:35:49 UTC</t>
  </si>
  <si>
    <t>https://www.inaturalist.org/observations/7629888</t>
  </si>
  <si>
    <t>https://static.inaturalist.org/photos/9977214/medium.jpeg</t>
  </si>
  <si>
    <t>Kaputa, Zambia</t>
  </si>
  <si>
    <t>2017/08/30 3:38 PM PDT</t>
  </si>
  <si>
    <t>2017-08-30 22:38:00 UTC</t>
  </si>
  <si>
    <t>hfabian</t>
  </si>
  <si>
    <t>Henry Fabian</t>
  </si>
  <si>
    <t>2017-09-13 03:13:56 UTC</t>
  </si>
  <si>
    <t>2022-09-22 16:01:26 UTC</t>
  </si>
  <si>
    <t>CC0</t>
  </si>
  <si>
    <t>https://www.inaturalist.org/observations/7899371</t>
  </si>
  <si>
    <t>https://static.inaturalist.org/photos/10419403/medium.jpg</t>
  </si>
  <si>
    <t>Loitoktok District, Rift Valley, Kenya</t>
  </si>
  <si>
    <t>2017-10-01 10:42:30 AM GMT+02:00</t>
  </si>
  <si>
    <t>2017-10-01 08:42:30 UTC</t>
  </si>
  <si>
    <t>eleeuw</t>
  </si>
  <si>
    <t>Eric Leeuwerck</t>
  </si>
  <si>
    <t>2017-10-03 07:47:52 UTC</t>
  </si>
  <si>
    <t>2022-09-22 16:01:24 UTC</t>
  </si>
  <si>
    <t>https://www.inaturalist.org/observations/8232923</t>
  </si>
  <si>
    <t>https://inaturalist-open-data.s3.amazonaws.com/photos/10916961/medium.jpeg</t>
  </si>
  <si>
    <t>Foyer charitÃ© Rwanda Ruhengeri</t>
  </si>
  <si>
    <t>Nest (foundress, stage unclear)</t>
  </si>
  <si>
    <t>2017/07/25 4:38 PM +0200</t>
  </si>
  <si>
    <t>2017-07-25 14:38:00 UTC</t>
  </si>
  <si>
    <t>2017-10-09 14:41:03 UTC</t>
  </si>
  <si>
    <t>2022-09-22 16:01:21 UTC</t>
  </si>
  <si>
    <t>https://www.inaturalist.org/observations/8325912</t>
  </si>
  <si>
    <t>https://inaturalist-open-data.s3.amazonaws.com/photos/11058977/medium.jpeg</t>
  </si>
  <si>
    <t>North Uthungulu, Afrique du Sud</t>
  </si>
  <si>
    <t>2009/01/15 11:38 AM CET</t>
  </si>
  <si>
    <t>2009-01-15 10:38:00 UTC</t>
  </si>
  <si>
    <t>2017-10-12 17:55:31 UTC</t>
  </si>
  <si>
    <t>2022-09-22 16:01:17 UTC</t>
  </si>
  <si>
    <t>https://www.inaturalist.org/observations/8374135</t>
  </si>
  <si>
    <t>https://static.inaturalist.org/photos/11134789/medium.jpeg</t>
  </si>
  <si>
    <t>Dar es Salaam, Tanzania</t>
  </si>
  <si>
    <t>Thu Sep 28 2017 11:55:11 GMT+0300 (GMT+3)</t>
  </si>
  <si>
    <t>2017-09-28 08:55:11 UTC</t>
  </si>
  <si>
    <t>Baghdad</t>
  </si>
  <si>
    <t>beeboy</t>
  </si>
  <si>
    <t>Spencer Hardy</t>
  </si>
  <si>
    <t>2017-10-16 09:35:15 UTC</t>
  </si>
  <si>
    <t>2022-09-22 16:01:13 UTC</t>
  </si>
  <si>
    <t>https://www.inaturalist.org/observations/8424907</t>
  </si>
  <si>
    <t>https://inaturalist-open-data.s3.amazonaws.com/photos/11217946/medium.jpg</t>
  </si>
  <si>
    <t>Moshi, Moshi, Kilimanjaro, TZ</t>
  </si>
  <si>
    <t>Mon Oct 16 2017 13:03:40 GMT+0300 (GMT+3)</t>
  </si>
  <si>
    <t>2017-10-16 10:03:40 UTC</t>
  </si>
  <si>
    <t>2017-10-16 10:07:41 UTC</t>
  </si>
  <si>
    <t>2022-09-22 16:01:01 UTC</t>
  </si>
  <si>
    <t>https://www.inaturalist.org/observations/8425048</t>
  </si>
  <si>
    <t>https://inaturalist-open-data.s3.amazonaws.com/photos/11218210/medium.jpg</t>
  </si>
  <si>
    <t>Kilimanjaro National Park, , Kilimanjaro, TZ</t>
  </si>
  <si>
    <t>2017/10/14 1:35 PM CEST</t>
  </si>
  <si>
    <t>2017-10-14 11:35:00 UTC</t>
  </si>
  <si>
    <t>2017-10-19 03:17:34 UTC</t>
  </si>
  <si>
    <t>2022-09-22 16:00:58 UTC</t>
  </si>
  <si>
    <t>https://www.inaturalist.org/observations/8461606</t>
  </si>
  <si>
    <t>https://inaturalist-open-data.s3.amazonaws.com/photos/11278982/medium.jpg</t>
  </si>
  <si>
    <t>Bagamoyo, Pwani, Tanzania</t>
  </si>
  <si>
    <t>2017/10/14 1:36 PM CEST</t>
  </si>
  <si>
    <t>2017-10-14 11:36:00 UTC</t>
  </si>
  <si>
    <t>2017-10-19 03:17:35 UTC</t>
  </si>
  <si>
    <t>2022-09-22 16:00:55 UTC</t>
  </si>
  <si>
    <t>https://www.inaturalist.org/observations/8461608</t>
  </si>
  <si>
    <t>https://inaturalist-open-data.s3.amazonaws.com/photos/11278989/medium.jpg</t>
  </si>
  <si>
    <t>Very restricted portion of nest visible</t>
  </si>
  <si>
    <t>2017/02/28 10:10 PM SAST</t>
  </si>
  <si>
    <t>2017-02-28 20:10:00 UTC</t>
  </si>
  <si>
    <t>johanvan</t>
  </si>
  <si>
    <t>Johan</t>
  </si>
  <si>
    <t>2017-11-01 18:13:19 UTC</t>
  </si>
  <si>
    <t>2022-09-22 16:00:52 UTC</t>
  </si>
  <si>
    <t>https://www.inaturalist.org/observations/8644520</t>
  </si>
  <si>
    <t>https://inaturalist-open-data.s3.amazonaws.com/photos/11573220/medium.jpeg</t>
  </si>
  <si>
    <t xml:space="preserve">
					</t>
  </si>
  <si>
    <t>Stonehenge 310-Jt, Nelspruit, 1201, South Africa</t>
  </si>
  <si>
    <t>Dead female</t>
  </si>
  <si>
    <t>Thu Nov 09 2017 12:53:51 GMT+0200 (GMT+2)</t>
  </si>
  <si>
    <t>2017-11-09 10:53:51 UTC</t>
  </si>
  <si>
    <t>nanofishology</t>
  </si>
  <si>
    <t>Kai Joaquin</t>
  </si>
  <si>
    <t>2017-11-09 12:16:33 UTC</t>
  </si>
  <si>
    <t>2022-09-22 16:00:48 UTC</t>
  </si>
  <si>
    <t>https://www.inaturalist.org/observations/8739131</t>
  </si>
  <si>
    <t>https://inaturalist-open-data.s3.amazonaws.com/photos/11728964/medium.jpg</t>
  </si>
  <si>
    <t>Liwonde National Park, , Southern Region, MW</t>
  </si>
  <si>
    <t>2017/11/23 2:39 PM SAST</t>
  </si>
  <si>
    <t>2017-11-23 12:39:00 UTC</t>
  </si>
  <si>
    <t>wasinitourguide</t>
  </si>
  <si>
    <t>Wasini Tour Guide</t>
  </si>
  <si>
    <t>2017-11-23 12:04:03 UTC</t>
  </si>
  <si>
    <t>2022-09-22 16:00:41 UTC</t>
  </si>
  <si>
    <t>https://www.inaturalist.org/observations/8906507</t>
  </si>
  <si>
    <t>https://inaturalist-open-data.s3.amazonaws.com/photos/11987366/medium.jpeg</t>
  </si>
  <si>
    <t>Wasini Island, Kwale County, Kenya</t>
  </si>
  <si>
    <t>2017/11/06 12:20 AM +1600</t>
  </si>
  <si>
    <t>2017-11-05 08:20:00 UTC</t>
  </si>
  <si>
    <t>Central Time (US &amp; Canada)</t>
  </si>
  <si>
    <t>2017-11-25 06:48:23 UTC</t>
  </si>
  <si>
    <t>2022-09-22 16:00:36 UTC</t>
  </si>
  <si>
    <t>https://www.inaturalist.org/observations/8926850</t>
  </si>
  <si>
    <t>https://inaturalist-open-data.s3.amazonaws.com/photos/12022751/medium.jpeg</t>
  </si>
  <si>
    <t>Things that definitely shouldn't go swimming</t>
  </si>
  <si>
    <t>2017/11/10 8:14 PM CST</t>
  </si>
  <si>
    <t>2017-11-11 02:14:00 UTC</t>
  </si>
  <si>
    <t>2017-12-08 22:27:17 UTC</t>
  </si>
  <si>
    <t>2022-09-22 05:35:31 UTC</t>
  </si>
  <si>
    <t>https://www.inaturalist.org/observations/9092573</t>
  </si>
  <si>
    <t>https://inaturalist-open-data.s3.amazonaws.com/photos/12281242/medium.jpeg</t>
  </si>
  <si>
    <t>Kuchawe, Malawi</t>
  </si>
  <si>
    <t>2017/12/17 9:50 AM SAST</t>
  </si>
  <si>
    <t>2017-12-17 07:50:00 UTC</t>
  </si>
  <si>
    <t>ricky_taylor</t>
  </si>
  <si>
    <t>Ricky Taylor</t>
  </si>
  <si>
    <t>2017-12-17 18:13:11 UTC</t>
  </si>
  <si>
    <t>2022-09-22 05:34:05 UTC</t>
  </si>
  <si>
    <t>https://www.inaturalist.org/observations/9179604</t>
  </si>
  <si>
    <t>https://inaturalist-open-data.s3.amazonaws.com/photos/12421888/medium.jpg</t>
  </si>
  <si>
    <t>Mtunzini, South Africa</t>
  </si>
  <si>
    <t>2017/11/12 6:03 AM CST</t>
  </si>
  <si>
    <t>2017-11-12 12:03:00 UTC</t>
  </si>
  <si>
    <t>2017-12-23 07:50:09 UTC</t>
  </si>
  <si>
    <t>2022-09-22 05:33:45 UTC</t>
  </si>
  <si>
    <t>https://www.inaturalist.org/observations/9239465</t>
  </si>
  <si>
    <t>https://inaturalist-open-data.s3.amazonaws.com/photos/12506493/medium.jpeg</t>
  </si>
  <si>
    <t>TA Malemia, Zomba, Malawi</t>
  </si>
  <si>
    <t>2017/11/12 5:43 PM CST</t>
  </si>
  <si>
    <t>2017-11-12 23:43:00 UTC</t>
  </si>
  <si>
    <t>2017-12-24 08:13:53 UTC</t>
  </si>
  <si>
    <t>2022-09-22 05:33:40 UTC</t>
  </si>
  <si>
    <t>https://www.inaturalist.org/observations/9248059</t>
  </si>
  <si>
    <t>https://inaturalist-open-data.s3.amazonaws.com/photos/12521058/medium.jpeg</t>
  </si>
  <si>
    <t>Chigumula, Malawi</t>
  </si>
  <si>
    <t>2017/10/28 12:23 PM HST</t>
  </si>
  <si>
    <t>2017-10-28 22:23:00 UTC</t>
  </si>
  <si>
    <t>carmelo_lopez</t>
  </si>
  <si>
    <t>Carmelo LÃ³pez Abad</t>
  </si>
  <si>
    <t>2018-01-01 00:29:24 UTC</t>
  </si>
  <si>
    <t>2022-09-22 05:33:31 UTC</t>
  </si>
  <si>
    <t>https://www.inaturalist.org/observations/9326730</t>
  </si>
  <si>
    <t>https://inaturalist-open-data.s3.amazonaws.com/photos/12649793/medium.jpg</t>
  </si>
  <si>
    <t>Mantadia National Park, RegiÃ³n de Alaotra-Mangoro, Madagascar.</t>
  </si>
  <si>
    <t>Female (on nest, stage unclear)</t>
  </si>
  <si>
    <t>2018-01-02 1:15:37 PM GMT+02:00</t>
  </si>
  <si>
    <t>2018-01-02 11:15:37 UTC</t>
  </si>
  <si>
    <t>emiel</t>
  </si>
  <si>
    <t>Emiel Maree</t>
  </si>
  <si>
    <t>2018-01-02 11:18:15 UTC</t>
  </si>
  <si>
    <t>2022-09-22 05:33:29 UTC</t>
  </si>
  <si>
    <t>https://www.inaturalist.org/observations/9343457</t>
  </si>
  <si>
    <t>https://static.inaturalist.org/photos/12678080/medium.jpeg</t>
  </si>
  <si>
    <t>Unnamed Road, South Africa</t>
  </si>
  <si>
    <t>2018/01/04 1:54 PM CET</t>
  </si>
  <si>
    <t>2018-01-04 12:54:00 UTC</t>
  </si>
  <si>
    <t>mlbae86</t>
  </si>
  <si>
    <t>Corentin Lebet</t>
  </si>
  <si>
    <t>2018-01-04 14:25:13 UTC</t>
  </si>
  <si>
    <t>2022-09-22 05:33:25 UTC</t>
  </si>
  <si>
    <t>https://www.inaturalist.org/observations/9362880</t>
  </si>
  <si>
    <t>https://inaturalist-open-data.s3.amazonaws.com/photos/12711362/medium.jpeg</t>
  </si>
  <si>
    <t>Unnamed, Pretoria, 0049, Afrique du Sud</t>
  </si>
  <si>
    <t>2017/11/02 9:19 AM SAST</t>
  </si>
  <si>
    <t>2017-11-02 07:19:00 UTC</t>
  </si>
  <si>
    <t>cheekychew</t>
  </si>
  <si>
    <t>Chrissie Fourie</t>
  </si>
  <si>
    <t>2018-01-12 20:43:40 UTC</t>
  </si>
  <si>
    <t>2022-09-22 05:32:54 UTC</t>
  </si>
  <si>
    <t>https://www.inaturalist.org/observations/9451512</t>
  </si>
  <si>
    <t>https://inaturalist-open-data.s3.amazonaws.com/photos/12853540/medium.jpg</t>
  </si>
  <si>
    <t>Bosveld, South Africa</t>
  </si>
  <si>
    <t>2017-02-24 17:12:00 UTC</t>
  </si>
  <si>
    <t>lauriekoepke</t>
  </si>
  <si>
    <t>2018-01-17 18:48:49 UTC</t>
  </si>
  <si>
    <t>2022-09-22 05:32:06 UTC</t>
  </si>
  <si>
    <t>https://www.inaturalist.org/observations/9509873</t>
  </si>
  <si>
    <t>https://inaturalist-open-data.s3.amazonaws.com/photos/12960585/medium.jpeg</t>
  </si>
  <si>
    <t>Moshi Rural, Tanzania</t>
  </si>
  <si>
    <t>2017/08/07 11:34 AM CEST</t>
  </si>
  <si>
    <t>2017-08-07 09:34:00 UTC</t>
  </si>
  <si>
    <t>stanvrem</t>
  </si>
  <si>
    <t>Stan van Remmerden</t>
  </si>
  <si>
    <t>2018-01-29 19:26:26 UTC</t>
  </si>
  <si>
    <t>2022-09-22 05:32:01 UTC</t>
  </si>
  <si>
    <t>https://www.inaturalist.org/observations/9658343</t>
  </si>
  <si>
    <t>https://inaturalist-open-data.s3.amazonaws.com/photos/13195790/medium.jpeg</t>
  </si>
  <si>
    <t>Umkhanyakude, Zuid-Afrika</t>
  </si>
  <si>
    <t>2015/12/26 5:33 AM SAST</t>
  </si>
  <si>
    <t>2015-12-26 03:33:00 UTC</t>
  </si>
  <si>
    <t>vynbos</t>
  </si>
  <si>
    <t>Chris Vynbos</t>
  </si>
  <si>
    <t>2018-01-31 06:07:06 UTC</t>
  </si>
  <si>
    <t>2022-09-22 05:31:59 UTC</t>
  </si>
  <si>
    <t>https://www.inaturalist.org/observations/9677974</t>
  </si>
  <si>
    <t>https://inaturalist-open-data.s3.amazonaws.com/photos/13227752/medium.jpg</t>
  </si>
  <si>
    <t>Vynbos Hillcrest 20151224</t>
  </si>
  <si>
    <t>Krantzkloof, Hillcrest, KZN</t>
  </si>
  <si>
    <t>2018/01/03 9:24 AM EAT</t>
  </si>
  <si>
    <t>2018-01-03 06:24:00 UTC</t>
  </si>
  <si>
    <t>mjplagens</t>
  </si>
  <si>
    <t>Mike Plagens</t>
  </si>
  <si>
    <t>2018-02-02 23:17:55 UTC</t>
  </si>
  <si>
    <t>2022-09-22 16:00:28 UTC</t>
  </si>
  <si>
    <t>https://www.inaturalist.org/observations/9710185</t>
  </si>
  <si>
    <t>https://inaturalist-open-data.s3.amazonaws.com/photos/13278735/medium.jpg</t>
  </si>
  <si>
    <t>Kenya, Elgeyo Escarpment, Lelin</t>
  </si>
  <si>
    <t>Tambach, Kenya</t>
  </si>
  <si>
    <t>2018-02-05 11:49:39 AM SAST</t>
  </si>
  <si>
    <t>2018-02-05 09:49:39 UTC</t>
  </si>
  <si>
    <t>ianpearson</t>
  </si>
  <si>
    <t>Ian Pearson</t>
  </si>
  <si>
    <t>2018-02-05 15:35:58 UTC</t>
  </si>
  <si>
    <t>2022-09-22 16:00:24 UTC</t>
  </si>
  <si>
    <t>https://www.inaturalist.org/observations/9740711</t>
  </si>
  <si>
    <t>https://static.inaturalist.org/photos/13332378/medium.jpeg</t>
  </si>
  <si>
    <t>2018-02-10 2:22:44 PM SAST</t>
  </si>
  <si>
    <t>2018-02-10 12:22:44 UTC</t>
  </si>
  <si>
    <t>2018-02-10 12:44:17 UTC</t>
  </si>
  <si>
    <t>2022-09-22 15:38:50 UTC</t>
  </si>
  <si>
    <t>https://www.inaturalist.org/observations/9809526</t>
  </si>
  <si>
    <t>https://static.inaturalist.org/photos/13423663/medium.jpeg</t>
  </si>
  <si>
    <t>Umgungundlovu, ZA-NL, ZA</t>
  </si>
  <si>
    <t>2017/06/27 1:45 PM CDT</t>
  </si>
  <si>
    <t>2017-06-27 18:45:00 UTC</t>
  </si>
  <si>
    <t>gonodactylus</t>
  </si>
  <si>
    <t>Mathew Zappa</t>
  </si>
  <si>
    <t>2018-02-12 03:30:26 UTC</t>
  </si>
  <si>
    <t>2022-09-22 15:38:47 UTC</t>
  </si>
  <si>
    <t>https://www.inaturalist.org/observations/9832028</t>
  </si>
  <si>
    <t>https://inaturalist-open-data.s3.amazonaws.com/photos/13463198/medium.jpg</t>
  </si>
  <si>
    <t>Sodwana Bay National Park, 3974, South Africa</t>
  </si>
  <si>
    <t>2018-02-13 9:40:44 a.m. GMT+02:00</t>
  </si>
  <si>
    <t>2018-02-13 07:40:44 UTC</t>
  </si>
  <si>
    <t>malawimo</t>
  </si>
  <si>
    <t>2018-02-13 07:42:39 UTC</t>
  </si>
  <si>
    <t>2022-09-22 15:38:42 UTC</t>
  </si>
  <si>
    <t>https://www.inaturalist.org/observations/9844559</t>
  </si>
  <si>
    <t>https://inaturalist-open-data.s3.amazonaws.com/photos/13483964/medium.jpeg</t>
  </si>
  <si>
    <t>Zomba, Malawi</t>
  </si>
  <si>
    <t>Sat Feb 03 2018 11:48:46 GMT+0300 (GMT+3)</t>
  </si>
  <si>
    <t>2018-02-03 08:48:46 UTC</t>
  </si>
  <si>
    <t>damontighe</t>
  </si>
  <si>
    <t>Damon Tighe</t>
  </si>
  <si>
    <t>2018-02-15 03:21:22 UTC</t>
  </si>
  <si>
    <t>2022-09-22 15:38:39 UTC</t>
  </si>
  <si>
    <t>https://www.inaturalist.org/observations/9863958</t>
  </si>
  <si>
    <t>https://inaturalist-open-data.s3.amazonaws.com/photos/13574462/medium.jpeg</t>
  </si>
  <si>
    <t>Isalo, MG-FI-HO, MG-FI, MG</t>
  </si>
  <si>
    <t>As line above (third photo)</t>
  </si>
  <si>
    <t>2018/01/05 1:53 PM EAT</t>
  </si>
  <si>
    <t>2018-01-05 10:53:00 UTC</t>
  </si>
  <si>
    <t>2018-02-15 23:46:10 UTC</t>
  </si>
  <si>
    <t>2022-09-22 15:38:30 UTC</t>
  </si>
  <si>
    <t>https://www.inaturalist.org/observations/9873371</t>
  </si>
  <si>
    <t>https://inaturalist-open-data.s3.amazonaws.com/photos/13530398/medium.jpg</t>
  </si>
  <si>
    <t>Kenya, Kapenguria, Kongelai Escarpment</t>
  </si>
  <si>
    <t>West Pokot County, Kenya</t>
  </si>
  <si>
    <t>2018/02/01 5:38 PM PST</t>
  </si>
  <si>
    <t>2018-02-02 01:38:00 UTC</t>
  </si>
  <si>
    <t>2018-02-17 22:52:02 UTC</t>
  </si>
  <si>
    <t>2022-09-22 15:38:28 UTC</t>
  </si>
  <si>
    <t>https://www.inaturalist.org/observations/9898074</t>
  </si>
  <si>
    <t>https://inaturalist-open-data.s3.amazonaws.com/photos/13570980/medium.jpeg</t>
  </si>
  <si>
    <t>Vatovavy-Fitovinany, Madagascar</t>
  </si>
  <si>
    <t>2018/02/04 9:59 AM PST</t>
  </si>
  <si>
    <t>2018-02-04 17:59:00 UTC</t>
  </si>
  <si>
    <t>2018-02-18 21:03:24 UTC</t>
  </si>
  <si>
    <t>2022-02-02 18:33:26 UTC</t>
  </si>
  <si>
    <t>https://www.inaturalist.org/observations/9910488</t>
  </si>
  <si>
    <t>https://inaturalist-open-data.s3.amazonaws.com/photos/13591636/medium.jpeg</t>
  </si>
  <si>
    <t>Zombitse-Vohibasia, Atsimo-Andrefana, Toliary, Madagascar</t>
  </si>
  <si>
    <t>Belonogaster vadoni</t>
  </si>
  <si>
    <t>2018/02/08 10:22 AM PST</t>
  </si>
  <si>
    <t>2018-02-08 18:22:00 UTC</t>
  </si>
  <si>
    <t>2018-02-20 19:39:44 UTC</t>
  </si>
  <si>
    <t>2022-02-02 18:32:18 UTC</t>
  </si>
  <si>
    <t>https://www.inaturalist.org/observations/9936186</t>
  </si>
  <si>
    <t>https://inaturalist-open-data.s3.amazonaws.com/photos/13636131/medium.jpeg</t>
  </si>
  <si>
    <t>Diana, Madagascar</t>
  </si>
  <si>
    <t>Belonogaster brevipetiolata</t>
  </si>
  <si>
    <t>2017/12/22 3:39 AM CST</t>
  </si>
  <si>
    <t>2017-12-22 09:39:00 UTC</t>
  </si>
  <si>
    <t>tamandua2</t>
  </si>
  <si>
    <t>Shannon Christine McLaughlin</t>
  </si>
  <si>
    <t>2018-02-28 05:14:47 UTC</t>
  </si>
  <si>
    <t>2022-09-22 15:38:21 UTC</t>
  </si>
  <si>
    <t>https://www.inaturalist.org/observations/10028687</t>
  </si>
  <si>
    <t>https://inaturalist-open-data.s3.amazonaws.com/photos/13792994/medium.jpeg</t>
  </si>
  <si>
    <t>Karen, Nairobi, Kenya</t>
  </si>
  <si>
    <t>2017/12/22 9:28 PM CST</t>
  </si>
  <si>
    <t>2017-12-23 03:28:00 UTC</t>
  </si>
  <si>
    <t>2018-02-28 07:03:08 UTC</t>
  </si>
  <si>
    <t>2022-09-17 21:02:07 UTC</t>
  </si>
  <si>
    <t>https://www.inaturalist.org/observations/10029573</t>
  </si>
  <si>
    <t>https://inaturalist-open-data.s3.amazonaws.com/photos/13793889/medium.jpeg</t>
  </si>
  <si>
    <t>2018/01/08 3:45 PM EAT</t>
  </si>
  <si>
    <t>2018-01-08 12:45:00 UTC</t>
  </si>
  <si>
    <t>2018-03-13 19:29:54 UTC</t>
  </si>
  <si>
    <t>2022-09-22 15:38:05 UTC</t>
  </si>
  <si>
    <t>https://www.inaturalist.org/observations/10222162</t>
  </si>
  <si>
    <t>https://inaturalist-open-data.s3.amazonaws.com/photos/14127353/medium.jpeg</t>
  </si>
  <si>
    <t>Kenya, Nairobi</t>
  </si>
  <si>
    <t>Langata, Nairobi, Kenya</t>
  </si>
  <si>
    <t>Fri Mar 23 2018 20:52:59 GMT+0300 (GMT+3)</t>
  </si>
  <si>
    <t>2018-03-23 17:52:59 UTC</t>
  </si>
  <si>
    <t>2018-03-25 13:12:58 UTC</t>
  </si>
  <si>
    <t>2022-09-22 15:37:55 UTC</t>
  </si>
  <si>
    <t>https://www.inaturalist.org/observations/10411051</t>
  </si>
  <si>
    <t>https://inaturalist-open-data.s3.amazonaws.com/photos/14459492/medium.jpg</t>
  </si>
  <si>
    <t>Haut-Uele, CD-HC, CD</t>
  </si>
  <si>
    <t>2018-03-28 7:28:46 AM GMT+01:00</t>
  </si>
  <si>
    <t>2018-03-28 05:28:46 UTC</t>
  </si>
  <si>
    <t>agboola</t>
  </si>
  <si>
    <t>Babajide Agboola</t>
  </si>
  <si>
    <t>2018-03-28 12:22:19 UTC</t>
  </si>
  <si>
    <t>2022-09-23 15:11:56 UTC</t>
  </si>
  <si>
    <t>https://www.inaturalist.org/observations/10470570</t>
  </si>
  <si>
    <t>https://inaturalist-open-data.s3.amazonaws.com/photos/14554014/medium.jpeg</t>
  </si>
  <si>
    <t>They were seen on the wood work of a roof</t>
  </si>
  <si>
    <t>Jos East, NG-PL, NG</t>
  </si>
  <si>
    <t>andrew_hankey</t>
  </si>
  <si>
    <t>Andrew Hankey</t>
  </si>
  <si>
    <t>2012-06-04 09:09:58 UTC</t>
  </si>
  <si>
    <t>2022-09-22 07:56:38 UTC</t>
  </si>
  <si>
    <t>https://www.inaturalist.org/observations/10795833</t>
  </si>
  <si>
    <t>https://inaturalist-open-data.s3.amazonaws.com/photos/15109421/medium.jpg</t>
  </si>
  <si>
    <t>&lt;h3&gt;Wasp WSNBG&lt;/h3&gt;&lt;br&gt;</t>
  </si>
  <si>
    <t>Walter Sisulu National Botanical Gardens</t>
  </si>
  <si>
    <t>nicky</t>
  </si>
  <si>
    <t>Nicola van Berkel</t>
  </si>
  <si>
    <t>2012-10-29 19:54:02 UTC</t>
  </si>
  <si>
    <t>2022-09-22 07:56:23 UTC</t>
  </si>
  <si>
    <t>https://www.inaturalist.org/observations/10809961</t>
  </si>
  <si>
    <t>https://inaturalist-open-data.s3.amazonaws.com/photos/15137668/medium.jpg</t>
  </si>
  <si>
    <t>rural, Nests</t>
  </si>
  <si>
    <t>&lt;h3&gt;Belonogaster&lt;/h3&gt;&lt;br&gt;</t>
  </si>
  <si>
    <t>Baviaanskloof: On the roof of the toilet (not sure dwelling is quite correct!)</t>
  </si>
  <si>
    <t>tonyrebelo</t>
  </si>
  <si>
    <t>Tony Rebelo</t>
  </si>
  <si>
    <t>2012-07-26 01:17:38 UTC</t>
  </si>
  <si>
    <t>2022-09-22 07:56:34 UTC</t>
  </si>
  <si>
    <t>https://www.inaturalist.org/observations/10813662</t>
  </si>
  <si>
    <t>https://inaturalist-open-data.s3.amazonaws.com/photos/15144959/medium.jpg</t>
  </si>
  <si>
    <t>Nests</t>
  </si>
  <si>
    <t>&lt;h3&gt;Wasp&lt;/h3&gt;&lt;br&gt;</t>
  </si>
  <si>
    <t>Natures Valley</t>
  </si>
  <si>
    <t>wynand_uys</t>
  </si>
  <si>
    <t>Wynand Uys</t>
  </si>
  <si>
    <t>2013-01-04 05:16:06 UTC</t>
  </si>
  <si>
    <t>2022-09-22 08:00:31 UTC</t>
  </si>
  <si>
    <t>https://www.inaturalist.org/observations/10817302</t>
  </si>
  <si>
    <t>https://inaturalist-open-data.s3.amazonaws.com/photos/15151817/medium.jpg</t>
  </si>
  <si>
    <t>Nests, rural</t>
  </si>
  <si>
    <t>&lt;h3&gt;Slender Paper Wasps&lt;/h3&gt;&lt;br&gt;Body length about 32mm</t>
  </si>
  <si>
    <t>Blyde River Near Hoedspruit: Blyde riverine forest</t>
  </si>
  <si>
    <t>Restricted portion of nest</t>
  </si>
  <si>
    <t>2012-03-28 07:42:11 UTC</t>
  </si>
  <si>
    <t>2022-09-22 08:47:29 UTC</t>
  </si>
  <si>
    <t>https://www.inaturalist.org/observations/10824895</t>
  </si>
  <si>
    <t>https://inaturalist-open-data.s3.amazonaws.com/photos/15166254/medium.jpg</t>
  </si>
  <si>
    <t>&lt;h3&gt;Delta hottentottum&lt;/h3&gt;&lt;br&gt;Poor picture...It was too fast for me.</t>
  </si>
  <si>
    <t>Crocodile River Walk</t>
  </si>
  <si>
    <t>2012-03-28 18:13:26 UTC</t>
  </si>
  <si>
    <t>2022-09-22 07:56:43 UTC</t>
  </si>
  <si>
    <t>https://www.inaturalist.org/observations/10825113</t>
  </si>
  <si>
    <t>https://inaturalist-open-data.s3.amazonaws.com/photos/15166707/medium.jpg</t>
  </si>
  <si>
    <t>&lt;h3&gt;Belonogaster dubius&lt;/h3&gt;&lt;br&gt;Body length about 2.5cm, with a long narrow waist, wings brown, darker at tips.</t>
  </si>
  <si>
    <t>Frere Road</t>
  </si>
  <si>
    <t>ernestporter</t>
  </si>
  <si>
    <t>Ernest Porter</t>
  </si>
  <si>
    <t>2012-12-01 15:21:57 UTC</t>
  </si>
  <si>
    <t>2022-09-22 16:50:00 UTC</t>
  </si>
  <si>
    <t>https://www.inaturalist.org/observations/10833223</t>
  </si>
  <si>
    <t>https://inaturalist-open-data.s3.amazonaws.com/photos/15183196/medium.jpg</t>
  </si>
  <si>
    <t>&lt;h3&gt;wasp&lt;/h3&gt;&lt;br&gt;</t>
  </si>
  <si>
    <t>maritzasouthafrica</t>
  </si>
  <si>
    <t>2013-02-05 08:57:17 UTC</t>
  </si>
  <si>
    <t>2022-09-22 08:00:05 UTC</t>
  </si>
  <si>
    <t>https://www.inaturalist.org/observations/10839785</t>
  </si>
  <si>
    <t>https://inaturalist-open-data.s3.amazonaws.com/photos/15195943/medium.jpg</t>
  </si>
  <si>
    <t>&lt;h3&gt;Paper Wasp2&lt;/h3&gt;&lt;br&gt;</t>
  </si>
  <si>
    <t>Blyderiver</t>
  </si>
  <si>
    <t>alexdreyer</t>
  </si>
  <si>
    <t>Alex Dreyer</t>
  </si>
  <si>
    <t>2012-12-09 10:26:43 UTC</t>
  </si>
  <si>
    <t>2022-02-03 06:13:46 UTC</t>
  </si>
  <si>
    <t>https://www.inaturalist.org/observations/10839979</t>
  </si>
  <si>
    <t>https://inaturalist-open-data.s3.amazonaws.com/photos/15196353/medium.jpg</t>
  </si>
  <si>
    <t>rural</t>
  </si>
  <si>
    <t>&lt;h3&gt;Paper wasp, Rooiby&lt;/h3&gt;&lt;br&gt;</t>
  </si>
  <si>
    <t>Farm KyffhÃ¤user, MaltahÃ¶he, Namibia</t>
  </si>
  <si>
    <t>Belonogaster lateritia</t>
  </si>
  <si>
    <t>2012-12-09 10:29:26 UTC</t>
  </si>
  <si>
    <t>2022-02-02 18:31:55 UTC</t>
  </si>
  <si>
    <t>https://www.inaturalist.org/observations/10839983</t>
  </si>
  <si>
    <t>https://inaturalist-open-data.s3.amazonaws.com/photos/15196367/medium.jpg</t>
  </si>
  <si>
    <t>&lt;h3&gt;Paper wasps, Rooibye&lt;/h3&gt;&lt;br&gt;</t>
  </si>
  <si>
    <t>2012-12-09 11:20:38 UTC</t>
  </si>
  <si>
    <t>2022-09-22 07:56:07 UTC</t>
  </si>
  <si>
    <t>https://www.inaturalist.org/observations/10840000</t>
  </si>
  <si>
    <t>https://inaturalist-open-data.s3.amazonaws.com/photos/15196414/medium.jpg</t>
  </si>
  <si>
    <t>Potter wasps, rural</t>
  </si>
  <si>
    <t>&lt;h3&gt;Down at the waterhole part3&lt;/h3&gt;&lt;br&gt;About 23mm</t>
  </si>
  <si>
    <t>Blyde River Near Hoedspruit: Blyde riverine forest. Wet sand on river bank.</t>
  </si>
  <si>
    <t>2012-12-10 19:42:56 UTC</t>
  </si>
  <si>
    <t>2022-09-22 08:00:44 UTC</t>
  </si>
  <si>
    <t>https://www.inaturalist.org/observations/10840984</t>
  </si>
  <si>
    <t>https://inaturalist-open-data.s3.amazonaws.com/photos/15198512/medium.jpg</t>
  </si>
  <si>
    <t>&lt;h3&gt;Wasp&lt;/h3&gt;&lt;br&gt;Sorry about the quality: but as good as I could get.  Did not want to throw it away!  Tried too hard to get a better shot!</t>
  </si>
  <si>
    <t>Otter Trail: day 3 Blousloep to Jan Swarts: Tsitsikamma section Garden Route National Park</t>
  </si>
  <si>
    <t>alexanderr</t>
  </si>
  <si>
    <t>Alex Rebelo</t>
  </si>
  <si>
    <t>2012-12-27 05:49:49 UTC</t>
  </si>
  <si>
    <t>2022-09-22 08:00:39 UTC</t>
  </si>
  <si>
    <t>https://www.inaturalist.org/observations/10851827</t>
  </si>
  <si>
    <t>https://inaturalist-open-data.s3.amazonaws.com/photos/15221212/medium.jpg</t>
  </si>
  <si>
    <t>&lt;h3&gt;Paper wasps&lt;/h3&gt;&lt;br&gt;</t>
  </si>
  <si>
    <t>Hilltop camp, Hluhluwe</t>
  </si>
  <si>
    <t>2013-07-09 03:18:28 UTC</t>
  </si>
  <si>
    <t>2022-09-22 15:49:34 UTC</t>
  </si>
  <si>
    <t>https://www.inaturalist.org/observations/10853074</t>
  </si>
  <si>
    <t>https://inaturalist-open-data.s3.amazonaws.com/photos/15223746/medium.jpg</t>
  </si>
  <si>
    <t>Vynbos_Newlands_2013_07_08</t>
  </si>
  <si>
    <t>&lt;h3&gt;Paper Wasp&lt;/h3&gt;&lt;br&gt;</t>
  </si>
  <si>
    <t>Newlands Forest Carpark, Cape Town</t>
  </si>
  <si>
    <t>leswpowriesanbictza</t>
  </si>
  <si>
    <t>Leslie W. Powrie</t>
  </si>
  <si>
    <t>2013-02-25 09:03:58 UTC</t>
  </si>
  <si>
    <t>2022-09-22 15:49:43 UTC</t>
  </si>
  <si>
    <t>https://www.inaturalist.org/observations/10853686</t>
  </si>
  <si>
    <t>https://inaturalist-open-data.s3.amazonaws.com/photos/15224954/medium.jpg</t>
  </si>
  <si>
    <t>urban, Nests</t>
  </si>
  <si>
    <t>&lt;h3&gt;Paper wasps&lt;/h3&gt;&lt;br&gt;Paper wasps constructing nest in eaves of building.</t>
  </si>
  <si>
    <t>ERF138862, Upper Thistle Rd: Under eaves outside KRC kitchen of Kirstenbosch Research Centre.</t>
  </si>
  <si>
    <t>2013-10-15 08:41:13 UTC</t>
  </si>
  <si>
    <t>2022-09-22 15:49:22 UTC</t>
  </si>
  <si>
    <t>https://www.inaturalist.org/observations/10873258</t>
  </si>
  <si>
    <t>https://inaturalist-open-data.s3.amazonaws.com/photos/15264475/medium.jpg</t>
  </si>
  <si>
    <t>&lt;h3&gt;Belonogaster on Thesium strictum&lt;/h3&gt;&lt;br&gt;</t>
  </si>
  <si>
    <t>Kouga Wildernis</t>
  </si>
  <si>
    <t>2013-08-18 16:25:42 UTC</t>
  </si>
  <si>
    <t>2022-09-22 15:49:30 UTC</t>
  </si>
  <si>
    <t>https://www.inaturalist.org/observations/10889523</t>
  </si>
  <si>
    <t>https://inaturalist-open-data.s3.amazonaws.com/photos/15297828/medium.jpg</t>
  </si>
  <si>
    <t>&lt;h3&gt;Paper wasp&lt;/h3&gt;&lt;br&gt;</t>
  </si>
  <si>
    <t>Groenkloof, Pretoria</t>
  </si>
  <si>
    <t>Africa/Johannesburg</t>
  </si>
  <si>
    <t>2013-11-14 06:31:06 UTC</t>
  </si>
  <si>
    <t>2019-02-01 17:06:38 UTC</t>
  </si>
  <si>
    <t>https://www.inaturalist.org/observations/10901024</t>
  </si>
  <si>
    <t>https://inaturalist-open-data.s3.amazonaws.com/photos/15321350/medium.jpg</t>
  </si>
  <si>
    <t>&lt;h3&gt;Paper Wasps, Rooibye&lt;/h3&gt;&lt;br&gt;</t>
  </si>
  <si>
    <t>C19, Hardap</t>
  </si>
  <si>
    <t>Abandoned post-emergence nest</t>
  </si>
  <si>
    <t>2013-11-14 10:13:36 UTC</t>
  </si>
  <si>
    <t>2022-02-02 18:32:33 UTC</t>
  </si>
  <si>
    <t>https://www.inaturalist.org/observations/10901154</t>
  </si>
  <si>
    <t>https://inaturalist-open-data.s3.amazonaws.com/photos/15321584/medium.jpg</t>
  </si>
  <si>
    <t>Sat Apr 14 2018 14:38:14 GMT+0200 (GMT+2)</t>
  </si>
  <si>
    <t>2018-04-14 12:38:14 UTC</t>
  </si>
  <si>
    <t>suncana</t>
  </si>
  <si>
    <t>2018-04-14 14:26:54 UTC</t>
  </si>
  <si>
    <t>2022-09-22 05:31:43 UTC</t>
  </si>
  <si>
    <t>https://www.inaturalist.org/observations/10901883</t>
  </si>
  <si>
    <t>https://static.inaturalist.org/photos/15323079/medium.jpg</t>
  </si>
  <si>
    <t>16 Tyburn Way, Westville, KZN, ZA</t>
  </si>
  <si>
    <t>charlstrydom</t>
  </si>
  <si>
    <t>Charl Strydom</t>
  </si>
  <si>
    <t>2013-09-15 09:48:53 UTC</t>
  </si>
  <si>
    <t>2022-09-22 15:49:26 UTC</t>
  </si>
  <si>
    <t>https://www.inaturalist.org/observations/10909576</t>
  </si>
  <si>
    <t>https://inaturalist-open-data.s3.amazonaws.com/photos/19197268/medium.jpg</t>
  </si>
  <si>
    <t>&lt;h3&gt;Paper Wasp&lt;/h3&gt;&lt;br&gt;Our resident patio Paper wasp^s. Photo 7 shows some of their brood. Photo 8 shows some plant material that they turn and appear to be cutting to size.</t>
  </si>
  <si>
    <t>Nkangala, ZA-MP, ZA</t>
  </si>
  <si>
    <t>obscured</t>
  </si>
  <si>
    <t>Note: this nest is photo 1 and 5 in the observation. The second wasp is visible in photo 5.</t>
  </si>
  <si>
    <t>As line above (fourth photo)</t>
  </si>
  <si>
    <t>As line above (last photo)</t>
  </si>
  <si>
    <t>sallyslak</t>
  </si>
  <si>
    <t>Sally Adam</t>
  </si>
  <si>
    <t>2014-03-04 07:48:16 UTC</t>
  </si>
  <si>
    <t>2022-09-22 15:48:46 UTC</t>
  </si>
  <si>
    <t>https://www.inaturalist.org/observations/10913887</t>
  </si>
  <si>
    <t>https://inaturalist-open-data.s3.amazonaws.com/photos/15344955/medium.jpg</t>
  </si>
  <si>
    <t>Charlies path</t>
  </si>
  <si>
    <t>2014-03-06 11:52:09 UTC</t>
  </si>
  <si>
    <t>2022-09-22 15:48:42 UTC</t>
  </si>
  <si>
    <t>https://www.inaturalist.org/observations/10930279</t>
  </si>
  <si>
    <t>https://inaturalist-open-data.s3.amazonaws.com/photos/19193150/medium.jpg</t>
  </si>
  <si>
    <t>urban</t>
  </si>
  <si>
    <t>&lt;h3&gt;Paper wasp&lt;/h3&gt;&lt;br&gt;Dead wasp.</t>
  </si>
  <si>
    <t>Spruit St, Dullstroom</t>
  </si>
  <si>
    <t>2014-06-17 10:22:06 UTC</t>
  </si>
  <si>
    <t>2018-06-05 20:36:38 UTC</t>
  </si>
  <si>
    <t>https://www.inaturalist.org/observations/10945876</t>
  </si>
  <si>
    <t>https://inaturalist-open-data.s3.amazonaws.com/photos/19190729/medium.jpg</t>
  </si>
  <si>
    <t>&lt;h3&gt;Paper wasp (Belonogaster) larva&lt;/h3&gt;&lt;br&gt;Measures 14 x 5mm.</t>
  </si>
  <si>
    <t>Larva off nest</t>
  </si>
  <si>
    <t>colin25</t>
  </si>
  <si>
    <t>Colin Ralston</t>
  </si>
  <si>
    <t>2014-06-23 11:12:35 UTC</t>
  </si>
  <si>
    <t>2022-09-22 07:58:29 UTC</t>
  </si>
  <si>
    <t>https://www.inaturalist.org/observations/10953170</t>
  </si>
  <si>
    <t>https://inaturalist-open-data.s3.amazonaws.com/photos/15408123/medium.jpg</t>
  </si>
  <si>
    <t>Garden Route Botanical Gardens</t>
  </si>
  <si>
    <t>&lt;h3&gt;Brown wasp&lt;/h3&gt;&lt;br&gt;</t>
  </si>
  <si>
    <t>Garden Route Botanical Garden</t>
  </si>
  <si>
    <t>2014-06-23 11:38:26 UTC</t>
  </si>
  <si>
    <t>2018-06-06 19:13:58 UTC</t>
  </si>
  <si>
    <t>https://www.inaturalist.org/observations/10953205</t>
  </si>
  <si>
    <t>https://inaturalist-open-data.s3.amazonaws.com/photos/15408227/medium.jpg</t>
  </si>
  <si>
    <t>&lt;h3&gt;Paper wasps, Rooibye&lt;/h3&gt;&lt;br&gt;Larvae from paper wasp nest.</t>
  </si>
  <si>
    <t>ydnewp2</t>
  </si>
  <si>
    <t>Wendy</t>
  </si>
  <si>
    <t>2014-02-07 10:47:33 UTC</t>
  </si>
  <si>
    <t>2022-09-22 15:48:55 UTC</t>
  </si>
  <si>
    <t>https://www.inaturalist.org/observations/10969417</t>
  </si>
  <si>
    <t>https://inaturalist-open-data.s3.amazonaws.com/photos/15441790/medium.jpg</t>
  </si>
  <si>
    <t>Saasveld iSpot Workshop Feb2014, rural</t>
  </si>
  <si>
    <t>&lt;h3&gt;Dangerous stinging insect&lt;/h3&gt;&lt;br&gt;&lt;p&gt;Wasps, about 7cm long. Three of them in different poses. They are red/orange. Have a pair of feelers on each of the three. The have single pair of transparent orange wings.The tails are oval, red, and appear segmented. Then a narrow section joining the tail with the main body. Main body is oval, segmented, hairy. Head separate, heart shaped. They each have 3 pairs of legs.&lt;/p&gt;</t>
  </si>
  <si>
    <t>Groenkloof Ave, Glenwood AH: On Groeneweide Trail at Saasveld College, George.</t>
  </si>
  <si>
    <t>mr_fab</t>
  </si>
  <si>
    <t>Brian du Preez</t>
  </si>
  <si>
    <t>2014-04-02 09:20:46 UTC</t>
  </si>
  <si>
    <t>2022-09-22 07:59:11 UTC</t>
  </si>
  <si>
    <t>https://www.inaturalist.org/observations/10970495</t>
  </si>
  <si>
    <t>https://inaturalist-open-data.s3.amazonaws.com/photos/15443727/medium.jpg</t>
  </si>
  <si>
    <t>Saasveld Nature-con Practical 2014</t>
  </si>
  <si>
    <t>&lt;h3&gt;Belonogaster ...&lt;/h3&gt;&lt;br&gt;</t>
  </si>
  <si>
    <t>Komdomo Camp and surrounds, Baviaanskloof</t>
  </si>
  <si>
    <t>benjamin_walton</t>
  </si>
  <si>
    <t>Benjamin Walton</t>
  </si>
  <si>
    <t>2014-02-11 07:46:08 UTC</t>
  </si>
  <si>
    <t>2022-09-23 07:39:33 UTC</t>
  </si>
  <si>
    <t>https://www.inaturalist.org/observations/10973778</t>
  </si>
  <si>
    <t>https://inaturalist-open-data.s3.amazonaws.com/photos/15449593/medium.jpg</t>
  </si>
  <si>
    <t>&lt;h3&gt;Belonogaster sp.&lt;/h3&gt;&lt;br&gt;Large and long bodied wasps have made a nest under the eaves of the house. Last year it was the little ones and they have moved up higher away from rainfall.</t>
  </si>
  <si>
    <t>N2, George</t>
  </si>
  <si>
    <t>bushboy</t>
  </si>
  <si>
    <t>Peter Vos</t>
  </si>
  <si>
    <t>2014-04-11 13:32:56 UTC</t>
  </si>
  <si>
    <t>2022-09-22 07:59:05 UTC</t>
  </si>
  <si>
    <t>https://www.inaturalist.org/observations/10988662</t>
  </si>
  <si>
    <t>https://inaturalist-open-data.s3.amazonaws.com/photos/15479056/medium.jpg</t>
  </si>
  <si>
    <t>&lt;h3&gt;girls belongogether&lt;/h3&gt;&lt;br&gt;30mm long-waisted paper wasps prepare for overwintering under an inadequate-looking Acokanthera leaf.</t>
  </si>
  <si>
    <t>3 Marion Ave, Scottburgh</t>
  </si>
  <si>
    <t>Believed post-emergence due to sheared edge of leftmost cell</t>
  </si>
  <si>
    <t>2014-04-15 10:40:30 UTC</t>
  </si>
  <si>
    <t>2022-09-22 07:58:50 UTC</t>
  </si>
  <si>
    <t>https://www.inaturalist.org/observations/10996429</t>
  </si>
  <si>
    <t>https://inaturalist-open-data.s3.amazonaws.com/photos/15492896/medium.jpg</t>
  </si>
  <si>
    <t>&lt;h3&gt;Longdrop wasps&lt;/h3&gt;&lt;br&gt;It was difficult to get decent photos as the light was poor, but I was fascinated by the bright yellow faces of the (presumably?) young wasps.</t>
  </si>
  <si>
    <t>River (pump)</t>
  </si>
  <si>
    <t>magdastlucia</t>
  </si>
  <si>
    <t>2014-06-02 03:13:37 UTC</t>
  </si>
  <si>
    <t>2022-09-22 07:58:42 UTC</t>
  </si>
  <si>
    <t>https://www.inaturalist.org/observations/11004278</t>
  </si>
  <si>
    <t>https://inaturalist-open-data.s3.amazonaws.com/photos/15508276/medium.jpg</t>
  </si>
  <si>
    <t>&lt;h3&gt;Wasps visiting fungus&lt;/h3&gt;&lt;br&gt;</t>
  </si>
  <si>
    <t>St Lucia 1</t>
  </si>
  <si>
    <t>Likely collecting tree-sap</t>
  </si>
  <si>
    <t>2014-08-17 07:25:59 UTC</t>
  </si>
  <si>
    <t>2022-02-03 10:08:43 UTC</t>
  </si>
  <si>
    <t>https://www.inaturalist.org/observations/11004385</t>
  </si>
  <si>
    <t>https://inaturalist-open-data.s3.amazonaws.com/photos/15508525/medium.jpg</t>
  </si>
  <si>
    <t>&lt;h3&gt;Paper wasps, Rooibye 4&lt;/h3&gt;&lt;br&gt;</t>
  </si>
  <si>
    <t>Clearly abandoned a long time previously</t>
  </si>
  <si>
    <t>2014-06-04 08:47:44 UTC</t>
  </si>
  <si>
    <t>2022-09-22 07:58:35 UTC</t>
  </si>
  <si>
    <t>https://www.inaturalist.org/observations/11004966</t>
  </si>
  <si>
    <t>https://inaturalist-open-data.s3.amazonaws.com/photos/15509780/medium.jpg</t>
  </si>
  <si>
    <t>&lt;h3&gt;XL wasp&lt;/h3&gt;&lt;br&gt;Body length 36mm. I kid you not.</t>
  </si>
  <si>
    <t>2014-06-11 07:07:30 UTC</t>
  </si>
  <si>
    <t>2022-02-02 18:32:29 UTC</t>
  </si>
  <si>
    <t>https://www.inaturalist.org/observations/11008608</t>
  </si>
  <si>
    <t>https://inaturalist-open-data.s3.amazonaws.com/photos/15517159/medium.jpg</t>
  </si>
  <si>
    <t>&lt;h3&gt;Paper wasp, Rooiby 3&lt;/h3&gt;&lt;br&gt;</t>
  </si>
  <si>
    <t>shauns</t>
  </si>
  <si>
    <t>Shaun Swanepoel</t>
  </si>
  <si>
    <t>2015-02-23 19:12:45 UTC</t>
  </si>
  <si>
    <t>2022-09-22 16:27:44 UTC</t>
  </si>
  <si>
    <t>https://www.inaturalist.org/observations/11014141</t>
  </si>
  <si>
    <t>https://inaturalist-open-data.s3.amazonaws.com/photos/15528027/medium.jpg</t>
  </si>
  <si>
    <t>&lt;h3&gt;Wet Wasp (Mbulitzi)&lt;/h3&gt;&lt;br&gt;</t>
  </si>
  <si>
    <t>Mbulitzi</t>
  </si>
  <si>
    <t>Ants, Bees, Wasps, and Sawflies</t>
  </si>
  <si>
    <t>2015-03-20 16:45:10 UTC</t>
  </si>
  <si>
    <t>2022-09-16 20:53:36 UTC</t>
  </si>
  <si>
    <t>https://www.inaturalist.org/observations/11040940</t>
  </si>
  <si>
    <t>https://inaturalist-open-data.s3.amazonaws.com/photos/15578666/medium.jpg</t>
  </si>
  <si>
    <t>iSimangaliso</t>
  </si>
  <si>
    <t>Mfazana Hide</t>
  </si>
  <si>
    <t>wolfachim</t>
  </si>
  <si>
    <t>Wolf-Achim and Hanna Roland</t>
  </si>
  <si>
    <t>2015-08-02 06:18:11 UTC</t>
  </si>
  <si>
    <t>2022-09-22 16:07:05 UTC</t>
  </si>
  <si>
    <t>https://www.inaturalist.org/observations/11043313</t>
  </si>
  <si>
    <t>https://static.inaturalist.org/photos/15582953/medium.jpg</t>
  </si>
  <si>
    <t>&lt;h3&gt;Potter Wasp - Punda Maria&lt;/h3&gt;&lt;br&gt;</t>
  </si>
  <si>
    <t>Punda Maria Camp</t>
  </si>
  <si>
    <t>katebraunsd</t>
  </si>
  <si>
    <t>Kate Braun</t>
  </si>
  <si>
    <t>2015-04-12 07:29:47 UTC</t>
  </si>
  <si>
    <t>2022-09-22 15:48:16 UTC</t>
  </si>
  <si>
    <t>https://www.inaturalist.org/observations/11043402</t>
  </si>
  <si>
    <t>https://inaturalist-open-data.s3.amazonaws.com/photos/19229519/medium.jpg</t>
  </si>
  <si>
    <t>&lt;h3&gt;Wasps (Vespidae)?&lt;/h3&gt;&lt;br&gt;</t>
  </si>
  <si>
    <t>Pine Valley, Plot 202</t>
  </si>
  <si>
    <t>2015-08-15 17:05:59 UTC</t>
  </si>
  <si>
    <t>2022-02-02 18:28:48 UTC</t>
  </si>
  <si>
    <t>https://www.inaturalist.org/observations/11062514</t>
  </si>
  <si>
    <t>https://inaturalist-open-data.s3.amazonaws.com/photos/15608083/medium.jpg</t>
  </si>
  <si>
    <t>&lt;h3&gt;Paper wasps, Rooibye&lt;/h3&gt;&lt;br&gt;Wasps congregating on a water spot.</t>
  </si>
  <si>
    <t>Count difficult. Possible foraging aggregation seeking water from wet mud.</t>
  </si>
  <si>
    <t>2015-04-12 14:56:51 UTC</t>
  </si>
  <si>
    <t>2018-09-03 09:49:09 UTC</t>
  </si>
  <si>
    <t>https://www.inaturalist.org/observations/11067177</t>
  </si>
  <si>
    <t>https://inaturalist-open-data.s3.amazonaws.com/photos/15616809/medium.jpg</t>
  </si>
  <si>
    <t>&lt;h3&gt;Wasps (GRG)&lt;/h3&gt;&lt;br&gt;</t>
  </si>
  <si>
    <t>Denneoord, George: Denneoord, George</t>
  </si>
  <si>
    <t>1 female, 6 males distinguishable</t>
  </si>
  <si>
    <t>2014-11-17 16:46:23 UTC</t>
  </si>
  <si>
    <t>2022-09-22 07:57:41 UTC</t>
  </si>
  <si>
    <t>https://www.inaturalist.org/observations/11072867</t>
  </si>
  <si>
    <t>https://inaturalist-open-data.s3.amazonaws.com/photos/15627980/medium.jpg</t>
  </si>
  <si>
    <t>Bioblitz-Mgobezeleni</t>
  </si>
  <si>
    <t>&lt;h3&gt;Paper wasp&lt;/h3&gt;&lt;br&gt;Protecting a paper nest attached to a roof inside an outbuilding</t>
  </si>
  <si>
    <t>Sodwana Resort</t>
  </si>
  <si>
    <t>2015-05-01 08:24:48 UTC</t>
  </si>
  <si>
    <t>2022-02-02 19:19:32 UTC</t>
  </si>
  <si>
    <t>https://www.inaturalist.org/observations/11091470</t>
  </si>
  <si>
    <t>https://inaturalist-open-data.s3.amazonaws.com/photos/15663965/medium.jpg</t>
  </si>
  <si>
    <t>2015-05-01 08:34:43 UTC</t>
  </si>
  <si>
    <t>2022-02-02 18:32:31 UTC</t>
  </si>
  <si>
    <t>https://www.inaturalist.org/observations/11091503</t>
  </si>
  <si>
    <t>https://inaturalist-open-data.s3.amazonaws.com/photos/15664029/medium.jpg</t>
  </si>
  <si>
    <t>Farm Urikos, MaltahÃ¶he, Namibia</t>
  </si>
  <si>
    <t>2015-05-01 09:22:18 UTC</t>
  </si>
  <si>
    <t>2022-02-02 18:32:27 UTC</t>
  </si>
  <si>
    <t>https://www.inaturalist.org/observations/11091582</t>
  </si>
  <si>
    <t>https://inaturalist-open-data.s3.amazonaws.com/photos/15664177/medium.jpg</t>
  </si>
  <si>
    <t>2015-05-03 04:10:07 UTC</t>
  </si>
  <si>
    <t>2022-02-02 18:29:20 UTC</t>
  </si>
  <si>
    <t>https://www.inaturalist.org/observations/11092692</t>
  </si>
  <si>
    <t>https://inaturalist-open-data.s3.amazonaws.com/photos/15666417/medium.jpg</t>
  </si>
  <si>
    <t>Unnamed Road, Naukluft Mountain Zebra Park</t>
  </si>
  <si>
    <t>tuli</t>
  </si>
  <si>
    <t>Christine Sydes</t>
  </si>
  <si>
    <t>2015-05-03 17:37:33 UTC</t>
  </si>
  <si>
    <t>2022-03-18 19:26:38 UTC</t>
  </si>
  <si>
    <t>https://www.inaturalist.org/observations/11093815</t>
  </si>
  <si>
    <t>https://inaturalist-open-data.s3.amazonaws.com/photos/15668701/medium.jpg</t>
  </si>
  <si>
    <t>&lt;h3&gt;Ms Twiggy Wasp&lt;/h3&gt;&lt;br&gt;Large red wasp with a long, skinny waist, the dark bands on the abdomen appearing individually silver depending on the angle of the light.  Busy feeding from a weedy Portulaca plant</t>
  </si>
  <si>
    <t>Gaborone North: agricultural smallholdings area now within the city limits and being developed as residential in parts</t>
  </si>
  <si>
    <t>2015-05-05 17:19:50 UTC</t>
  </si>
  <si>
    <t>2022-09-22 15:48:04 UTC</t>
  </si>
  <si>
    <t>https://www.inaturalist.org/observations/11097391</t>
  </si>
  <si>
    <t>https://inaturalist-open-data.s3.amazonaws.com/photos/15676072/medium.jpg</t>
  </si>
  <si>
    <t>&lt;h3&gt;Delta sp. on Gymnosporia polyacantha subsp. vaccinifolia&lt;/h3&gt;&lt;br&gt;</t>
  </si>
  <si>
    <t>Utopia Nature Resort, Magaliesberg</t>
  </si>
  <si>
    <t>2015-05-12 19:01:46 UTC</t>
  </si>
  <si>
    <t>2022-02-10 12:37:28 UTC</t>
  </si>
  <si>
    <t>https://www.inaturalist.org/observations/11106348</t>
  </si>
  <si>
    <t>https://inaturalist-open-data.s3.amazonaws.com/photos/15694338/medium.jpg</t>
  </si>
  <si>
    <t>2015-09-21 11:11:01 UTC</t>
  </si>
  <si>
    <t>2022-09-22 16:07:02 UTC</t>
  </si>
  <si>
    <t>https://www.inaturalist.org/observations/11109406</t>
  </si>
  <si>
    <t>https://inaturalist-open-data.s3.amazonaws.com/photos/15700499/medium.jpg</t>
  </si>
  <si>
    <t>&lt;h3&gt;Red/brown Flower Wasp&lt;/h3&gt;&lt;br&gt;Going from flower to flower, feeding on some thing.</t>
  </si>
  <si>
    <t>2015-01-02 15:18:02 UTC</t>
  </si>
  <si>
    <t>2022-09-22 07:57:16 UTC</t>
  </si>
  <si>
    <t>https://www.inaturalist.org/observations/11109464</t>
  </si>
  <si>
    <t>https://inaturalist-open-data.s3.amazonaws.com/photos/15700638/medium.jpg</t>
  </si>
  <si>
    <t>2015-05-15 16:47:35 UTC</t>
  </si>
  <si>
    <t>2022-02-02 18:32:44 UTC</t>
  </si>
  <si>
    <t>https://www.inaturalist.org/observations/11110153</t>
  </si>
  <si>
    <t>https://inaturalist-open-data.s3.amazonaws.com/photos/15701904/medium.jpg</t>
  </si>
  <si>
    <t>2015-05-15 17:05:53 UTC</t>
  </si>
  <si>
    <t>2022-02-02 18:32:45 UTC</t>
  </si>
  <si>
    <t>https://www.inaturalist.org/observations/11110171</t>
  </si>
  <si>
    <t>https://inaturalist-open-data.s3.amazonaws.com/photos/15701945/medium.jpg</t>
  </si>
  <si>
    <t>2015-09-24 16:05:19 UTC</t>
  </si>
  <si>
    <t>2022-09-22 16:51:35 UTC</t>
  </si>
  <si>
    <t>https://www.inaturalist.org/observations/11111792</t>
  </si>
  <si>
    <t>https://inaturalist-open-data.s3.amazonaws.com/photos/15705240/medium.jpg</t>
  </si>
  <si>
    <t>&lt;h3&gt;Wasps&lt;/h3&gt;&lt;br&gt;Tend to aggregate, sometimes in very large numbers, in buildings in winter</t>
  </si>
  <si>
    <t>Kosi Bay</t>
  </si>
  <si>
    <t>Unclear photo, with only a small nest visible, but interpretted as likely aggregation of wasps after post-emergence nest was removed, with rebuilding going on. Therefore, classed as post-emergence.</t>
  </si>
  <si>
    <t>2015-05-22 17:23:46 UTC</t>
  </si>
  <si>
    <t>2022-09-22 15:47:58 UTC</t>
  </si>
  <si>
    <t>https://www.inaturalist.org/observations/11117517</t>
  </si>
  <si>
    <t>https://inaturalist-open-data.s3.amazonaws.com/photos/19232392/medium.jpg</t>
  </si>
  <si>
    <t>Quar</t>
  </si>
  <si>
    <t>ryanvanhuyssteen</t>
  </si>
  <si>
    <t>Ryan van Huyssteen</t>
  </si>
  <si>
    <t>2015-09-30 08:27:35 UTC</t>
  </si>
  <si>
    <t>2022-09-22 16:51:27 UTC</t>
  </si>
  <si>
    <t>https://www.inaturalist.org/observations/11119041</t>
  </si>
  <si>
    <t>https://inaturalist-open-data.s3.amazonaws.com/photos/15719669/medium.jpg</t>
  </si>
  <si>
    <t>SCBC, Vhembe Biosphere Reserve, Venda, Soutpansberg</t>
  </si>
  <si>
    <t>&lt;h3&gt;Wasps&lt;/h3&gt;&lt;br&gt;</t>
  </si>
  <si>
    <t>Golwe-Vhurivhuri</t>
  </si>
  <si>
    <t>Hibernation cluster</t>
  </si>
  <si>
    <t>Hundreds</t>
  </si>
  <si>
    <t>Spectacular photo!</t>
  </si>
  <si>
    <t>2015-11-23 17:39:02 UTC</t>
  </si>
  <si>
    <t>2022-09-22 16:27:29 UTC</t>
  </si>
  <si>
    <t>https://www.inaturalist.org/observations/11125712</t>
  </si>
  <si>
    <t>https://inaturalist-open-data.s3.amazonaws.com/photos/15732306/medium.jpg</t>
  </si>
  <si>
    <t>&lt;h3&gt;Wasp (Letaba)&lt;/h3&gt;&lt;br&gt;</t>
  </si>
  <si>
    <t>Letaba River Lodge</t>
  </si>
  <si>
    <t>2015-10-04 14:31:33 UTC</t>
  </si>
  <si>
    <t>2022-02-02 18:28:42 UTC</t>
  </si>
  <si>
    <t>https://www.inaturalist.org/observations/11129565</t>
  </si>
  <si>
    <t>https://inaturalist-open-data.s3.amazonaws.com/photos/15739306/medium.jpg</t>
  </si>
  <si>
    <t>2015-01-23 09:38:59 UTC</t>
  </si>
  <si>
    <t>2022-02-02 18:30:11 UTC</t>
  </si>
  <si>
    <t>https://www.inaturalist.org/observations/11134970</t>
  </si>
  <si>
    <t>https://inaturalist-open-data.s3.amazonaws.com/photos/15749756/medium.jpg</t>
  </si>
  <si>
    <t>&lt;h3&gt;Paper wasp, Rooiby 5&lt;/h3&gt;&lt;br&gt;</t>
  </si>
  <si>
    <t>hermanviviers</t>
  </si>
  <si>
    <t>2015-01-25 15:45:33 UTC</t>
  </si>
  <si>
    <t>2022-09-22 07:57:12 UTC</t>
  </si>
  <si>
    <t>https://www.inaturalist.org/observations/11138621</t>
  </si>
  <si>
    <t>https://inaturalist-open-data.s3.amazonaws.com/photos/15756811/medium.jpg</t>
  </si>
  <si>
    <t>Pilanesberg National Park</t>
  </si>
  <si>
    <t>igmar</t>
  </si>
  <si>
    <t>Igmar Grewar</t>
  </si>
  <si>
    <t>2015-10-18 04:44:00 UTC</t>
  </si>
  <si>
    <t>2022-09-22 16:06:39 UTC</t>
  </si>
  <si>
    <t>https://www.inaturalist.org/observations/11146162</t>
  </si>
  <si>
    <t>https://inaturalist-open-data.s3.amazonaws.com/photos/15771202/medium.jpg</t>
  </si>
  <si>
    <t>South Africa, Lynnwood Glen, Gauteng, wasp, Pretoria</t>
  </si>
  <si>
    <t>&lt;h3&gt;Wasp and nest under roof overhang&lt;/h3&gt;&lt;br&gt;Approx. 3cm long</t>
  </si>
  <si>
    <t>City of Tshwane, ZA-GT, ZA</t>
  </si>
  <si>
    <t>pottasjj</t>
  </si>
  <si>
    <t>2015-01-29 16:49:10 UTC</t>
  </si>
  <si>
    <t>2022-02-02 18:30:04 UTC</t>
  </si>
  <si>
    <t>https://www.inaturalist.org/observations/11154666</t>
  </si>
  <si>
    <t>https://inaturalist-open-data.s3.amazonaws.com/photos/19235954/medium.jpg</t>
  </si>
  <si>
    <t>Paper wasp, yellow to red-brown wasp/bee with two bright white-yellow spots, rooiby</t>
  </si>
  <si>
    <t>&lt;h3&gt;Paper wasp - Rooiby&lt;/h3&gt;&lt;br&gt;A yellow to red-brown wasp/bee with two bright white-yellow spots on the first segment of it^s abdomen. Wings is red-brown and turn into dark brown tips.</t>
  </si>
  <si>
    <t>Trompsburg</t>
  </si>
  <si>
    <t>2015-12-21 00:51:26 UTC</t>
  </si>
  <si>
    <t>2022-09-22 16:06:00 UTC</t>
  </si>
  <si>
    <t>https://www.inaturalist.org/observations/11159342</t>
  </si>
  <si>
    <t>https://inaturalist-open-data.s3.amazonaws.com/photos/15797488/medium.jpg</t>
  </si>
  <si>
    <t>Bergville</t>
  </si>
  <si>
    <t>2016-03-14 13:17:38 UTC</t>
  </si>
  <si>
    <t>2022-09-22 16:01:53 UTC</t>
  </si>
  <si>
    <t>https://www.inaturalist.org/observations/11177318</t>
  </si>
  <si>
    <t>https://inaturalist-open-data.s3.amazonaws.com/photos/15832663/medium.jpg</t>
  </si>
  <si>
    <t>slakplaas</t>
  </si>
  <si>
    <t>&lt;h3&gt;Big wasp&lt;/h3&gt;&lt;br&gt;About 35-40mm.</t>
  </si>
  <si>
    <t>Garden</t>
  </si>
  <si>
    <t>2016-01-11 01:44:44 UTC</t>
  </si>
  <si>
    <t>2022-09-22 16:05:52 UTC</t>
  </si>
  <si>
    <t>https://www.inaturalist.org/observations/11178961</t>
  </si>
  <si>
    <t>https://inaturalist-open-data.s3.amazonaws.com/photos/15835653/medium.jpg</t>
  </si>
  <si>
    <t>&lt;h3&gt;Sweet and placid by herself: monstrous beast at her nest!&lt;/h3&gt;&lt;br&gt;Huge girl, fully 60mm long, with a blood-spurt-inducing business end</t>
  </si>
  <si>
    <t>2016-10-09 05:05:54 UTC</t>
  </si>
  <si>
    <t>2022-09-22 15:47:14 UTC</t>
  </si>
  <si>
    <t>https://www.inaturalist.org/observations/11191543</t>
  </si>
  <si>
    <t>https://inaturalist-open-data.s3.amazonaws.com/photos/15859716/medium.jpg</t>
  </si>
  <si>
    <t>&lt;h3&gt;All Brown wasp over the stream&lt;/h3&gt;&lt;br&gt;</t>
  </si>
  <si>
    <t>2016-01-23 14:32:31 UTC</t>
  </si>
  <si>
    <t>2022-02-02 18:32:21 UTC</t>
  </si>
  <si>
    <t>https://www.inaturalist.org/observations/11192657</t>
  </si>
  <si>
    <t>https://inaturalist-open-data.s3.amazonaws.com/photos/15861808/medium.jpg</t>
  </si>
  <si>
    <t>2016-01-28 05:49:14 UTC</t>
  </si>
  <si>
    <t>2022-02-02 18:28:13 UTC</t>
  </si>
  <si>
    <t>https://www.inaturalist.org/observations/11198369</t>
  </si>
  <si>
    <t>https://inaturalist-open-data.s3.amazonaws.com/photos/15872778/medium.jpg</t>
  </si>
  <si>
    <t>Naukluft</t>
  </si>
  <si>
    <t>2018/04/17 9:42 AM SAST</t>
  </si>
  <si>
    <t>2018-04-17 07:42:00 UTC</t>
  </si>
  <si>
    <t>2018-04-20 04:49:10 UTC</t>
  </si>
  <si>
    <t>2022-09-22 05:31:38 UTC</t>
  </si>
  <si>
    <t>https://www.inaturalist.org/observations/11199846</t>
  </si>
  <si>
    <t>https://inaturalist-open-data.s3.amazonaws.com/photos/15874809/medium.jpeg</t>
  </si>
  <si>
    <t>&lt;h3&gt;Sweet stinger&lt;/h3&gt;
Large, about 45mm long</t>
  </si>
  <si>
    <t>Scottburgh South, Scottburgh, 4180, South Africa</t>
  </si>
  <si>
    <t>2016-04-21 03:47:49 UTC</t>
  </si>
  <si>
    <t>2022-09-22 16:27:36 UTC</t>
  </si>
  <si>
    <t>https://www.inaturalist.org/observations/11202922</t>
  </si>
  <si>
    <t>https://inaturalist-open-data.s3.amazonaws.com/photos/15882027/medium.jpg</t>
  </si>
  <si>
    <t>&lt;h3&gt;Paper Wasp (Bulembu)&lt;/h3&gt;&lt;br&gt;</t>
  </si>
  <si>
    <t>Bulembu</t>
  </si>
  <si>
    <t>2016-02-07 15:59:11 UTC</t>
  </si>
  <si>
    <t>2020-04-16 05:29:18 UTC</t>
  </si>
  <si>
    <t>https://www.inaturalist.org/observations/11205776</t>
  </si>
  <si>
    <t>https://inaturalist-open-data.s3.amazonaws.com/photos/15887873/medium.jpg</t>
  </si>
  <si>
    <t>Semi-arid savanna</t>
  </si>
  <si>
    <t>&lt;h3&gt;Wasp (Belonogaster sp.)&lt;/h3&gt;&lt;br&gt;</t>
  </si>
  <si>
    <t>Mlawula Nature Reserve, bridge across Mlawula River by entrance gate</t>
  </si>
  <si>
    <t>2016-04-27 11:34:30 UTC</t>
  </si>
  <si>
    <t>2022-09-22 16:01:42 UTC</t>
  </si>
  <si>
    <t>https://www.inaturalist.org/observations/11206631</t>
  </si>
  <si>
    <t>https://inaturalist-open-data.s3.amazonaws.com/photos/15889672/medium.jpg</t>
  </si>
  <si>
    <t>&lt;h3&gt;Mantid? Pah! Just let her try&lt;/h3&gt;&lt;br&gt;Fearsome (roughly 40mm long) paper wasp visiting Deinbollia blooms.&lt;br&gt;Lurking mantid left her well alone ...</t>
  </si>
  <si>
    <t>2018/04/17 9:59 AM CAT</t>
  </si>
  <si>
    <t>2018-04-17 08:59:00 UTC</t>
  </si>
  <si>
    <t>wildlife_junkie</t>
  </si>
  <si>
    <t>Shirley Hitschmann</t>
  </si>
  <si>
    <t>2018-04-20 10:45:18 UTC</t>
  </si>
  <si>
    <t>2022-09-22 05:31:34 UTC</t>
  </si>
  <si>
    <t>https://www.inaturalist.org/observations/11208334</t>
  </si>
  <si>
    <t>https://inaturalist-open-data.s3.amazonaws.com/photos/15890636/medium.jpeg</t>
  </si>
  <si>
    <t xml:space="preserve">was told they were hornets but not sure </t>
  </si>
  <si>
    <t>Mutare, Zimbabwe</t>
  </si>
  <si>
    <t>2016-05-10 11:30:00 UTC</t>
  </si>
  <si>
    <t>2022-09-22 15:47:49 UTC</t>
  </si>
  <si>
    <t>https://www.inaturalist.org/observations/11212321</t>
  </si>
  <si>
    <t>https://inaturalist-open-data.s3.amazonaws.com/photos/15902613/medium.jpg</t>
  </si>
  <si>
    <t>&lt;h3&gt;what you looking at?&lt;/h3&gt;&lt;br&gt;</t>
  </si>
  <si>
    <t>Hogsback, the edge</t>
  </si>
  <si>
    <t>2016-06-16 17:43:32 UTC</t>
  </si>
  <si>
    <t>2022-09-22 15:47:34 UTC</t>
  </si>
  <si>
    <t>https://www.inaturalist.org/observations/11246869</t>
  </si>
  <si>
    <t>https://inaturalist-open-data.s3.amazonaws.com/photos/15969952/medium.jpg</t>
  </si>
  <si>
    <t>&lt;h3&gt;House Wasps&lt;/h3&gt;&lt;br&gt;</t>
  </si>
  <si>
    <t>Mtunzini</t>
  </si>
  <si>
    <t>2017-06-15 17:05:50 UTC</t>
  </si>
  <si>
    <t>2022-09-22 15:39:27 UTC</t>
  </si>
  <si>
    <t>https://www.inaturalist.org/observations/11249481</t>
  </si>
  <si>
    <t>https://inaturalist-open-data.s3.amazonaws.com/photos/15975783/medium.jpg</t>
  </si>
  <si>
    <t>&lt;h3&gt;Paper Wasps&lt;/h3&gt;&lt;br&gt;In the Willow at the water^s edge</t>
  </si>
  <si>
    <t>Pretoria 4</t>
  </si>
  <si>
    <t>This appears to be a hibernation cluster *on* an abandoned nest in a crevice. Surprisingly, there are three males present.</t>
  </si>
  <si>
    <t>2017-01-03 12:57:52 UTC</t>
  </si>
  <si>
    <t>2022-09-22 15:46:36 UTC</t>
  </si>
  <si>
    <t>https://www.inaturalist.org/observations/11275468</t>
  </si>
  <si>
    <t>https://inaturalist-open-data.s3.amazonaws.com/photos/16029895/medium.jpg</t>
  </si>
  <si>
    <t>&lt;h3&gt;No mantis, no matter how big^s gonna tangle with me&lt;/h3&gt;&lt;br&gt;</t>
  </si>
  <si>
    <t>2017-01-06 13:24:50 UTC</t>
  </si>
  <si>
    <t>2022-09-22 16:50:30 UTC</t>
  </si>
  <si>
    <t>https://www.inaturalist.org/observations/11281256</t>
  </si>
  <si>
    <t>https://inaturalist-open-data.s3.amazonaws.com/photos/16040713/medium.jpg</t>
  </si>
  <si>
    <t>&lt;h3&gt;Exclusion zone enforcers&lt;/h3&gt;&lt;br&gt;&lt;p&gt;If you get caught in our Knobthorn (Acacia nigrescens) don't pause to unhook the savage double thorns from your flesh. You'll shake the tree and these ladies will get you. Better just to run leaving shards of flesh and shirt dangling in the branches. Less pain and the scars will heal.&lt;/p&gt;</t>
  </si>
  <si>
    <t>magrietb</t>
  </si>
  <si>
    <t>magriet b</t>
  </si>
  <si>
    <t>2016-08-14 13:26:36 UTC</t>
  </si>
  <si>
    <t>2022-09-22 16:50:36 UTC</t>
  </si>
  <si>
    <t>https://www.inaturalist.org/observations/11290746</t>
  </si>
  <si>
    <t>https://inaturalist-open-data.s3.amazonaws.com/photos/16059891/medium.jpg</t>
  </si>
  <si>
    <t>&lt;h3&gt;Sendelingsdrift paper wasps&lt;/h3&gt;&lt;br&gt;Making the most of a protected overhang in the desert.</t>
  </si>
  <si>
    <t>Richtersveld NP Info Centre at Sendelingsdrift</t>
  </si>
  <si>
    <t>There are multiple nests visible in this photograph. See tab with this observation id for nest labels. The first line is 'nest a'.</t>
  </si>
  <si>
    <t>As line above (nest b)</t>
  </si>
  <si>
    <t>As line above (nest c)</t>
  </si>
  <si>
    <t>As line above (nest d)</t>
  </si>
  <si>
    <t>As line above (nest e)</t>
  </si>
  <si>
    <t>As line above (nest f)</t>
  </si>
  <si>
    <t>As line above (nest g)</t>
  </si>
  <si>
    <t>As line above (nest h)</t>
  </si>
  <si>
    <t>As line above (nest i)</t>
  </si>
  <si>
    <t>As line above (nest j)</t>
  </si>
  <si>
    <t>As line above (nest k)</t>
  </si>
  <si>
    <t>As line above (nest l)</t>
  </si>
  <si>
    <t>As line above (nest m)</t>
  </si>
  <si>
    <t>As line above (nest n)</t>
  </si>
  <si>
    <t>As line above (nest o)</t>
  </si>
  <si>
    <t>As line above (nest p)</t>
  </si>
  <si>
    <t>As line above (nest q)</t>
  </si>
  <si>
    <t>As line above (nest r)</t>
  </si>
  <si>
    <t>As line above (nest s)</t>
  </si>
  <si>
    <t>As line above (nest t)</t>
  </si>
  <si>
    <t>As line above (nest u)</t>
  </si>
  <si>
    <t>As line above (nest v)</t>
  </si>
  <si>
    <t>As line above (nest x)</t>
  </si>
  <si>
    <t>As line above (nest y)</t>
  </si>
  <si>
    <t>As line above (nest z)</t>
  </si>
  <si>
    <t>As line above (nest za)</t>
  </si>
  <si>
    <t>Assumed to be a different nest to the ones in the previous photo.</t>
  </si>
  <si>
    <t>2017-03-21 08:36:42 UTC</t>
  </si>
  <si>
    <t>2022-09-22 15:44:38 UTC</t>
  </si>
  <si>
    <t>https://www.inaturalist.org/observations/11291654</t>
  </si>
  <si>
    <t>https://inaturalist-open-data.s3.amazonaws.com/photos/16061791/medium.jpg</t>
  </si>
  <si>
    <t>&lt;h3&gt;IED on trail&lt;/h3&gt;&lt;br&gt;Dangling on vine right over the trail. Crouch low, cover your face with your hands, hope you don^t touch any part of the supporting vine, run past like hell all the while screaming like a girl!</t>
  </si>
  <si>
    <t>KwaZulu-Natal, ZA</t>
  </si>
  <si>
    <t>suvarna</t>
  </si>
  <si>
    <t>Suvarna Parbhoo Mohan</t>
  </si>
  <si>
    <t>2017-01-22 09:28:15 UTC</t>
  </si>
  <si>
    <t>2022-09-22 15:45:32 UTC</t>
  </si>
  <si>
    <t>https://www.inaturalist.org/observations/11305697</t>
  </si>
  <si>
    <t>https://inaturalist-open-data.s3.amazonaws.com/photos/16090233/medium.jpg</t>
  </si>
  <si>
    <t>&lt;h3&gt;Wasp visiting Gomphocarpus&lt;/h3&gt;&lt;br&gt;</t>
  </si>
  <si>
    <t>30 Linhaven Road, Foresthaven, Phoenix, Durban</t>
  </si>
  <si>
    <t>2017-04-17 12:00:51 UTC</t>
  </si>
  <si>
    <t>2022-02-10 13:31:23 UTC</t>
  </si>
  <si>
    <t>https://www.inaturalist.org/observations/11314905</t>
  </si>
  <si>
    <t>https://inaturalist-open-data.s3.amazonaws.com/photos/16108264/medium.jpg</t>
  </si>
  <si>
    <t>&lt;h3&gt;Wasp in Dogwood tree&lt;/h3&gt;&lt;br&gt;</t>
  </si>
  <si>
    <t>Pretoria National Botanical Garden</t>
  </si>
  <si>
    <t>2016/11/16 9:32 PM CST</t>
  </si>
  <si>
    <t>2016-11-17 03:32:00 UTC</t>
  </si>
  <si>
    <t>airalcorn2</t>
  </si>
  <si>
    <t>Michael A. Alcorn</t>
  </si>
  <si>
    <t>2018-04-27 01:36:40 UTC</t>
  </si>
  <si>
    <t>2022-09-22 05:31:31 UTC</t>
  </si>
  <si>
    <t>https://www.inaturalist.org/observations/11469268</t>
  </si>
  <si>
    <t>https://inaturalist-open-data.s3.amazonaws.com/photos/16367044/medium.jpeg</t>
  </si>
  <si>
    <t>Ranomafana, Madagascar</t>
  </si>
  <si>
    <t>Mon Apr 30 2018 16:04:33 GMT+0200 (GMT+2)</t>
  </si>
  <si>
    <t>2018-04-30 14:04:33 UTC</t>
  </si>
  <si>
    <t>cawille2</t>
  </si>
  <si>
    <t>2018-05-01 09:07:36 UTC</t>
  </si>
  <si>
    <t>2022-09-22 05:31:22 UTC</t>
  </si>
  <si>
    <t>https://www.inaturalist.org/observations/11980120</t>
  </si>
  <si>
    <t>https://static.inaturalist.org/photos/17161703/medium.jpg</t>
  </si>
  <si>
    <t>Mueda, MZ-CD, MZ</t>
  </si>
  <si>
    <t>2018-04-27 1:36:49 PM SAST</t>
  </si>
  <si>
    <t>2018-04-27 11:36:49 UTC</t>
  </si>
  <si>
    <t>2018-05-05 03:48:29 UTC</t>
  </si>
  <si>
    <t>2022-09-22 05:31:19 UTC</t>
  </si>
  <si>
    <t>https://www.inaturalist.org/observations/12150293</t>
  </si>
  <si>
    <t>https://inaturalist-open-data.s3.amazonaws.com/photos/17439206/medium.jpeg</t>
  </si>
  <si>
    <t>26 Sego Lily Rd, Crossmoor, Chatsworth, 4092, South Africa</t>
  </si>
  <si>
    <t>Not fully clear, but rightmost cells appear to be empty post-pupae cells.</t>
  </si>
  <si>
    <t>2008/01/10 5:51 PM SAST</t>
  </si>
  <si>
    <t>2008-01-10 15:51:00 UTC</t>
  </si>
  <si>
    <t>markusgmeiner</t>
  </si>
  <si>
    <t>2018-05-06 07:41:56 UTC</t>
  </si>
  <si>
    <t>2022-09-22 05:31:14 UTC</t>
  </si>
  <si>
    <t>https://www.inaturalist.org/observations/12188370</t>
  </si>
  <si>
    <t>https://inaturalist-open-data.s3.amazonaws.com/photos/17504090/medium.jpg</t>
  </si>
  <si>
    <t>Liwonde National Park, Malawi</t>
  </si>
  <si>
    <t>2008/06/28 3:43 PM SAST</t>
  </si>
  <si>
    <t>2008-06-28 13:43:00 UTC</t>
  </si>
  <si>
    <t>2018-05-07 19:13:30 UTC</t>
  </si>
  <si>
    <t>2022-09-22 05:31:11 UTC</t>
  </si>
  <si>
    <t>https://www.inaturalist.org/observations/12241075</t>
  </si>
  <si>
    <t>https://inaturalist-open-data.s3.amazonaws.com/photos/17594422/medium.jpg</t>
  </si>
  <si>
    <t>Nakuru National Park, Kenia</t>
  </si>
  <si>
    <t>2018/05/09 2:42 PM SAST</t>
  </si>
  <si>
    <t>2018-05-09 12:42:00 UTC</t>
  </si>
  <si>
    <t>grabbarg</t>
  </si>
  <si>
    <t>2018-05-11 14:47:41 UTC</t>
  </si>
  <si>
    <t>2022-09-22 05:31:07 UTC</t>
  </si>
  <si>
    <t>https://www.inaturalist.org/observations/12350906</t>
  </si>
  <si>
    <t>https://inaturalist-open-data.s3.amazonaws.com/photos/17785631/medium.jpg</t>
  </si>
  <si>
    <t xml:space="preserve">Feeding on the flowers </t>
  </si>
  <si>
    <t>Mgeni Valley Nature Reserve Howick, 3290, South Africa</t>
  </si>
  <si>
    <t>Thu May 17 2018 10:39:23 GMT+0100 (GMT+1)</t>
  </si>
  <si>
    <t>2018-05-17 08:39:23 UTC</t>
  </si>
  <si>
    <t>beastsoftheeast</t>
  </si>
  <si>
    <t>2018-05-17 22:03:35 UTC</t>
  </si>
  <si>
    <t>2022-09-22 05:31:04 UTC</t>
  </si>
  <si>
    <t>https://www.inaturalist.org/observations/12557907</t>
  </si>
  <si>
    <t>https://static.inaturalist.org/photos/18142410/medium.jpg</t>
  </si>
  <si>
    <t>Kadey, CM-ES, CM</t>
  </si>
  <si>
    <t>2018-05-19 3:38:34 p.m. GMT+02:00</t>
  </si>
  <si>
    <t>2018-05-19 13:38:34 UTC</t>
  </si>
  <si>
    <t>craigpeter</t>
  </si>
  <si>
    <t>Craig Peter</t>
  </si>
  <si>
    <t>2018-05-21 07:08:52 UTC</t>
  </si>
  <si>
    <t>2022-09-22 05:50:24 UTC</t>
  </si>
  <si>
    <t>https://www.inaturalist.org/observations/12670164</t>
  </si>
  <si>
    <t>https://inaturalist-open-data.s3.amazonaws.com/photos/18337777/medium.jpeg</t>
  </si>
  <si>
    <t>Yellowwood Rd, Morgans Bay, 5292, South Africa</t>
  </si>
  <si>
    <t>2018-05-30 12:23:13 PM GMT+03:00</t>
  </si>
  <si>
    <t>2018-05-30 09:23:13 UTC</t>
  </si>
  <si>
    <t>rogueadventurer</t>
  </si>
  <si>
    <t>N.R. Jenzen-Jones</t>
  </si>
  <si>
    <t>2018-05-30 14:08:22 UTC</t>
  </si>
  <si>
    <t>2022-09-22 05:30:56 UTC</t>
  </si>
  <si>
    <t>https://www.inaturalist.org/observations/12952495</t>
  </si>
  <si>
    <t>https://inaturalist-open-data.s3.amazonaws.com/photos/18826918/medium.jpg</t>
  </si>
  <si>
    <t>Kenya</t>
  </si>
  <si>
    <t>2018/05/30 11:14 AM SAST</t>
  </si>
  <si>
    <t>2018-05-30 09:14:00 UTC</t>
  </si>
  <si>
    <t>2018-06-01 03:41:45 UTC</t>
  </si>
  <si>
    <t>2022-09-22 05:30:53 UTC</t>
  </si>
  <si>
    <t>https://www.inaturalist.org/observations/13002222</t>
  </si>
  <si>
    <t>https://inaturalist-open-data.s3.amazonaws.com/photos/18912424/medium.jpeg</t>
  </si>
  <si>
    <t>&lt;h3&gt;Day &amp; night: over-wintering girls&lt;/h3&gt;_x000D_
Tucked away under the eves on west-facing (shaded) garage wall</t>
  </si>
  <si>
    <t>2018/05/26 8:37 PM CEST</t>
  </si>
  <si>
    <t>2018-05-26 18:37:00 UTC</t>
  </si>
  <si>
    <t>2018-06-05 09:09:29 UTC</t>
  </si>
  <si>
    <t>2022-09-22 05:30:46 UTC</t>
  </si>
  <si>
    <t>https://www.inaturalist.org/observations/13138038</t>
  </si>
  <si>
    <t>https://inaturalist-open-data.s3.amazonaws.com/photos/19159648/medium.jpg</t>
  </si>
  <si>
    <t>Kilosa, Morogoro, Tanzania</t>
  </si>
  <si>
    <t>Interpretted as nearly pupated foundress nest, as small number of pristine pupae caps.</t>
  </si>
  <si>
    <t>2018/05/26 1:09 AM CEST</t>
  </si>
  <si>
    <t>2018-05-25 23:09:00 UTC</t>
  </si>
  <si>
    <t>2018-06-07 15:48:03 UTC</t>
  </si>
  <si>
    <t>2022-09-22 05:30:35 UTC</t>
  </si>
  <si>
    <t>https://www.inaturalist.org/observations/13206393</t>
  </si>
  <si>
    <t>https://inaturalist-open-data.s3.amazonaws.com/photos/19309348/medium.jpg</t>
  </si>
  <si>
    <t>Kibamba, Dar es Salaam, Tansania</t>
  </si>
  <si>
    <t>Nest (foundress, large larvae without pupae)</t>
  </si>
  <si>
    <t>Sun May 27 2018 14:41:16 GMT+0300 (GMT+3)</t>
  </si>
  <si>
    <t>2018-05-27 11:41:16 UTC</t>
  </si>
  <si>
    <t>aerin_j</t>
  </si>
  <si>
    <t>Aerin Jacob</t>
  </si>
  <si>
    <t>2018-06-10 06:45:11 UTC</t>
  </si>
  <si>
    <t>2022-09-22 05:30:28 UTC</t>
  </si>
  <si>
    <t>https://www.inaturalist.org/observations/13288972</t>
  </si>
  <si>
    <t>https://inaturalist-open-data.s3.amazonaws.com/photos/19457823/medium.jpg</t>
  </si>
  <si>
    <t>Stinging wasp (ouch!)</t>
  </si>
  <si>
    <t>Tanga, , Tanga, TZ</t>
  </si>
  <si>
    <t>2018-06-10 10:23:55 AM CEST</t>
  </si>
  <si>
    <t>2018-06-10 08:23:55 UTC</t>
  </si>
  <si>
    <t>sandra195</t>
  </si>
  <si>
    <t>Sandra Catarino</t>
  </si>
  <si>
    <t>2018-06-10 09:29:46 UTC</t>
  </si>
  <si>
    <t>2022-09-22 05:30:18 UTC</t>
  </si>
  <si>
    <t>https://www.inaturalist.org/observations/13290671</t>
  </si>
  <si>
    <t>https://static.inaturalist.org/photos/19460494/medium.jpeg</t>
  </si>
  <si>
    <t>Unnamed Road, Sundi, SÃ£o TomÃ© e PrÃ­ncipe</t>
  </si>
  <si>
    <t>Presence of black-eye confirms post-emergence.</t>
  </si>
  <si>
    <t>2018/06/21 10:24 AM +0200</t>
  </si>
  <si>
    <t>2018-06-21 08:24:00 UTC</t>
  </si>
  <si>
    <t>iawmacdonald</t>
  </si>
  <si>
    <t>Ian A W Macdonald</t>
  </si>
  <si>
    <t>2018-06-28 08:31:47 UTC</t>
  </si>
  <si>
    <t>2022-09-22 05:30:13 UTC</t>
  </si>
  <si>
    <t>https://www.inaturalist.org/observations/13854525</t>
  </si>
  <si>
    <t>https://inaturalist-open-data.s3.amazonaws.com/photos/20448403/medium.jpg</t>
  </si>
  <si>
    <t>A swarm of wasps/hornets clustered on the handle of a fire extinguisher. Individuals leaving the swarm appeared "drunk"! Observed &amp; photographed by Prof Digby &amp; Ms Rose Cyrus.</t>
  </si>
  <si>
    <t>Kube Yini Pvt Game Reserve, Reedbuck Hide, South Africa</t>
  </si>
  <si>
    <t>Fascinating photo</t>
  </si>
  <si>
    <t>2018/06/02 10:54 AM HST</t>
  </si>
  <si>
    <t>2018-06-02 20:54:00 UTC</t>
  </si>
  <si>
    <t>berthapi2</t>
  </si>
  <si>
    <t>2018-07-05 11:22:18 UTC</t>
  </si>
  <si>
    <t>2022-09-22 05:30:04 UTC</t>
  </si>
  <si>
    <t>https://www.inaturalist.org/observations/14068944</t>
  </si>
  <si>
    <t>https://inaturalist-open-data.s3.amazonaws.com/photos/20823518/medium.jpg</t>
  </si>
  <si>
    <t>Caught by a spider?</t>
  </si>
  <si>
    <t>Port Zimbali, Dolphin Coast, South Africa</t>
  </si>
  <si>
    <t>2018/06/24 9:09 AM EAT</t>
  </si>
  <si>
    <t>2018-06-24 06:09:00 UTC</t>
  </si>
  <si>
    <t>tembomavi</t>
  </si>
  <si>
    <t>Tommy Gwilliams</t>
  </si>
  <si>
    <t>2018-07-05 13:34:18 UTC</t>
  </si>
  <si>
    <t>2022-09-22 05:30:00 UTC</t>
  </si>
  <si>
    <t>https://www.inaturalist.org/observations/14071318</t>
  </si>
  <si>
    <t>https://static.inaturalist.org/photos/20828255/medium.jpg</t>
  </si>
  <si>
    <t>Iringa, Tanzania</t>
  </si>
  <si>
    <t>Mon Jul 23 2018 16:29:05 GMT+0000 (GMT)</t>
  </si>
  <si>
    <t>2018-07-23 16:29:05 UTC</t>
  </si>
  <si>
    <t>UTC</t>
  </si>
  <si>
    <t>pierrot22</t>
  </si>
  <si>
    <t>2018-07-23 17:20:20 UTC</t>
  </si>
  <si>
    <t>2022-09-22 15:37:21 UTC</t>
  </si>
  <si>
    <t>https://www.inaturalist.org/observations/14646573</t>
  </si>
  <si>
    <t>https://static.inaturalist.org/photos/21845761/medium.jpg</t>
  </si>
  <si>
    <t>Rue Marconi, Abidjan, Lagunes, CI</t>
  </si>
  <si>
    <t>2018/07/12 8:18 AM CEST</t>
  </si>
  <si>
    <t>2018-07-12 06:18:00 UTC</t>
  </si>
  <si>
    <t>daangyzels</t>
  </si>
  <si>
    <t>Daan Gyzels</t>
  </si>
  <si>
    <t>2018-08-01 13:49:28 UTC</t>
  </si>
  <si>
    <t>2022-09-22 15:37:19 UTC</t>
  </si>
  <si>
    <t>https://www.inaturalist.org/observations/15014860</t>
  </si>
  <si>
    <t>https://static.inaturalist.org/photos/22404355/medium.jpeg</t>
  </si>
  <si>
    <t>Morogoro, Tanzania</t>
  </si>
  <si>
    <t>2009/11/10 8:02 AM HST</t>
  </si>
  <si>
    <t>2009-11-10 18:02:00 UTC</t>
  </si>
  <si>
    <t>simontonge</t>
  </si>
  <si>
    <t>Simon Tonge</t>
  </si>
  <si>
    <t>2018-08-07 15:03:26 UTC</t>
  </si>
  <si>
    <t>2022-09-22 15:37:10 UTC</t>
  </si>
  <si>
    <t>https://www.inaturalist.org/observations/15197319</t>
  </si>
  <si>
    <t>https://inaturalist-open-data.s3.amazonaws.com/photos/22732341/medium.jpeg</t>
  </si>
  <si>
    <t>Matobo NP, Zimbabwe</t>
  </si>
  <si>
    <t>Plausibly late-stage foundress, but more likely post-emergence.</t>
  </si>
  <si>
    <t>2010/04/03 9:16 AM HST</t>
  </si>
  <si>
    <t>2010-04-03 19:16:00 UTC</t>
  </si>
  <si>
    <t>2018-08-07 15:06:21 UTC</t>
  </si>
  <si>
    <t>2022-09-22 15:37:11 UTC</t>
  </si>
  <si>
    <t>https://www.inaturalist.org/observations/15197395</t>
  </si>
  <si>
    <t>https://inaturalist-open-data.s3.amazonaws.com/photos/22732489/medium.jpeg</t>
  </si>
  <si>
    <t>2013/11/15 9:17 AM HST</t>
  </si>
  <si>
    <t>2013-11-15 19:17:00 UTC</t>
  </si>
  <si>
    <t>2018-08-07 15:12:37 UTC</t>
  </si>
  <si>
    <t>2022-09-22 15:37:03 UTC</t>
  </si>
  <si>
    <t>https://www.inaturalist.org/observations/15197583</t>
  </si>
  <si>
    <t>https://inaturalist-open-data.s3.amazonaws.com/photos/22732853/medium.jpeg</t>
  </si>
  <si>
    <t>Kwale, Kenya</t>
  </si>
  <si>
    <t>Possible abandoned or declined nest</t>
  </si>
  <si>
    <t>2018/07/17 11:19 AM HST</t>
  </si>
  <si>
    <t>2018-07-17 21:19:00 UTC</t>
  </si>
  <si>
    <t>elliotgreiner</t>
  </si>
  <si>
    <t>Elliot Greiner</t>
  </si>
  <si>
    <t>2018-08-11 15:00:08 UTC</t>
  </si>
  <si>
    <t>2022-09-22 15:36:58 UTC</t>
  </si>
  <si>
    <t>https://www.inaturalist.org/observations/15318249</t>
  </si>
  <si>
    <t>https://static.inaturalist.org/photos/22936664/medium.jpeg</t>
  </si>
  <si>
    <t>Baringo County, Kenya</t>
  </si>
  <si>
    <t>2017/10/09 7:35 AM CEST</t>
  </si>
  <si>
    <t>2017-10-09 05:35:00 UTC</t>
  </si>
  <si>
    <t>azph</t>
  </si>
  <si>
    <t>Janne Asp</t>
  </si>
  <si>
    <t>2018-08-15 08:43:16 UTC</t>
  </si>
  <si>
    <t>2022-09-22 15:36:44 UTC</t>
  </si>
  <si>
    <t>https://www.inaturalist.org/observations/15443202</t>
  </si>
  <si>
    <t>https://inaturalist-open-data.s3.amazonaws.com/photos/23164941/medium.jpg</t>
  </si>
  <si>
    <t>Maroantsetra, Madagascar</t>
  </si>
  <si>
    <t>2017/10/06 5:21 PM CEST</t>
  </si>
  <si>
    <t>2017-10-06 15:21:00 UTC</t>
  </si>
  <si>
    <t>2018-08-16 09:43:54 UTC</t>
  </si>
  <si>
    <t>2022-11-23 18:13:22 UTC</t>
  </si>
  <si>
    <t>https://www.inaturalist.org/observations/15476276</t>
  </si>
  <si>
    <t>https://inaturalist-open-data.s3.amazonaws.com/photos/23221042/medium.jpg</t>
  </si>
  <si>
    <t>Belonogaster eumenoides?</t>
  </si>
  <si>
    <t>Analanjirofo, Madagascar</t>
  </si>
  <si>
    <t>Belonogaster dayi</t>
  </si>
  <si>
    <t>2017/08/19 10:29 AM SAST</t>
  </si>
  <si>
    <t>2017-08-19 08:29:00 UTC</t>
  </si>
  <si>
    <t>mamerle</t>
  </si>
  <si>
    <t>2018-08-17 13:42:29 UTC</t>
  </si>
  <si>
    <t>2022-09-22 15:36:36 UTC</t>
  </si>
  <si>
    <t>https://www.inaturalist.org/observations/15566139</t>
  </si>
  <si>
    <t>https://inaturalist-open-data.s3.amazonaws.com/photos/23284087/medium.jpg</t>
  </si>
  <si>
    <t>Hluhluwe North Uthungulu, South Africa</t>
  </si>
  <si>
    <t>2018/08/06 1:17 PM EDT</t>
  </si>
  <si>
    <t>2018-08-06 17:17:00 UTC</t>
  </si>
  <si>
    <t>paul_prior</t>
  </si>
  <si>
    <t>Paul Prior</t>
  </si>
  <si>
    <t>2018-09-02 16:10:10 UTC</t>
  </si>
  <si>
    <t>2022-09-22 16:00:06 UTC</t>
  </si>
  <si>
    <t>https://www.inaturalist.org/observations/16135035</t>
  </si>
  <si>
    <t>https://inaturalist-open-data.s3.amazonaws.com/photos/24182240/medium.jpeg</t>
  </si>
  <si>
    <t>Kanungu, Uganda</t>
  </si>
  <si>
    <t>toosphexy</t>
  </si>
  <si>
    <t>Roger Peet</t>
  </si>
  <si>
    <t>2018-09-26 12:48:08 UTC</t>
  </si>
  <si>
    <t>2022-09-26 00:21:06 UTC</t>
  </si>
  <si>
    <t>https://www.inaturalist.org/observations/16929321</t>
  </si>
  <si>
    <t>https://inaturalist-open-data.s3.amazonaws.com/photos/25582817/medium.jpg</t>
  </si>
  <si>
    <t>Found in abandoned colonial structure, Makoka village</t>
  </si>
  <si>
    <t>Maniema, Democratic Republic of the Congo</t>
  </si>
  <si>
    <t>2018/10/16 10:58 AM SAST</t>
  </si>
  <si>
    <t>2018-10-16 08:58:00 UTC</t>
  </si>
  <si>
    <t>2018-10-17 03:24:56 UTC</t>
  </si>
  <si>
    <t>2022-09-22 05:27:47 UTC</t>
  </si>
  <si>
    <t>https://www.inaturalist.org/observations/17584870</t>
  </si>
  <si>
    <t>https://inaturalist-open-data.s3.amazonaws.com/photos/26770885/medium.jpeg</t>
  </si>
  <si>
    <t>&lt;h3&gt;Uh uh, no nesting here, big girl&lt;/h3&gt;
c.45 mm</t>
  </si>
  <si>
    <t>2018/10/20 2:22 PM SAST</t>
  </si>
  <si>
    <t>2018-10-20 12:22:00 UTC</t>
  </si>
  <si>
    <t>2018-10-21 04:47:35 UTC</t>
  </si>
  <si>
    <t>2022-09-22 05:27:29 UTC</t>
  </si>
  <si>
    <t>https://www.inaturalist.org/observations/17702303</t>
  </si>
  <si>
    <t>https://inaturalist-open-data.s3.amazonaws.com/photos/26980354/medium.jpeg</t>
  </si>
  <si>
    <t>&lt;h3&gt;Doing it all on her own&lt;/h3&gt;_x000D_
Diligent slender little (c. 20 mm body-length) wasp building her nest under kitchen-yard awning. The geckos leave her well alone</t>
  </si>
  <si>
    <t>2018/10/26 3:10 PM SAST</t>
  </si>
  <si>
    <t>2018-10-26 13:10:00 UTC</t>
  </si>
  <si>
    <t>cefox</t>
  </si>
  <si>
    <t>2018-10-26 14:07:17 UTC</t>
  </si>
  <si>
    <t>2022-09-22 05:27:17 UTC</t>
  </si>
  <si>
    <t>https://www.inaturalist.org/observations/17850729</t>
  </si>
  <si>
    <t>https://inaturalist-open-data.s3.amazonaws.com/photos/27250085/medium.jpeg</t>
  </si>
  <si>
    <t>Not sure if identified correctly.</t>
  </si>
  <si>
    <t>North Uthungulu, South Africa</t>
  </si>
  <si>
    <t>2018/10/06 5:39 PM SAST</t>
  </si>
  <si>
    <t>2018-10-06 15:39:00 UTC</t>
  </si>
  <si>
    <t>rjpretor</t>
  </si>
  <si>
    <t>Johan Pretorius</t>
  </si>
  <si>
    <t>2018-10-31 06:59:31 UTC</t>
  </si>
  <si>
    <t>2022-11-22 15:15:33 UTC</t>
  </si>
  <si>
    <t>https://www.inaturalist.org/observations/17981472</t>
  </si>
  <si>
    <t>https://static.inaturalist.org/photos/27484419/medium.jpg</t>
  </si>
  <si>
    <t>rjpinned</t>
  </si>
  <si>
    <t>Badplaas, eManzana, 1190, South Africa</t>
  </si>
  <si>
    <t>Pinned specimen</t>
  </si>
  <si>
    <t>2018/06/03 11:23 AM CEST</t>
  </si>
  <si>
    <t>2018-06-03 09:23:00 UTC</t>
  </si>
  <si>
    <t>2018-11-01 13:15:46 UTC</t>
  </si>
  <si>
    <t>2022-09-22 05:26:56 UTC</t>
  </si>
  <si>
    <t>https://www.inaturalist.org/observations/18006613</t>
  </si>
  <si>
    <t>https://inaturalist-open-data.s3.amazonaws.com/photos/27526935/medium.jpg</t>
  </si>
  <si>
    <t>Bonou, Benin</t>
  </si>
  <si>
    <t>2018/10/08 11:25 AM CDT</t>
  </si>
  <si>
    <t>2018-10-08 16:25:00 UTC</t>
  </si>
  <si>
    <t>vijaybarve</t>
  </si>
  <si>
    <t>Vijay Barve</t>
  </si>
  <si>
    <t>2018-11-17 22:33:28 UTC</t>
  </si>
  <si>
    <t>2022-09-22 05:26:52 UTC</t>
  </si>
  <si>
    <t>https://www.inaturalist.org/observations/18458264</t>
  </si>
  <si>
    <t>https://inaturalist-open-data.s3.amazonaws.com/photos/28221827/medium.jpeg</t>
  </si>
  <si>
    <t>Godomey, Benin</t>
  </si>
  <si>
    <t>Interpretted as large-larvae-containing foundress nest as no sign of past pupation</t>
  </si>
  <si>
    <t>Sun Apr 22 2018 10:22:29 GMT+0200 (GMT+2)</t>
  </si>
  <si>
    <t>2018-04-22 08:22:29 UTC</t>
  </si>
  <si>
    <t>glynlewis</t>
  </si>
  <si>
    <t>Glyn Lewis</t>
  </si>
  <si>
    <t>2018-11-18 09:51:30 UTC</t>
  </si>
  <si>
    <t>2022-09-22 05:26:49 UTC</t>
  </si>
  <si>
    <t>https://www.inaturalist.org/observations/18470083</t>
  </si>
  <si>
    <t>https://static.inaturalist.org/photos/28241824/medium.jpg</t>
  </si>
  <si>
    <t>Solwezi, , Mufumbwe, ZM</t>
  </si>
  <si>
    <t>2018/09/23 10:09 AM SAST</t>
  </si>
  <si>
    <t>2018-09-23 08:09:00 UTC</t>
  </si>
  <si>
    <t>2018-11-20 15:00:22 UTC</t>
  </si>
  <si>
    <t>2022-09-22 05:26:42 UTC</t>
  </si>
  <si>
    <t>https://www.inaturalist.org/observations/18517041</t>
  </si>
  <si>
    <t>https://inaturalist-open-data.s3.amazonaws.com/photos/28323627/medium.jpg</t>
  </si>
  <si>
    <t>Ngamiland East, Botswana</t>
  </si>
  <si>
    <t>2018/11/21 1:45 PM SAST</t>
  </si>
  <si>
    <t>2018-11-21 11:45:00 UTC</t>
  </si>
  <si>
    <t>2018-11-22 04:00:30 UTC</t>
  </si>
  <si>
    <t>2022-09-22 05:26:36 UTC</t>
  </si>
  <si>
    <t>https://www.inaturalist.org/observations/18550512</t>
  </si>
  <si>
    <t>https://inaturalist-open-data.s3.amazonaws.com/photos/28379843/medium.jpeg</t>
  </si>
  <si>
    <t>&lt;h3&gt;She's raised her twins, now she dies?!&lt;/h3&gt;_x000D_
See her in her prime: https://www.inaturalist.org/observations/17702303._x000D_
_x000D_
Found dead in dry trough below her nest.</t>
  </si>
  <si>
    <t>Nest (foundress, containing pupae)</t>
  </si>
  <si>
    <t>2015/02/12 4:23 PM CET</t>
  </si>
  <si>
    <t>2015-02-12 15:23:00 UTC</t>
  </si>
  <si>
    <t>rbeunen</t>
  </si>
  <si>
    <t>2018-11-23 09:11:42 UTC</t>
  </si>
  <si>
    <t>2022-09-22 05:26:33 UTC</t>
  </si>
  <si>
    <t>https://www.inaturalist.org/observations/18573918</t>
  </si>
  <si>
    <t>https://inaturalist-open-data.s3.amazonaws.com/photos/28419622/medium.jpeg</t>
  </si>
  <si>
    <t>Eshowe, 3815, Zuid-Afrika</t>
  </si>
  <si>
    <t>2018/11/27 4:39 PM UTC</t>
  </si>
  <si>
    <t>lemmiwinks</t>
  </si>
  <si>
    <t>2018-11-28 11:48:21 UTC</t>
  </si>
  <si>
    <t>2022-09-22 05:26:30 UTC</t>
  </si>
  <si>
    <t>https://www.inaturalist.org/observations/18692936</t>
  </si>
  <si>
    <t>https://inaturalist-open-data.s3.amazonaws.com/photos/28619315/medium.jpeg</t>
  </si>
  <si>
    <t>Kusini, Tansania</t>
  </si>
  <si>
    <t>2018/12/03 11:27 AM SAST</t>
  </si>
  <si>
    <t>2018-12-03 09:27:00 UTC</t>
  </si>
  <si>
    <t>2018-12-05 04:18:47 UTC</t>
  </si>
  <si>
    <t>2022-09-22 05:26:25 UTC</t>
  </si>
  <si>
    <t>https://www.inaturalist.org/observations/18837280</t>
  </si>
  <si>
    <t>https://inaturalist-open-data.s3.amazonaws.com/photos/28855214/medium.jpeg</t>
  </si>
  <si>
    <t>&lt;h3&gt;And again there are 3&lt;/h3&gt;_x000D_
Sisters or auntie and new mom with newborn?_x000D_
See: https://www.inaturalist.org/observations/18550512</t>
  </si>
  <si>
    <t>2018/12/03 11:01 AM CET</t>
  </si>
  <si>
    <t>2018-12-03 10:01:00 UTC</t>
  </si>
  <si>
    <t>valentyna_and_midgedoctor</t>
  </si>
  <si>
    <t>Valentyna Inshyna, Msc and Viktor Baranov, PhD</t>
  </si>
  <si>
    <t>2018-12-05 10:15:15 UTC</t>
  </si>
  <si>
    <t>2022-09-07 15:15:22 UTC</t>
  </si>
  <si>
    <t>https://www.inaturalist.org/observations/18840358</t>
  </si>
  <si>
    <t>https://inaturalist-open-data.s3.amazonaws.com/photos/28860887/medium.jpeg</t>
  </si>
  <si>
    <t>Photo by V.Inshyna</t>
  </si>
  <si>
    <t>ÐšÑ…Ð¾Ð¼Ð°Ñ, ÐÐ°Ð¼Ð¸Ð±Ð¸Ñ</t>
  </si>
  <si>
    <t>2018-12-06 1:18:55 pm GMT+03:00</t>
  </si>
  <si>
    <t>2018-12-06 10:18:55 UTC</t>
  </si>
  <si>
    <t>waswala</t>
  </si>
  <si>
    <t>Marvis Olewe</t>
  </si>
  <si>
    <t>2018-12-07 07:34:01 UTC</t>
  </si>
  <si>
    <t>2022-09-19 13:49:52 UTC</t>
  </si>
  <si>
    <t>https://www.inaturalist.org/observations/18875381</t>
  </si>
  <si>
    <t>https://static.inaturalist.org/photos/28922074/medium.jpeg</t>
  </si>
  <si>
    <t>Narok North, KE-NR, KE</t>
  </si>
  <si>
    <t>2018/06/07 7:57 PM CEST</t>
  </si>
  <si>
    <t>2018-06-07 17:57:00 UTC</t>
  </si>
  <si>
    <t>opolasek</t>
  </si>
  <si>
    <t>Ozren</t>
  </si>
  <si>
    <t>2018-12-09 19:46:58 UTC</t>
  </si>
  <si>
    <t>2022-09-22 05:26:23 UTC</t>
  </si>
  <si>
    <t>https://www.inaturalist.org/observations/18924071</t>
  </si>
  <si>
    <t>https://inaturalist-open-data.s3.amazonaws.com/photos/29007982/medium.jpeg</t>
  </si>
  <si>
    <t>Cape Point, Bakau, Gambija</t>
  </si>
  <si>
    <t>2018/11/18 6:49 AM HST</t>
  </si>
  <si>
    <t>2018-11-18 16:49:00 UTC</t>
  </si>
  <si>
    <t>2018-12-14 12:26:44 UTC</t>
  </si>
  <si>
    <t>2022-09-22 05:26:18 UTC</t>
  </si>
  <si>
    <t>https://www.inaturalist.org/observations/19011398</t>
  </si>
  <si>
    <t>https://inaturalist-open-data.s3.amazonaws.com/photos/29154713/medium.jpeg</t>
  </si>
  <si>
    <t>2018/12/20 10:10 AM CET</t>
  </si>
  <si>
    <t>2018-12-20 09:10:00 UTC</t>
  </si>
  <si>
    <t>beidts</t>
  </si>
  <si>
    <t>Arno Beidts</t>
  </si>
  <si>
    <t>2018-12-20 16:11:45 UTC</t>
  </si>
  <si>
    <t>2022-02-05 01:56:14 UTC</t>
  </si>
  <si>
    <t>https://www.inaturalist.org/observations/19119500</t>
  </si>
  <si>
    <t>https://inaturalist-open-data.s3.amazonaws.com/photos/29346943/medium.jpeg</t>
  </si>
  <si>
    <t>Dhofar Governorate, Oman</t>
  </si>
  <si>
    <t>2018/12/20 9:31 AM SAST</t>
  </si>
  <si>
    <t>2018-12-20 07:31:00 UTC</t>
  </si>
  <si>
    <t>andrewgillespie</t>
  </si>
  <si>
    <t>Andrew Gillespie</t>
  </si>
  <si>
    <t>2018-12-21 12:35:30 UTC</t>
  </si>
  <si>
    <t>2022-09-22 15:59:51 UTC</t>
  </si>
  <si>
    <t>https://www.inaturalist.org/observations/19132896</t>
  </si>
  <si>
    <t>https://inaturalist-open-data.s3.amazonaws.com/photos/29371660/medium.jpg</t>
  </si>
  <si>
    <t>Stirling, East London, 5241, South Africa</t>
  </si>
  <si>
    <t>2015/03/29 2:13 PM SAST</t>
  </si>
  <si>
    <t>2015-03-29 10:13:00 UTC</t>
  </si>
  <si>
    <t>karoopixie</t>
  </si>
  <si>
    <t>Marion Maclean</t>
  </si>
  <si>
    <t>2018-12-23 15:28:34 UTC</t>
  </si>
  <si>
    <t>2022-09-09 08:21:47 UTC</t>
  </si>
  <si>
    <t>https://www.inaturalist.org/observations/19173091</t>
  </si>
  <si>
    <t>https://inaturalist-open-data.s3.amazonaws.com/photos/29445337/medium.jpeg</t>
  </si>
  <si>
    <t>Farm KyffhÃ¤user (garden), MaltahÃ¶he District, Hardap Region, Namibia</t>
  </si>
  <si>
    <t>2018/12/25 10:50 AM CET</t>
  </si>
  <si>
    <t>2018-12-25 09:50:00 UTC</t>
  </si>
  <si>
    <t>2018-12-25 09:40:53 UTC</t>
  </si>
  <si>
    <t>2022-02-05 01:55:56 UTC</t>
  </si>
  <si>
    <t>https://www.inaturalist.org/observations/19210347</t>
  </si>
  <si>
    <t>https://inaturalist-open-data.s3.amazonaws.com/photos/29507957/medium.jpeg</t>
  </si>
  <si>
    <t>2017/06/23 3:53 PM PDT</t>
  </si>
  <si>
    <t>2017-06-23 22:53:00 UTC</t>
  </si>
  <si>
    <t>wild_e_coyote</t>
  </si>
  <si>
    <t>Emily</t>
  </si>
  <si>
    <t>2018-12-25 23:35:09 UTC</t>
  </si>
  <si>
    <t>2022-09-22 15:59:45 UTC</t>
  </si>
  <si>
    <t>https://www.inaturalist.org/observations/19220567</t>
  </si>
  <si>
    <t>https://inaturalist-open-data.s3.amazonaws.com/photos/29524069/medium.jpeg</t>
  </si>
  <si>
    <t xml:space="preserve">                               </t>
  </si>
  <si>
    <t>Manyara, TZ</t>
  </si>
  <si>
    <t>2015/04/03 1:19 PM SAST</t>
  </si>
  <si>
    <t>2015-04-03 09:19:00 UTC</t>
  </si>
  <si>
    <t>2018-12-28 10:13:46 UTC</t>
  </si>
  <si>
    <t>2022-02-02 18:51:20 UTC</t>
  </si>
  <si>
    <t>https://www.inaturalist.org/observations/19266562</t>
  </si>
  <si>
    <t>https://inaturalist-open-data.s3.amazonaws.com/photos/29607866/medium.jpeg</t>
  </si>
  <si>
    <t>2013/03/14 10:50 AM SAST</t>
  </si>
  <si>
    <t>2013-03-14 08:50:00 UTC</t>
  </si>
  <si>
    <t>fayneconnelly</t>
  </si>
  <si>
    <t>fayne</t>
  </si>
  <si>
    <t>2018-12-29 07:19:29 UTC</t>
  </si>
  <si>
    <t>2022-09-22 15:59:36 UTC</t>
  </si>
  <si>
    <t>https://www.inaturalist.org/observations/19284690</t>
  </si>
  <si>
    <t>https://inaturalist-open-data.s3.amazonaws.com/photos/29640525/medium.jpeg</t>
  </si>
  <si>
    <t>Narrow waisted with black and some yellow markings on body. The rounded nest was full of these wasps and unfortunately couldn't get as close as I would have like - know how saw a wasp sting is! Attached to portion of a branch.</t>
  </si>
  <si>
    <t>The Greater Woodmead Estate</t>
  </si>
  <si>
    <t>Lovely photo</t>
  </si>
  <si>
    <t>Sat Dec 29 2018 11:26:46 GMT+0300 (GMT+3)</t>
  </si>
  <si>
    <t>2018-12-29 08:26:46 UTC</t>
  </si>
  <si>
    <t>paulakahumbu</t>
  </si>
  <si>
    <t>Paula Kahumbu</t>
  </si>
  <si>
    <t>2018-12-29 08:26:55 UTC</t>
  </si>
  <si>
    <t>2022-09-22 15:59:33 UTC</t>
  </si>
  <si>
    <t>https://www.inaturalist.org/observations/19285207</t>
  </si>
  <si>
    <t>https://static.inaturalist.org/photos/29641401/medium.jpg</t>
  </si>
  <si>
    <t>Kisumu, Kisumu, Nyanza, KE</t>
  </si>
  <si>
    <t>belsun</t>
  </si>
  <si>
    <t>Sunday Berlioz KAKPO</t>
  </si>
  <si>
    <t>2018-12-31 17:24:57 UTC</t>
  </si>
  <si>
    <t>2022-09-22 15:59:29 UTC</t>
  </si>
  <si>
    <t>https://www.inaturalist.org/observations/19335823</t>
  </si>
  <si>
    <t>https://inaturalist-open-data.s3.amazonaws.com/photos/29729878/medium.jpg</t>
  </si>
  <si>
    <t>Abomey-Calavi, BJ-AQ, BJ</t>
  </si>
  <si>
    <t>2018/03/24 2:52 PM PDT</t>
  </si>
  <si>
    <t>2018-03-24 21:52:00 UTC</t>
  </si>
  <si>
    <t>alex_bairstow</t>
  </si>
  <si>
    <t>Alex Bairstow</t>
  </si>
  <si>
    <t>2019-01-02 18:17:44 UTC</t>
  </si>
  <si>
    <t>2022-09-22 15:59:23 UTC</t>
  </si>
  <si>
    <t>https://www.inaturalist.org/observations/19379332</t>
  </si>
  <si>
    <t>https://inaturalist-open-data.s3.amazonaws.com/photos/29803828/medium.jpeg</t>
  </si>
  <si>
    <t>Narok County, Kenya</t>
  </si>
  <si>
    <t>Thu Jan 03 2019 11:21:47 GMT+0200 (GMT+2)</t>
  </si>
  <si>
    <t>2019-01-03 09:21:47 UTC</t>
  </si>
  <si>
    <t>tracey_taylor</t>
  </si>
  <si>
    <t>2019-01-03 09:22:03 UTC</t>
  </si>
  <si>
    <t>2022-09-22 15:59:14 UTC</t>
  </si>
  <si>
    <t>https://www.inaturalist.org/observations/19394525</t>
  </si>
  <si>
    <t>https://inaturalist-open-data.s3.amazonaws.com/photos/29830105/medium.jpg</t>
  </si>
  <si>
    <t>25 Station Road, Mtunzini, KZN, ZA</t>
  </si>
  <si>
    <t>2019/01/02 12:04 PM SAST</t>
  </si>
  <si>
    <t>2019-01-02 10:04:00 UTC</t>
  </si>
  <si>
    <t>2019-01-06 05:15:38 UTC</t>
  </si>
  <si>
    <t>2022-09-22 15:59:10 UTC</t>
  </si>
  <si>
    <t>https://www.inaturalist.org/observations/19459289</t>
  </si>
  <si>
    <t>https://inaturalist-open-data.s3.amazonaws.com/photos/29937174/medium.jpeg</t>
  </si>
  <si>
    <t>&lt;h3&gt;They might be small, but pack a helluva punch&lt;/h3&gt;_x000D_
See the bird's nest: https://www.inaturalist.org/observations/19458826</t>
  </si>
  <si>
    <t>pirataber</t>
  </si>
  <si>
    <t>Pirataber</t>
  </si>
  <si>
    <t>2019-01-08 10:17:23 UTC</t>
  </si>
  <si>
    <t>2022-09-22 15:59:06 UTC</t>
  </si>
  <si>
    <t>https://www.inaturalist.org/observations/19509731</t>
  </si>
  <si>
    <t>https://inaturalist-open-data.s3.amazonaws.com/photos/30023004/medium.jpeg</t>
  </si>
  <si>
    <t>Unnamed Road, Uganda</t>
  </si>
  <si>
    <t>2019/01/02 7:16 AM UTC</t>
  </si>
  <si>
    <t>antshrike69</t>
  </si>
  <si>
    <t>Jonathan Newman</t>
  </si>
  <si>
    <t>2019-01-09 08:55:38 UTC</t>
  </si>
  <si>
    <t>2022-02-05 01:55:41 UTC</t>
  </si>
  <si>
    <t>https://www.inaturalist.org/observations/19529267</t>
  </si>
  <si>
    <t>https://inaturalist-open-data.s3.amazonaws.com/photos/30055024/medium.jpg</t>
  </si>
  <si>
    <t>@opolasek</t>
  </si>
  <si>
    <t>Unnamed Rd #8, Oman</t>
  </si>
  <si>
    <t>2018/12/02 4:49 AM PST</t>
  </si>
  <si>
    <t>2018-12-02 12:49:00 UTC</t>
  </si>
  <si>
    <t>jukkajantunen</t>
  </si>
  <si>
    <t>Jukka Jantunen</t>
  </si>
  <si>
    <t>2019-01-12 14:49:53 UTC</t>
  </si>
  <si>
    <t>2022-02-02 18:32:16 UTC</t>
  </si>
  <si>
    <t>https://www.inaturalist.org/observations/19589534</t>
  </si>
  <si>
    <t>https://inaturalist-open-data.s3.amazonaws.com/photos/30157014/medium.jpg</t>
  </si>
  <si>
    <t>Khomas Region, Namibia</t>
  </si>
  <si>
    <t>2018/11/19 12:34 PM EST</t>
  </si>
  <si>
    <t>2018-11-19 17:34:00 UTC</t>
  </si>
  <si>
    <t>petersoroye</t>
  </si>
  <si>
    <t>Peter Soroye</t>
  </si>
  <si>
    <t>2019-01-20 17:28:00 UTC</t>
  </si>
  <si>
    <t>2022-09-22 15:59:03 UTC</t>
  </si>
  <si>
    <t>https://www.inaturalist.org/observations/19758950</t>
  </si>
  <si>
    <t>https://static.inaturalist.org/photos/30445469/medium.jpg</t>
  </si>
  <si>
    <t>hymenoptera</t>
  </si>
  <si>
    <t>Wed Jan 23 2019 13:32:12 GMT+0000 (GMT)</t>
  </si>
  <si>
    <t>2019-01-23 13:32:12 UTC</t>
  </si>
  <si>
    <t>diogorichart</t>
  </si>
  <si>
    <t>2019-01-23 13:33:24 UTC</t>
  </si>
  <si>
    <t>2022-09-22 05:26:00 UTC</t>
  </si>
  <si>
    <t>https://www.inaturalist.org/observations/19821468</t>
  </si>
  <si>
    <t>https://inaturalist-open-data.s3.amazonaws.com/photos/30554204/medium.jpg</t>
  </si>
  <si>
    <t>PrÃ­ncipe, , PrÃ­ncipe, ST</t>
  </si>
  <si>
    <t>2018/05/23 9:16 AM CAT</t>
  </si>
  <si>
    <t>2018-05-23 08:16:00 UTC</t>
  </si>
  <si>
    <t>tjeerddw</t>
  </si>
  <si>
    <t>tjeerd</t>
  </si>
  <si>
    <t>2019-01-24 10:11:51 UTC</t>
  </si>
  <si>
    <t>2022-09-22 05:25:34 UTC</t>
  </si>
  <si>
    <t>https://www.inaturalist.org/observations/19839325</t>
  </si>
  <si>
    <t>https://inaturalist-open-data.s3.amazonaws.com/photos/30585659/medium.jpg</t>
  </si>
  <si>
    <t>paper wasps</t>
  </si>
  <si>
    <t>Roodeplaat, South Africa</t>
  </si>
  <si>
    <t>2018/12/28 3:09 PM CET</t>
  </si>
  <si>
    <t>2018-12-28 14:09:00 UTC</t>
  </si>
  <si>
    <t>olgur</t>
  </si>
  <si>
    <t>2019-01-24 10:42:15 UTC</t>
  </si>
  <si>
    <t>2022-09-22 05:25:29 UTC</t>
  </si>
  <si>
    <t>https://www.inaturalist.org/observations/19839620</t>
  </si>
  <si>
    <t>https://inaturalist-open-data.s3.amazonaws.com/photos/30586142/medium.jpeg</t>
  </si>
  <si>
    <t>Abidjan, CÃ´te d'Ivoire</t>
  </si>
  <si>
    <t>Mon Jan 28 2019 16:41:41 GMT+0300 (GMT+3)</t>
  </si>
  <si>
    <t>2019-01-28 13:41:41 UTC</t>
  </si>
  <si>
    <t>lera</t>
  </si>
  <si>
    <t>Lera Miles</t>
  </si>
  <si>
    <t>2019-01-28 13:44:26 UTC</t>
  </si>
  <si>
    <t>2021-05-10 14:46:28 UTC</t>
  </si>
  <si>
    <t>https://www.inaturalist.org/observations/19928331</t>
  </si>
  <si>
    <t>https://inaturalist-open-data.s3.amazonaws.com/photos/30742949/medium.jpg</t>
  </si>
  <si>
    <t>Super stripy abdomen</t>
  </si>
  <si>
    <t>Naivasha, Naivasha, Rift Valley, KE</t>
  </si>
  <si>
    <t>2017/09/24 8:14 AM CEST</t>
  </si>
  <si>
    <t>2017-09-24 06:14:00 UTC</t>
  </si>
  <si>
    <t>2019-01-31 10:38:23 UTC</t>
  </si>
  <si>
    <t>2022-09-22 05:26:10 UTC</t>
  </si>
  <si>
    <t>https://www.inaturalist.org/observations/19986033</t>
  </si>
  <si>
    <t>https://inaturalist-open-data.s3.amazonaws.com/photos/30845106/medium.jpg</t>
  </si>
  <si>
    <t>Muheza, Tansania</t>
  </si>
  <si>
    <t>Belonogaster facialis</t>
  </si>
  <si>
    <t>afrikaansesnip</t>
  </si>
  <si>
    <t>Joanette Smith</t>
  </si>
  <si>
    <t>2013-02-05 10:47:57 UTC</t>
  </si>
  <si>
    <t>2022-09-22 08:00:00 UTC</t>
  </si>
  <si>
    <t>https://www.inaturalist.org/observations/20135963</t>
  </si>
  <si>
    <t>https://inaturalist-open-data.s3.amazonaws.com/photos/31054731/medium.jpg</t>
  </si>
  <si>
    <t>Kaolin str, Carletonville</t>
  </si>
  <si>
    <t>2019/02/04 10:33 AM CST</t>
  </si>
  <si>
    <t>2019-02-04 16:33:00 UTC</t>
  </si>
  <si>
    <t>drfred56</t>
  </si>
  <si>
    <t>Fred Sullivan</t>
  </si>
  <si>
    <t>2019-02-08 03:52:44 UTC</t>
  </si>
  <si>
    <t>2022-09-22 05:21:32 UTC</t>
  </si>
  <si>
    <t>https://www.inaturalist.org/observations/20197240</t>
  </si>
  <si>
    <t>https://inaturalist-open-data.s3.amazonaws.com/photos/31173177/medium.jpg</t>
  </si>
  <si>
    <t>Bungoma County, Kenya</t>
  </si>
  <si>
    <t>2019/02/03 8:36 PM SAST</t>
  </si>
  <si>
    <t>2019-02-03 18:36:00 UTC</t>
  </si>
  <si>
    <t>2019-02-10 16:12:00 UTC</t>
  </si>
  <si>
    <t>2022-09-22 05:21:25 UTC</t>
  </si>
  <si>
    <t>https://www.inaturalist.org/observations/20254677</t>
  </si>
  <si>
    <t>https://inaturalist-open-data.s3.amazonaws.com/photos/31263741/medium.jpg</t>
  </si>
  <si>
    <t>Michiru, Blantyre, Malawi</t>
  </si>
  <si>
    <t>2016/02/19 1:57 PM CAT</t>
  </si>
  <si>
    <t>2016-02-19 12:57:00 UTC</t>
  </si>
  <si>
    <t>2019-02-13 18:10:26 UTC</t>
  </si>
  <si>
    <t>2022-09-22 05:21:15 UTC</t>
  </si>
  <si>
    <t>https://www.inaturalist.org/observations/20323909</t>
  </si>
  <si>
    <t>https://inaturalist-open-data.s3.amazonaws.com/photos/31381767/medium.jpeg</t>
  </si>
  <si>
    <t>one of the delta hottentottum species I think</t>
  </si>
  <si>
    <t>Koedoespoort 456-Jr, Pretoria, 0186, South Africa</t>
  </si>
  <si>
    <t>2019/02/11 6:01 AM CET</t>
  </si>
  <si>
    <t>2019-02-11 05:01:00 UTC</t>
  </si>
  <si>
    <t>2019-02-14 11:16:13 UTC</t>
  </si>
  <si>
    <t>2022-09-22 05:21:11 UTC</t>
  </si>
  <si>
    <t>https://www.inaturalist.org/observations/20341449</t>
  </si>
  <si>
    <t>https://static.inaturalist.org/photos/31408662/medium.jpeg</t>
  </si>
  <si>
    <t>City of Cape Town, Western Cape, South Africa</t>
  </si>
  <si>
    <t>2019/02/03 5:39 PM SAST</t>
  </si>
  <si>
    <t>2019-02-03 15:39:00 UTC</t>
  </si>
  <si>
    <t>2019-02-17 08:27:34 UTC</t>
  </si>
  <si>
    <t>2022-09-22 05:21:04 UTC</t>
  </si>
  <si>
    <t>https://www.inaturalist.org/observations/20414409</t>
  </si>
  <si>
    <t>https://inaturalist-open-data.s3.amazonaws.com/photos/31520475/medium.jpeg</t>
  </si>
  <si>
    <t>2019/02/21 6:00 PM SAST</t>
  </si>
  <si>
    <t>2019-02-21 14:00:00 UTC</t>
  </si>
  <si>
    <t>peter_erb</t>
  </si>
  <si>
    <t>Peter Erb</t>
  </si>
  <si>
    <t>2019-02-25 17:20:56 UTC</t>
  </si>
  <si>
    <t>2022-02-02 18:51:08 UTC</t>
  </si>
  <si>
    <t>https://www.inaturalist.org/observations/20757749</t>
  </si>
  <si>
    <t>https://inaturalist-open-data.s3.amazonaws.com/photos/32008712/medium.jpeg</t>
  </si>
  <si>
    <t>Klein Windhoek, Windhoek, Namibia</t>
  </si>
  <si>
    <t>2019/01/06 10:35 AM CET</t>
  </si>
  <si>
    <t>2019-01-06 09:35:00 UTC</t>
  </si>
  <si>
    <t>Bern</t>
  </si>
  <si>
    <t>kilianj</t>
  </si>
  <si>
    <t>2019-02-28 11:08:18 UTC</t>
  </si>
  <si>
    <t>2022-09-22 05:20:56 UTC</t>
  </si>
  <si>
    <t>https://www.inaturalist.org/observations/20825913</t>
  </si>
  <si>
    <t>https://inaturalist-open-data.s3.amazonaws.com/photos/32123216/medium.jpeg</t>
  </si>
  <si>
    <t>Buliisa, Ouganda</t>
  </si>
  <si>
    <t>2019/03/02 2:49 PM SAST</t>
  </si>
  <si>
    <t>2019-03-02 12:49:00 UTC</t>
  </si>
  <si>
    <t>2019-03-04 19:21:18 UTC</t>
  </si>
  <si>
    <t>2022-09-22 05:24:34 UTC</t>
  </si>
  <si>
    <t>https://www.inaturalist.org/observations/20950071</t>
  </si>
  <si>
    <t>https://inaturalist-open-data.s3.amazonaws.com/photos/32340247/medium.jpeg</t>
  </si>
  <si>
    <t>Sit &amp; Drink, South Africa</t>
  </si>
  <si>
    <t>Tue Mar 12 2019 10:49:23 GMT+0300 (GMT+3)</t>
  </si>
  <si>
    <t>2019-03-12 07:49:23 UTC</t>
  </si>
  <si>
    <t>zdufran</t>
  </si>
  <si>
    <t>Zach DuFran</t>
  </si>
  <si>
    <t>2019-03-12 08:35:30 UTC</t>
  </si>
  <si>
    <t>2022-09-22 15:36:21 UTC</t>
  </si>
  <si>
    <t>https://www.inaturalist.org/observations/21171773</t>
  </si>
  <si>
    <t>https://static.inaturalist.org/photos/32725895/medium.jpg</t>
  </si>
  <si>
    <t>Shewa Kifle Hager, Addis Ababa, Addis Ababa, ET</t>
  </si>
  <si>
    <t>2019-03-13 11:16:48 AM GMT+03:00</t>
  </si>
  <si>
    <t>2019-03-13 08:16:48 UTC</t>
  </si>
  <si>
    <t>alkilpin</t>
  </si>
  <si>
    <t>2019-03-13 13:05:21 UTC</t>
  </si>
  <si>
    <t>2022-10-05 09:09:32 UTC</t>
  </si>
  <si>
    <t>https://www.inaturalist.org/observations/21202171</t>
  </si>
  <si>
    <t>https://inaturalist-open-data.s3.amazonaws.com/photos/32773487/medium.jpeg</t>
  </si>
  <si>
    <t>Mirab Gojjam, ET-AM, ET</t>
  </si>
  <si>
    <t>Small comb to the left interpretted as part fo the main nest.</t>
  </si>
  <si>
    <t>2019/01/30 09:51 AM CET</t>
  </si>
  <si>
    <t>2019-01-30 08:51:00 UTC</t>
  </si>
  <si>
    <t>hermanberteler</t>
  </si>
  <si>
    <t>Herman Berteler</t>
  </si>
  <si>
    <t>2019-03-17 10:43:19 UTC</t>
  </si>
  <si>
    <t>2022-09-24 16:44:15 UTC</t>
  </si>
  <si>
    <t>https://www.inaturalist.org/observations/21314532</t>
  </si>
  <si>
    <t>https://inaturalist-open-data.s3.amazonaws.com/photos/32961625/medium.jpeg</t>
  </si>
  <si>
    <t>Delta emarginatum, wesp, leemwesp</t>
  </si>
  <si>
    <t>Nelspruit 312-Jt, Nelspruit, Zuid-Afrika</t>
  </si>
  <si>
    <t>2019/03/16 5:07 PM SAST</t>
  </si>
  <si>
    <t>2019-03-16 15:07:00 UTC</t>
  </si>
  <si>
    <t>2019-03-17 11:16:13 UTC</t>
  </si>
  <si>
    <t>2022-09-22 15:36:10 UTC</t>
  </si>
  <si>
    <t>https://www.inaturalist.org/observations/21314900</t>
  </si>
  <si>
    <t>https://inaturalist-open-data.s3.amazonaws.com/photos/32962396/medium.jpeg</t>
  </si>
  <si>
    <t>Chili wasp :)</t>
  </si>
  <si>
    <t>2019-01-30 09:07:00 UTC</t>
  </si>
  <si>
    <t>2019-03-17 13:20:48 UTC</t>
  </si>
  <si>
    <t>2022-09-24 16:44:20 UTC</t>
  </si>
  <si>
    <t>https://www.inaturalist.org/observations/21316662</t>
  </si>
  <si>
    <t>https://inaturalist-open-data.s3.amazonaws.com/photos/32965442/medium.jpeg</t>
  </si>
  <si>
    <t>Polistes biglumis, bergveldwesp, Umbrella Paper Wasps</t>
  </si>
  <si>
    <t>2019/01/31 8:19 PM CET</t>
  </si>
  <si>
    <t>2019-01-31 19:19:00 UTC</t>
  </si>
  <si>
    <t>2019-03-19 19:57:18 UTC</t>
  </si>
  <si>
    <t>2022-09-24 16:44:26 UTC</t>
  </si>
  <si>
    <t>https://www.inaturalist.org/observations/21396244</t>
  </si>
  <si>
    <t>https://inaturalist-open-data.s3.amazonaws.com/photos/33097598/medium.jpeg</t>
  </si>
  <si>
    <t>polistinae, Paper Wasps</t>
  </si>
  <si>
    <t>Goose Cottage, Malkerns, Manzini, Swaziland</t>
  </si>
  <si>
    <t>Probable declined-phase nest</t>
  </si>
  <si>
    <t>2019/01/31 7:59 PM CET</t>
  </si>
  <si>
    <t>2019-01-31 18:59:00 UTC</t>
  </si>
  <si>
    <t>2019-03-19 20:36:07 UTC</t>
  </si>
  <si>
    <t>2022-09-24 16:44:38 UTC</t>
  </si>
  <si>
    <t>https://www.inaturalist.org/observations/21397291</t>
  </si>
  <si>
    <t>https://inaturalist-open-data.s3.amazonaws.com/photos/33100415/medium.jpeg</t>
  </si>
  <si>
    <t>Manzini, Swaziland</t>
  </si>
  <si>
    <t>2019-02-03 06:08:00 UTC</t>
  </si>
  <si>
    <t>2019-03-20 13:20:06 UTC</t>
  </si>
  <si>
    <t>2022-09-24 16:44:43 UTC</t>
  </si>
  <si>
    <t>https://www.inaturalist.org/observations/21417275</t>
  </si>
  <si>
    <t>https://inaturalist-open-data.s3.amazonaws.com/photos/33135298/medium.jpeg</t>
  </si>
  <si>
    <t>Hornets, Paper Wasps, Potter Wasps, and Allies, vespidae</t>
  </si>
  <si>
    <t>2019-02-04 07:16:00 UTC</t>
  </si>
  <si>
    <t>2019-03-21 20:42:58 UTC</t>
  </si>
  <si>
    <t>2022-09-19 16:21:15 UTC</t>
  </si>
  <si>
    <t>https://www.inaturalist.org/observations/21461676</t>
  </si>
  <si>
    <t>https://inaturalist-open-data.s3.amazonaws.com/photos/33205315/medium.jpeg</t>
  </si>
  <si>
    <t>Ballito, Dolphin Coast, 4399, Zuid-Afrika</t>
  </si>
  <si>
    <t>2019-03-18 15:07:03 UTC</t>
  </si>
  <si>
    <t>henrydelange</t>
  </si>
  <si>
    <t>Henry de Lange</t>
  </si>
  <si>
    <t>2019-03-22 18:15:10 UTC</t>
  </si>
  <si>
    <t>2022-09-22 15:35:49 UTC</t>
  </si>
  <si>
    <t>https://www.inaturalist.org/observations/21488610</t>
  </si>
  <si>
    <t>https://static.inaturalist.org/photos/33251375/medium.jpg</t>
  </si>
  <si>
    <t>Cacadu, ZA-EC, ZA</t>
  </si>
  <si>
    <t>2019/03/11 2:16 PM +03</t>
  </si>
  <si>
    <t>2019-03-11 11:16:00 UTC</t>
  </si>
  <si>
    <t>Istanbul</t>
  </si>
  <si>
    <t>jurga_li</t>
  </si>
  <si>
    <t>Jurga MotiejÅ«naitÄ—</t>
  </si>
  <si>
    <t>2019-03-25 19:35:12 UTC</t>
  </si>
  <si>
    <t>2022-02-10 12:38:03 UTC</t>
  </si>
  <si>
    <t>https://www.inaturalist.org/observations/21606076</t>
  </si>
  <si>
    <t>https://inaturalist-open-data.s3.amazonaws.com/photos/33445923/medium.jpeg</t>
  </si>
  <si>
    <t>Aus, Namibija</t>
  </si>
  <si>
    <t>2019/03/13 12:42 PM +03</t>
  </si>
  <si>
    <t>2019-03-13 09:42:00 UTC</t>
  </si>
  <si>
    <t>2019-03-27 10:07:01 UTC</t>
  </si>
  <si>
    <t>2022-09-22 16:09:45 UTC</t>
  </si>
  <si>
    <t>https://www.inaturalist.org/observations/21661088</t>
  </si>
  <si>
    <t>https://inaturalist-open-data.s3.amazonaws.com/photos/33537321/medium.jpeg</t>
  </si>
  <si>
    <t>Helmeringhausen, Namibija</t>
  </si>
  <si>
    <t>2019/02/10 4:17 PM CET</t>
  </si>
  <si>
    <t>2019-02-10 15:17:00 UTC</t>
  </si>
  <si>
    <t>2019-03-27 20:51:59 UTC</t>
  </si>
  <si>
    <t>2022-09-24 16:44:51 UTC</t>
  </si>
  <si>
    <t>https://www.inaturalist.org/observations/21675734</t>
  </si>
  <si>
    <t>https://inaturalist-open-data.s3.amazonaws.com/photos/33561336/medium.jpeg</t>
  </si>
  <si>
    <t>Paradise Holiday Resort, Canaan, Southbroom, 4277, Zuid-Afrika</t>
  </si>
  <si>
    <t>2019/04/06 4:15 PM SAST</t>
  </si>
  <si>
    <t>2019-04-06 14:15:00 UTC</t>
  </si>
  <si>
    <t>2019-04-07 04:21:55 UTC</t>
  </si>
  <si>
    <t>2022-09-22 15:35:31 UTC</t>
  </si>
  <si>
    <t>https://www.inaturalist.org/observations/22128539</t>
  </si>
  <si>
    <t>https://inaturalist-open-data.s3.amazonaws.com/photos/34254209/medium.jpeg</t>
  </si>
  <si>
    <t>&lt;h3&gt;A barb in the posy?&lt;/h3&gt;_x000D_
On flowering Dune Soapberry (Deinbollia oblongifolia)._x000D_
About 50mm long</t>
  </si>
  <si>
    <t>2010-07-11 6:33:45 AM MDT</t>
  </si>
  <si>
    <t>2010-07-11 12:33:45 UTC</t>
  </si>
  <si>
    <t>Mountain Time (US &amp; Canada)</t>
  </si>
  <si>
    <t>michaelheuchert</t>
  </si>
  <si>
    <t>Michael Heuchert</t>
  </si>
  <si>
    <t>2019-04-09 20:47:42 UTC</t>
  </si>
  <si>
    <t>2022-09-22 05:20:37 UTC</t>
  </si>
  <si>
    <t>https://www.inaturalist.org/observations/22254010</t>
  </si>
  <si>
    <t>https://static.inaturalist.org/photos/34460224/medium.jpeg</t>
  </si>
  <si>
    <t>M5, Chintheche, Malawi</t>
  </si>
  <si>
    <t>2012/03/07 12:41 PM CAT</t>
  </si>
  <si>
    <t>2012-03-07 11:41:00 UTC</t>
  </si>
  <si>
    <t>2019-04-13 14:19:26 UTC</t>
  </si>
  <si>
    <t>2022-05-13 05:57:04 UTC</t>
  </si>
  <si>
    <t>https://www.inaturalist.org/observations/22409781</t>
  </si>
  <si>
    <t>https://inaturalist-open-data.s3.amazonaws.com/photos/34710127/medium.jpeg</t>
  </si>
  <si>
    <t>belonogaster, yellow spot on abdomen could be  b rachystoma or b petiolate?)</t>
  </si>
  <si>
    <t>Rietvallei 377-Jr, Pretoria, 0181, South Africa</t>
  </si>
  <si>
    <t>Belonogaster petiolata</t>
  </si>
  <si>
    <t>2019/04/21 4:02 PM SAST</t>
  </si>
  <si>
    <t>2019-04-21 14:02:00 UTC</t>
  </si>
  <si>
    <t>2019-04-22 12:46:56 UTC</t>
  </si>
  <si>
    <t>2022-09-22 05:20:23 UTC</t>
  </si>
  <si>
    <t>https://www.inaturalist.org/observations/22877663</t>
  </si>
  <si>
    <t>https://inaturalist-open-data.s3.amazonaws.com/photos/35458335/medium.jpg</t>
  </si>
  <si>
    <t>iSimangaliso, South Africa</t>
  </si>
  <si>
    <t>2019-04-26 2:15:44 pm EAT</t>
  </si>
  <si>
    <t>2019-04-26 11:15:44 UTC</t>
  </si>
  <si>
    <t>2019-04-26 21:38:51 UTC</t>
  </si>
  <si>
    <t>2022-09-22 05:20:19 UTC</t>
  </si>
  <si>
    <t>https://www.inaturalist.org/observations/23229185</t>
  </si>
  <si>
    <t>https://static.inaturalist.org/photos/35994291/medium.jpeg</t>
  </si>
  <si>
    <t>Langata, KE-NB, KE</t>
  </si>
  <si>
    <t>2011/10/21 4:09 PM SAST</t>
  </si>
  <si>
    <t>2011-10-21 14:09:00 UTC</t>
  </si>
  <si>
    <t>2019-04-28 19:10:30 UTC</t>
  </si>
  <si>
    <t>2022-09-22 05:20:11 UTC</t>
  </si>
  <si>
    <t>https://www.inaturalist.org/observations/23707543</t>
  </si>
  <si>
    <t>https://inaturalist-open-data.s3.amazonaws.com/photos/36688993/medium.jpg</t>
  </si>
  <si>
    <t>Mvazaman, OgoouÃ© et des Lacs, Gabun</t>
  </si>
  <si>
    <t>2019-04-28 5:37:54 pm EAT</t>
  </si>
  <si>
    <t>2019-04-28 14:37:54 UTC</t>
  </si>
  <si>
    <t>2019-04-30 07:29:00 UTC</t>
  </si>
  <si>
    <t>2022-09-22 05:19:58 UTC</t>
  </si>
  <si>
    <t>https://www.inaturalist.org/observations/24160775</t>
  </si>
  <si>
    <t>https://static.inaturalist.org/photos/37364240/medium.jpeg</t>
  </si>
  <si>
    <t>nest</t>
  </si>
  <si>
    <t>Mokoyeti Rd E, Nairobi, Kenya</t>
  </si>
  <si>
    <t>FLAGGED: abandoned nest, but not likely Belonogaster</t>
  </si>
  <si>
    <t>dewald2</t>
  </si>
  <si>
    <t>Dewald du Plessis</t>
  </si>
  <si>
    <t>2019-04-30 13:06:24 UTC</t>
  </si>
  <si>
    <t>casual</t>
  </si>
  <si>
    <t>https://www.inaturalist.org/observations/24176393</t>
  </si>
  <si>
    <t>Rooiperdeby</t>
  </si>
  <si>
    <t>Golden Gate Highlands National Park</t>
  </si>
  <si>
    <t>FLAGGED: contains no photograph</t>
  </si>
  <si>
    <t>2019/04/26 9:50 AM UTC</t>
  </si>
  <si>
    <t>mutukupaul</t>
  </si>
  <si>
    <t>2019-04-30 18:24:25 UTC</t>
  </si>
  <si>
    <t>2022-09-22 05:19:49 UTC</t>
  </si>
  <si>
    <t>https://www.inaturalist.org/observations/24204895</t>
  </si>
  <si>
    <t>https://inaturalist-open-data.s3.amazonaws.com/photos/37427896/medium.jpeg</t>
  </si>
  <si>
    <t>megachile</t>
  </si>
  <si>
    <t>2019-05-02 13:35:23 UTC</t>
  </si>
  <si>
    <t>2022-09-22 05:19:43 UTC</t>
  </si>
  <si>
    <t>https://www.inaturalist.org/observations/24366791</t>
  </si>
  <si>
    <t>https://inaturalist-open-data.s3.amazonaws.com/photos/37677533/medium.jpeg</t>
  </si>
  <si>
    <t>University of Dar ES Salaam Mwalimu Nyerere Main Campus, Dar es Salaam, Tanzania</t>
  </si>
  <si>
    <t>2019/04/03 8:55 AM UTC</t>
  </si>
  <si>
    <t>thierrycordenos</t>
  </si>
  <si>
    <t>2019-05-05 21:51:46 UTC</t>
  </si>
  <si>
    <t>2022-09-17 14:24:43 UTC</t>
  </si>
  <si>
    <t>https://www.inaturalist.org/observations/24623030</t>
  </si>
  <si>
    <t>https://inaturalist-open-data.s3.amazonaws.com/photos/38072014/medium.jpeg</t>
  </si>
  <si>
    <t>ranomafana national parc</t>
  </si>
  <si>
    <t>Santiago</t>
  </si>
  <si>
    <t>gonsaro</t>
  </si>
  <si>
    <t>Gonzalo Roget</t>
  </si>
  <si>
    <t>2019-05-12 18:57:25 UTC</t>
  </si>
  <si>
    <t>2022-09-22 05:19:03 UTC</t>
  </si>
  <si>
    <t>https://www.inaturalist.org/observations/25012860</t>
  </si>
  <si>
    <t>https://inaturalist-open-data.s3.amazonaws.com/photos/38699953/medium.jpeg</t>
  </si>
  <si>
    <t>Distrito Municipal de Ehlanzeni, SudÃ¡frica</t>
  </si>
  <si>
    <t>Foundress nest built under the remains of an abandoned post-emergence nest.</t>
  </si>
  <si>
    <t>2019-05-18 2:25:15 p. m. CEST</t>
  </si>
  <si>
    <t>2019-05-18 12:25:15 UTC</t>
  </si>
  <si>
    <t>mara143</t>
  </si>
  <si>
    <t>MarÃ­a De Lorenzo FernÃ¡ndez</t>
  </si>
  <si>
    <t>2019-05-18 12:49:17 UTC</t>
  </si>
  <si>
    <t>2022-09-22 05:18:52 UTC</t>
  </si>
  <si>
    <t>https://www.inaturalist.org/observations/25310211</t>
  </si>
  <si>
    <t>https://static.inaturalist.org/photos/39189534/medium.jpeg</t>
  </si>
  <si>
    <t>Unnamed Road, Pilanesberg National Park, SudÃ¡frica</t>
  </si>
  <si>
    <t>2015/11/26 2:48 PM MST</t>
  </si>
  <si>
    <t>2015-11-26 21:48:00 UTC</t>
  </si>
  <si>
    <t>Arizona</t>
  </si>
  <si>
    <t>larivera</t>
  </si>
  <si>
    <t>2019-05-21 06:00:28 UTC</t>
  </si>
  <si>
    <t>2022-09-22 05:18:48 UTC</t>
  </si>
  <si>
    <t>https://www.inaturalist.org/observations/25489325</t>
  </si>
  <si>
    <t>https://inaturalist-open-data.s3.amazonaws.com/photos/39487173/medium.jpeg</t>
  </si>
  <si>
    <t>Limpopo, ZA</t>
  </si>
  <si>
    <t>2019/05/19 10:17 PM SAST</t>
  </si>
  <si>
    <t>2019-05-19 20:17:00 UTC</t>
  </si>
  <si>
    <t>2019-05-24 05:16:05 UTC</t>
  </si>
  <si>
    <t>2022-09-22 05:18:28 UTC</t>
  </si>
  <si>
    <t>https://www.inaturalist.org/observations/25660221</t>
  </si>
  <si>
    <t>https://inaturalist-open-data.s3.amazonaws.com/photos/39769803/medium.jpeg</t>
  </si>
  <si>
    <t>&lt;h3&gt;C'maan girls! I'm gonna need that skimmer this winter ...&lt;/h3&gt;_x000D_
Congregating by night on net under eaves</t>
  </si>
  <si>
    <t>This is a small hibernation cluster</t>
  </si>
  <si>
    <t>2019/05/04 11:53 AM CEST</t>
  </si>
  <si>
    <t>2019-05-04 09:53:00 UTC</t>
  </si>
  <si>
    <t>marcoschmidtffm</t>
  </si>
  <si>
    <t>Marco Schmidt</t>
  </si>
  <si>
    <t>2019-05-28 12:44:46 UTC</t>
  </si>
  <si>
    <t>2022-09-22 05:18:24 UTC</t>
  </si>
  <si>
    <t>https://www.inaturalist.org/observations/25936208</t>
  </si>
  <si>
    <t>https://inaturalist-open-data.s3.amazonaws.com/photos/40229674/medium.jpeg</t>
  </si>
  <si>
    <t>Kasungu-Distrikt, Malawi</t>
  </si>
  <si>
    <t>2019/06/02 1:32 PM SAST</t>
  </si>
  <si>
    <t>2019-06-02 11:32:00 UTC</t>
  </si>
  <si>
    <t>2019-06-03 04:35:50 UTC</t>
  </si>
  <si>
    <t>2022-09-22 05:18:14 UTC</t>
  </si>
  <si>
    <t>https://www.inaturalist.org/observations/26307284</t>
  </si>
  <si>
    <t>https://inaturalist-open-data.s3.amazonaws.com/photos/40839373/medium.jpg</t>
  </si>
  <si>
    <t>2019/06/03 3:14 AM EDT</t>
  </si>
  <si>
    <t>2019-06-03 07:14:00 UTC</t>
  </si>
  <si>
    <t>liamragan</t>
  </si>
  <si>
    <t>Liam Ragan</t>
  </si>
  <si>
    <t>2019-06-04 17:21:47 UTC</t>
  </si>
  <si>
    <t>2022-09-22 15:35:23 UTC</t>
  </si>
  <si>
    <t>https://www.inaturalist.org/observations/26394154</t>
  </si>
  <si>
    <t>https://inaturalist-open-data.s3.amazonaws.com/photos/40982305/medium.jpg</t>
  </si>
  <si>
    <t>Karura Forest</t>
  </si>
  <si>
    <t>2019/06/02 12:19 PM SAST</t>
  </si>
  <si>
    <t>2019-06-02 10:19:00 UTC</t>
  </si>
  <si>
    <t>2019-06-04 18:48:55 UTC</t>
  </si>
  <si>
    <t>2022-09-22 15:35:20 UTC</t>
  </si>
  <si>
    <t>https://www.inaturalist.org/observations/26398795</t>
  </si>
  <si>
    <t>https://inaturalist-open-data.s3.amazonaws.com/photos/40989086/medium.jpg</t>
  </si>
  <si>
    <t>2019/05/18 11:46 AM CEST</t>
  </si>
  <si>
    <t>2019-05-18 09:46:00 UTC</t>
  </si>
  <si>
    <t>2019-06-07 10:25:23 UTC</t>
  </si>
  <si>
    <t>2022-09-22 15:35:17 UTC</t>
  </si>
  <si>
    <t>https://www.inaturalist.org/observations/26541994</t>
  </si>
  <si>
    <t>https://inaturalist-open-data.s3.amazonaws.com/photos/41223302/medium.jpeg</t>
  </si>
  <si>
    <t>Ntchisi-Distrikt, Malawi</t>
  </si>
  <si>
    <t>2019/05/14 1:39 PM CAT</t>
  </si>
  <si>
    <t>2019-05-14 12:39:00 UTC</t>
  </si>
  <si>
    <t>alandmanson</t>
  </si>
  <si>
    <t>Alan Manson</t>
  </si>
  <si>
    <t>2019-06-07 13:00:25 UTC</t>
  </si>
  <si>
    <t>2022-09-22 15:35:14 UTC</t>
  </si>
  <si>
    <t>https://www.inaturalist.org/observations/26546171</t>
  </si>
  <si>
    <t>https://inaturalist-open-data.s3.amazonaws.com/photos/41229615/medium.jpg</t>
  </si>
  <si>
    <t>Cedara; within 400 m of labs, Hilton, South Africa</t>
  </si>
  <si>
    <t>2019/05/28 12:06 PM CAT</t>
  </si>
  <si>
    <t>2019-05-28 11:06:00 UTC</t>
  </si>
  <si>
    <t>2019-06-09 15:01:52 UTC</t>
  </si>
  <si>
    <t>2022-09-22 15:35:11 UTC</t>
  </si>
  <si>
    <t>https://www.inaturalist.org/observations/26677536</t>
  </si>
  <si>
    <t>https://inaturalist-open-data.s3.amazonaws.com/photos/41437446/medium.jpg</t>
  </si>
  <si>
    <t>2018/09/06 4:54 AM MDT</t>
  </si>
  <si>
    <t>2018-09-06 10:54:00 UTC</t>
  </si>
  <si>
    <t>lallen</t>
  </si>
  <si>
    <t>2019-06-15 02:28:54 UTC</t>
  </si>
  <si>
    <t>2022-09-16 19:51:46 UTC</t>
  </si>
  <si>
    <t>https://www.inaturalist.org/observations/27000044</t>
  </si>
  <si>
    <t>https://inaturalist-open-data.s3.amazonaws.com/photos/41964446/medium.jpg</t>
  </si>
  <si>
    <t>Africa, Kenya, Lake Nakuru NP</t>
  </si>
  <si>
    <t>sitting on bouganvillia</t>
  </si>
  <si>
    <t>Nakuru Muni., Kenya</t>
  </si>
  <si>
    <t>2019/05/31 1:07 PM CEST</t>
  </si>
  <si>
    <t>2019-05-31 11:07:00 UTC</t>
  </si>
  <si>
    <t>2019-06-16 16:01:02 UTC</t>
  </si>
  <si>
    <t>2022-09-22 15:35:09 UTC</t>
  </si>
  <si>
    <t>https://www.inaturalist.org/observations/27093481</t>
  </si>
  <si>
    <t>https://static.inaturalist.org/photos/42117159/medium.jpeg</t>
  </si>
  <si>
    <t>Muleba, Kagera, Tanzania</t>
  </si>
  <si>
    <t>Wed Aug 01 2018 22:35:19 GMT-0700 (PDT)</t>
  </si>
  <si>
    <t>2018-08-02 05:35:19 UTC</t>
  </si>
  <si>
    <t>mrough</t>
  </si>
  <si>
    <t>2019-06-25 20:23:27 UTC</t>
  </si>
  <si>
    <t>2022-09-22 15:35:07 UTC</t>
  </si>
  <si>
    <t>https://www.inaturalist.org/observations/27653232</t>
  </si>
  <si>
    <t>https://inaturalist-open-data.s3.amazonaws.com/photos/43046557/medium.jpg</t>
  </si>
  <si>
    <t>Nakuru-Eldoret Highway, Eldoret, Rift Valley, KE</t>
  </si>
  <si>
    <t>Thu Jul 04 2019 09:44:59 GMT+0300 (GMT+3)</t>
  </si>
  <si>
    <t>2019-07-04 06:44:59 UTC</t>
  </si>
  <si>
    <t>2019-07-04 06:47:12 UTC</t>
  </si>
  <si>
    <t>2022-09-22 15:35:04 UTC</t>
  </si>
  <si>
    <t>https://www.inaturalist.org/observations/28161368</t>
  </si>
  <si>
    <t>https://static.inaturalist.org/photos/43881383/medium.jpg</t>
  </si>
  <si>
    <t>Mwitu Road, Nairobi, Nairobi, KE</t>
  </si>
  <si>
    <t>Mon Jun 24 2019 05:26:24 GMT+0100 (GMT+1)</t>
  </si>
  <si>
    <t>2019-06-24 03:26:24 UTC</t>
  </si>
  <si>
    <t>chloe95</t>
  </si>
  <si>
    <t>Chloe Jameson</t>
  </si>
  <si>
    <t>2019-07-07 14:16:32 UTC</t>
  </si>
  <si>
    <t>2022-09-22 05:18:06 UTC</t>
  </si>
  <si>
    <t>https://www.inaturalist.org/observations/28362643</t>
  </si>
  <si>
    <t>https://static.inaturalist.org/photos/44208081/medium.jpg</t>
  </si>
  <si>
    <t>Manyara, , Manyara, TZ</t>
  </si>
  <si>
    <t>2019/06/10 2:35 PM CEST</t>
  </si>
  <si>
    <t>2019-06-10 12:35:00 UTC</t>
  </si>
  <si>
    <t>2019-07-11 13:05:23 UTC</t>
  </si>
  <si>
    <t>2022-09-22 05:18:03 UTC</t>
  </si>
  <si>
    <t>https://www.inaturalist.org/observations/28609486</t>
  </si>
  <si>
    <t>https://static.inaturalist.org/photos/44608845/medium.jpeg</t>
  </si>
  <si>
    <t>Wakiso, Ouganda</t>
  </si>
  <si>
    <t>Sat Jun 22 2019 13:22:27 GMT+0200 (GMT+2)</t>
  </si>
  <si>
    <t>2019-06-22 11:22:27 UTC</t>
  </si>
  <si>
    <t>joanescobetcasals</t>
  </si>
  <si>
    <t>2019-07-13 18:40:54 UTC</t>
  </si>
  <si>
    <t>2022-09-22 05:18:00 UTC</t>
  </si>
  <si>
    <t>https://www.inaturalist.org/observations/28746713</t>
  </si>
  <si>
    <t>https://inaturalist-open-data.s3.amazonaws.com/photos/44830774/medium.jpg</t>
  </si>
  <si>
    <t>Botswana 2019</t>
  </si>
  <si>
    <t>Kasane Forest Reserve, Kasane, Districte de Chobe, BW</t>
  </si>
  <si>
    <t>2019/02/06 5:40 PM IST</t>
  </si>
  <si>
    <t>2019-02-06 15:40:00 UTC</t>
  </si>
  <si>
    <t>Jerusalem</t>
  </si>
  <si>
    <t>mrmojorisin147</t>
  </si>
  <si>
    <t>2019-07-13 19:59:09 UTC</t>
  </si>
  <si>
    <t>2022-09-22 05:17:58 UTC</t>
  </si>
  <si>
    <t>https://www.inaturalist.org/observations/28751770</t>
  </si>
  <si>
    <t>https://static.inaturalist.org/photos/44838308/medium.jpg</t>
  </si>
  <si>
    <t>ID please</t>
  </si>
  <si>
    <t>Bwana Tembo Rd, ××•×’× ×“×”</t>
  </si>
  <si>
    <t>2014/10/03 9:45 AM CEST</t>
  </si>
  <si>
    <t>2014-10-03 07:45:00 UTC</t>
  </si>
  <si>
    <t>Copenhagen</t>
  </si>
  <si>
    <t>tuenf</t>
  </si>
  <si>
    <t>Micha Baum</t>
  </si>
  <si>
    <t>2019-07-16 11:32:14 UTC</t>
  </si>
  <si>
    <t>2022-09-22 05:17:34 UTC</t>
  </si>
  <si>
    <t>https://www.inaturalist.org/observations/28927842</t>
  </si>
  <si>
    <t>https://inaturalist-open-data.s3.amazonaws.com/photos/45118677/medium.jpeg</t>
  </si>
  <si>
    <t>Marojejy National Park, Madagaskar</t>
  </si>
  <si>
    <t>2019/07/19 4:08 PM SAST</t>
  </si>
  <si>
    <t>2019-07-19 14:08:00 UTC</t>
  </si>
  <si>
    <t>rguinness</t>
  </si>
  <si>
    <t>2019-07-20 06:37:10 UTC</t>
  </si>
  <si>
    <t>2022-09-22 05:15:50 UTC</t>
  </si>
  <si>
    <t>https://www.inaturalist.org/observations/29158733</t>
  </si>
  <si>
    <t>https://inaturalist-open-data.s3.amazonaws.com/photos/45496251/medium.jpeg</t>
  </si>
  <si>
    <t>Link Road Blantyre, Malawi</t>
  </si>
  <si>
    <t>Fri Jul 26 2019 13:13:10 GMT+0300 (GMT+3)</t>
  </si>
  <si>
    <t>2019-07-26 10:13:10 UTC</t>
  </si>
  <si>
    <t>afield</t>
  </si>
  <si>
    <t>2019-08-02 16:05:51 UTC</t>
  </si>
  <si>
    <t>2022-09-22 05:15:25 UTC</t>
  </si>
  <si>
    <t>https://www.inaturalist.org/observations/30046665</t>
  </si>
  <si>
    <t>https://static.inaturalist.org/photos/46921659/medium.jpg</t>
  </si>
  <si>
    <t>Magadi Road, Nairobi, Nairobi, KE</t>
  </si>
  <si>
    <t>2019/07/04 2:28 PM CDT</t>
  </si>
  <si>
    <t>2019-07-04 19:28:00 UTC</t>
  </si>
  <si>
    <t>jenthebird</t>
  </si>
  <si>
    <t>Jen Schlauch</t>
  </si>
  <si>
    <t>2019-08-03 14:32:42 UTC</t>
  </si>
  <si>
    <t>2022-09-22 14:40:37 UTC</t>
  </si>
  <si>
    <t>https://www.inaturalist.org/observations/30103141</t>
  </si>
  <si>
    <t>https://inaturalist-open-data.s3.amazonaws.com/photos/47006413/medium.jpeg</t>
  </si>
  <si>
    <t>in Tsimbazaza zoo</t>
  </si>
  <si>
    <t>Fiadanana, Antananarivo, Madagascar</t>
  </si>
  <si>
    <t>Belonogaster fanemitra</t>
  </si>
  <si>
    <t>2019-08-12 12:40:34 p.m. GMT+02:00</t>
  </si>
  <si>
    <t>2019-08-12 10:40:34 UTC</t>
  </si>
  <si>
    <t>pim5</t>
  </si>
  <si>
    <t>Pim van Delft</t>
  </si>
  <si>
    <t>2019-08-12 16:39:42 UTC</t>
  </si>
  <si>
    <t>2022-09-22 05:09:47 UTC</t>
  </si>
  <si>
    <t>https://www.inaturalist.org/observations/30693386</t>
  </si>
  <si>
    <t>https://static.inaturalist.org/photos/47963934/medium.jpeg</t>
  </si>
  <si>
    <t>St Lucia Park, Zuid-Afrika</t>
  </si>
  <si>
    <t>2019/07/06 7:18 AM HKT</t>
  </si>
  <si>
    <t>2019-07-05 23:18:00 UTC</t>
  </si>
  <si>
    <t>Hong Kong</t>
  </si>
  <si>
    <t>tiluchi</t>
  </si>
  <si>
    <t>Forest Botial-Jarvis</t>
  </si>
  <si>
    <t>2019-08-13 12:06:31 UTC</t>
  </si>
  <si>
    <t>2022-09-22 05:09:45 UTC</t>
  </si>
  <si>
    <t>https://www.inaturalist.org/observations/30744806</t>
  </si>
  <si>
    <t>https://inaturalist-open-data.s3.amazonaws.com/photos/48050285/medium.jpg</t>
  </si>
  <si>
    <t>Gurage, Ethiopia</t>
  </si>
  <si>
    <t>2019-08-16 7:11:26 PM CAT</t>
  </si>
  <si>
    <t>2019-08-16 18:11:26 UTC</t>
  </si>
  <si>
    <t>2019-08-16 17:25:52 UTC</t>
  </si>
  <si>
    <t>2022-09-22 05:09:12 UTC</t>
  </si>
  <si>
    <t>https://www.inaturalist.org/observations/30941770</t>
  </si>
  <si>
    <t>https://static.inaturalist.org/photos/48375749/medium.jpeg</t>
  </si>
  <si>
    <t>Indoors</t>
  </si>
  <si>
    <t>Phase V-4, Francistown, Botswana</t>
  </si>
  <si>
    <t>2019-07-30 11:27am</t>
  </si>
  <si>
    <t>2019-07-30 16:27:00 UTC</t>
  </si>
  <si>
    <t>annikaml</t>
  </si>
  <si>
    <t>Annika Lindqvist</t>
  </si>
  <si>
    <t>2019-08-20 21:33:49 UTC</t>
  </si>
  <si>
    <t>2022-09-22 15:34:57 UTC</t>
  </si>
  <si>
    <t>https://www.inaturalist.org/observations/31199940</t>
  </si>
  <si>
    <t>https://inaturalist-open-data.s3.amazonaws.com/photos/48807775/medium.jpeg</t>
  </si>
  <si>
    <t>Queen Elizabeth National Park, Uganda</t>
  </si>
  <si>
    <t>2015-10-13 9:16:03 a.m. CEST</t>
  </si>
  <si>
    <t>2015-10-13 07:16:03 UTC</t>
  </si>
  <si>
    <t>heinonlein</t>
  </si>
  <si>
    <t>hein</t>
  </si>
  <si>
    <t>2019-08-29 16:21:56 UTC</t>
  </si>
  <si>
    <t>2022-09-22 16:09:21 UTC</t>
  </si>
  <si>
    <t>https://www.inaturalist.org/observations/31734324</t>
  </si>
  <si>
    <t>https://static.inaturalist.org/photos/49698250/medium.jpeg</t>
  </si>
  <si>
    <t>Moramanga, Madagaskar</t>
  </si>
  <si>
    <t>2019-04-08 8:00:43 PM SAST</t>
  </si>
  <si>
    <t>2019-04-08 16:00:43 UTC</t>
  </si>
  <si>
    <t>2019-09-03 13:04:56 UTC</t>
  </si>
  <si>
    <t>2022-09-22 16:09:15 UTC</t>
  </si>
  <si>
    <t>https://www.inaturalist.org/observations/32048466</t>
  </si>
  <si>
    <t>https://static.inaturalist.org/photos/50226467/medium.jpeg</t>
  </si>
  <si>
    <t>Pretoria Rural, Centurion, South Africa</t>
  </si>
  <si>
    <t>Brasilia</t>
  </si>
  <si>
    <t>mrgreen96</t>
  </si>
  <si>
    <t>Felipe Silva</t>
  </si>
  <si>
    <t>2019-09-06 01:15:36 UTC</t>
  </si>
  <si>
    <t>2019-09-09 00:58:20 UTC</t>
  </si>
  <si>
    <t>https://www.inaturalist.org/observations/32194768</t>
  </si>
  <si>
    <t>https://static.inaturalist.org/photos/50472243/medium.jpeg</t>
  </si>
  <si>
    <t>FLAGGED: This is not Belonogaster (it is Delta emarginatum)</t>
  </si>
  <si>
    <t>2019/04/13 11:56 AM CAT</t>
  </si>
  <si>
    <t>2019-04-13 10:56:00 UTC</t>
  </si>
  <si>
    <t>nicovr</t>
  </si>
  <si>
    <t>2019-09-08 06:19:07 UTC</t>
  </si>
  <si>
    <t>2022-09-22 16:09:12 UTC</t>
  </si>
  <si>
    <t>https://www.inaturalist.org/observations/32326643</t>
  </si>
  <si>
    <t>https://inaturalist-open-data.s3.amazonaws.com/photos/50691179/medium.jpeg</t>
  </si>
  <si>
    <t>Roma, Lusaka, Zambia</t>
  </si>
  <si>
    <t>2017-06-29 9:39:58 a.m. GMT-06:00</t>
  </si>
  <si>
    <t>2017-06-29 15:39:58 UTC</t>
  </si>
  <si>
    <t>Central America</t>
  </si>
  <si>
    <t>omateus</t>
  </si>
  <si>
    <t>OctÃ¡vio Mateus</t>
  </si>
  <si>
    <t>2019-09-08 16:18:42 UTC</t>
  </si>
  <si>
    <t>2022-09-23 12:59:47 UTC</t>
  </si>
  <si>
    <t>https://www.inaturalist.org/observations/32347971</t>
  </si>
  <si>
    <t>https://inaturalist-open-data.s3.amazonaws.com/photos/50726315/medium.jpg</t>
  </si>
  <si>
    <t>Bentiaba, Angola</t>
  </si>
  <si>
    <t>Blurred photo, but appears to contain pupae caps</t>
  </si>
  <si>
    <t>2019-08-10 10:17pm</t>
  </si>
  <si>
    <t>2019-08-11 03:17:00 UTC</t>
  </si>
  <si>
    <t>2019-09-13 03:11:01 UTC</t>
  </si>
  <si>
    <t>2022-09-22 16:09:01 UTC</t>
  </si>
  <si>
    <t>https://www.inaturalist.org/observations/32624793</t>
  </si>
  <si>
    <t>https://inaturalist-open-data.s3.amazonaws.com/photos/51185384/medium.jpeg</t>
  </si>
  <si>
    <t>The RainForest Lodge, Lugazi, Uganda</t>
  </si>
  <si>
    <t>Blurred photo, but seems to have possible remains of removed pupae cell at base)</t>
  </si>
  <si>
    <t>2019/09/06 9:44 PM CEST</t>
  </si>
  <si>
    <t>2019-09-06 19:44:00 UTC</t>
  </si>
  <si>
    <t>gab00229</t>
  </si>
  <si>
    <t>Gabriel Michel MONTEIRO</t>
  </si>
  <si>
    <t>2019-09-16 09:16:59 UTC</t>
  </si>
  <si>
    <t>2022-09-22 05:08:02 UTC</t>
  </si>
  <si>
    <t>https://www.inaturalist.org/observations/32821728</t>
  </si>
  <si>
    <t>https://inaturalist-open-data.s3.amazonaws.com/photos/51506714/medium.jpg</t>
  </si>
  <si>
    <t>Abomey-Calavi, Atlantique, Benin</t>
  </si>
  <si>
    <t>2019-09-16 1:43:13 PM GMT+03:00</t>
  </si>
  <si>
    <t>2019-09-16 10:43:13 UTC</t>
  </si>
  <si>
    <t>tvn</t>
  </si>
  <si>
    <t>Tom van Noort</t>
  </si>
  <si>
    <t>2019-09-16 19:57:59 UTC</t>
  </si>
  <si>
    <t>2022-09-22 05:07:58 UTC</t>
  </si>
  <si>
    <t>https://www.inaturalist.org/observations/32852352</t>
  </si>
  <si>
    <t>https://inaturalist-open-data.s3.amazonaws.com/photos/51556778/medium.jpeg</t>
  </si>
  <si>
    <t>Karen, Nairobi, Kenia</t>
  </si>
  <si>
    <t>Wed Sep 18 2019 13:28:38 GMT+0200 (GMT+2)</t>
  </si>
  <si>
    <t>2019-09-18 09:28:38 UTC</t>
  </si>
  <si>
    <t>2019-09-18 11:31:23 UTC</t>
  </si>
  <si>
    <t>2022-09-22 20:27:50 UTC</t>
  </si>
  <si>
    <t>https://www.inaturalist.org/observations/32940105</t>
  </si>
  <si>
    <t>https://inaturalist-open-data.s3.amazonaws.com/photos/51701563/medium.jpg</t>
  </si>
  <si>
    <t>Orientale, CD</t>
  </si>
  <si>
    <t>2015/04/20 3:51 PM SAST</t>
  </si>
  <si>
    <t>2015-04-20 13:51:00 UTC</t>
  </si>
  <si>
    <t>richardgill</t>
  </si>
  <si>
    <t>Richard Gill</t>
  </si>
  <si>
    <t>2019-09-19 13:14:21 UTC</t>
  </si>
  <si>
    <t>2022-09-22 05:07:37 UTC</t>
  </si>
  <si>
    <t>https://www.inaturalist.org/observations/33004659</t>
  </si>
  <si>
    <t>https://inaturalist-open-data.s3.amazonaws.com/photos/51803801/medium.jpeg</t>
  </si>
  <si>
    <t>Galpinii, Bosveld, South Africa</t>
  </si>
  <si>
    <t>2015/04/27 12:45 PM SAST</t>
  </si>
  <si>
    <t>2015-04-27 10:45:00 UTC</t>
  </si>
  <si>
    <t>2019-09-21 05:32:42 UTC</t>
  </si>
  <si>
    <t>2022-09-22 05:07:34 UTC</t>
  </si>
  <si>
    <t>https://www.inaturalist.org/observations/33114218</t>
  </si>
  <si>
    <t>https://inaturalist-open-data.s3.amazonaws.com/photos/51981787/medium.jpeg</t>
  </si>
  <si>
    <t>Aloe ridge1</t>
  </si>
  <si>
    <t>Sat Sep 21 2019 09:03:24 GMT+0200 (GMT+2)</t>
  </si>
  <si>
    <t>2019-09-21 07:03:24 UTC</t>
  </si>
  <si>
    <t>2019-09-21 12:01:44 UTC</t>
  </si>
  <si>
    <t>2022-09-22 05:07:31 UTC</t>
  </si>
  <si>
    <t>https://www.inaturalist.org/observations/33123094</t>
  </si>
  <si>
    <t>https://inaturalist-open-data.s3.amazonaws.com/photos/51997343/medium.jpg</t>
  </si>
  <si>
    <t>2019/09/25 12:19 PM SAST</t>
  </si>
  <si>
    <t>2019-09-25 10:19:00 UTC</t>
  </si>
  <si>
    <t>2019-09-26 03:55:46 UTC</t>
  </si>
  <si>
    <t>2022-09-22 05:07:14 UTC</t>
  </si>
  <si>
    <t>https://www.inaturalist.org/observations/33411706</t>
  </si>
  <si>
    <t>https://inaturalist-open-data.s3.amazonaws.com/photos/52473643/medium.jpeg</t>
  </si>
  <si>
    <t>&lt;h3&gt;A fresh 2019/20 colony&lt;/h3&gt;_x000D_
After sleeping all winter with her sisters  -https://www.inaturalist.org/observations/25660221 - she's building furiously. Where does she meet boys? When does she get the chance to mate?</t>
  </si>
  <si>
    <t>2019-09-28 05:17:09 UTC</t>
  </si>
  <si>
    <t>2019-09-30 11:52:40 UTC</t>
  </si>
  <si>
    <t>2022-09-22 05:07:05 UTC</t>
  </si>
  <si>
    <t>https://www.inaturalist.org/observations/33643189</t>
  </si>
  <si>
    <t>https://static.inaturalist.org/photos/52861254/medium.jpg</t>
  </si>
  <si>
    <t>2019/09/29 8:51 AM CAT</t>
  </si>
  <si>
    <t>2019-09-29 07:51:00 UTC</t>
  </si>
  <si>
    <t>2019-10-06 08:57:28 UTC</t>
  </si>
  <si>
    <t>2022-09-22 05:06:56 UTC</t>
  </si>
  <si>
    <t>https://www.inaturalist.org/observations/33939909</t>
  </si>
  <si>
    <t>https://inaturalist-open-data.s3.amazonaws.com/photos/53361337/medium.jpeg</t>
  </si>
  <si>
    <t>Kafue, Zambia</t>
  </si>
  <si>
    <t>2019/10/05 12:11 PM EAT</t>
  </si>
  <si>
    <t>2019-10-05 09:11:00 UTC</t>
  </si>
  <si>
    <t>2019-10-06 15:38:52 UTC</t>
  </si>
  <si>
    <t>2022-09-22 05:06:50 UTC</t>
  </si>
  <si>
    <t>https://www.inaturalist.org/observations/33954581</t>
  </si>
  <si>
    <t>https://inaturalist-open-data.s3.amazonaws.com/photos/53384297/medium.jpeg</t>
  </si>
  <si>
    <t>Kenya, Mweiga</t>
  </si>
  <si>
    <t>Mweiga, Kenya</t>
  </si>
  <si>
    <t>g19h1085</t>
  </si>
  <si>
    <t>2019-10-07 16:43:34 UTC</t>
  </si>
  <si>
    <t>2019-10-14 12:22:04 UTC</t>
  </si>
  <si>
    <t>https://www.inaturalist.org/observations/34018651</t>
  </si>
  <si>
    <t>https://inaturalist-open-data.s3.amazonaws.com/photos/53491770/medium.jpg</t>
  </si>
  <si>
    <t>Parasitic wasp found in shallow water</t>
  </si>
  <si>
    <t>Grahamstown, 6139, South Africa</t>
  </si>
  <si>
    <t>FLAGGED: Not Belonogaster</t>
  </si>
  <si>
    <t>Tue Oct 08 2019 08:16:12 GMT+0300 (GMT+3)</t>
  </si>
  <si>
    <t>2019-10-08 05:16:12 UTC</t>
  </si>
  <si>
    <t>ginobrignoli</t>
  </si>
  <si>
    <t>2019-10-08 13:54:44 UTC</t>
  </si>
  <si>
    <t>2022-09-22 05:06:40 UTC</t>
  </si>
  <si>
    <t>https://www.inaturalist.org/observations/34064977</t>
  </si>
  <si>
    <t>https://inaturalist-open-data.s3.amazonaws.com/photos/53566976/medium.jpg</t>
  </si>
  <si>
    <t>Bura-A23 Shelemba - Msau-Mgange DWD, Taita, Coast, KE</t>
  </si>
  <si>
    <t>2019-10-09 6:45:03 PM GMT</t>
  </si>
  <si>
    <t>2019-10-09 18:45:03 UTC</t>
  </si>
  <si>
    <t>simonthbeaud</t>
  </si>
  <si>
    <t>Simon ThÃ©beaud</t>
  </si>
  <si>
    <t>2019-10-10 19:17:52 UTC</t>
  </si>
  <si>
    <t>2022-09-16 21:14:41 UTC</t>
  </si>
  <si>
    <t>https://www.inaturalist.org/observations/34172687</t>
  </si>
  <si>
    <t>https://static.inaturalist.org/photos/53748367/medium.jpeg</t>
  </si>
  <si>
    <t xml:space="preserve">Nids de guÃªpes </t>
  </si>
  <si>
    <t>Mansaba, GuinÃ©e-Bissau</t>
  </si>
  <si>
    <t>Sun Oct 13 2019 09:21:18 GMT+0200 (GMT+2)</t>
  </si>
  <si>
    <t>2019-10-13 07:21:18 UTC</t>
  </si>
  <si>
    <t>kate_wilson</t>
  </si>
  <si>
    <t>2019-10-13 09:49:54 UTC</t>
  </si>
  <si>
    <t>2022-09-22 05:06:37 UTC</t>
  </si>
  <si>
    <t>https://www.inaturalist.org/observations/34293758</t>
  </si>
  <si>
    <t>https://static.inaturalist.org/photos/53954407/medium.jpg</t>
  </si>
  <si>
    <t>Sun Oct 13 2019 16:34:40 GMT+0000 (GMT)</t>
  </si>
  <si>
    <t>2019-10-13 16:34:40 UTC</t>
  </si>
  <si>
    <t>mstrecker</t>
  </si>
  <si>
    <t>Manoli Strecker</t>
  </si>
  <si>
    <t>2019-10-13 17:29:46 UTC</t>
  </si>
  <si>
    <t>2021-04-18 23:23:27 UTC</t>
  </si>
  <si>
    <t>https://www.inaturalist.org/observations/34312208</t>
  </si>
  <si>
    <t>https://inaturalist-open-data.s3.amazonaws.com/photos/53983983/medium.jpg</t>
  </si>
  <si>
    <t>Dakar, Dakar, SN</t>
  </si>
  <si>
    <t>2015/09/30 7:57 AM CAT</t>
  </si>
  <si>
    <t>2015-09-30 06:57:00 UTC</t>
  </si>
  <si>
    <t>2019-10-17 07:19:06 UTC</t>
  </si>
  <si>
    <t>2022-09-22 05:06:34 UTC</t>
  </si>
  <si>
    <t>https://www.inaturalist.org/observations/34487429</t>
  </si>
  <si>
    <t>https://inaturalist-open-data.s3.amazonaws.com/photos/54285153/medium.jpeg</t>
  </si>
  <si>
    <t>2019/10/15 2:45 PM SAST</t>
  </si>
  <si>
    <t>2019-10-15 12:45:00 UTC</t>
  </si>
  <si>
    <t>lilodwaa</t>
  </si>
  <si>
    <t>2019-10-18 12:51:39 UTC</t>
  </si>
  <si>
    <t>2022-09-22 05:06:31 UTC</t>
  </si>
  <si>
    <t>https://www.inaturalist.org/observations/34533441</t>
  </si>
  <si>
    <t>https://inaturalist-open-data.s3.amazonaws.com/photos/54360856/medium.jpg</t>
  </si>
  <si>
    <t>I found it nearby water and it was attempting to mate with the other one</t>
  </si>
  <si>
    <t>Grahamstown</t>
  </si>
  <si>
    <t>2019/10/07 1:31 PM HST</t>
  </si>
  <si>
    <t>2019-10-07 23:31:00 UTC</t>
  </si>
  <si>
    <t>nevwright</t>
  </si>
  <si>
    <t>2019-10-18 15:44:23 UTC</t>
  </si>
  <si>
    <t>2022-09-22 05:06:02 UTC</t>
  </si>
  <si>
    <t>https://www.inaturalist.org/observations/34539636</t>
  </si>
  <si>
    <t>https://inaturalist-open-data.s3.amazonaws.com/photos/54370278/medium.jpg</t>
  </si>
  <si>
    <t>South Cape DC, South Africa</t>
  </si>
  <si>
    <t>2019/10/02 9:31 AM CAT</t>
  </si>
  <si>
    <t>2019-10-02 08:31:00 UTC</t>
  </si>
  <si>
    <t>2019-10-20 15:09:26 UTC</t>
  </si>
  <si>
    <t>2022-09-22 16:08:58 UTC</t>
  </si>
  <si>
    <t>https://www.inaturalist.org/observations/34633335</t>
  </si>
  <si>
    <t>https://inaturalist-open-data.s3.amazonaws.com/photos/54525152/medium.jpg</t>
  </si>
  <si>
    <t>Ngwenya; N of restaurant, Ehlanzeni, South Africa</t>
  </si>
  <si>
    <t>2019-10-27 2:25:01 PM GMT+02:00</t>
  </si>
  <si>
    <t>2019-10-27 12:25:01 UTC</t>
  </si>
  <si>
    <t>mwatts</t>
  </si>
  <si>
    <t>2019-10-27 12:26:28 UTC</t>
  </si>
  <si>
    <t>2022-09-22 16:08:48 UTC</t>
  </si>
  <si>
    <t>https://www.inaturalist.org/observations/34956426</t>
  </si>
  <si>
    <t>https://inaturalist-open-data.s3.amazonaws.com/photos/55082708/medium.jpeg</t>
  </si>
  <si>
    <t>Fochville, 2515, South Africa</t>
  </si>
  <si>
    <t>2018/06/27 12:28 PM SAST</t>
  </si>
  <si>
    <t>2018-06-27 10:28:00 UTC</t>
  </si>
  <si>
    <t>erikvdl</t>
  </si>
  <si>
    <t>Erik</t>
  </si>
  <si>
    <t>2019-10-30 18:15:12 UTC</t>
  </si>
  <si>
    <t>2022-09-22 15:34:50 UTC</t>
  </si>
  <si>
    <t>https://www.inaturalist.org/observations/35094481</t>
  </si>
  <si>
    <t>https://inaturalist-open-data.s3.amazonaws.com/photos/55318661/medium.jpeg</t>
  </si>
  <si>
    <t>2016/01/04 11:15 AM SAST</t>
  </si>
  <si>
    <t>2016-01-04 09:15:00 UTC</t>
  </si>
  <si>
    <t>2019-10-30 18:22:49 UTC</t>
  </si>
  <si>
    <t>2022-09-16 20:40:16 UTC</t>
  </si>
  <si>
    <t>https://www.inaturalist.org/observations/35094777</t>
  </si>
  <si>
    <t>https://inaturalist-open-data.s3.amazonaws.com/photos/55319071/medium.jpeg</t>
  </si>
  <si>
    <t>Sendelingsdrif, Namibia</t>
  </si>
  <si>
    <t>2019/10/13 7:49 AM CAT</t>
  </si>
  <si>
    <t>2019-10-13 06:49:00 UTC</t>
  </si>
  <si>
    <t>2019-10-31 13:40:08 UTC</t>
  </si>
  <si>
    <t>2022-09-22 15:34:47 UTC</t>
  </si>
  <si>
    <t>https://www.inaturalist.org/observations/35132011</t>
  </si>
  <si>
    <t>https://inaturalist-open-data.s3.amazonaws.com/photos/55363275/medium.jpg</t>
  </si>
  <si>
    <t>Bushlands Lodge, North Uthungulu, South Africa</t>
  </si>
  <si>
    <t>2018/07/03 1:50 PM SAST</t>
  </si>
  <si>
    <t>2018-07-03 11:50:00 UTC</t>
  </si>
  <si>
    <t>2019-10-31 18:55:10 UTC</t>
  </si>
  <si>
    <t>2022-09-22 15:34:44 UTC</t>
  </si>
  <si>
    <t>https://www.inaturalist.org/observations/35141267</t>
  </si>
  <si>
    <t>https://inaturalist-open-data.s3.amazonaws.com/photos/55378775/medium.jpeg</t>
  </si>
  <si>
    <t>2011/04/06 1:36 PM SAST</t>
  </si>
  <si>
    <t>2011-04-06 11:36:00 UTC</t>
  </si>
  <si>
    <t>2019-10-31 19:00:20 UTC</t>
  </si>
  <si>
    <t>2022-09-22 16:10:42 UTC</t>
  </si>
  <si>
    <t>https://www.inaturalist.org/observations/35141370</t>
  </si>
  <si>
    <t>https://inaturalist-open-data.s3.amazonaws.com/photos/55378967/medium.jpeg</t>
  </si>
  <si>
    <t>Nylsvley</t>
  </si>
  <si>
    <t>2014/10/14 1:56 PM CET</t>
  </si>
  <si>
    <t>2014-10-14 11:56:00 UTC</t>
  </si>
  <si>
    <t>lemurtaquin</t>
  </si>
  <si>
    <t>2019-11-01 22:37:17 UTC</t>
  </si>
  <si>
    <t>2021-04-21 05:31:43 UTC</t>
  </si>
  <si>
    <t>https://www.inaturalist.org/observations/35179477</t>
  </si>
  <si>
    <t>https://inaturalist-open-data.s3.amazonaws.com/photos/55444560/medium.jpeg</t>
  </si>
  <si>
    <t>Beroroha, Madagascar</t>
  </si>
  <si>
    <t>Belonogaster guerini</t>
  </si>
  <si>
    <t>Wed Nov 06 2019 14:53:44 GMT+0200 (GMT+2)</t>
  </si>
  <si>
    <t>2019-11-06 10:53:44 UTC</t>
  </si>
  <si>
    <t>2019-11-06 15:30:18 UTC</t>
  </si>
  <si>
    <t>2022-09-22 15:34:39 UTC</t>
  </si>
  <si>
    <t>https://www.inaturalist.org/observations/35371962</t>
  </si>
  <si>
    <t>https://static.inaturalist.org/photos/55770080/medium.jpg</t>
  </si>
  <si>
    <t>Tyburn Way, Westville, KZN, ZA</t>
  </si>
  <si>
    <t>2014/10/30 11:00 AM CET</t>
  </si>
  <si>
    <t>2014-10-30 10:00:00 UTC</t>
  </si>
  <si>
    <t>2019-11-14 12:25:01 UTC</t>
  </si>
  <si>
    <t>2021-04-21 05:31:36 UTC</t>
  </si>
  <si>
    <t>https://www.inaturalist.org/observations/35669042</t>
  </si>
  <si>
    <t>https://inaturalist-open-data.s3.amazonaws.com/photos/56270418/medium.jpeg</t>
  </si>
  <si>
    <t>Sakaraha, Madagascar</t>
  </si>
  <si>
    <t>2019/11/10 9:30 AM +0300</t>
  </si>
  <si>
    <t>2019-11-10 06:30:00 UTC</t>
  </si>
  <si>
    <t>janmm</t>
  </si>
  <si>
    <t>Jan Martin McGuire</t>
  </si>
  <si>
    <t>2019-11-16 18:31:43 UTC</t>
  </si>
  <si>
    <t>2022-09-16 19:50:40 UTC</t>
  </si>
  <si>
    <t>https://www.inaturalist.org/observations/35745361</t>
  </si>
  <si>
    <t>https://inaturalist-open-data.s3.amazonaws.com/photos/56400916/medium.jpg</t>
  </si>
  <si>
    <t>Dead on windowsill</t>
  </si>
  <si>
    <t>momella road</t>
  </si>
  <si>
    <t>Dead male</t>
  </si>
  <si>
    <t>tuffinashley</t>
  </si>
  <si>
    <t>Ashley Tuffin</t>
  </si>
  <si>
    <t>2019-11-21 16:07:59 UTC</t>
  </si>
  <si>
    <t>2022-10-10 09:56:41 UTC</t>
  </si>
  <si>
    <t>https://www.inaturalist.org/observations/35918839</t>
  </si>
  <si>
    <t>https://inaturalist-open-data.s3.amazonaws.com/photos/56702994/medium.jpeg</t>
  </si>
  <si>
    <t>Holeta, Ethiopia</t>
  </si>
  <si>
    <t>2019/11/21 10:36 AM HST</t>
  </si>
  <si>
    <t>2019-11-21 20:36:00 UTC</t>
  </si>
  <si>
    <t>etrotzuk</t>
  </si>
  <si>
    <t>Evan Trotzuk</t>
  </si>
  <si>
    <t>2019-11-22 09:08:21 UTC</t>
  </si>
  <si>
    <t>2022-09-22 05:05:28 UTC</t>
  </si>
  <si>
    <t>https://www.inaturalist.org/observations/35942984</t>
  </si>
  <si>
    <t>https://inaturalist-open-data.s3.amazonaws.com/photos/56745209/medium.jpeg</t>
  </si>
  <si>
    <t>Nagero, Democratic Republic of the Congo</t>
  </si>
  <si>
    <t>2019/11/22 4:38 PM SAST</t>
  </si>
  <si>
    <t>2019-11-22 14:38:00 UTC</t>
  </si>
  <si>
    <t>2019-11-22 14:55:06 UTC</t>
  </si>
  <si>
    <t>2022-09-22 05:05:25 UTC</t>
  </si>
  <si>
    <t>https://www.inaturalist.org/observations/35948195</t>
  </si>
  <si>
    <t>https://inaturalist-open-data.s3.amazonaws.com/photos/56754812/medium.jpeg</t>
  </si>
  <si>
    <t>2019/11/14 9:38 AM CAT</t>
  </si>
  <si>
    <t>2019-11-14 08:38:00 UTC</t>
  </si>
  <si>
    <t>2019-11-23 07:49:57 UTC</t>
  </si>
  <si>
    <t>2022-09-22 05:05:21 UTC</t>
  </si>
  <si>
    <t>https://www.inaturalist.org/observations/35971745</t>
  </si>
  <si>
    <t>https://inaturalist-open-data.s3.amazonaws.com/photos/56796198/medium.jpg</t>
  </si>
  <si>
    <t>Cedara Research Station, Hilton, South Africa</t>
  </si>
  <si>
    <t>2019/11/24 10:34 AM GMT</t>
  </si>
  <si>
    <t>2019-11-24 10:34:00 UTC</t>
  </si>
  <si>
    <t>London</t>
  </si>
  <si>
    <t>rjq</t>
  </si>
  <si>
    <t>2019-11-25 10:39:33 UTC</t>
  </si>
  <si>
    <t>2022-09-22 05:05:16 UTC</t>
  </si>
  <si>
    <t>https://www.inaturalist.org/observations/36054799</t>
  </si>
  <si>
    <t>https://inaturalist-open-data.s3.amazonaws.com/photos/56943446/medium.jpeg</t>
  </si>
  <si>
    <t>Arusha NP gate</t>
  </si>
  <si>
    <t>Declined nest. Parasites present.</t>
  </si>
  <si>
    <t>2019/10/28 10:48 AM PDT</t>
  </si>
  <si>
    <t>2019-10-28 17:48:00 UTC</t>
  </si>
  <si>
    <t>bit</t>
  </si>
  <si>
    <t>Bitty A. Roy</t>
  </si>
  <si>
    <t>2019-11-29 18:15:11 UTC</t>
  </si>
  <si>
    <t>2022-09-22 05:05:05 UTC</t>
  </si>
  <si>
    <t>https://www.inaturalist.org/observations/36192395</t>
  </si>
  <si>
    <t>https://inaturalist-open-data.s3.amazonaws.com/photos/57180568/medium.jpeg</t>
  </si>
  <si>
    <t>Antsiranana Rural, Madagascar</t>
  </si>
  <si>
    <t>Slightly ambiguous. Interpretted as a single nest split into several combs (as in Polistes canadensis in Brazil). There is a male present.</t>
  </si>
  <si>
    <t>2019/10/17 10:52 AM +0200</t>
  </si>
  <si>
    <t>2019-10-17 08:52:00 UTC</t>
  </si>
  <si>
    <t>antoineede</t>
  </si>
  <si>
    <t>Antoine EdÃ©</t>
  </si>
  <si>
    <t>2019-11-30 10:57:34 UTC</t>
  </si>
  <si>
    <t>2022-10-15 14:59:54 UTC</t>
  </si>
  <si>
    <t>https://www.inaturalist.org/observations/36214192</t>
  </si>
  <si>
    <t>https://static.inaturalist.org/photos/57218154/medium.jpg</t>
  </si>
  <si>
    <t>Mbomo, Odzala-Kokoua, CG-CO, CG</t>
  </si>
  <si>
    <t>Wed Nov 13 2019 23:51:42 GMT+0300 (GMT+3)</t>
  </si>
  <si>
    <t>2019-11-13 20:51:42 UTC</t>
  </si>
  <si>
    <t>arjdheer</t>
  </si>
  <si>
    <t>2019-12-01 10:45:11 UTC</t>
  </si>
  <si>
    <t>2022-09-22 05:04:52 UTC</t>
  </si>
  <si>
    <t>https://www.inaturalist.org/observations/36249726</t>
  </si>
  <si>
    <t>https://inaturalist-open-data.s3.amazonaws.com/photos/57279106/medium.jpg</t>
  </si>
  <si>
    <t>Ngorongoro Conservation Area, Arusha, TZ</t>
  </si>
  <si>
    <t>2017/12/19 4:56 PM SAST</t>
  </si>
  <si>
    <t>2017-12-19 14:56:00 UTC</t>
  </si>
  <si>
    <t>cecileroux</t>
  </si>
  <si>
    <t>Cecile Roux</t>
  </si>
  <si>
    <t>2019-12-02 13:27:12 UTC</t>
  </si>
  <si>
    <t>2022-09-22 05:04:41 UTC</t>
  </si>
  <si>
    <t>https://www.inaturalist.org/observations/36287375</t>
  </si>
  <si>
    <t>https://inaturalist-open-data.s3.amazonaws.com/photos/57344211/medium.jpeg</t>
  </si>
  <si>
    <t>Cemetery, Upington, 8800, South Africa</t>
  </si>
  <si>
    <t>2019/11/19 1:00 PM CST</t>
  </si>
  <si>
    <t>2019-11-19 19:00:00 UTC</t>
  </si>
  <si>
    <t>2019-12-08 19:27:13 UTC</t>
  </si>
  <si>
    <t>2022-09-22 05:04:34 UTC</t>
  </si>
  <si>
    <t>https://www.inaturalist.org/observations/36474501</t>
  </si>
  <si>
    <t>https://inaturalist-open-data.s3.amazonaws.com/photos/57661243/medium.jpg</t>
  </si>
  <si>
    <t>Seasonal wetland area</t>
  </si>
  <si>
    <t>Fri Dec 06 2019 14:29:51 GMT+0200 (GMT+2)</t>
  </si>
  <si>
    <t>2019-12-06 12:29:51 UTC</t>
  </si>
  <si>
    <t>leach</t>
  </si>
  <si>
    <t>The Leach</t>
  </si>
  <si>
    <t>2019-12-09 06:53:42 UTC</t>
  </si>
  <si>
    <t>2022-09-22 05:04:31 UTC</t>
  </si>
  <si>
    <t>https://www.inaturalist.org/observations/36493611</t>
  </si>
  <si>
    <t>https://inaturalist-open-data.s3.amazonaws.com/photos/57693979/medium.jpg</t>
  </si>
  <si>
    <t>2019-11-29 7:47:51 AM WAT</t>
  </si>
  <si>
    <t>2019-11-29 06:47:51 UTC</t>
  </si>
  <si>
    <t>2019-12-11 13:06:01 UTC</t>
  </si>
  <si>
    <t>2022-09-23 15:12:21 UTC</t>
  </si>
  <si>
    <t>https://www.inaturalist.org/observations/36558383</t>
  </si>
  <si>
    <t>https://inaturalist-open-data.s3.amazonaws.com/photos/57804058/medium.jpeg</t>
  </si>
  <si>
    <t>Akinyele, NG-OY, NG</t>
  </si>
  <si>
    <t>2016/04/06 10:16 AM HST</t>
  </si>
  <si>
    <t>2016-04-06 20:16:00 UTC</t>
  </si>
  <si>
    <t>mwas</t>
  </si>
  <si>
    <t>Mwangi wa Gitau</t>
  </si>
  <si>
    <t>2019-12-16 08:23:35 UTC</t>
  </si>
  <si>
    <t>2022-10-25 15:56:32 UTC</t>
  </si>
  <si>
    <t>https://www.inaturalist.org/observations/36697577</t>
  </si>
  <si>
    <t>https://inaturalist-open-data.s3.amazonaws.com/photos/58047913/medium.jpeg</t>
  </si>
  <si>
    <t>Nairobi, Kenya</t>
  </si>
  <si>
    <t>2019-12-18 8:45:58 AM GMT+01:00</t>
  </si>
  <si>
    <t>2019-12-18 07:45:58 UTC</t>
  </si>
  <si>
    <t>irida73ceae</t>
  </si>
  <si>
    <t>2019-12-18 19:06:23 UTC</t>
  </si>
  <si>
    <t>2022-09-22 15:33:56 UTC</t>
  </si>
  <si>
    <t>https://www.inaturalist.org/observations/36757325</t>
  </si>
  <si>
    <t>https://inaturalist-open-data.s3.amazonaws.com/photos/58154961/medium.jpeg</t>
  </si>
  <si>
    <t>Mayo-Banyo, Kamerun</t>
  </si>
  <si>
    <t>2015/07/25 9:13 PM EDT</t>
  </si>
  <si>
    <t>2015-07-26 01:13:00 UTC</t>
  </si>
  <si>
    <t>brandonwoo</t>
  </si>
  <si>
    <t>Brandon Woo</t>
  </si>
  <si>
    <t>2019-12-19 14:03:18 UTC</t>
  </si>
  <si>
    <t>2022-09-22 15:33:53 UTC</t>
  </si>
  <si>
    <t>https://www.inaturalist.org/observations/36775913</t>
  </si>
  <si>
    <t>https://static.inaturalist.org/photos/58187008/medium.jpeg</t>
  </si>
  <si>
    <t>Mtindiri, Mozambique</t>
  </si>
  <si>
    <t>2019-12-19 14:03:19 UTC</t>
  </si>
  <si>
    <t>2022-09-22 15:33:51 UTC</t>
  </si>
  <si>
    <t>https://www.inaturalist.org/observations/36775914</t>
  </si>
  <si>
    <t>https://static.inaturalist.org/photos/58187010/medium.jpeg</t>
  </si>
  <si>
    <t>2015/07/28 12:15 PM EDT</t>
  </si>
  <si>
    <t>2015-07-28 16:15:00 UTC</t>
  </si>
  <si>
    <t>2019-12-19 14:03:29 UTC</t>
  </si>
  <si>
    <t>2022-09-22 15:33:48 UTC</t>
  </si>
  <si>
    <t>https://www.inaturalist.org/observations/36775920</t>
  </si>
  <si>
    <t>https://static.inaturalist.org/photos/58187026/medium.jpeg</t>
  </si>
  <si>
    <t>Gorongosa, Mozambique</t>
  </si>
  <si>
    <t>2018/10/01 1:29 PM CEST</t>
  </si>
  <si>
    <t>2018-10-01 11:29:00 UTC</t>
  </si>
  <si>
    <t>oudejans</t>
  </si>
  <si>
    <t>Rob C. H. M. Oudejans</t>
  </si>
  <si>
    <t>2019-12-22 10:50:31 UTC</t>
  </si>
  <si>
    <t>2022-09-22 15:33:35 UTC</t>
  </si>
  <si>
    <t>https://www.inaturalist.org/observations/36849471</t>
  </si>
  <si>
    <t>https://inaturalist-open-data.s3.amazonaws.com/photos/58317768/medium.jpeg</t>
  </si>
  <si>
    <t>Alan Ambohitra, Madagaskar</t>
  </si>
  <si>
    <t>2019-12-23 5:39:49 PM GMT+03:00</t>
  </si>
  <si>
    <t>2019-12-23 17:39:49 UTC</t>
  </si>
  <si>
    <t>lbroendum</t>
  </si>
  <si>
    <t>2019-12-23 15:00:56 UTC</t>
  </si>
  <si>
    <t>2022-09-22 15:33:26 UTC</t>
  </si>
  <si>
    <t>https://www.inaturalist.org/observations/36883738</t>
  </si>
  <si>
    <t>https://inaturalist-open-data.s3.amazonaws.com/photos/58378540/medium.jpg</t>
  </si>
  <si>
    <t>Arusha, Tanzania</t>
  </si>
  <si>
    <t>2018/10/14 2:07 PM CEST</t>
  </si>
  <si>
    <t>2018-10-14 12:07:00 UTC</t>
  </si>
  <si>
    <t>2019-12-24 13:36:29 UTC</t>
  </si>
  <si>
    <t>2020-06-12 20:32:09 UTC</t>
  </si>
  <si>
    <t>https://www.inaturalist.org/observations/36911804</t>
  </si>
  <si>
    <t>https://inaturalist-open-data.s3.amazonaws.com/photos/58427073/medium.jpeg</t>
  </si>
  <si>
    <t>Madagaskar</t>
  </si>
  <si>
    <t>2019/12/31 7:26 AM SAST</t>
  </si>
  <si>
    <t>2019-12-31 05:26:00 UTC</t>
  </si>
  <si>
    <t>2019-12-31 18:09:58 UTC</t>
  </si>
  <si>
    <t>2022-09-22 15:33:02 UTC</t>
  </si>
  <si>
    <t>https://www.inaturalist.org/observations/37135734</t>
  </si>
  <si>
    <t>https://inaturalist-open-data.s3.amazonaws.com/photos/58820787/medium.jpg</t>
  </si>
  <si>
    <t>Michiru Conservation Area, Blantyre, Malawi</t>
  </si>
  <si>
    <t>2020-01-01T16:06:59.085Z</t>
  </si>
  <si>
    <t>2020-01-01 16:06:59 UTC</t>
  </si>
  <si>
    <t>leandrevgreunen</t>
  </si>
  <si>
    <t>2020-01-01 16:08:27 UTC</t>
  </si>
  <si>
    <t>2022-09-22 05:04:19 UTC</t>
  </si>
  <si>
    <t>https://www.inaturalist.org/observations/37160579</t>
  </si>
  <si>
    <t>https://inaturalist-open-data.s3.amazonaws.com/photos/58863926/medium.jpeg</t>
  </si>
  <si>
    <t>Bojanala</t>
  </si>
  <si>
    <t>2019-11-03 10:11:48 AM GMT+02:00</t>
  </si>
  <si>
    <t>2019-11-03 08:11:48 UTC</t>
  </si>
  <si>
    <t>sjtheron</t>
  </si>
  <si>
    <t>Sarie T</t>
  </si>
  <si>
    <t>2020-01-02 15:50:27 UTC</t>
  </si>
  <si>
    <t>2022-09-22 05:04:15 UTC</t>
  </si>
  <si>
    <t>https://www.inaturalist.org/observations/37194688</t>
  </si>
  <si>
    <t>https://inaturalist-open-data.s3.amazonaws.com/photos/58924800/medium.jpg</t>
  </si>
  <si>
    <t>Roodeplaat Nature Reserve - Northern Side</t>
  </si>
  <si>
    <t>2020-01-04 12:16:07 PM GMT+02:00</t>
  </si>
  <si>
    <t>2020-01-04 10:16:07 UTC</t>
  </si>
  <si>
    <t>ellieamann</t>
  </si>
  <si>
    <t>Ellie Amann</t>
  </si>
  <si>
    <t>2020-01-04 12:23:01 UTC</t>
  </si>
  <si>
    <t>2022-09-22 05:04:02 UTC</t>
  </si>
  <si>
    <t>https://www.inaturalist.org/observations/37262265</t>
  </si>
  <si>
    <t>https://static.inaturalist.org/photos/59040841/medium.jpeg</t>
  </si>
  <si>
    <t>Mpulungu, ZM-NO, ZM</t>
  </si>
  <si>
    <t>Sun Jan 05 2020 08:29:24 GMT+0200 (GMT+2)</t>
  </si>
  <si>
    <t>2020-01-05 06:29:24 UTC</t>
  </si>
  <si>
    <t>dhoare</t>
  </si>
  <si>
    <t>David Hoare</t>
  </si>
  <si>
    <t>2020-01-05 06:32:38 UTC</t>
  </si>
  <si>
    <t>2022-09-22 05:03:57 UTC</t>
  </si>
  <si>
    <t>https://www.inaturalist.org/observations/37292975</t>
  </si>
  <si>
    <t>https://inaturalist-open-data.s3.amazonaws.com/photos/59094332/medium.jpg</t>
  </si>
  <si>
    <t>Lynburn Road, Pretoria, GP, ZA</t>
  </si>
  <si>
    <t>2012/05/19 9:10 AM SAST</t>
  </si>
  <si>
    <t>2012-05-19 07:10:00 UTC</t>
  </si>
  <si>
    <t>2020-01-05 08:01:39 UTC</t>
  </si>
  <si>
    <t>2022-09-22 05:03:52 UTC</t>
  </si>
  <si>
    <t>https://www.inaturalist.org/observations/37294259</t>
  </si>
  <si>
    <t>https://inaturalist-open-data.s3.amazonaws.com/photos/59096435/medium.jpg</t>
  </si>
  <si>
    <t>Tiwai Island Wildlife Sanctuary, Sierra Leone</t>
  </si>
  <si>
    <t>2019-08-24 2:39:02 PM GMT+02:00</t>
  </si>
  <si>
    <t>2019-08-24 12:39:02 UTC</t>
  </si>
  <si>
    <t>arachon</t>
  </si>
  <si>
    <t>Frederik Leck Fischer</t>
  </si>
  <si>
    <t>2020-01-07 09:39:50 UTC</t>
  </si>
  <si>
    <t>2022-09-22 08:26:43 UTC</t>
  </si>
  <si>
    <t>https://www.inaturalist.org/observations/37365076</t>
  </si>
  <si>
    <t>https://inaturalist-open-data.s3.amazonaws.com/photos/59221915/medium.jpeg</t>
  </si>
  <si>
    <t>Mikumi National Park</t>
  </si>
  <si>
    <t>As line above (nest in lower left background)</t>
  </si>
  <si>
    <t>As line above (nest in upper right corner)</t>
  </si>
  <si>
    <t>2019-08-13 7:16:26 AM GMT+02:00</t>
  </si>
  <si>
    <t>2019-08-13 05:16:26 UTC</t>
  </si>
  <si>
    <t>2020-01-07 20:12:27 UTC</t>
  </si>
  <si>
    <t>2022-09-22 05:03:37 UTC</t>
  </si>
  <si>
    <t>https://www.inaturalist.org/observations/37378234</t>
  </si>
  <si>
    <t>https://inaturalist-open-data.s3.amazonaws.com/photos/59245248/medium.jpeg</t>
  </si>
  <si>
    <t>PO BOX 82, Mang'ula Kilombero, Mangula B, Tanzania</t>
  </si>
  <si>
    <t>Belonogaster clypeata</t>
  </si>
  <si>
    <t>2005/12/27 6:01 AM SAST</t>
  </si>
  <si>
    <t>2005-12-27 04:01:00 UTC</t>
  </si>
  <si>
    <t>andrewdeacon</t>
  </si>
  <si>
    <t>Andrew Deacon</t>
  </si>
  <si>
    <t>2020-01-10 02:56:20 UTC</t>
  </si>
  <si>
    <t>2022-09-22 05:02:18 UTC</t>
  </si>
  <si>
    <t>https://www.inaturalist.org/observations/37445135</t>
  </si>
  <si>
    <t>https://inaturalist-open-data.s3.amazonaws.com/photos/59361944/medium.jpg</t>
  </si>
  <si>
    <t>Skukuza, 1350, South Africa</t>
  </si>
  <si>
    <t>Fri Jan 10 2020 06:14:16 GMT+0200 (GMT+2)</t>
  </si>
  <si>
    <t>2020-01-10 04:14:16 UTC</t>
  </si>
  <si>
    <t>adriaanstrauss</t>
  </si>
  <si>
    <t>Adriaan Strauss</t>
  </si>
  <si>
    <t>2020-01-10 04:17:50 UTC</t>
  </si>
  <si>
    <t>2022-09-22 05:02:15 UTC</t>
  </si>
  <si>
    <t>https://www.inaturalist.org/observations/37446837</t>
  </si>
  <si>
    <t>https://static.inaturalist.org/photos/59365259/medium.jpg</t>
  </si>
  <si>
    <t>Koedoe Street, Upington, NC, ZA</t>
  </si>
  <si>
    <t>Madrid</t>
  </si>
  <si>
    <t>liesvanrompaey</t>
  </si>
  <si>
    <t>Lies Van Rompaey</t>
  </si>
  <si>
    <t>2020-01-10 07:23:49 UTC</t>
  </si>
  <si>
    <t>2021-04-18 20:12:00 UTC</t>
  </si>
  <si>
    <t>https://www.inaturalist.org/observations/37449374</t>
  </si>
  <si>
    <t>https://inaturalist-open-data.s3.amazonaws.com/photos/59369752/medium.jpg</t>
  </si>
  <si>
    <t>Saint-Louis, Senegal</t>
  </si>
  <si>
    <t>2020/01/10 10:43 AM SAST</t>
  </si>
  <si>
    <t>2020-01-10 08:43:00 UTC</t>
  </si>
  <si>
    <t>2020-01-11 03:49:27 UTC</t>
  </si>
  <si>
    <t>2022-09-22 05:02:04 UTC</t>
  </si>
  <si>
    <t>https://www.inaturalist.org/observations/37474599</t>
  </si>
  <si>
    <t>https://inaturalist-open-data.s3.amazonaws.com/photos/59413532/medium.jpeg</t>
  </si>
  <si>
    <t xml:space="preserve">&lt;h3&gt;We like the stink&lt;/h3&gt;_x000D_
They seemed to prefer the contents of the open calyxes after the flowers had fallen._x000D_
See the tree: https://www.inaturalist.org/observations/37474412_x000D_
</t>
  </si>
  <si>
    <t>2018/08/15 9:44 PM +0200</t>
  </si>
  <si>
    <t>2018-08-15 19:44:00 UTC</t>
  </si>
  <si>
    <t>olivier_cave</t>
  </si>
  <si>
    <t>Olivier Testa</t>
  </si>
  <si>
    <t>2020-01-12 00:14:33 UTC</t>
  </si>
  <si>
    <t>2022-09-22 05:02:00 UTC</t>
  </si>
  <si>
    <t>https://www.inaturalist.org/observations/37503924</t>
  </si>
  <si>
    <t>https://inaturalist-open-data.s3.amazonaws.com/photos/59455910/medium.jpeg</t>
  </si>
  <si>
    <t>This picture was  batch inserted from observations of Josiane Lips during a caving expedition in Namoroka caves._x000D_
_x000D_
All are cave-dwelling animal and were photographed in caves or at the entrance._x000D_
_x000D_
Please ask for additional pictures. Samples preserved in alcohol are available for researchers.</t>
  </si>
  <si>
    <t>District de Soalala, Madagascar</t>
  </si>
  <si>
    <t>Many post-emergence nests</t>
  </si>
  <si>
    <t>Too dense to count</t>
  </si>
  <si>
    <t>Photograph of dense aggregation of nests in a cave. Individual group sizes cannot be reliably counted.</t>
  </si>
  <si>
    <t>2019/08/13 9:08 PM UTC</t>
  </si>
  <si>
    <t>2020-01-12 22:32:09 UTC</t>
  </si>
  <si>
    <t>2022-09-22 05:01:49 UTC</t>
  </si>
  <si>
    <t>https://www.inaturalist.org/observations/37537917</t>
  </si>
  <si>
    <t>https://inaturalist-open-data.s3.amazonaws.com/photos/59526504/medium.jpeg</t>
  </si>
  <si>
    <t>Kilombero, Tanzania</t>
  </si>
  <si>
    <t>2019/05/26 3:49 PM UTC</t>
  </si>
  <si>
    <t>harrisbrooker277</t>
  </si>
  <si>
    <t>2020-01-13 19:56:37 UTC</t>
  </si>
  <si>
    <t>2022-09-22 05:01:46 UTC</t>
  </si>
  <si>
    <t>https://www.inaturalist.org/observations/37564431</t>
  </si>
  <si>
    <t>https://static.inaturalist.org/photos/59574548/medium.jpeg</t>
  </si>
  <si>
    <t>Black wasp in toilet block on the island</t>
  </si>
  <si>
    <t>Tiwai Island, Sierra Leone</t>
  </si>
  <si>
    <t>2019-12-23 10:39:25 AM GMT+02:00</t>
  </si>
  <si>
    <t>2019-12-23 08:39:25 UTC</t>
  </si>
  <si>
    <t>surfinbird</t>
  </si>
  <si>
    <t>Garth Aiston</t>
  </si>
  <si>
    <t>2020-01-17 17:05:40 UTC</t>
  </si>
  <si>
    <t>2022-09-22 05:01:42 UTC</t>
  </si>
  <si>
    <t>https://www.inaturalist.org/observations/37683254</t>
  </si>
  <si>
    <t>https://static.inaturalist.org/photos/59791225/medium.jpg</t>
  </si>
  <si>
    <t>Manors, Pinetown, 3610, South Africa</t>
  </si>
  <si>
    <t>2020/01/22 8:09 AM CET</t>
  </si>
  <si>
    <t>2020-01-22 07:09:00 UTC</t>
  </si>
  <si>
    <t>2020-01-22 09:08:55 UTC</t>
  </si>
  <si>
    <t>2022-09-22 05:01:37 UTC</t>
  </si>
  <si>
    <t>https://www.inaturalist.org/observations/37840458</t>
  </si>
  <si>
    <t>https://inaturalist-open-data.s3.amazonaws.com/photos/60066051/medium.jpg</t>
  </si>
  <si>
    <t>2020/01/21 3:44 PM SAST</t>
  </si>
  <si>
    <t>2020-01-21 13:44:00 UTC</t>
  </si>
  <si>
    <t>jacarandaschool</t>
  </si>
  <si>
    <t>Jacaranda School</t>
  </si>
  <si>
    <t>2020-01-22 18:17:34 UTC</t>
  </si>
  <si>
    <t>2022-09-22 05:01:34 UTC</t>
  </si>
  <si>
    <t>https://www.inaturalist.org/observations/37850197</t>
  </si>
  <si>
    <t>https://inaturalist-open-data.s3.amazonaws.com/photos/60084160/medium.jpeg</t>
  </si>
  <si>
    <t>Blantyre, Malawi</t>
  </si>
  <si>
    <t>Thu Jan 23 2020 17:56:50 GMT+0300 (GMT+3)</t>
  </si>
  <si>
    <t>2020-01-23 14:56:50 UTC</t>
  </si>
  <si>
    <t>2020-01-23 15:10:57 UTC</t>
  </si>
  <si>
    <t>2022-09-22 05:01:31 UTC</t>
  </si>
  <si>
    <t>https://www.inaturalist.org/observations/37886024</t>
  </si>
  <si>
    <t>https://inaturalist-open-data.s3.amazonaws.com/photos/60127899/medium.jpg</t>
  </si>
  <si>
    <t>Ngong Road Forest, Nairobi, Nairobi, KE</t>
  </si>
  <si>
    <t>2015-10-20 20:29:00 UTC</t>
  </si>
  <si>
    <t>Quito</t>
  </si>
  <si>
    <t>ajott</t>
  </si>
  <si>
    <t>2020-01-26 20:20:54 UTC</t>
  </si>
  <si>
    <t>2022-02-02 18:42:42 UTC</t>
  </si>
  <si>
    <t>https://www.inaturalist.org/observations/37998955</t>
  </si>
  <si>
    <t>https://inaturalist-open-data.s3.amazonaws.com/photos/60326917/medium.jpg</t>
  </si>
  <si>
    <t>ÇKaras, Namibia</t>
  </si>
  <si>
    <t>2020-01-09 1:44:38 PM GMT+02:00</t>
  </si>
  <si>
    <t>2020-01-09 09:44:38 UTC</t>
  </si>
  <si>
    <t>2020-01-27 11:01:38 UTC</t>
  </si>
  <si>
    <t>2022-09-22 16:10:38 UTC</t>
  </si>
  <si>
    <t>https://www.inaturalist.org/observations/38022849</t>
  </si>
  <si>
    <t>https://static.inaturalist.org/photos/60369612/medium.jpeg</t>
  </si>
  <si>
    <t>Southern Afrotemperate Forest</t>
  </si>
  <si>
    <t>Goudveldbos</t>
  </si>
  <si>
    <t>2020/02/01 11:37 AM SAST</t>
  </si>
  <si>
    <t>2020-02-01 09:37:00 UTC</t>
  </si>
  <si>
    <t>2020-02-05 20:02:04 UTC</t>
  </si>
  <si>
    <t>2022-09-22 16:10:26 UTC</t>
  </si>
  <si>
    <t>https://www.inaturalist.org/observations/38337162</t>
  </si>
  <si>
    <t>https://inaturalist-open-data.s3.amazonaws.com/photos/60911446/medium.jpeg</t>
  </si>
  <si>
    <t>2017-12-21 10:05:00 AM GMT+10:00</t>
  </si>
  <si>
    <t>2017-12-20 23:05:00 UTC</t>
  </si>
  <si>
    <t>Sydney</t>
  </si>
  <si>
    <t>calumjbw</t>
  </si>
  <si>
    <t>Calum Burgess Wylie</t>
  </si>
  <si>
    <t>2020-02-06 02:49:51 UTC</t>
  </si>
  <si>
    <t>2022-09-22 16:10:23 UTC</t>
  </si>
  <si>
    <t>https://www.inaturalist.org/observations/38348483</t>
  </si>
  <si>
    <t>https://static.inaturalist.org/photos/60934370/medium.jpeg</t>
  </si>
  <si>
    <t>Butembe, Uganda</t>
  </si>
  <si>
    <t>2020/02/07 11:10 AM HST</t>
  </si>
  <si>
    <t>2020-02-07 21:10:00 UTC</t>
  </si>
  <si>
    <t>2020-02-09 10:11:36 UTC</t>
  </si>
  <si>
    <t>2022-09-22 16:05:38 UTC</t>
  </si>
  <si>
    <t>https://www.inaturalist.org/observations/38459683</t>
  </si>
  <si>
    <t>https://inaturalist-open-data.s3.amazonaws.com/photos/61124453/medium.jpeg</t>
  </si>
  <si>
    <t>Ruhango, Kigali, Rwanda</t>
  </si>
  <si>
    <t>2020/01/26 9:46 PM GMT</t>
  </si>
  <si>
    <t>2020-01-26 21:46:00 UTC</t>
  </si>
  <si>
    <t>Edinburgh</t>
  </si>
  <si>
    <t>davidgibbs</t>
  </si>
  <si>
    <t>2020-02-09 21:12:22 UTC</t>
  </si>
  <si>
    <t>2022-09-22 16:05:35 UTC</t>
  </si>
  <si>
    <t>https://www.inaturalist.org/observations/38479579</t>
  </si>
  <si>
    <t>https://inaturalist-open-data.s3.amazonaws.com/photos/61160996/medium.jpg</t>
  </si>
  <si>
    <t>Sphecid on Strelitzia nicolai flower</t>
  </si>
  <si>
    <t>Ugu District Municipality, South Africa</t>
  </si>
  <si>
    <t>2020-02-10 5:17:11 PM GMT+02:00</t>
  </si>
  <si>
    <t>2020-02-10 13:17:11 UTC</t>
  </si>
  <si>
    <t>2020-02-10 16:16:19 UTC</t>
  </si>
  <si>
    <t>2022-09-22 16:05:30 UTC</t>
  </si>
  <si>
    <t>https://www.inaturalist.org/observations/38507443</t>
  </si>
  <si>
    <t>https://inaturalist-open-data.s3.amazonaws.com/photos/61210431/medium.jpeg</t>
  </si>
  <si>
    <t>On a rock face.</t>
  </si>
  <si>
    <t>Eden, ZA-WC, ZA</t>
  </si>
  <si>
    <t>2009/11/19 11:59 AM CET</t>
  </si>
  <si>
    <t>2009-11-19 10:59:00 UTC</t>
  </si>
  <si>
    <t>2020-02-11 13:33:21 UTC</t>
  </si>
  <si>
    <t>2020-03-15 20:02:53 UTC</t>
  </si>
  <si>
    <t>https://www.inaturalist.org/observations/38536148</t>
  </si>
  <si>
    <t>https://inaturalist-open-data.s3.amazonaws.com/photos/61260924/medium.jpeg</t>
  </si>
  <si>
    <t>Port St Johns, Port Sint Johns, 5120, Zuid-Afrika</t>
  </si>
  <si>
    <t>No adults present</t>
  </si>
  <si>
    <t>Sat Feb 08 2020 10:21:40 GMT+0200 (GMT+2)</t>
  </si>
  <si>
    <t>2020-02-08 08:21:40 UTC</t>
  </si>
  <si>
    <t>dev_shaw</t>
  </si>
  <si>
    <t>2020-02-11 14:46:10 UTC</t>
  </si>
  <si>
    <t>2022-09-22 16:05:26 UTC</t>
  </si>
  <si>
    <t>https://www.inaturalist.org/observations/38537442</t>
  </si>
  <si>
    <t>https://inaturalist-open-data.s3.amazonaws.com/photos/61263422/medium.jpg</t>
  </si>
  <si>
    <t>yohannis church, Amhara, ET</t>
  </si>
  <si>
    <t>2020-02-12 10:48:39 AM GMT+03:00</t>
  </si>
  <si>
    <t>2020-02-12 07:48:39 UTC</t>
  </si>
  <si>
    <t>bluehillescape</t>
  </si>
  <si>
    <t>Alan Lee</t>
  </si>
  <si>
    <t>2020-02-12 07:49:57 UTC</t>
  </si>
  <si>
    <t>2022-09-22 15:58:34 UTC</t>
  </si>
  <si>
    <t>https://www.inaturalist.org/observations/38563463</t>
  </si>
  <si>
    <t>https://inaturalist-open-data.s3.amazonaws.com/photos/61307338/medium.jpeg</t>
  </si>
  <si>
    <t>Lemek, Kenya</t>
  </si>
  <si>
    <t>2020-01-15 4:08:14 PM GMT+03:00</t>
  </si>
  <si>
    <t>2020-01-15 13:08:14 UTC</t>
  </si>
  <si>
    <t>catarina_lobato</t>
  </si>
  <si>
    <t>Catarina Lobato</t>
  </si>
  <si>
    <t>2020-02-13 05:31:45 UTC</t>
  </si>
  <si>
    <t>2022-09-22 15:58:24 UTC</t>
  </si>
  <si>
    <t>https://www.inaturalist.org/observations/38595650</t>
  </si>
  <si>
    <t>https://inaturalist-open-data.s3.amazonaws.com/photos/61361237/medium.jpeg</t>
  </si>
  <si>
    <t>Mamba, Tanzania</t>
  </si>
  <si>
    <t>Thu Feb 13 2020 01:05:02 GMT+0200 (GMT+2)</t>
  </si>
  <si>
    <t>2020-02-12 23:05:02 UTC</t>
  </si>
  <si>
    <t>roxylaz</t>
  </si>
  <si>
    <t>Roxanne Lazarus</t>
  </si>
  <si>
    <t>2020-02-13 08:16:56 UTC</t>
  </si>
  <si>
    <t>2022-09-22 15:58:21 UTC</t>
  </si>
  <si>
    <t>https://www.inaturalist.org/observations/38598145</t>
  </si>
  <si>
    <t>https://static.inaturalist.org/photos/61365742/medium.jpg</t>
  </si>
  <si>
    <t>Small nest</t>
  </si>
  <si>
    <t>Hillside South, Bulawayo, Hwange, ZW</t>
  </si>
  <si>
    <t>2020/02/13 1:56 PM SAST</t>
  </si>
  <si>
    <t>2020-02-13 11:56:00 UTC</t>
  </si>
  <si>
    <t>2020-02-13 18:24:14 UTC</t>
  </si>
  <si>
    <t>2022-09-22 15:58:19 UTC</t>
  </si>
  <si>
    <t>https://www.inaturalist.org/observations/38610123</t>
  </si>
  <si>
    <t>https://inaturalist-open-data.s3.amazonaws.com/photos/61386965/medium.jpeg</t>
  </si>
  <si>
    <t>2020-02-16T17:43:00+03:00</t>
  </si>
  <si>
    <t>2020-02-16 14:43:00 UTC</t>
  </si>
  <si>
    <t>madsbanglassen</t>
  </si>
  <si>
    <t>2020-02-16 14:44:32 UTC</t>
  </si>
  <si>
    <t>2022-09-22 15:58:14 UTC</t>
  </si>
  <si>
    <t>https://www.inaturalist.org/observations/38709696</t>
  </si>
  <si>
    <t>https://inaturalist-open-data.s3.amazonaws.com/photos/61564660/medium.jpeg</t>
  </si>
  <si>
    <t>Wasplike. Found while two of them was building a hive</t>
  </si>
  <si>
    <t>Kusini</t>
  </si>
  <si>
    <t>Sat Feb 22 2020 13:42:23 GMT+0300 (GMT+3)</t>
  </si>
  <si>
    <t>2020-02-22 10:42:23 UTC</t>
  </si>
  <si>
    <t>wsd</t>
  </si>
  <si>
    <t>2020-02-22 14:48:24 UTC</t>
  </si>
  <si>
    <t>2022-09-22 15:58:04 UTC</t>
  </si>
  <si>
    <t>https://www.inaturalist.org/observations/39045487</t>
  </si>
  <si>
    <t>https://inaturalist-open-data.s3.amazonaws.com/photos/61953000/medium.jpg</t>
  </si>
  <si>
    <t>The Serengeti National Park, Mara, TZ</t>
  </si>
  <si>
    <t>2016/12/21 3:54 PM SAST</t>
  </si>
  <si>
    <t>2016-12-21 13:54:00 UTC</t>
  </si>
  <si>
    <t>garethyearsley</t>
  </si>
  <si>
    <t>Gareth Yearsley</t>
  </si>
  <si>
    <t>2020-02-23 12:03:30 UTC</t>
  </si>
  <si>
    <t>2022-09-22 15:32:50 UTC</t>
  </si>
  <si>
    <t>https://www.inaturalist.org/observations/39086392</t>
  </si>
  <si>
    <t>https://inaturalist-open-data.s3.amazonaws.com/photos/62016201/medium.jpeg</t>
  </si>
  <si>
    <t>Amatole, South Africa</t>
  </si>
  <si>
    <t>Umbrella Paper Wasps</t>
  </si>
  <si>
    <t>Thu Feb 20 2020 16:41:15 GMT+0200 (GMT+2)</t>
  </si>
  <si>
    <t>2020-02-20 14:41:15 UTC</t>
  </si>
  <si>
    <t>michaelharling</t>
  </si>
  <si>
    <t>Michael Harling</t>
  </si>
  <si>
    <t>2020-02-25 06:26:21 UTC</t>
  </si>
  <si>
    <t>2022-09-22 05:01:15 UTC</t>
  </si>
  <si>
    <t>https://www.inaturalist.org/observations/39198037</t>
  </si>
  <si>
    <t>https://static.inaturalist.org/photos/62154982/medium.jpg</t>
  </si>
  <si>
    <t>Kibuye, Gitega, BI</t>
  </si>
  <si>
    <t>keith159</t>
  </si>
  <si>
    <t>Keith Lovelock</t>
  </si>
  <si>
    <t>2020-02-28 19:20:33 UTC</t>
  </si>
  <si>
    <t>2020-02-28 19:20:56 UTC</t>
  </si>
  <si>
    <t>https://www.inaturalist.org/observations/39323830</t>
  </si>
  <si>
    <t>https://static.inaturalist.org/photos/62371280/medium.jpeg</t>
  </si>
  <si>
    <t>Waterberg Mountain, ZA-NP-WA, ZA-NP, ZA</t>
  </si>
  <si>
    <t>Mystery black object in nest</t>
  </si>
  <si>
    <t>2020/02/15 9:23 AM UTC</t>
  </si>
  <si>
    <t>kzlughanje</t>
  </si>
  <si>
    <t>2020-02-28 20:10:11 UTC</t>
  </si>
  <si>
    <t>2022-09-22 05:01:09 UTC</t>
  </si>
  <si>
    <t>https://www.inaturalist.org/observations/39325595</t>
  </si>
  <si>
    <t>https://inaturalist-open-data.s3.amazonaws.com/photos/62374089/medium.jpg</t>
  </si>
  <si>
    <t>Malindi, Kenya</t>
  </si>
  <si>
    <t>2020/02/14 5:14 PM EET</t>
  </si>
  <si>
    <t>2020-02-14 15:14:00 UTC</t>
  </si>
  <si>
    <t>Cairo</t>
  </si>
  <si>
    <t>cabintom</t>
  </si>
  <si>
    <t>Thomas Desloges</t>
  </si>
  <si>
    <t>2020-02-29 09:35:54 UTC</t>
  </si>
  <si>
    <t>2022-09-22 05:01:07 UTC</t>
  </si>
  <si>
    <t>https://www.inaturalist.org/observations/39345741</t>
  </si>
  <si>
    <t>https://inaturalist-open-data.s3.amazonaws.com/photos/62404786/medium.jpg</t>
  </si>
  <si>
    <t>Karen Rd, Nairobi, Kenya</t>
  </si>
  <si>
    <t>2010/02/21 7:43 PM +0800</t>
  </si>
  <si>
    <t>2010-02-21 11:43:00 UTC</t>
  </si>
  <si>
    <t>Kuala Lumpur</t>
  </si>
  <si>
    <t>johnhowes</t>
  </si>
  <si>
    <t>John Howes</t>
  </si>
  <si>
    <t>2020-03-07 08:51:31 UTC</t>
  </si>
  <si>
    <t>2022-09-22 05:01:02 UTC</t>
  </si>
  <si>
    <t>https://www.inaturalist.org/observations/39642020</t>
  </si>
  <si>
    <t>https://inaturalist-open-data.s3.amazonaws.com/photos/62911656/medium.jpg</t>
  </si>
  <si>
    <t>Matobo National Park, Matopos, Zimbabwe</t>
  </si>
  <si>
    <t>2017/11/02 12:00 PM CET</t>
  </si>
  <si>
    <t>2017-11-02 11:00:00 UTC</t>
  </si>
  <si>
    <t>botanarchiste</t>
  </si>
  <si>
    <t>AurÃ©lien Bour</t>
  </si>
  <si>
    <t>2020-03-08 15:00:48 UTC</t>
  </si>
  <si>
    <t>2022-09-22 10:27:54 UTC</t>
  </si>
  <si>
    <t>https://www.inaturalist.org/observations/39701093</t>
  </si>
  <si>
    <t>https://inaturalist-open-data.s3.amazonaws.com/photos/63012077/medium.jpeg</t>
  </si>
  <si>
    <t>Coconi, Mayotte</t>
  </si>
  <si>
    <t>Sat Mar 07 2020 14:01:02 GMT+0100 (GMT+1)</t>
  </si>
  <si>
    <t>2020-03-07 13:01:02 UTC</t>
  </si>
  <si>
    <t>2020-03-08 16:54:45 UTC</t>
  </si>
  <si>
    <t>2022-09-22 05:00:49 UTC</t>
  </si>
  <si>
    <t>https://www.inaturalist.org/observations/39706152</t>
  </si>
  <si>
    <t>https://inaturalist-open-data.s3.amazonaws.com/photos/63021070/medium.jpg</t>
  </si>
  <si>
    <t>EpÃ©na, CG-LI, CG</t>
  </si>
  <si>
    <t>2019/07/17 10:04 AM UTC</t>
  </si>
  <si>
    <t>nimmyel_ponyil_abu</t>
  </si>
  <si>
    <t>2020-03-12 10:33:50 UTC</t>
  </si>
  <si>
    <t>2022-09-22 05:00:45 UTC</t>
  </si>
  <si>
    <t>https://www.inaturalist.org/observations/39877568</t>
  </si>
  <si>
    <t>https://inaturalist-open-data.s3.amazonaws.com/photos/63310913/medium.jpg</t>
  </si>
  <si>
    <t>Nigeria</t>
  </si>
  <si>
    <t>2015/09/29 7:00 PM CEST</t>
  </si>
  <si>
    <t>2015-09-29 17:00:00 UTC</t>
  </si>
  <si>
    <t>hannes_oehm</t>
  </si>
  <si>
    <t>Hannes Ã–hm</t>
  </si>
  <si>
    <t>2020-03-18 23:04:07 UTC</t>
  </si>
  <si>
    <t>2022-09-22 05:00:42 UTC</t>
  </si>
  <si>
    <t>https://www.inaturalist.org/observations/40207455</t>
  </si>
  <si>
    <t>https://inaturalist-open-data.s3.amazonaws.com/photos/63868738/medium.jpeg</t>
  </si>
  <si>
    <t>Kumasi, Ghana</t>
  </si>
  <si>
    <t>2020/03/10 1:55 PM CDT</t>
  </si>
  <si>
    <t>2020-03-10 18:55:00 UTC</t>
  </si>
  <si>
    <t>danb</t>
  </si>
  <si>
    <t>Dan Bernskoetter</t>
  </si>
  <si>
    <t>2020-03-21 14:26:21 UTC</t>
  </si>
  <si>
    <t>2022-09-22 05:00:40 UTC</t>
  </si>
  <si>
    <t>CC-BY-ND</t>
  </si>
  <si>
    <t>https://www.inaturalist.org/observations/40359407</t>
  </si>
  <si>
    <t>https://inaturalist-open-data.s3.amazonaws.com/photos/64105794/medium.jpg</t>
  </si>
  <si>
    <t>Sun Mar 22 2020 14:51:19 GMT+0200 (GMT+2)</t>
  </si>
  <si>
    <t>2020-03-22 12:51:19 UTC</t>
  </si>
  <si>
    <t>halfmens</t>
  </si>
  <si>
    <t>2020-03-23 21:01:02 UTC</t>
  </si>
  <si>
    <t>2022-09-24 19:39:00 UTC</t>
  </si>
  <si>
    <t>https://www.inaturalist.org/observations/40603938</t>
  </si>
  <si>
    <t>https://static.inaturalist.org/photos/64355754/medium.jpg</t>
  </si>
  <si>
    <t>Oliphantshoek Road, Wilderness, WC, ZA</t>
  </si>
  <si>
    <t>Lek</t>
  </si>
  <si>
    <t>2020-03-24 01:58:02 UTC</t>
  </si>
  <si>
    <t>2022-09-22 05:00:33 UTC</t>
  </si>
  <si>
    <t>https://www.inaturalist.org/observations/40618087</t>
  </si>
  <si>
    <t>https://inaturalist-open-data.s3.amazonaws.com/photos/64379496/medium.jpg</t>
  </si>
  <si>
    <t>Africa, Genus Belonogaster, Insects Africa, Needle-waisted Paper Wasps</t>
  </si>
  <si>
    <t>2019/07/30 3:16 PM WIB</t>
  </si>
  <si>
    <t>2019-07-30 08:16:00 UTC</t>
  </si>
  <si>
    <t>Jakarta</t>
  </si>
  <si>
    <t>tom-kirschey</t>
  </si>
  <si>
    <t>Tom Kirschey</t>
  </si>
  <si>
    <t>2020-03-24 17:44:59 UTC</t>
  </si>
  <si>
    <t>2020-03-24 19:19:34 UTC</t>
  </si>
  <si>
    <t>https://www.inaturalist.org/observations/40647019</t>
  </si>
  <si>
    <t>https://inaturalist-open-data.s3.amazonaws.com/photos/64429855/medium.jpeg</t>
  </si>
  <si>
    <t>Bonga, Ã„thiopien</t>
  </si>
  <si>
    <t>Belonogaster meneliki</t>
  </si>
  <si>
    <t>FLAGGED: Duplicate of observation 40647019</t>
  </si>
  <si>
    <t>2015/09/24 4:29 PM CEST</t>
  </si>
  <si>
    <t>2015-09-24 14:29:00 UTC</t>
  </si>
  <si>
    <t>2020-03-28 23:17:01 UTC</t>
  </si>
  <si>
    <t>2022-09-22 05:00:29 UTC</t>
  </si>
  <si>
    <t>https://www.inaturalist.org/observations/40924346</t>
  </si>
  <si>
    <t>https://inaturalist-open-data.s3.amazonaws.com/photos/64882471/medium.jpeg</t>
  </si>
  <si>
    <t>2020/03/28 11:26 AM SAST</t>
  </si>
  <si>
    <t>2020-03-28 09:26:00 UTC</t>
  </si>
  <si>
    <t>2020-03-29 18:12:09 UTC</t>
  </si>
  <si>
    <t>2022-09-22 05:00:20 UTC</t>
  </si>
  <si>
    <t>https://www.inaturalist.org/observations/40976657</t>
  </si>
  <si>
    <t>https://inaturalist-open-data.s3.amazonaws.com/photos/64970320/medium.jpg</t>
  </si>
  <si>
    <t>See plant  https://www.inaturalist.org/observations/40976658</t>
  </si>
  <si>
    <t>2014/03/15 9:06 PM HST</t>
  </si>
  <si>
    <t>2014-03-16 07:06:00 UTC</t>
  </si>
  <si>
    <t>markhulme</t>
  </si>
  <si>
    <t>Mark Hulme</t>
  </si>
  <si>
    <t>2020-03-29 22:56:31 UTC</t>
  </si>
  <si>
    <t>2022-09-22 05:00:15 UTC</t>
  </si>
  <si>
    <t>https://www.inaturalist.org/observations/40999207</t>
  </si>
  <si>
    <t>https://inaturalist-open-data.s3.amazonaws.com/photos/65009731/medium.jpeg</t>
  </si>
  <si>
    <t>Large wasp stung me. It hurt a lot</t>
  </si>
  <si>
    <t>Kenema, Sierra Leone</t>
  </si>
  <si>
    <t>2020/03/14 11:40 AM SAST</t>
  </si>
  <si>
    <t>2020-03-14 09:40:00 UTC</t>
  </si>
  <si>
    <t>2020-03-30 18:44:34 UTC</t>
  </si>
  <si>
    <t>2022-09-22 05:00:09 UTC</t>
  </si>
  <si>
    <t>https://www.inaturalist.org/observations/41058915</t>
  </si>
  <si>
    <t>https://inaturalist-open-data.s3.amazonaws.com/photos/65088837/medium.jpeg</t>
  </si>
  <si>
    <t>The Lion Park, Hartbeespoort, South Africa</t>
  </si>
  <si>
    <t>Tue Mar 31 2020 18:14:53 GMT+0200 (GMT+2)</t>
  </si>
  <si>
    <t>2020-03-31 16:14:53 UTC</t>
  </si>
  <si>
    <t>2020-03-31 15:20:20 UTC</t>
  </si>
  <si>
    <t>2022-09-22 05:00:04 UTC</t>
  </si>
  <si>
    <t>https://www.inaturalist.org/observations/41107122</t>
  </si>
  <si>
    <t>https://inaturalist-open-data.s3.amazonaws.com/photos/65182705/medium.jpg</t>
  </si>
  <si>
    <t>2019/05/16 4:23 PM SAST</t>
  </si>
  <si>
    <t>2019-05-16 12:23:00 UTC</t>
  </si>
  <si>
    <t>hhodgson</t>
  </si>
  <si>
    <t>Heather and Andrew Hodgson</t>
  </si>
  <si>
    <t>2020-04-01 14:00:21 UTC</t>
  </si>
  <si>
    <t>2022-02-10 13:30:47 UTC</t>
  </si>
  <si>
    <t>https://www.inaturalist.org/observations/41164321</t>
  </si>
  <si>
    <t>https://inaturalist-open-data.s3.amazonaws.com/photos/65278578/medium.jpg</t>
  </si>
  <si>
    <t>Augrabies Falls National Park, 2019KgalagadiAdventure, SANP</t>
  </si>
  <si>
    <t>Augrabies Falls National Park, Northern Cape, South Africa</t>
  </si>
  <si>
    <t>2020/03/30 12:45 PM SAST</t>
  </si>
  <si>
    <t>2020-03-30 10:45:00 UTC</t>
  </si>
  <si>
    <t>draino</t>
  </si>
  <si>
    <t>2020-04-04 06:33:54 UTC</t>
  </si>
  <si>
    <t>2022-09-22 04:59:59 UTC</t>
  </si>
  <si>
    <t>https://www.inaturalist.org/observations/41347368</t>
  </si>
  <si>
    <t>https://inaturalist-open-data.s3.amazonaws.com/photos/65585754/medium.jpeg</t>
  </si>
  <si>
    <t>Insect, Invertebrate, Wasp, Africa, South Africa, Gauteng</t>
  </si>
  <si>
    <t>Rangeview, Krugersdorp, 1739, South Africa</t>
  </si>
  <si>
    <t>Delta hottentotum</t>
  </si>
  <si>
    <t>2020-04-07 12:46:43 PM GMT+02:00</t>
  </si>
  <si>
    <t>2020-04-07 10:46:43 UTC</t>
  </si>
  <si>
    <t>cindy506</t>
  </si>
  <si>
    <t>Cindy Van Wyk</t>
  </si>
  <si>
    <t>2020-04-07 11:13:19 UTC</t>
  </si>
  <si>
    <t>2022-09-22 04:59:52 UTC</t>
  </si>
  <si>
    <t>https://www.inaturalist.org/observations/41596354</t>
  </si>
  <si>
    <t>https://static.inaturalist.org/photos/65993650/medium.jpeg</t>
  </si>
  <si>
    <t>Buffelsdrift Mountain Bike Park</t>
  </si>
  <si>
    <t>2020-04-07 12:32:19 PM GMT+02:00</t>
  </si>
  <si>
    <t>2020-04-07 10:32:19 UTC</t>
  </si>
  <si>
    <t>2020-04-07 11:21:31 UTC</t>
  </si>
  <si>
    <t>2022-09-22 04:59:49 UTC</t>
  </si>
  <si>
    <t>https://www.inaturalist.org/observations/41597092</t>
  </si>
  <si>
    <t>https://static.inaturalist.org/photos/65993991/medium.jpeg</t>
  </si>
  <si>
    <t>2020/04/10 9:11 AM SAST</t>
  </si>
  <si>
    <t>2020-04-10 07:11:00 UTC</t>
  </si>
  <si>
    <t>2020-04-10 08:38:22 UTC</t>
  </si>
  <si>
    <t>2022-09-22 04:59:46 UTC</t>
  </si>
  <si>
    <t>https://www.inaturalist.org/observations/41809685</t>
  </si>
  <si>
    <t>https://inaturalist-open-data.s3.amazonaws.com/photos/66340693/medium.jpg</t>
  </si>
  <si>
    <t>Feeding on a Strelitzia nicolai</t>
  </si>
  <si>
    <t>Kei Mouth, 5260, South Africa</t>
  </si>
  <si>
    <t>2019/12/23 7:59 AM HST</t>
  </si>
  <si>
    <t>2019-12-23 17:59:00 UTC</t>
  </si>
  <si>
    <t>diogoluiz</t>
  </si>
  <si>
    <t>Diogo Luiz</t>
  </si>
  <si>
    <t>2020-04-14 19:07:18 UTC</t>
  </si>
  <si>
    <t>2020-04-14 19:07:19 UTC</t>
  </si>
  <si>
    <t>https://www.inaturalist.org/observations/42180790</t>
  </si>
  <si>
    <t>https://inaturalist-open-data.s3.amazonaws.com/photos/66960472/medium.jpg</t>
  </si>
  <si>
    <t>Belonogaster juncea (Vespidae Polistinae).</t>
  </si>
  <si>
    <t>Serengeti National Park, TanzÃ¢nia</t>
  </si>
  <si>
    <t>2020/04/18 6:34 PM CAT</t>
  </si>
  <si>
    <t>2020-04-18 17:34:00 UTC</t>
  </si>
  <si>
    <t>2020-04-19 16:37:59 UTC</t>
  </si>
  <si>
    <t>2022-09-22 15:31:41 UTC</t>
  </si>
  <si>
    <t>https://www.inaturalist.org/observations/42581148</t>
  </si>
  <si>
    <t>https://static.inaturalist.org/photos/67615967/medium.jpg</t>
  </si>
  <si>
    <t>Drowned in the pool</t>
  </si>
  <si>
    <t>2020/04/18 4:38 PM SAST</t>
  </si>
  <si>
    <t>2020-04-18 14:38:00 UTC</t>
  </si>
  <si>
    <t>kareneichholz</t>
  </si>
  <si>
    <t>Karen Eichholz</t>
  </si>
  <si>
    <t>2020-04-19 18:22:15 UTC</t>
  </si>
  <si>
    <t>2022-09-22 15:31:38 UTC</t>
  </si>
  <si>
    <t>https://www.inaturalist.org/observations/42591975</t>
  </si>
  <si>
    <t>https://static.inaturalist.org/photos/67629707/medium.jpeg</t>
  </si>
  <si>
    <t>2020/04/21 12:22 PM SAST</t>
  </si>
  <si>
    <t>2020-04-21 10:22:00 UTC</t>
  </si>
  <si>
    <t>albertus</t>
  </si>
  <si>
    <t>Albertus Horn</t>
  </si>
  <si>
    <t>2020-04-21 20:35:31 UTC</t>
  </si>
  <si>
    <t>2022-09-22 15:31:34 UTC</t>
  </si>
  <si>
    <t>https://www.inaturalist.org/observations/42785958</t>
  </si>
  <si>
    <t>https://static.inaturalist.org/photos/67942303/medium.jpg</t>
  </si>
  <si>
    <t>Krauseville AH, Pretoria, South Africa</t>
  </si>
  <si>
    <t>2020/04/22 11:34 AM UTC</t>
  </si>
  <si>
    <t>wgdevoogt</t>
  </si>
  <si>
    <t>2020-04-22 17:37:18 UTC</t>
  </si>
  <si>
    <t>2022-09-22 07:55:27 UTC</t>
  </si>
  <si>
    <t>https://www.inaturalist.org/observations/42865976</t>
  </si>
  <si>
    <t>https://inaturalist-open-data.s3.amazonaws.com/photos/68070275/medium.jpg</t>
  </si>
  <si>
    <t>possibly the belongaster dubia also congregating.</t>
  </si>
  <si>
    <t>Fisher Haven, Knysna, 6571, Zuid-Afrika</t>
  </si>
  <si>
    <t>Thu Apr 23 2020 08:24:35 GMT+0200 (GMT+2)</t>
  </si>
  <si>
    <t>2020-04-23 06:24:35 UTC</t>
  </si>
  <si>
    <t>2020-04-23 06:25:16 UTC</t>
  </si>
  <si>
    <t>2022-09-22 15:31:29 UTC</t>
  </si>
  <si>
    <t>https://www.inaturalist.org/observations/42930827</t>
  </si>
  <si>
    <t>https://static.inaturalist.org/photos/68170189/medium.jpg</t>
  </si>
  <si>
    <t>2020/04/24 9:48 AM SAST</t>
  </si>
  <si>
    <t>2020-04-24 07:48:00 UTC</t>
  </si>
  <si>
    <t>2020-04-24 13:30:37 UTC</t>
  </si>
  <si>
    <t>2022-09-22 04:59:34 UTC</t>
  </si>
  <si>
    <t>https://www.inaturalist.org/observations/43070287</t>
  </si>
  <si>
    <t>https://inaturalist-open-data.s3.amazonaws.com/photos/68375686/medium.jpeg</t>
  </si>
  <si>
    <t>&lt;h3&gt;Big bird down&lt;/h3&gt;_x000D_
Ailing, placed on kitchen-yard wall took sustenance? water? from overnight shower in dead leaf. Flew off</t>
  </si>
  <si>
    <t>2020/04/24 9:04 PM SAST</t>
  </si>
  <si>
    <t>2020-04-24 19:04:00 UTC</t>
  </si>
  <si>
    <t>flamelily</t>
  </si>
  <si>
    <t>2020-04-24 19:11:20 UTC</t>
  </si>
  <si>
    <t>2022-09-22 04:59:30 UTC</t>
  </si>
  <si>
    <t>https://www.inaturalist.org/observations/43146463</t>
  </si>
  <si>
    <t>https://static.inaturalist.org/photos/68489367/medium.jpg</t>
  </si>
  <si>
    <t>wasp  flying as if looking for something</t>
  </si>
  <si>
    <t>5 Dennebosch Cl, Fir Grove, Cape Town, 7806, South Africa</t>
  </si>
  <si>
    <t>2006/01/01 7:57 PM CET</t>
  </si>
  <si>
    <t>2006-01-01 18:57:00 UTC</t>
  </si>
  <si>
    <t>Brussels</t>
  </si>
  <si>
    <t>bartwursten</t>
  </si>
  <si>
    <t>Bart Wursten</t>
  </si>
  <si>
    <t>2020-04-25 06:06:51 UTC</t>
  </si>
  <si>
    <t>2022-09-22 05:07:13 UTC</t>
  </si>
  <si>
    <t>https://www.inaturalist.org/observations/43265554</t>
  </si>
  <si>
    <t>https://inaturalist-open-data.s3.amazonaws.com/photos/68672761/medium.jpg</t>
  </si>
  <si>
    <t>arthropoda, Hexapoda, hymenoptera, Insecta, Ndundu Lodge, Vumba, Zimbabwe, Insects, Fauna</t>
  </si>
  <si>
    <t>Ndundu Lodge, Vumba, Zimbabwe</t>
  </si>
  <si>
    <t>2018/11/30 2:47 AM CET</t>
  </si>
  <si>
    <t>2018-11-30 01:47:00 UTC</t>
  </si>
  <si>
    <t>tszentiv</t>
  </si>
  <si>
    <t>Tamara Szentivanyi</t>
  </si>
  <si>
    <t>2020-04-25 15:28:32 UTC</t>
  </si>
  <si>
    <t>2022-02-02 18:50:32 UTC</t>
  </si>
  <si>
    <t>https://www.inaturalist.org/observations/43344937</t>
  </si>
  <si>
    <t>https://inaturalist-open-data.s3.amazonaws.com/photos/68787330/medium.jpeg</t>
  </si>
  <si>
    <t>Windhoek, Namibia</t>
  </si>
  <si>
    <t>Sat Apr 25 2020 10:31:41 GMT+0200 (GMT+2)</t>
  </si>
  <si>
    <t>2020-04-25 08:31:41 UTC</t>
  </si>
  <si>
    <t>paolocandotti</t>
  </si>
  <si>
    <t>Paolo Candotti</t>
  </si>
  <si>
    <t>2020-04-25 17:57:24 UTC</t>
  </si>
  <si>
    <t>2022-09-22 04:58:34 UTC</t>
  </si>
  <si>
    <t>https://www.inaturalist.org/observations/43388317</t>
  </si>
  <si>
    <t>https://inaturalist-open-data.s3.amazonaws.com/photos/68849501/medium.jpg</t>
  </si>
  <si>
    <t>Cascades, Kloof, KZN, ZA</t>
  </si>
  <si>
    <t>As line above (small nest at top of photo)</t>
  </si>
  <si>
    <t>2020-04-25 10:15:14 AM GMT+02:00</t>
  </si>
  <si>
    <t>2020-04-25 08:15:14 UTC</t>
  </si>
  <si>
    <t>lucreciah</t>
  </si>
  <si>
    <t>Lucrecia</t>
  </si>
  <si>
    <t>2020-04-26 01:48:10 UTC</t>
  </si>
  <si>
    <t>2022-09-22 04:58:31 UTC</t>
  </si>
  <si>
    <t>https://www.inaturalist.org/observations/43515051</t>
  </si>
  <si>
    <t>https://static.inaturalist.org/photos/69039458/medium.jpeg</t>
  </si>
  <si>
    <t>Henley on Klip, Meyerton, 1961, South Africa</t>
  </si>
  <si>
    <t>Sun Apr 26 2020 08:53:12 GMT+0200 (GMT+2)</t>
  </si>
  <si>
    <t>2020-04-26 06:53:12 UTC</t>
  </si>
  <si>
    <t>philipcalinikos</t>
  </si>
  <si>
    <t>2020-04-26 06:54:09 UTC</t>
  </si>
  <si>
    <t>2022-09-22 04:58:26 UTC</t>
  </si>
  <si>
    <t>https://www.inaturalist.org/observations/43556756</t>
  </si>
  <si>
    <t>https://inaturalist-open-data.s3.amazonaws.com/photos/69106652/medium.jpg</t>
  </si>
  <si>
    <t>Doreen Street, Pretoria, GP, ZA</t>
  </si>
  <si>
    <t>2020/04/13 12:49 PM CAT</t>
  </si>
  <si>
    <t>2020-04-13 11:49:00 UTC</t>
  </si>
  <si>
    <t>2020-04-26 08:17:20 UTC</t>
  </si>
  <si>
    <t>2022-09-22 04:58:19 UTC</t>
  </si>
  <si>
    <t>https://www.inaturalist.org/observations/43563901</t>
  </si>
  <si>
    <t>https://inaturalist-open-data.s3.amazonaws.com/photos/69115988/medium.jpg</t>
  </si>
  <si>
    <t>Fenton Place, Chase Valley Heights, Pietermaritzburg</t>
  </si>
  <si>
    <t>Sun Apr 26 2020 10:21:40 GMT+0200 (GMT+2)</t>
  </si>
  <si>
    <t>2020-04-26 06:21:40 UTC</t>
  </si>
  <si>
    <t>markbrownsa</t>
  </si>
  <si>
    <t>Mark Brown</t>
  </si>
  <si>
    <t>2020-04-26 08:51:11 UTC</t>
  </si>
  <si>
    <t>2022-09-22 04:58:13 UTC</t>
  </si>
  <si>
    <t>https://www.inaturalist.org/observations/43567330</t>
  </si>
  <si>
    <t>https://inaturalist-open-data.s3.amazonaws.com/photos/69122500/medium.jpg</t>
  </si>
  <si>
    <t>Dassen Island Drive, Plettenberg Bay, WC, ZA</t>
  </si>
  <si>
    <t>2020/04/17 10:48 AM CAT</t>
  </si>
  <si>
    <t>2020-04-17 09:48:00 UTC</t>
  </si>
  <si>
    <t>2020-04-26 09:03:51 UTC</t>
  </si>
  <si>
    <t>2022-09-22 04:58:10 UTC</t>
  </si>
  <si>
    <t>https://www.inaturalist.org/observations/43568681</t>
  </si>
  <si>
    <t>https://inaturalist-open-data.s3.amazonaws.com/photos/69122598/medium.jpg</t>
  </si>
  <si>
    <t>2020/04/26 10:09 AM HST</t>
  </si>
  <si>
    <t>2020-04-26 20:09:00 UTC</t>
  </si>
  <si>
    <t>nina196</t>
  </si>
  <si>
    <t>Nina de Villiers</t>
  </si>
  <si>
    <t>2020-04-26 14:57:36 UTC</t>
  </si>
  <si>
    <t>2022-09-22 04:58:04 UTC</t>
  </si>
  <si>
    <t>https://www.inaturalist.org/observations/43628330</t>
  </si>
  <si>
    <t>https://static.inaturalist.org/photos/69207725/medium.jpeg</t>
  </si>
  <si>
    <t>The Heads, Knysna, 6571, South Africa</t>
  </si>
  <si>
    <t>Sun Apr 26 2020 16:50:34 GMT+0200 (GMT+2)</t>
  </si>
  <si>
    <t>2020-04-26 12:50:34 UTC</t>
  </si>
  <si>
    <t>joshdt</t>
  </si>
  <si>
    <t>2020-04-26 15:37:51 UTC</t>
  </si>
  <si>
    <t>2022-09-22 07:55:21 UTC</t>
  </si>
  <si>
    <t>https://www.inaturalist.org/observations/43639132</t>
  </si>
  <si>
    <t>https://inaturalist-open-data.s3.amazonaws.com/photos/69226640/medium.jpg</t>
  </si>
  <si>
    <t>Welgelee Road, Southern Suburbs, WC, ZA</t>
  </si>
  <si>
    <t>2020/04/25 1:45 PM SAST</t>
  </si>
  <si>
    <t>2020-04-25 09:45:00 UTC</t>
  </si>
  <si>
    <t>2020-04-26 15:53:43 UTC</t>
  </si>
  <si>
    <t>2022-09-22 07:55:17 UTC</t>
  </si>
  <si>
    <t>https://www.inaturalist.org/observations/43643258</t>
  </si>
  <si>
    <t>https://static.inaturalist.org/photos/69232831/medium.jpg</t>
  </si>
  <si>
    <t>Sat Jan 25 2020 12:46:47 GMT+0100 (GMT+1)</t>
  </si>
  <si>
    <t>2020-01-25 11:46:47 UTC</t>
  </si>
  <si>
    <t>fpollak</t>
  </si>
  <si>
    <t>Francis Pollak</t>
  </si>
  <si>
    <t>2020-04-29 14:01:14 UTC</t>
  </si>
  <si>
    <t>2022-09-22 11:52:49 UTC</t>
  </si>
  <si>
    <t>https://www.inaturalist.org/observations/44251245</t>
  </si>
  <si>
    <t>https://inaturalist-open-data.s3.amazonaws.com/photos/70160113/medium.jpg</t>
  </si>
  <si>
    <t xml:space="preserve">Sâ€™agit-il de B. Juncea? </t>
  </si>
  <si>
    <t>Pemba Island, RÃ©gion de Pemba sud, TZ</t>
  </si>
  <si>
    <t>2020/04/19 10:34 AM SAST</t>
  </si>
  <si>
    <t>2020-04-19 08:34:00 UTC</t>
  </si>
  <si>
    <t>cati</t>
  </si>
  <si>
    <t>2020-04-29 15:53:41 UTC</t>
  </si>
  <si>
    <t>2022-09-22 07:55:09 UTC</t>
  </si>
  <si>
    <t>https://www.inaturalist.org/observations/44262131</t>
  </si>
  <si>
    <t>https://inaturalist-open-data.s3.amazonaws.com/photos/70177509/medium.jpeg</t>
  </si>
  <si>
    <t>Grayleigh, Westville, 3629, South Africa</t>
  </si>
  <si>
    <t>Thu Apr 30 2020 13:13:21 GMT+0200 (GMT+2)</t>
  </si>
  <si>
    <t>2020-04-30 11:13:21 UTC</t>
  </si>
  <si>
    <t>siegwalt</t>
  </si>
  <si>
    <t>Siegwalt U KÃ¼sel</t>
  </si>
  <si>
    <t>2020-04-30 12:33:24 UTC</t>
  </si>
  <si>
    <t>2022-09-22 07:55:05 UTC</t>
  </si>
  <si>
    <t>https://www.inaturalist.org/observations/44360672</t>
  </si>
  <si>
    <t>https://inaturalist-open-data.s3.amazonaws.com/photos/70333500/medium.jpg</t>
  </si>
  <si>
    <t>Roodeplaat, Roodeplaat, GP, ZA</t>
  </si>
  <si>
    <t>2020/04/17 12:53 PM SAST</t>
  </si>
  <si>
    <t>2020-04-17 10:53:00 UTC</t>
  </si>
  <si>
    <t>2020-04-30 18:54:40 UTC</t>
  </si>
  <si>
    <t>2022-09-22 07:55:01 UTC</t>
  </si>
  <si>
    <t>https://www.inaturalist.org/observations/44393820</t>
  </si>
  <si>
    <t>https://inaturalist-open-data.s3.amazonaws.com/photos/70385751/medium.jpeg</t>
  </si>
  <si>
    <t>2022-09-22 07:54:58 UTC</t>
  </si>
  <si>
    <t>https://www.inaturalist.org/observations/44393821</t>
  </si>
  <si>
    <t>https://inaturalist-open-data.s3.amazonaws.com/photos/70385761/medium.jpeg</t>
  </si>
  <si>
    <t>2020/04/17 12:57 PM SAST</t>
  </si>
  <si>
    <t>2020-04-17 10:57:00 UTC</t>
  </si>
  <si>
    <t>2020-04-30 18:56:42 UTC</t>
  </si>
  <si>
    <t>2022-09-22 07:54:56 UTC</t>
  </si>
  <si>
    <t>https://www.inaturalist.org/observations/44394058</t>
  </si>
  <si>
    <t>https://inaturalist-open-data.s3.amazonaws.com/photos/70385900/medium.jpeg</t>
  </si>
  <si>
    <t>2020/04/17 1:08 PM SAST</t>
  </si>
  <si>
    <t>2020-04-17 11:08:00 UTC</t>
  </si>
  <si>
    <t>2020-04-30 19:15:11 UTC</t>
  </si>
  <si>
    <t>2022-09-22 07:54:53 UTC</t>
  </si>
  <si>
    <t>https://www.inaturalist.org/observations/44395819</t>
  </si>
  <si>
    <t>https://inaturalist-open-data.s3.amazonaws.com/photos/70388826/medium.jpeg</t>
  </si>
  <si>
    <t>21 Caefron Ave, Grayleigh, Westville, 3629, South Africa</t>
  </si>
  <si>
    <t>2020/05/01 4:12 AM SAST</t>
  </si>
  <si>
    <t>2020-05-01 02:12:00 UTC</t>
  </si>
  <si>
    <t>2020-05-01 03:35:44 UTC</t>
  </si>
  <si>
    <t>2022-09-22 07:54:50 UTC</t>
  </si>
  <si>
    <t>https://www.inaturalist.org/observations/44441444</t>
  </si>
  <si>
    <t>https://inaturalist-open-data.s3.amazonaws.com/photos/70462693/medium.jpeg</t>
  </si>
  <si>
    <t>&lt;h3&gt;Who'll put the dishes away?&lt;/h3&gt;_x000D_
45mm long</t>
  </si>
  <si>
    <t>2020/04/26 10:26 AM SAST</t>
  </si>
  <si>
    <t>2020-04-26 08:26:00 UTC</t>
  </si>
  <si>
    <t>rslhaupt</t>
  </si>
  <si>
    <t>Ursula Haupt</t>
  </si>
  <si>
    <t>2020-05-01 09:56:02 UTC</t>
  </si>
  <si>
    <t>2022-09-22 07:54:47 UTC</t>
  </si>
  <si>
    <t>https://www.inaturalist.org/observations/44458320</t>
  </si>
  <si>
    <t>https://inaturalist-open-data.s3.amazonaws.com/photos/70490441/medium.jpg</t>
  </si>
  <si>
    <t>Eden, Western Cape, South Africa</t>
  </si>
  <si>
    <t>2020/02/21 1:43 PM SAST</t>
  </si>
  <si>
    <t>2020-02-21 11:43:00 UTC</t>
  </si>
  <si>
    <t>geoffnichols</t>
  </si>
  <si>
    <t>Geoff Nichols</t>
  </si>
  <si>
    <t>2020-05-01 15:52:56 UTC</t>
  </si>
  <si>
    <t>2022-09-22 07:54:44 UTC</t>
  </si>
  <si>
    <t>https://www.inaturalist.org/observations/44484027</t>
  </si>
  <si>
    <t>https://inaturalist-open-data.s3.amazonaws.com/photos/70528645/medium.jpg</t>
  </si>
  <si>
    <t>Southport, Port Shepstone, 4230, South Africa</t>
  </si>
  <si>
    <t>2013/11/03 6:29 PM CET</t>
  </si>
  <si>
    <t>2013-11-03 17:29:00 UTC</t>
  </si>
  <si>
    <t>antarduengo</t>
  </si>
  <si>
    <t>Antonio RodrÃ­guez Arduengo</t>
  </si>
  <si>
    <t>2020-05-02 12:26:50 UTC</t>
  </si>
  <si>
    <t>2020-05-02 12:28:38 UTC</t>
  </si>
  <si>
    <t>https://www.inaturalist.org/observations/44578486</t>
  </si>
  <si>
    <t>https://inaturalist-open-data.s3.amazonaws.com/photos/70676519/medium.jpeg</t>
  </si>
  <si>
    <t>Uganda</t>
  </si>
  <si>
    <t>2013/11/04 4:09 PM CET</t>
  </si>
  <si>
    <t>2013-11-04 14:09:00 UTC</t>
  </si>
  <si>
    <t>2020-05-02 15:41:08 UTC</t>
  </si>
  <si>
    <t>2022-09-22 07:54:35 UTC</t>
  </si>
  <si>
    <t>https://www.inaturalist.org/observations/44597753</t>
  </si>
  <si>
    <t>https://inaturalist-open-data.s3.amazonaws.com/photos/70706253/medium.jpeg</t>
  </si>
  <si>
    <t>2019/10/05 11:48 AM SAST</t>
  </si>
  <si>
    <t>2019-10-05 09:48:00 UTC</t>
  </si>
  <si>
    <t>2020-05-02 17:03:47 UTC</t>
  </si>
  <si>
    <t>2022-09-22 04:57:34 UTC</t>
  </si>
  <si>
    <t>https://www.inaturalist.org/observations/44608912</t>
  </si>
  <si>
    <t>https://inaturalist-open-data.s3.amazonaws.com/photos/70722687/medium.jpeg</t>
  </si>
  <si>
    <t>Kloof, 3610, South Africa</t>
  </si>
  <si>
    <t>2020/04/26 12:22 PM SAST</t>
  </si>
  <si>
    <t>2020-04-26 10:22:00 UTC</t>
  </si>
  <si>
    <t>bluff</t>
  </si>
  <si>
    <t>2020-05-02 21:12:59 UTC</t>
  </si>
  <si>
    <t>2022-09-22 04:57:31 UTC</t>
  </si>
  <si>
    <t>https://www.inaturalist.org/observations/44644213</t>
  </si>
  <si>
    <t>https://inaturalist-open-data.s3.amazonaws.com/photos/70775739/medium.jpeg</t>
  </si>
  <si>
    <t>2020/04/22 3:27 PM UTC</t>
  </si>
  <si>
    <t>clifford21</t>
  </si>
  <si>
    <t>Clifford Davel</t>
  </si>
  <si>
    <t>2020-05-03 10:36:51 UTC</t>
  </si>
  <si>
    <t>2022-09-22 04:57:28 UTC</t>
  </si>
  <si>
    <t>https://www.inaturalist.org/observations/44709524</t>
  </si>
  <si>
    <t>https://static.inaturalist.org/photos/70882170/medium.jpeg</t>
  </si>
  <si>
    <t>Frankfort, 9830, South Africa</t>
  </si>
  <si>
    <t>2020/05/03 8:03 AM EAT</t>
  </si>
  <si>
    <t>2020-05-03 05:03:00 UTC</t>
  </si>
  <si>
    <t>sdolrenry</t>
  </si>
  <si>
    <t>Stephanie Dolrenry</t>
  </si>
  <si>
    <t>2020-05-06 18:05:19 UTC</t>
  </si>
  <si>
    <t>2022-09-22 13:44:36 UTC</t>
  </si>
  <si>
    <t>https://www.inaturalist.org/observations/45090197</t>
  </si>
  <si>
    <t>https://inaturalist-open-data.s3.amazonaws.com/photos/71486812/medium.jpeg</t>
  </si>
  <si>
    <t>Kajiado South, KE-KJ, KE</t>
  </si>
  <si>
    <t>2020/05/07 7:28 PM CAT</t>
  </si>
  <si>
    <t>2020-05-07 18:28:00 UTC</t>
  </si>
  <si>
    <t>2020-05-07 17:31:06 UTC</t>
  </si>
  <si>
    <t>2022-09-22 04:57:05 UTC</t>
  </si>
  <si>
    <t>https://www.inaturalist.org/observations/45183220</t>
  </si>
  <si>
    <t>https://static.inaturalist.org/photos/71637123/medium.jpg</t>
  </si>
  <si>
    <t>30 Trush Road</t>
  </si>
  <si>
    <t>2020/04/29 11:37 AM SAST</t>
  </si>
  <si>
    <t>2020-04-29 09:37:00 UTC</t>
  </si>
  <si>
    <t>felicitycrouch</t>
  </si>
  <si>
    <t>Felicity Crouch</t>
  </si>
  <si>
    <t>2020-05-08 09:49:19 UTC</t>
  </si>
  <si>
    <t>2022-09-22 04:57:02 UTC</t>
  </si>
  <si>
    <t>https://www.inaturalist.org/observations/45250139</t>
  </si>
  <si>
    <t>https://inaturalist-open-data.s3.amazonaws.com/photos/71747005/medium.jpg</t>
  </si>
  <si>
    <t>Winston Park, Gillitts, 3610, South Africa</t>
  </si>
  <si>
    <t>2020-05-08T15:12:53Z</t>
  </si>
  <si>
    <t>2020-05-08 15:12:53 UTC</t>
  </si>
  <si>
    <t>sandraar</t>
  </si>
  <si>
    <t>2020-05-08 15:13:15 UTC</t>
  </si>
  <si>
    <t>2022-09-22 04:56:59 UTC</t>
  </si>
  <si>
    <t>https://www.inaturalist.org/observations/45270202</t>
  </si>
  <si>
    <t>https://inaturalist-open-data.s3.amazonaws.com/photos/71778592/medium.jpeg</t>
  </si>
  <si>
    <t>San-pÃ©dro</t>
  </si>
  <si>
    <t>2020/05/02 9:32 AM CAT</t>
  </si>
  <si>
    <t>2020-05-02 08:32:00 UTC</t>
  </si>
  <si>
    <t>2020-05-09 16:29:33 UTC</t>
  </si>
  <si>
    <t>2022-09-22 04:56:51 UTC</t>
  </si>
  <si>
    <t>https://www.inaturalist.org/observations/45377373</t>
  </si>
  <si>
    <t>https://inaturalist-open-data.s3.amazonaws.com/photos/71950230/medium.jpg</t>
  </si>
  <si>
    <t>2020/05/02 11:04 AM CAT</t>
  </si>
  <si>
    <t>2020-05-02 10:04:00 UTC</t>
  </si>
  <si>
    <t>2020-05-09 16:41:07 UTC</t>
  </si>
  <si>
    <t>2022-09-22 04:56:44 UTC</t>
  </si>
  <si>
    <t>https://www.inaturalist.org/observations/45378568</t>
  </si>
  <si>
    <t>https://inaturalist-open-data.s3.amazonaws.com/photos/71954100/medium.jpg</t>
  </si>
  <si>
    <t>2020/05/02 10:45 AM EAT</t>
  </si>
  <si>
    <t>2020-05-02 07:45:00 UTC</t>
  </si>
  <si>
    <t>rafnuss</t>
  </si>
  <si>
    <t>RaphaÃ«l Nussbaumer</t>
  </si>
  <si>
    <t>2020-05-09 19:07:53 UTC</t>
  </si>
  <si>
    <t>2022-09-22 04:56:36 UTC</t>
  </si>
  <si>
    <t>https://www.inaturalist.org/observations/45396122</t>
  </si>
  <si>
    <t>https://static.inaturalist.org/photos/71982154/medium.jpg</t>
  </si>
  <si>
    <t>Mwamba</t>
  </si>
  <si>
    <t>2020-05-12 10:53:17 AM GMT+02:00</t>
  </si>
  <si>
    <t>2020-05-12 06:53:17 UTC</t>
  </si>
  <si>
    <t>gihan</t>
  </si>
  <si>
    <t>Gihan Ilangakoon</t>
  </si>
  <si>
    <t>2020-05-12 10:22:13 UTC</t>
  </si>
  <si>
    <t>2022-02-10 13:30:23 UTC</t>
  </si>
  <si>
    <t>https://www.inaturalist.org/observations/45668553</t>
  </si>
  <si>
    <t>https://static.inaturalist.org/photos/72426730/medium.jpg</t>
  </si>
  <si>
    <t>Botswana</t>
  </si>
  <si>
    <t>2020/05/12 11:41 AM SAST</t>
  </si>
  <si>
    <t>2020-05-12 09:41:00 UTC</t>
  </si>
  <si>
    <t>2020-05-12 11:21:44 UTC</t>
  </si>
  <si>
    <t>2022-09-22 04:56:30 UTC</t>
  </si>
  <si>
    <t>https://www.inaturalist.org/observations/45670715</t>
  </si>
  <si>
    <t>https://inaturalist-open-data.s3.amazonaws.com/photos/72429950/medium.jpeg</t>
  </si>
  <si>
    <t>Dry, spent Paper Wasp nest.</t>
  </si>
  <si>
    <t>Mopani, South Africa</t>
  </si>
  <si>
    <t>2015/02/16 6:24 PM CET</t>
  </si>
  <si>
    <t>2015-02-16 17:24:00 UTC</t>
  </si>
  <si>
    <t>Prague</t>
  </si>
  <si>
    <t>jozefobona</t>
  </si>
  <si>
    <t>Jozef OboÅˆa</t>
  </si>
  <si>
    <t>2020-05-12 14:22:24 UTC</t>
  </si>
  <si>
    <t>2022-09-22 04:56:13 UTC</t>
  </si>
  <si>
    <t>https://www.inaturalist.org/observations/45681251</t>
  </si>
  <si>
    <t>https://static.inaturalist.org/photos/72446953/medium.jpeg</t>
  </si>
  <si>
    <t>KeÅˆa</t>
  </si>
  <si>
    <t>2020/05/13 9:21 AM SAST</t>
  </si>
  <si>
    <t>2020-05-13 07:21:00 UTC</t>
  </si>
  <si>
    <t>2020-05-14 04:27:48 UTC</t>
  </si>
  <si>
    <t>2022-02-04 19:21:44 UTC</t>
  </si>
  <si>
    <t>https://www.inaturalist.org/observations/45846530</t>
  </si>
  <si>
    <t>https://inaturalist-open-data.s3.amazonaws.com/photos/72713371/medium.jpeg</t>
  </si>
  <si>
    <t>2018/11/25 9:50 AM CET</t>
  </si>
  <si>
    <t>2018-11-25 08:50:00 UTC</t>
  </si>
  <si>
    <t>2020-05-14 10:39:15 UTC</t>
  </si>
  <si>
    <t>2022-09-22 04:56:02 UTC</t>
  </si>
  <si>
    <t>https://www.inaturalist.org/observations/45857952</t>
  </si>
  <si>
    <t>https://inaturalist-open-data.s3.amazonaws.com/photos/72728482/medium.jpeg</t>
  </si>
  <si>
    <t>Suiderhof, Windhoek, ÐÐ°Ð¼Ð¸Ð±Ð¸Ñ</t>
  </si>
  <si>
    <t>2020/05/14 8:06 PM SAST</t>
  </si>
  <si>
    <t>2020-05-14 18:06:00 UTC</t>
  </si>
  <si>
    <t>dougmacsafaris</t>
  </si>
  <si>
    <t>Doug Macdonald</t>
  </si>
  <si>
    <t>2020-05-14 17:24:40 UTC</t>
  </si>
  <si>
    <t>2022-09-22 04:55:54 UTC</t>
  </si>
  <si>
    <t>https://www.inaturalist.org/observations/45887565</t>
  </si>
  <si>
    <t>https://inaturalist-open-data.s3.amazonaws.com/photos/72778016/medium.jpeg</t>
  </si>
  <si>
    <t>Harare East, Harare, Zimbabwe</t>
  </si>
  <si>
    <t>2020/05/07 12:22 PM CAT</t>
  </si>
  <si>
    <t>2020-05-07 11:22:00 UTC</t>
  </si>
  <si>
    <t>2020-05-17 04:08:17 UTC</t>
  </si>
  <si>
    <t>2022-09-22 04:55:50 UTC</t>
  </si>
  <si>
    <t>https://www.inaturalist.org/observations/46186646</t>
  </si>
  <si>
    <t>https://inaturalist-open-data.s3.amazonaws.com/photos/73255133/medium.jpeg</t>
  </si>
  <si>
    <t>2020-04-19 06:47:08 UTC</t>
  </si>
  <si>
    <t>2020-05-17 08:21:14 UTC</t>
  </si>
  <si>
    <t>2022-09-22 04:55:48 UTC</t>
  </si>
  <si>
    <t>https://www.inaturalist.org/observations/46200982</t>
  </si>
  <si>
    <t>https://static.inaturalist.org/photos/73278271/medium.jpg</t>
  </si>
  <si>
    <t>Tue May 19 2020 11:08:34 GMT+0200 (GMT+2)</t>
  </si>
  <si>
    <t>2020-05-19 09:08:34 UTC</t>
  </si>
  <si>
    <t>2020-05-19 08:52:14 UTC</t>
  </si>
  <si>
    <t>2022-09-22 04:55:44 UTC</t>
  </si>
  <si>
    <t>https://www.inaturalist.org/observations/46466430</t>
  </si>
  <si>
    <t>https://static.inaturalist.org/photos/73701505/medium.jpg</t>
  </si>
  <si>
    <t>Mufumbwe, ZM</t>
  </si>
  <si>
    <t>2020-05-19 18:12:04 UTC</t>
  </si>
  <si>
    <t>2022-09-22 04:55:42 UTC</t>
  </si>
  <si>
    <t>https://www.inaturalist.org/observations/46511452</t>
  </si>
  <si>
    <t>https://static.inaturalist.org/photos/73769390/medium.jpg</t>
  </si>
  <si>
    <t>2018/03/31 1:55 PM HST</t>
  </si>
  <si>
    <t>2018-03-31 23:55:00 UTC</t>
  </si>
  <si>
    <t>leolorber</t>
  </si>
  <si>
    <t>2020-05-22 12:54:19 UTC</t>
  </si>
  <si>
    <t>2022-03-10 06:17:46 UTC</t>
  </si>
  <si>
    <t>https://www.inaturalist.org/observations/46834013</t>
  </si>
  <si>
    <t>https://static.inaturalist.org/photos/74276124/medium.jpg</t>
  </si>
  <si>
    <t>Mpulungu, Sambia</t>
  </si>
  <si>
    <t>2020/05/16 4:09 PM SAST</t>
  </si>
  <si>
    <t>2020-05-16 14:09:00 UTC</t>
  </si>
  <si>
    <t>2020-05-23 09:17:01 UTC</t>
  </si>
  <si>
    <t>2022-09-22 07:54:16 UTC</t>
  </si>
  <si>
    <t>https://www.inaturalist.org/observations/46943098</t>
  </si>
  <si>
    <t>https://inaturalist-open-data.s3.amazonaws.com/photos/74450290/medium.jpg</t>
  </si>
  <si>
    <t>Nkhotakota, Malawi</t>
  </si>
  <si>
    <t>2020/05/25 1:05 PM SAST</t>
  </si>
  <si>
    <t>2020-05-25 11:05:00 UTC</t>
  </si>
  <si>
    <t>2020-05-25 16:41:13 UTC</t>
  </si>
  <si>
    <t>2022-09-22 07:54:13 UTC</t>
  </si>
  <si>
    <t>https://www.inaturalist.org/observations/47284698</t>
  </si>
  <si>
    <t>https://inaturalist-open-data.s3.amazonaws.com/photos/74991380/medium.jpeg</t>
  </si>
  <si>
    <t>2013/04/26 4:00 PM CEST</t>
  </si>
  <si>
    <t>2013-04-26 14:00:00 UTC</t>
  </si>
  <si>
    <t>hansboe</t>
  </si>
  <si>
    <t>Hans BÃ¶ckler</t>
  </si>
  <si>
    <t>2020-05-26 19:14:43 UTC</t>
  </si>
  <si>
    <t>2020-07-14 18:03:10 UTC</t>
  </si>
  <si>
    <t>https://www.inaturalist.org/observations/47431069</t>
  </si>
  <si>
    <t>https://inaturalist-open-data.s3.amazonaws.com/photos/75226381/medium.jpg</t>
  </si>
  <si>
    <t>Vaalwater, Limpopo, SÃ¼dafrika</t>
  </si>
  <si>
    <t>2013/04/27 2:28 PM CEST</t>
  </si>
  <si>
    <t>2013-04-27 12:28:00 UTC</t>
  </si>
  <si>
    <t>2020-05-26 19:16:39 UTC</t>
  </si>
  <si>
    <t>2021-12-03 05:17:04 UTC</t>
  </si>
  <si>
    <t>https://www.inaturalist.org/observations/47431290</t>
  </si>
  <si>
    <t>https://inaturalist-open-data.s3.amazonaws.com/photos/75226795/medium.jpg</t>
  </si>
  <si>
    <t>2016/01/18 3:21 PM CET</t>
  </si>
  <si>
    <t>2016-01-18 14:21:00 UTC</t>
  </si>
  <si>
    <t>2020-05-26 19:17:20 UTC</t>
  </si>
  <si>
    <t>2020-07-14 18:03:28 UTC</t>
  </si>
  <si>
    <t>https://www.inaturalist.org/observations/47431365</t>
  </si>
  <si>
    <t>https://inaturalist-open-data.s3.amazonaws.com/photos/75226912/medium.jpg</t>
  </si>
  <si>
    <t>Piazza, Addis Ababa, Ã„thiopien</t>
  </si>
  <si>
    <t>2020/05/17 11:30 AM CAT</t>
  </si>
  <si>
    <t>2020-05-17 10:30:00 UTC</t>
  </si>
  <si>
    <t>2020-05-27 16:45:41 UTC</t>
  </si>
  <si>
    <t>2022-09-22 08:43:19 UTC</t>
  </si>
  <si>
    <t>https://www.inaturalist.org/observations/47526568</t>
  </si>
  <si>
    <t>https://inaturalist-open-data.s3.amazonaws.com/photos/75379530/medium.jpg</t>
  </si>
  <si>
    <t>2001/11/16 12:00 AM CET</t>
  </si>
  <si>
    <t>2001-11-15 23:00:00 UTC</t>
  </si>
  <si>
    <t>2020-05-28 13:07:07 UTC</t>
  </si>
  <si>
    <t>2022-02-02 19:09:29 UTC</t>
  </si>
  <si>
    <t>https://www.inaturalist.org/observations/47616183</t>
  </si>
  <si>
    <t>https://inaturalist-open-data.s3.amazonaws.com/photos/75525812/medium.jpg</t>
  </si>
  <si>
    <t>Grootfontein, Otjozondjupa, Namibia</t>
  </si>
  <si>
    <t>meganloftieeaton</t>
  </si>
  <si>
    <t>Megan</t>
  </si>
  <si>
    <t>2020-05-30 09:47:52 UTC</t>
  </si>
  <si>
    <t>2022-09-22 07:54:03 UTC</t>
  </si>
  <si>
    <t>https://www.inaturalist.org/observations/47822840</t>
  </si>
  <si>
    <t>https://inaturalist-open-data.s3.amazonaws.com/photos/75862912/medium.jpg</t>
  </si>
  <si>
    <t>Phiring</t>
  </si>
  <si>
    <t>2020/05/23 12:21 PM SAST</t>
  </si>
  <si>
    <t>2020-05-23 08:21:00 UTC</t>
  </si>
  <si>
    <t>charlesdusautoy</t>
  </si>
  <si>
    <t>2020-05-30 19:21:07 UTC</t>
  </si>
  <si>
    <t>2022-02-02 18:44:44 UTC</t>
  </si>
  <si>
    <t>https://www.inaturalist.org/observations/47884530</t>
  </si>
  <si>
    <t>https://inaturalist-open-data.s3.amazonaws.com/photos/75956299/medium.jpeg</t>
  </si>
  <si>
    <t>Kyalami AH, Midrand, 1684, South Africa</t>
  </si>
  <si>
    <t>2019/07/11 1:14 PM SAST</t>
  </si>
  <si>
    <t>2019-07-11 11:14:00 UTC</t>
  </si>
  <si>
    <t>cookswelljikos</t>
  </si>
  <si>
    <t>Teddy Kinyanjui</t>
  </si>
  <si>
    <t>2020-06-03 08:34:14 UTC</t>
  </si>
  <si>
    <t>2022-09-22 04:54:40 UTC</t>
  </si>
  <si>
    <t>https://www.inaturalist.org/observations/48317068</t>
  </si>
  <si>
    <t>https://inaturalist-open-data.s3.amazonaws.com/photos/76658277/medium.jpeg</t>
  </si>
  <si>
    <t>Belgut, Kenya</t>
  </si>
  <si>
    <t>2020/05/28 1:52 PM CAT</t>
  </si>
  <si>
    <t>2020-05-28 12:52:00 UTC</t>
  </si>
  <si>
    <t>2020-06-03 12:53:02 UTC</t>
  </si>
  <si>
    <t>2022-09-22 04:54:36 UTC</t>
  </si>
  <si>
    <t>https://www.inaturalist.org/observations/48329176</t>
  </si>
  <si>
    <t>https://inaturalist-open-data.s3.amazonaws.com/photos/76675737/medium.jpg</t>
  </si>
  <si>
    <t>Thu Jun 04 2020 13:01:19 GMT+0200 (GMT+2)</t>
  </si>
  <si>
    <t>2020-06-04 11:01:19 UTC</t>
  </si>
  <si>
    <t>2020-06-04 16:59:55 UTC</t>
  </si>
  <si>
    <t>2022-09-22 04:54:22 UTC</t>
  </si>
  <si>
    <t>https://www.inaturalist.org/observations/48450413</t>
  </si>
  <si>
    <t>https://inaturalist-open-data.s3.amazonaws.com/photos/76878780/medium.jpg</t>
  </si>
  <si>
    <t>2009/04/13 6:26 PM SAST</t>
  </si>
  <si>
    <t>2009-04-13 16:26:00 UTC</t>
  </si>
  <si>
    <t>wielies</t>
  </si>
  <si>
    <t>marius</t>
  </si>
  <si>
    <t>2020-06-04 17:23:36 UTC</t>
  </si>
  <si>
    <t>2020-06-11 05:05:07 UTC</t>
  </si>
  <si>
    <t>https://www.inaturalist.org/observations/48452888</t>
  </si>
  <si>
    <t>https://inaturalist-open-data.s3.amazonaws.com/photos/76882288/medium.jpg</t>
  </si>
  <si>
    <t>The mystery black objects are here two. They appear to be very large beetles. Predating the larvae?!</t>
  </si>
  <si>
    <t>2009/04/19 11:41 AM SAST</t>
  </si>
  <si>
    <t>2009-04-19 09:41:00 UTC</t>
  </si>
  <si>
    <t>2020-06-04 17:32:14 UTC</t>
  </si>
  <si>
    <t>2020-06-04 19:14:10 UTC</t>
  </si>
  <si>
    <t>https://www.inaturalist.org/observations/48453657</t>
  </si>
  <si>
    <t>https://inaturalist-open-data.s3.amazonaws.com/photos/76883541/medium.jpg</t>
  </si>
  <si>
    <t>Karas Region, Namibia</t>
  </si>
  <si>
    <t>Very large nest</t>
  </si>
  <si>
    <t>2020/06/03 1:42 PM SAST</t>
  </si>
  <si>
    <t>2020-06-03 11:42:00 UTC</t>
  </si>
  <si>
    <t>2020-06-05 10:14:13 UTC</t>
  </si>
  <si>
    <t>2022-09-22 04:54:07 UTC</t>
  </si>
  <si>
    <t>https://www.inaturalist.org/observations/48522933</t>
  </si>
  <si>
    <t>https://inaturalist-open-data.s3.amazonaws.com/photos/77000870/medium.jpeg</t>
  </si>
  <si>
    <t>Wasin, Kenya</t>
  </si>
  <si>
    <t>Wasp being predated by spider</t>
  </si>
  <si>
    <t>2020/05/24 12:57 PM CAT</t>
  </si>
  <si>
    <t>2020-05-24 11:57:00 UTC</t>
  </si>
  <si>
    <t>2020-06-07 07:49:01 UTC</t>
  </si>
  <si>
    <t>2022-09-22 04:54:00 UTC</t>
  </si>
  <si>
    <t>https://www.inaturalist.org/observations/48751440</t>
  </si>
  <si>
    <t>https://inaturalist-open-data.s3.amazonaws.com/photos/77371589/medium.jpeg</t>
  </si>
  <si>
    <t>2020/06/02 2:00 PM CAT</t>
  </si>
  <si>
    <t>2020-06-02 13:00:00 UTC</t>
  </si>
  <si>
    <t>2020-06-09 05:35:37 UTC</t>
  </si>
  <si>
    <t>2022-09-22 04:53:56 UTC</t>
  </si>
  <si>
    <t>https://www.inaturalist.org/observations/48992475</t>
  </si>
  <si>
    <t>https://inaturalist-open-data.s3.amazonaws.com/photos/77763161/medium.jpeg</t>
  </si>
  <si>
    <t>2005/05/16 9:25 AM UTC</t>
  </si>
  <si>
    <t>rlongair</t>
  </si>
  <si>
    <t>2020-06-12 00:35:17 UTC</t>
  </si>
  <si>
    <t>2022-09-22 04:52:48 UTC</t>
  </si>
  <si>
    <t>https://www.inaturalist.org/observations/49283595</t>
  </si>
  <si>
    <t>https://static.inaturalist.org/photos/78232300/medium.jpeg</t>
  </si>
  <si>
    <t>Nini-Suhien, GH-WP-JO, GH-WP, GH</t>
  </si>
  <si>
    <t>2009/06/04 5:51 AM UTC</t>
  </si>
  <si>
    <t>2020-06-12 12:39:34 UTC</t>
  </si>
  <si>
    <t>2022-09-22 04:52:35 UTC</t>
  </si>
  <si>
    <t>https://www.inaturalist.org/observations/49322063</t>
  </si>
  <si>
    <t>https://static.inaturalist.org/photos/78294918/medium.jpeg</t>
  </si>
  <si>
    <t>Ghana, Upper West Region, Wechiau Community Hippo Sanctuary, Talawona Lodge</t>
  </si>
  <si>
    <t>2010/12/05 6:31 AM UTC</t>
  </si>
  <si>
    <t>2020-06-12 14:11:01 UTC</t>
  </si>
  <si>
    <t>2022-09-22 04:52:32 UTC</t>
  </si>
  <si>
    <t>https://www.inaturalist.org/observations/49328451</t>
  </si>
  <si>
    <t>https://static.inaturalist.org/photos/78301188/medium.jpeg</t>
  </si>
  <si>
    <t>Konia, Liberia</t>
  </si>
  <si>
    <t>Difficult to be sure, but appears to be pre-emergence</t>
  </si>
  <si>
    <t>2010/12/06 7:29 AM UTC</t>
  </si>
  <si>
    <t>2020-06-12 14:16:33 UTC</t>
  </si>
  <si>
    <t>2022-09-22 04:52:29 UTC</t>
  </si>
  <si>
    <t>https://www.inaturalist.org/observations/49328905</t>
  </si>
  <si>
    <t>https://static.inaturalist.org/photos/78305113/medium.jpeg</t>
  </si>
  <si>
    <t>Boi, Zorzor District, Liberia</t>
  </si>
  <si>
    <t>2020/06/12 8:29 AM UTC</t>
  </si>
  <si>
    <t>michael_pelham</t>
  </si>
  <si>
    <t>Michael Pelham</t>
  </si>
  <si>
    <t>2020-06-12 18:56:39 UTC</t>
  </si>
  <si>
    <t>2020-06-13 08:35:45 UTC</t>
  </si>
  <si>
    <t>https://www.inaturalist.org/observations/49357121</t>
  </si>
  <si>
    <t>https://inaturalist-open-data.s3.amazonaws.com/photos/78347977/medium.jpg</t>
  </si>
  <si>
    <t>Mvomero, Tanzania</t>
  </si>
  <si>
    <t>2020/06/16 2:16 PM UTC</t>
  </si>
  <si>
    <t>2020-06-16 19:02:05 UTC</t>
  </si>
  <si>
    <t>2022-09-22 04:52:20 UTC</t>
  </si>
  <si>
    <t>https://www.inaturalist.org/observations/49867353</t>
  </si>
  <si>
    <t>https://inaturalist-open-data.s3.amazonaws.com/photos/79174521/medium.jpg</t>
  </si>
  <si>
    <t>2020/06/13 9:40 AM SAST</t>
  </si>
  <si>
    <t>2020-06-13 07:40:00 UTC</t>
  </si>
  <si>
    <t>2020-06-17 19:24:24 UTC</t>
  </si>
  <si>
    <t>2022-09-22 04:52:18 UTC</t>
  </si>
  <si>
    <t>https://www.inaturalist.org/observations/49974103</t>
  </si>
  <si>
    <t>https://inaturalist-open-data.s3.amazonaws.com/photos/79344904/medium.jpg</t>
  </si>
  <si>
    <t>Nkhotakota Wildlife Reserve, Malawi</t>
  </si>
  <si>
    <t>2020-06-18T19:04:07+03:00</t>
  </si>
  <si>
    <t>2020-06-18 16:04:07 UTC</t>
  </si>
  <si>
    <t>gmykle</t>
  </si>
  <si>
    <t>Gensi Mykle</t>
  </si>
  <si>
    <t>2020-06-18 19:38:35 UTC</t>
  </si>
  <si>
    <t>2022-09-22 04:52:13 UTC</t>
  </si>
  <si>
    <t>https://www.inaturalist.org/observations/50080516</t>
  </si>
  <si>
    <t>https://static.inaturalist.org/photos/79530192/medium.jpg</t>
  </si>
  <si>
    <t>Kampala</t>
  </si>
  <si>
    <t>Dead nest with single female</t>
  </si>
  <si>
    <t>2015/01/04 12:48 PM CST</t>
  </si>
  <si>
    <t>2015-01-04 18:48:00 UTC</t>
  </si>
  <si>
    <t>mschmidt1966</t>
  </si>
  <si>
    <t>Michael Schmidt</t>
  </si>
  <si>
    <t>2020-06-21 10:22:29 UTC</t>
  </si>
  <si>
    <t>2022-09-22 07:54:00 UTC</t>
  </si>
  <si>
    <t>https://www.inaturalist.org/observations/50387289</t>
  </si>
  <si>
    <t>https://static.inaturalist.org/photos/80007254/medium.jpg</t>
  </si>
  <si>
    <t>Athropoden, Insekten - Insects, Macro, Tiere</t>
  </si>
  <si>
    <t>Greater St Lucia Wetland Nature Reserve, Umkhanyakude, KwaZulu-Natal, South Africa</t>
  </si>
  <si>
    <t>2018/11/04 7:02 AM PST</t>
  </si>
  <si>
    <t>2018-11-04 15:02:00 UTC</t>
  </si>
  <si>
    <t>roycecumming</t>
  </si>
  <si>
    <t>Royce Cumming</t>
  </si>
  <si>
    <t>2020-06-22 04:32:00 UTC</t>
  </si>
  <si>
    <t>2022-09-22 07:53:58 UTC</t>
  </si>
  <si>
    <t>https://www.inaturalist.org/observations/50516373</t>
  </si>
  <si>
    <t>https://inaturalist-open-data.s3.amazonaws.com/photos/80211352/medium.jpg</t>
  </si>
  <si>
    <t>2011/06/02 9:49 PM HST</t>
  </si>
  <si>
    <t>2011-06-03 07:49:00 UTC</t>
  </si>
  <si>
    <t>zarek</t>
  </si>
  <si>
    <t>Zarek Cockar</t>
  </si>
  <si>
    <t>2020-06-25 12:39:47 UTC</t>
  </si>
  <si>
    <t>2022-09-22 07:53:54 UTC</t>
  </si>
  <si>
    <t>https://www.inaturalist.org/observations/50876616</t>
  </si>
  <si>
    <t>https://inaturalist-open-data.s3.amazonaws.com/photos/80807771/medium.jpg</t>
  </si>
  <si>
    <t>overlooking Olare Orok stream Mara North Conservancy, Kenya</t>
  </si>
  <si>
    <t>2018-06-13 12:26:14 UTC</t>
  </si>
  <si>
    <t>arthur_chapman</t>
  </si>
  <si>
    <t>Arthur Chapman</t>
  </si>
  <si>
    <t>2020-06-28 21:35:27 UTC</t>
  </si>
  <si>
    <t>2020-06-30 16:53:41 UTC</t>
  </si>
  <si>
    <t>https://www.inaturalist.org/observations/51287038</t>
  </si>
  <si>
    <t>https://inaturalist-open-data.s3.amazonaws.com/photos/81472200/medium.jpg</t>
  </si>
  <si>
    <t>Belonogaster, juncea, Belonogaster juncea, wasp, paper wasp, Caprivi Houseboat Safari Lodge, Zambezi River, Zambezi, Caprivi, Katima Mulilo, Namibia, taxonomy:kingdom=Animalia, taxonomy:phylum=Arthropoda, taxonomy:class=Insecta, taxonomy:order=Hymenoptera, taxonomy:family=Vespidae, taxonomy:genus=Belonogaster, taxonomy:binomial=Belonogaster juncea, taxonomy:common=Paper Wasp, geocode:accuracy=30 meters, geocode:method=GPS, geo:country=Namibia, geo:region=Africa, Belonogaster juncea (a paper wasp)</t>
  </si>
  <si>
    <t>A quasicocial paper wasp (Belonogaster juncea) in the rafters at Caprivi Houseboat Safari Lodge, Katima Mulilo, Namibia. Photographed on 13 June 2018.</t>
  </si>
  <si>
    <t>Katima Mulilo, Caprivi, Namibia</t>
  </si>
  <si>
    <t>2020/07/01 11:50 AM EAT</t>
  </si>
  <si>
    <t>2020-07-01 08:50:00 UTC</t>
  </si>
  <si>
    <t>glorysummay</t>
  </si>
  <si>
    <t>2020-07-01 18:48:42 UTC</t>
  </si>
  <si>
    <t>2022-09-22 07:53:52 UTC</t>
  </si>
  <si>
    <t>https://www.inaturalist.org/observations/51610176</t>
  </si>
  <si>
    <t>https://inaturalist-open-data.s3.amazonaws.com/photos/82001101/medium.jpeg</t>
  </si>
  <si>
    <t>Tanzania National Parks Headoffice,Arusha, Tanzania</t>
  </si>
  <si>
    <t>2020/06/11 3:52 PM CAT</t>
  </si>
  <si>
    <t>2020-06-11 14:52:00 UTC</t>
  </si>
  <si>
    <t>2020-07-05 06:09:54 UTC</t>
  </si>
  <si>
    <t>2022-09-22 07:53:49 UTC</t>
  </si>
  <si>
    <t>https://www.inaturalist.org/observations/51989638</t>
  </si>
  <si>
    <t>https://inaturalist-open-data.s3.amazonaws.com/photos/82627667/medium.jpeg</t>
  </si>
  <si>
    <t>2020-06-25 5:03:46 PM GMT+03:00</t>
  </si>
  <si>
    <t>2020-06-25 14:03:46 UTC</t>
  </si>
  <si>
    <t>edmwaky</t>
  </si>
  <si>
    <t>Edward William Mwakipunda</t>
  </si>
  <si>
    <t>2020-07-05 13:20:10 UTC</t>
  </si>
  <si>
    <t>2022-09-22 07:53:46 UTC</t>
  </si>
  <si>
    <t>https://www.inaturalist.org/observations/52012796</t>
  </si>
  <si>
    <t>https://inaturalist-open-data.s3.amazonaws.com/photos/82664546/medium.jpg</t>
  </si>
  <si>
    <t>Kitunda Dar Es Salaam</t>
  </si>
  <si>
    <t>2005/09/26 7:35 AM BST</t>
  </si>
  <si>
    <t>2005-09-26 06:35:00 UTC</t>
  </si>
  <si>
    <t>mikegrutherford</t>
  </si>
  <si>
    <t>Mike G. Rutherford</t>
  </si>
  <si>
    <t>2020-07-05 13:33:32 UTC</t>
  </si>
  <si>
    <t>2022-09-22 07:53:45 UTC</t>
  </si>
  <si>
    <t>https://www.inaturalist.org/observations/52014174</t>
  </si>
  <si>
    <t>https://inaturalist-open-data.s3.amazonaws.com/photos/82663477/medium.jpeg</t>
  </si>
  <si>
    <t>Jinja, Uganda</t>
  </si>
  <si>
    <t>2020-04-10 3:39:23 PM GMT+02:00</t>
  </si>
  <si>
    <t>2020-04-10 13:39:23 UTC</t>
  </si>
  <si>
    <t>sinad3</t>
  </si>
  <si>
    <t>SinÃ©ad McManus</t>
  </si>
  <si>
    <t>2020-07-05 18:25:19 UTC</t>
  </si>
  <si>
    <t>2022-09-22 15:57:27 UTC</t>
  </si>
  <si>
    <t>https://www.inaturalist.org/observations/52051575</t>
  </si>
  <si>
    <t>https://static.inaturalist.org/photos/82724324/medium.jpeg</t>
  </si>
  <si>
    <t>Kigali</t>
  </si>
  <si>
    <t>2020/05/24 7:49 PM UTC</t>
  </si>
  <si>
    <t>janduchoslav</t>
  </si>
  <si>
    <t>2020-07-07 08:31:42 UTC</t>
  </si>
  <si>
    <t>2022-09-22 15:57:24 UTC</t>
  </si>
  <si>
    <t>https://www.inaturalist.org/observations/52238035</t>
  </si>
  <si>
    <t>https://inaturalist-open-data.s3.amazonaws.com/photos/83029643/medium.jpg</t>
  </si>
  <si>
    <t>Lilongwe, animals</t>
  </si>
  <si>
    <t>Lilongwe, MW</t>
  </si>
  <si>
    <t>2020/06/15 1:43 PM CAT</t>
  </si>
  <si>
    <t>2020-06-15 12:43:00 UTC</t>
  </si>
  <si>
    <t>2020-07-08 03:04:08 UTC</t>
  </si>
  <si>
    <t>2022-09-22 15:57:21 UTC</t>
  </si>
  <si>
    <t>https://www.inaturalist.org/observations/52330951</t>
  </si>
  <si>
    <t>https://inaturalist-open-data.s3.amazonaws.com/photos/83182933/medium.jpeg</t>
  </si>
  <si>
    <t>2020/07/07 8:27 AM UTC</t>
  </si>
  <si>
    <t>oliverharvey</t>
  </si>
  <si>
    <t>Oliver Harvey</t>
  </si>
  <si>
    <t>2020-07-08 08:42:46 UTC</t>
  </si>
  <si>
    <t>2022-09-22 15:57:19 UTC</t>
  </si>
  <si>
    <t>https://www.inaturalist.org/observations/52346107</t>
  </si>
  <si>
    <t>https://static.inaturalist.org/photos/83206222/medium.jpg</t>
  </si>
  <si>
    <t>Central, South Africa</t>
  </si>
  <si>
    <t>2020/07/07 8:28 AM UTC</t>
  </si>
  <si>
    <t>2020-07-08 08:42:49 UTC</t>
  </si>
  <si>
    <t>2022-09-22 15:57:16 UTC</t>
  </si>
  <si>
    <t>https://www.inaturalist.org/observations/52346108</t>
  </si>
  <si>
    <t>https://static.inaturalist.org/photos/83206492/medium.jpg</t>
  </si>
  <si>
    <t>FLAGGED: Seems to be the same observation as the one above</t>
  </si>
  <si>
    <t>2020/07/07 12:11 PM UTC</t>
  </si>
  <si>
    <t>2020-07-07 12:11:00 UTC</t>
  </si>
  <si>
    <t>hlimond</t>
  </si>
  <si>
    <t>2020-07-08 08:49:34 UTC</t>
  </si>
  <si>
    <t>2022-09-22 15:57:13 UTC</t>
  </si>
  <si>
    <t>https://www.inaturalist.org/observations/52346413</t>
  </si>
  <si>
    <t>https://inaturalist-open-data.s3.amazonaws.com/photos/83209092/medium.jpeg</t>
  </si>
  <si>
    <t>Ehlanzeni, South Africa</t>
  </si>
  <si>
    <t>2020/06/19 1:55 PM CAT</t>
  </si>
  <si>
    <t>2020-06-19 12:55:00 UTC</t>
  </si>
  <si>
    <t>2020-07-08 17:33:53 UTC</t>
  </si>
  <si>
    <t>2022-09-22 15:57:09 UTC</t>
  </si>
  <si>
    <t>https://www.inaturalist.org/observations/52386236</t>
  </si>
  <si>
    <t>https://inaturalist-open-data.s3.amazonaws.com/photos/83272100/medium.jpeg</t>
  </si>
  <si>
    <t>2017/03/11 12:07 PM SAST</t>
  </si>
  <si>
    <t>2017-03-11 10:07:00 UTC</t>
  </si>
  <si>
    <t>peters5001</t>
  </si>
  <si>
    <t>Peter Small</t>
  </si>
  <si>
    <t>2020-07-11 09:19:15 UTC</t>
  </si>
  <si>
    <t>2022-09-16 20:21:29 UTC</t>
  </si>
  <si>
    <t>https://www.inaturalist.org/observations/52656969</t>
  </si>
  <si>
    <t>https://inaturalist-open-data.s3.amazonaws.com/photos/83720734/medium.jpg</t>
  </si>
  <si>
    <t>2017/09/03 9:57 AM SAST</t>
  </si>
  <si>
    <t>2017-09-03 07:57:00 UTC</t>
  </si>
  <si>
    <t>2020-07-11 09:19:42 UTC</t>
  </si>
  <si>
    <t>2022-09-22 15:57:06 UTC</t>
  </si>
  <si>
    <t>https://www.inaturalist.org/observations/52657007</t>
  </si>
  <si>
    <t>https://inaturalist-open-data.s3.amazonaws.com/photos/83721249/medium.jpg</t>
  </si>
  <si>
    <t>2017/09/03 9:28 AM SAST</t>
  </si>
  <si>
    <t>2017-09-03 07:28:00 UTC</t>
  </si>
  <si>
    <t>2020-07-11 09:19:49 UTC</t>
  </si>
  <si>
    <t>2022-09-22 15:57:03 UTC</t>
  </si>
  <si>
    <t>https://www.inaturalist.org/observations/52657029</t>
  </si>
  <si>
    <t>https://inaturalist-open-data.s3.amazonaws.com/photos/83721467/medium.jpg</t>
  </si>
  <si>
    <t>2022-09-22 04:52:07 UTC</t>
  </si>
  <si>
    <t>https://www.inaturalist.org/observations/52657030</t>
  </si>
  <si>
    <t>https://inaturalist-open-data.s3.amazonaws.com/photos/83721485/medium.jpg</t>
  </si>
  <si>
    <t>2020/06/29 2:00 PM CAT</t>
  </si>
  <si>
    <t>2020-06-29 13:00:00 UTC</t>
  </si>
  <si>
    <t>2020-07-12 04:19:31 UTC</t>
  </si>
  <si>
    <t>2022-09-22 04:51:59 UTC</t>
  </si>
  <si>
    <t>https://www.inaturalist.org/observations/52764219</t>
  </si>
  <si>
    <t>https://inaturalist-open-data.s3.amazonaws.com/photos/83896941/medium.jpeg</t>
  </si>
  <si>
    <t>Mon May 25 2020 08:36:45 GMT+0200 (GMT+2)</t>
  </si>
  <si>
    <t>2020-05-25 06:36:45 UTC</t>
  </si>
  <si>
    <t>2020-07-12 09:10:15 UTC</t>
  </si>
  <si>
    <t>2022-09-22 04:51:57 UTC</t>
  </si>
  <si>
    <t>https://www.inaturalist.org/observations/52777829</t>
  </si>
  <si>
    <t>https://static.inaturalist.org/photos/83919607/medium.jpg</t>
  </si>
  <si>
    <t>Sun Jul 12 2020 20:32:30 GMT+0300 (GMT+3)</t>
  </si>
  <si>
    <t>2020-07-12 17:32:30 UTC</t>
  </si>
  <si>
    <t>2020-07-12 17:33:22 UTC</t>
  </si>
  <si>
    <t>2022-09-22 04:51:54 UTC</t>
  </si>
  <si>
    <t>https://www.inaturalist.org/observations/52830835</t>
  </si>
  <si>
    <t>https://static.inaturalist.org/photos/84001630/medium.jpg</t>
  </si>
  <si>
    <t>Elsek Elsek Nairobi Show House Road, Nairobi, Nairobi, KE</t>
  </si>
  <si>
    <t>2020-07-20 9:09:57 AM GMT+02:00</t>
  </si>
  <si>
    <t>2020-07-20 07:09:57 UTC</t>
  </si>
  <si>
    <t>2020-07-20 08:54:50 UTC</t>
  </si>
  <si>
    <t>2022-09-22 04:51:42 UTC</t>
  </si>
  <si>
    <t>https://www.inaturalist.org/observations/53706254</t>
  </si>
  <si>
    <t>https://static.inaturalist.org/photos/85431673/medium.jpeg</t>
  </si>
  <si>
    <t>2020-07-20 9:11:17 AM GMT+02:00</t>
  </si>
  <si>
    <t>2020-07-20 07:11:17 UTC</t>
  </si>
  <si>
    <t>2020-07-20 08:56:29 UTC</t>
  </si>
  <si>
    <t>2022-09-22 04:51:36 UTC</t>
  </si>
  <si>
    <t>https://www.inaturalist.org/observations/53706315</t>
  </si>
  <si>
    <t>https://static.inaturalist.org/photos/85431778/medium.jpeg</t>
  </si>
  <si>
    <t>2020/07/20 11:45 AM SAST</t>
  </si>
  <si>
    <t>2020-07-20 09:45:00 UTC</t>
  </si>
  <si>
    <t>2020-07-21 08:16:59 UTC</t>
  </si>
  <si>
    <t>2022-09-22 04:51:27 UTC</t>
  </si>
  <si>
    <t>https://www.inaturalist.org/observations/53818861</t>
  </si>
  <si>
    <t>https://inaturalist-open-data.s3.amazonaws.com/photos/85610927/medium.jpg</t>
  </si>
  <si>
    <t>2020/06/01 1:01 PM SAST</t>
  </si>
  <si>
    <t>2020-06-01 11:01:00 UTC</t>
  </si>
  <si>
    <t>2020-07-26 09:11:47 UTC</t>
  </si>
  <si>
    <t>2022-09-22 04:51:23 UTC</t>
  </si>
  <si>
    <t>https://www.inaturalist.org/observations/54371782</t>
  </si>
  <si>
    <t>https://inaturalist-open-data.s3.amazonaws.com/photos/86514757/medium.jpeg</t>
  </si>
  <si>
    <t>2020/07/22 5:51 PM SAST</t>
  </si>
  <si>
    <t>2020-07-22 15:51:00 UTC</t>
  </si>
  <si>
    <t>2020-07-26 13:46:44 UTC</t>
  </si>
  <si>
    <t>2022-09-22 04:51:21 UTC</t>
  </si>
  <si>
    <t>https://www.inaturalist.org/observations/54391608</t>
  </si>
  <si>
    <t>https://inaturalist-open-data.s3.amazonaws.com/photos/86545672/medium.jpeg</t>
  </si>
  <si>
    <t>2020/07/03 1:03 PM UTC</t>
  </si>
  <si>
    <t>chloe_c</t>
  </si>
  <si>
    <t>2020-07-31 16:55:39 UTC</t>
  </si>
  <si>
    <t>2022-09-22 04:51:12 UTC</t>
  </si>
  <si>
    <t>https://www.inaturalist.org/observations/54945218</t>
  </si>
  <si>
    <t>https://static.inaturalist.org/photos/87457847/medium.jpg</t>
  </si>
  <si>
    <t>Musanze, Rwanda</t>
  </si>
  <si>
    <t>2020/08/02 8:40 AM EAT</t>
  </si>
  <si>
    <t>2020-08-02 05:40:00 UTC</t>
  </si>
  <si>
    <t>2020-08-02 15:40:16 UTC</t>
  </si>
  <si>
    <t>2022-09-22 04:51:01 UTC</t>
  </si>
  <si>
    <t>https://www.inaturalist.org/observations/55164199</t>
  </si>
  <si>
    <t>https://inaturalist-open-data.s3.amazonaws.com/photos/87816460/medium.jpeg</t>
  </si>
  <si>
    <t>Mahale Mountain National Park, Tanzania</t>
  </si>
  <si>
    <t>2020-08-03 6:50:57 AM GMT+02:00</t>
  </si>
  <si>
    <t>2020-08-03 02:50:57 UTC</t>
  </si>
  <si>
    <t>jonathan_whitaker</t>
  </si>
  <si>
    <t>Jonathan Whitaker</t>
  </si>
  <si>
    <t>2020-08-03 04:51:56 UTC</t>
  </si>
  <si>
    <t>2022-03-10 06:17:16 UTC</t>
  </si>
  <si>
    <t>https://www.inaturalist.org/observations/55246302</t>
  </si>
  <si>
    <t>https://inaturalist-open-data.s3.amazonaws.com/photos/87958314/medium.jpeg</t>
  </si>
  <si>
    <t>Chegutu, Zimbabwe</t>
  </si>
  <si>
    <t>2020-08-03 7:33:43 AM GMT+02:00</t>
  </si>
  <si>
    <t>2020-08-03 03:33:43 UTC</t>
  </si>
  <si>
    <t>barefootbushbaby</t>
  </si>
  <si>
    <t>Cara Trivella</t>
  </si>
  <si>
    <t>2020-08-03 07:01:24 UTC</t>
  </si>
  <si>
    <t>2022-03-10 06:17:06 UTC</t>
  </si>
  <si>
    <t>https://www.inaturalist.org/observations/55251627</t>
  </si>
  <si>
    <t>https://inaturalist-open-data.s3.amazonaws.com/photos/87967749/medium.jpeg</t>
  </si>
  <si>
    <t>Sitting on very small nest</t>
  </si>
  <si>
    <t>Chipangali Wildlife Orphanage</t>
  </si>
  <si>
    <t>Hornets, Paper Wasps, Potter Wasps, and Allies</t>
  </si>
  <si>
    <t>2020-08-05 9:13:50 AM GMT+02:00</t>
  </si>
  <si>
    <t>2020-08-05 07:13:50 UTC</t>
  </si>
  <si>
    <t>spidermandan</t>
  </si>
  <si>
    <t>Dan Lee</t>
  </si>
  <si>
    <t>2020-08-05 07:18:33 UTC</t>
  </si>
  <si>
    <t>2022-09-22 04:50:55 UTC</t>
  </si>
  <si>
    <t>https://www.inaturalist.org/observations/55469153</t>
  </si>
  <si>
    <t>https://inaturalist-open-data.s3.amazonaws.com/photos/88329343/medium.jpeg</t>
  </si>
  <si>
    <t>Makoni, Zimbabwe</t>
  </si>
  <si>
    <t>A small hibernation cluster… in Zimbabwe</t>
  </si>
  <si>
    <t>2020/07/21 1:43 PM CAT</t>
  </si>
  <si>
    <t>2020-07-21 12:43:00 UTC</t>
  </si>
  <si>
    <t>2020-08-06 04:27:30 UTC</t>
  </si>
  <si>
    <t>2022-09-22 04:50:49 UTC</t>
  </si>
  <si>
    <t>https://www.inaturalist.org/observations/55568855</t>
  </si>
  <si>
    <t>https://inaturalist-open-data.s3.amazonaws.com/photos/88494455/medium.jpeg</t>
  </si>
  <si>
    <t>2020/08/04 12:42 PM CAT</t>
  </si>
  <si>
    <t>2020-08-04 11:42:00 UTC</t>
  </si>
  <si>
    <t>2020-08-07 12:00:33 UTC</t>
  </si>
  <si>
    <t>2022-09-22 04:50:40 UTC</t>
  </si>
  <si>
    <t>https://www.inaturalist.org/observations/55688670</t>
  </si>
  <si>
    <t>https://inaturalist-open-data.s3.amazonaws.com/photos/88691822/medium.jpeg</t>
  </si>
  <si>
    <t>Bojanala, South Africa</t>
  </si>
  <si>
    <t>2020/07/24 4:15 PM CAT</t>
  </si>
  <si>
    <t>2020-07-24 15:15:00 UTC</t>
  </si>
  <si>
    <t>2020-08-11 04:46:50 UTC</t>
  </si>
  <si>
    <t>2022-09-22 04:50:35 UTC</t>
  </si>
  <si>
    <t>https://www.inaturalist.org/observations/56099723</t>
  </si>
  <si>
    <t>https://inaturalist-open-data.s3.amazonaws.com/photos/89373493/medium.jpeg</t>
  </si>
  <si>
    <t>2020/07/26 1:46 PM CAT</t>
  </si>
  <si>
    <t>2020-07-26 12:46:00 UTC</t>
  </si>
  <si>
    <t>2020-08-12 03:14:43 UTC</t>
  </si>
  <si>
    <t>2022-09-22 04:50:33 UTC</t>
  </si>
  <si>
    <t>https://www.inaturalist.org/observations/56190701</t>
  </si>
  <si>
    <t>https://inaturalist-open-data.s3.amazonaws.com/photos/89527947/medium.jpeg</t>
  </si>
  <si>
    <t>2020-03-15 1:46:38 PM GMT+02:00</t>
  </si>
  <si>
    <t>2020-03-15 11:46:38 UTC</t>
  </si>
  <si>
    <t>joelmckay</t>
  </si>
  <si>
    <t>Joel McKay</t>
  </si>
  <si>
    <t>2020-08-16 06:16:05 UTC</t>
  </si>
  <si>
    <t>2022-09-22 15:29:27 UTC</t>
  </si>
  <si>
    <t>https://www.inaturalist.org/observations/56599735</t>
  </si>
  <si>
    <t>https://static.inaturalist.org/photos/90209514/medium.jpeg</t>
  </si>
  <si>
    <t>Dead wasp hanging from moss.</t>
  </si>
  <si>
    <t>Mashonaland West Province, Zimbabwe</t>
  </si>
  <si>
    <t>2020/08/17 11:42 AM SAST</t>
  </si>
  <si>
    <t>2020-08-17 09:42:00 UTC</t>
  </si>
  <si>
    <t>2020-08-17 17:53:43 UTC</t>
  </si>
  <si>
    <t>2022-09-22 15:29:23 UTC</t>
  </si>
  <si>
    <t>https://www.inaturalist.org/observations/56762110</t>
  </si>
  <si>
    <t>https://inaturalist-open-data.s3.amazonaws.com/photos/90465312/medium.jpeg</t>
  </si>
  <si>
    <t>Queen Elizabeth Park Nature Reserve (Hilton)</t>
  </si>
  <si>
    <t>There are two adults present, but the nest is truly abandoned: fully dead.</t>
  </si>
  <si>
    <t>1980/04/16 12:00 AM CEST</t>
  </si>
  <si>
    <t>1980-04-15 22:00:00 UTC</t>
  </si>
  <si>
    <t>galat-luong_anh</t>
  </si>
  <si>
    <t>Dr Anh Galat-Luong</t>
  </si>
  <si>
    <t>2020-08-30 16:19:23 UTC</t>
  </si>
  <si>
    <t>2022-09-22 15:56:59 UTC</t>
  </si>
  <si>
    <t>https://www.inaturalist.org/observations/58041422</t>
  </si>
  <si>
    <t>https://inaturalist-open-data.s3.amazonaws.com/photos/92630384/medium.jpg</t>
  </si>
  <si>
    <t>Arthropode Insecte, Projet TaÃ¯ Mab Unesco No1, TaÃ¯ Parc national, CÃ´te d'Ivoire
Copyright IRD - Gerard Galat</t>
  </si>
  <si>
    <t>TaÃ¯ NP, Primatologie Orstom Mab, Guiglo, CÃ´te d'Ivoire 7</t>
  </si>
  <si>
    <t>1982/05/02 3:00 AM CEST</t>
  </si>
  <si>
    <t>1982-05-02 01:00:00 UTC</t>
  </si>
  <si>
    <t>2020-08-30 16:21:18 UTC</t>
  </si>
  <si>
    <t>2022-09-22 15:29:10 UTC</t>
  </si>
  <si>
    <t>https://www.inaturalist.org/observations/58041612</t>
  </si>
  <si>
    <t>https://inaturalist-open-data.s3.amazonaws.com/photos/92630749/medium.jpg</t>
  </si>
  <si>
    <t>2020/08/08 2:44 PM CAT</t>
  </si>
  <si>
    <t>2020-08-08 13:44:00 UTC</t>
  </si>
  <si>
    <t>2020-09-01 03:01:05 UTC</t>
  </si>
  <si>
    <t>2022-09-22 15:27:30 UTC</t>
  </si>
  <si>
    <t>https://www.inaturalist.org/observations/58213582</t>
  </si>
  <si>
    <t>https://inaturalist-open-data.s3.amazonaws.com/photos/92918550/medium.jpeg</t>
  </si>
  <si>
    <t>2020/08/30 8:35 AM SAST</t>
  </si>
  <si>
    <t>2020-08-30 06:35:00 UTC</t>
  </si>
  <si>
    <t>2020-09-02 03:56:23 UTC</t>
  </si>
  <si>
    <t>2022-09-22 15:27:27 UTC</t>
  </si>
  <si>
    <t>https://www.inaturalist.org/observations/58307102</t>
  </si>
  <si>
    <t>https://inaturalist-open-data.s3.amazonaws.com/photos/93076550/medium.jpeg</t>
  </si>
  <si>
    <t>&lt;h3&gt;2 days' shelter from the cold&lt;/h3&gt;</t>
  </si>
  <si>
    <t>2020/06/29 2:06 PM SAST</t>
  </si>
  <si>
    <t>2020-06-29 12:06:00 UTC</t>
  </si>
  <si>
    <t>nataliefield</t>
  </si>
  <si>
    <t>Natalie Field</t>
  </si>
  <si>
    <t>2020-09-09 13:55:45 UTC</t>
  </si>
  <si>
    <t>2022-06-16 18:00:51 UTC</t>
  </si>
  <si>
    <t>https://www.inaturalist.org/observations/59040067</t>
  </si>
  <si>
    <t>https://inaturalist-open-data.s3.amazonaws.com/photos/94303875/medium.jpg</t>
  </si>
  <si>
    <t>Paulshof, Sandton, 2191, South Africa</t>
  </si>
  <si>
    <t>2020/09/13 12:24 PM SAST</t>
  </si>
  <si>
    <t>2020-09-13 10:24:00 UTC</t>
  </si>
  <si>
    <t>2020-09-14 05:45:15 UTC</t>
  </si>
  <si>
    <t>2022-09-22 15:27:22 UTC</t>
  </si>
  <si>
    <t>https://www.inaturalist.org/observations/59550207</t>
  </si>
  <si>
    <t>https://inaturalist-open-data.s3.amazonaws.com/photos/95158116/medium.jpeg</t>
  </si>
  <si>
    <t>2020-09-03 12:02:51 PM GMT+03:00</t>
  </si>
  <si>
    <t>2020-09-03 09:02:51 UTC</t>
  </si>
  <si>
    <t>lauraafiyb</t>
  </si>
  <si>
    <t>2020-09-14 19:20:07 UTC</t>
  </si>
  <si>
    <t>2022-09-22 15:27:18 UTC</t>
  </si>
  <si>
    <t>https://www.inaturalist.org/observations/59604596</t>
  </si>
  <si>
    <t>https://inaturalist-open-data.s3.amazonaws.com/photos/95247488/medium.jpeg</t>
  </si>
  <si>
    <t>Hargeisa</t>
  </si>
  <si>
    <t>2013/03/15 11:39 PM AEDT</t>
  </si>
  <si>
    <t>2013-03-15 12:39:00 UTC</t>
  </si>
  <si>
    <t>Melbourne</t>
  </si>
  <si>
    <t>johnlenagan</t>
  </si>
  <si>
    <t>john lenagan</t>
  </si>
  <si>
    <t>2020-09-22 05:41:49 UTC</t>
  </si>
  <si>
    <t>2022-09-22 15:27:14 UTC</t>
  </si>
  <si>
    <t>https://www.inaturalist.org/observations/60396174</t>
  </si>
  <si>
    <t>https://static.inaturalist.org/photos/96571401/medium.jpg</t>
  </si>
  <si>
    <t>Atsimo-Andrefana, Madagascar</t>
  </si>
  <si>
    <t>Fri Sep 25 2020 14:31:29 GMT+0200 (GMT+2)</t>
  </si>
  <si>
    <t>2020-09-25 12:31:29 UTC</t>
  </si>
  <si>
    <t>2020-09-25 12:36:56 UTC</t>
  </si>
  <si>
    <t>2022-09-22 15:27:03 UTC</t>
  </si>
  <si>
    <t>https://www.inaturalist.org/observations/60704263</t>
  </si>
  <si>
    <t>https://inaturalist-open-data.s3.amazonaws.com/photos/97087514/medium.jpg</t>
  </si>
  <si>
    <t>Station Road, Mtunzini, KZN, ZA</t>
  </si>
  <si>
    <t>2020-09-26 9:44:46 AM GMT+02:00</t>
  </si>
  <si>
    <t>2020-09-26 07:44:46 UTC</t>
  </si>
  <si>
    <t>caw70</t>
  </si>
  <si>
    <t>2020-09-26 15:18:17 UTC</t>
  </si>
  <si>
    <t>2022-09-22 15:26:53 UTC</t>
  </si>
  <si>
    <t>https://www.inaturalist.org/observations/60829963</t>
  </si>
  <si>
    <t>https://inaturalist-open-data.s3.amazonaws.com/photos/97291006/medium.jpeg</t>
  </si>
  <si>
    <t>Fortunes Gate, Bulawayo, Zimbabwe</t>
  </si>
  <si>
    <t>2020/09/27 1:03 PM SAST</t>
  </si>
  <si>
    <t>2020-09-27 11:03:00 UTC</t>
  </si>
  <si>
    <t>2020-09-27 11:52:46 UTC</t>
  </si>
  <si>
    <t>2022-09-22 04:50:23 UTC</t>
  </si>
  <si>
    <t>https://www.inaturalist.org/observations/60948022</t>
  </si>
  <si>
    <t>https://inaturalist-open-data.s3.amazonaws.com/photos/97485997/medium.jpeg</t>
  </si>
  <si>
    <t>2020/09/27 4:16 PM SAST</t>
  </si>
  <si>
    <t>2020-09-27 14:16:00 UTC</t>
  </si>
  <si>
    <t>2020-09-27 19:08:55 UTC</t>
  </si>
  <si>
    <t>2022-09-22 04:50:20 UTC</t>
  </si>
  <si>
    <t>https://www.inaturalist.org/observations/61000931</t>
  </si>
  <si>
    <t>https://inaturalist-open-data.s3.amazonaws.com/photos/97571837/medium.jpeg</t>
  </si>
  <si>
    <t>Umzingwane, Zimbabwe</t>
  </si>
  <si>
    <t>2020-09-28 7:25:54 AM GMT+02:00</t>
  </si>
  <si>
    <t>2020-09-28 05:25:54 UTC</t>
  </si>
  <si>
    <t>2020-09-28 09:08:48 UTC</t>
  </si>
  <si>
    <t>2022-09-22 04:50:14 UTC</t>
  </si>
  <si>
    <t>https://www.inaturalist.org/observations/61081035</t>
  </si>
  <si>
    <t>https://inaturalist-open-data.s3.amazonaws.com/photos/97709186/medium.jpeg</t>
  </si>
  <si>
    <t>2020/09/28 3:46 PM UTC</t>
  </si>
  <si>
    <t>2020-09-28 15:46:00 UTC</t>
  </si>
  <si>
    <t>nickypegg</t>
  </si>
  <si>
    <t>2020-09-28 18:40:02 UTC</t>
  </si>
  <si>
    <t>2022-09-22 04:50:10 UTC</t>
  </si>
  <si>
    <t>https://www.inaturalist.org/observations/61128537</t>
  </si>
  <si>
    <t>https://inaturalist-open-data.s3.amazonaws.com/photos/97787791/medium.jpg</t>
  </si>
  <si>
    <t>cof</t>
  </si>
  <si>
    <t>Bulawayo, Bulawayo, Zimbabwe</t>
  </si>
  <si>
    <t>2020-09-29 2:28:54 PM GMT+01:00</t>
  </si>
  <si>
    <t>2020-09-29 12:28:54 UTC</t>
  </si>
  <si>
    <t>mohamed-saoukpai</t>
  </si>
  <si>
    <t>Mohamed SAOUPKAI</t>
  </si>
  <si>
    <t>2020-09-29 15:30:01 UTC</t>
  </si>
  <si>
    <t>2022-09-22 04:50:07 UTC</t>
  </si>
  <si>
    <t>https://www.inaturalist.org/observations/61217556</t>
  </si>
  <si>
    <t>https://inaturalist-open-data.s3.amazonaws.com/photos/98207383/medium.jpeg</t>
  </si>
  <si>
    <t>Arthropode</t>
  </si>
  <si>
    <t>2020-04-12 11:54:32 AM GMT+02:00</t>
  </si>
  <si>
    <t>2020-04-12 09:54:32 UTC</t>
  </si>
  <si>
    <t>gillianbrouckaert</t>
  </si>
  <si>
    <t>Gillian Brouckaert</t>
  </si>
  <si>
    <t>2020-09-30 07:39:16 UTC</t>
  </si>
  <si>
    <t>2022-09-22 04:49:55 UTC</t>
  </si>
  <si>
    <t>https://www.inaturalist.org/observations/61282091</t>
  </si>
  <si>
    <t>https://static.inaturalist.org/photos/98048660/medium.jpeg</t>
  </si>
  <si>
    <t>Dunkirk Estate</t>
  </si>
  <si>
    <t>2020/09/25 12:27 PM SAST</t>
  </si>
  <si>
    <t>2020-09-25 10:27:00 UTC</t>
  </si>
  <si>
    <t>2020-09-30 15:14:05 UTC</t>
  </si>
  <si>
    <t>2022-09-22 04:49:53 UTC</t>
  </si>
  <si>
    <t>https://www.inaturalist.org/observations/61304260</t>
  </si>
  <si>
    <t>https://inaturalist-open-data.s3.amazonaws.com/photos/98071270/medium.jpeg</t>
  </si>
  <si>
    <t>checking out a hole in the plasterboard ceiling as a potential footing for a nest</t>
  </si>
  <si>
    <t>Gaborone North, Gaborone, Botswana</t>
  </si>
  <si>
    <t>2020/09/21 10:00 AM EET</t>
  </si>
  <si>
    <t>2020-09-21 08:00:00 UTC</t>
  </si>
  <si>
    <t>2020-10-03 18:11:35 UTC</t>
  </si>
  <si>
    <t>2022-09-22 04:49:47 UTC</t>
  </si>
  <si>
    <t>https://www.inaturalist.org/observations/61588317</t>
  </si>
  <si>
    <t>https://inaturalist-open-data.s3.amazonaws.com/photos/98566476/medium.jpeg</t>
  </si>
  <si>
    <t>Lolwa, Democratic Republic of the Congo</t>
  </si>
  <si>
    <t>2020-10-04 5:10:42 PM GMT+02:00</t>
  </si>
  <si>
    <t>2020-10-04 15:10:42 UTC</t>
  </si>
  <si>
    <t>2020-10-04 16:01:27 UTC</t>
  </si>
  <si>
    <t>2022-09-22 04:49:42 UTC</t>
  </si>
  <si>
    <t>https://www.inaturalist.org/observations/61679576</t>
  </si>
  <si>
    <t>https://inaturalist-open-data.s3.amazonaws.com/photos/98723960/medium.jpeg</t>
  </si>
  <si>
    <t>Ansellia with ants and wasps patrolling its inflorescences and feeding on extrafloral nectaries.</t>
  </si>
  <si>
    <t>Northwold AH, Randburg, 2162, South Africa</t>
  </si>
  <si>
    <t>2020/04/11 3:23 PM SAST</t>
  </si>
  <si>
    <t>2020-04-11 13:23:00 UTC</t>
  </si>
  <si>
    <t>2020-10-05 13:00:52 UTC</t>
  </si>
  <si>
    <t>2022-09-22 04:49:40 UTC</t>
  </si>
  <si>
    <t>https://www.inaturalist.org/observations/61772697</t>
  </si>
  <si>
    <t>https://inaturalist-open-data.s3.amazonaws.com/photos/98886536/medium.jpg</t>
  </si>
  <si>
    <t>Eating Precis octavia sesamus caterpillar</t>
  </si>
  <si>
    <t>Ethelbert Malvern, Queensburgh, 4093, South Africa</t>
  </si>
  <si>
    <t>Osaka</t>
  </si>
  <si>
    <t>toshimasaiida</t>
  </si>
  <si>
    <t>IIDA Toshimasa</t>
  </si>
  <si>
    <t>2020-10-18 01:09:14 UTC</t>
  </si>
  <si>
    <t>2021-08-14 01:17:53 UTC</t>
  </si>
  <si>
    <t>https://www.inaturalist.org/observations/62850008</t>
  </si>
  <si>
    <t>https://inaturalist-open-data.s3.amazonaws.com/photos/100770253/medium.jpg</t>
  </si>
  <si>
    <t>I took this photo in Lilongwe. Malawi on June 17, 2017.</t>
  </si>
  <si>
    <t>Dunduzu Street, ãƒªãƒ­ãƒ³ã‚°ã‚¦ã‚§, ä¸­å¤®, MW</t>
  </si>
  <si>
    <t>2010/11/11 6:34 AM UTC</t>
  </si>
  <si>
    <t>2010-11-11 06:34:00 UTC</t>
  </si>
  <si>
    <t>denvern</t>
  </si>
  <si>
    <t>2020-10-21 02:48:25 UTC</t>
  </si>
  <si>
    <t>2022-09-22 04:49:25 UTC</t>
  </si>
  <si>
    <t>https://www.inaturalist.org/observations/63141189</t>
  </si>
  <si>
    <t>https://inaturalist-open-data.s3.amazonaws.com/photos/101285742/medium.jpeg</t>
  </si>
  <si>
    <t>Sainte Luce Reserve</t>
  </si>
  <si>
    <t>martinmandak</t>
  </si>
  <si>
    <t>Martin MandÃ¡k</t>
  </si>
  <si>
    <t>2020-10-21 19:24:23 UTC</t>
  </si>
  <si>
    <t>2022-09-22 05:05:53 UTC</t>
  </si>
  <si>
    <t>https://www.inaturalist.org/observations/63186824</t>
  </si>
  <si>
    <t>https://static.inaturalist.org/photos/101367868/medium.jpeg</t>
  </si>
  <si>
    <t>Zombitse-Vohibasia NP</t>
  </si>
  <si>
    <t>2020-10-21 19:43:06 UTC</t>
  </si>
  <si>
    <t>2022-09-22 05:03:54 UTC</t>
  </si>
  <si>
    <t>https://www.inaturalist.org/observations/63188448</t>
  </si>
  <si>
    <t>https://static.inaturalist.org/photos/101370216/medium.jpeg</t>
  </si>
  <si>
    <t>Ambohitantely SR</t>
  </si>
  <si>
    <t>2020-10-21 20:09:00 UTC</t>
  </si>
  <si>
    <t>2022-09-22 04:49:07 UTC</t>
  </si>
  <si>
    <t>https://www.inaturalist.org/observations/63190368</t>
  </si>
  <si>
    <t>https://static.inaturalist.org/photos/101373550/medium.jpeg</t>
  </si>
  <si>
    <t>2020-10-21 20:14:58 UTC</t>
  </si>
  <si>
    <t>2022-09-22 04:48:45 UTC</t>
  </si>
  <si>
    <t>https://www.inaturalist.org/observations/63190825</t>
  </si>
  <si>
    <t>https://static.inaturalist.org/photos/101374310/medium.jpeg</t>
  </si>
  <si>
    <t>Surroundings of the Ambinda village</t>
  </si>
  <si>
    <t>Thu Oct 22 2020 11:38:52 GMT+0300 (GMT+3)</t>
  </si>
  <si>
    <t>2020-10-22 08:38:52 UTC</t>
  </si>
  <si>
    <t>hoanzlmann</t>
  </si>
  <si>
    <t>2020-10-22 08:41:35 UTC</t>
  </si>
  <si>
    <t>2022-09-22 04:48:39 UTC</t>
  </si>
  <si>
    <t>https://www.inaturalist.org/observations/63227344</t>
  </si>
  <si>
    <t>https://inaturalist-open-data.s3.amazonaws.com/photos/101440444/medium.jpg</t>
  </si>
  <si>
    <t>Homa Bay, Homa Bay, Nyanza, KE</t>
  </si>
  <si>
    <t>2020-10-22 11:10:25 AM GMT+02:00</t>
  </si>
  <si>
    <t>2020-10-22 09:10:25 UTC</t>
  </si>
  <si>
    <t>rouxnebotha</t>
  </si>
  <si>
    <t>Rouxne Botha</t>
  </si>
  <si>
    <t>2020-10-22 15:01:15 UTC</t>
  </si>
  <si>
    <t>2022-09-22 04:48:37 UTC</t>
  </si>
  <si>
    <t>https://www.inaturalist.org/observations/63244769</t>
  </si>
  <si>
    <t>https://inaturalist-open-data.s3.amazonaws.com/photos/101469663/medium.jpeg</t>
  </si>
  <si>
    <t>Erasmuskloof, Pretoria, 0181, South Africa</t>
  </si>
  <si>
    <t>2020-10-22 7:21:37 PM GMT+02:00</t>
  </si>
  <si>
    <t>2020-10-22 17:21:37 UTC</t>
  </si>
  <si>
    <t>2020-10-24 05:27:20 UTC</t>
  </si>
  <si>
    <t>2022-09-22 04:48:34 UTC</t>
  </si>
  <si>
    <t>https://www.inaturalist.org/observations/63369818</t>
  </si>
  <si>
    <t>https://inaturalist-open-data.s3.amazonaws.com/photos/101689176/medium.jpeg</t>
  </si>
  <si>
    <t>George Municipality, South Africa</t>
  </si>
  <si>
    <t>Sat Oct 24 2020 16:24:47 GMT+0200 (GMT+2)</t>
  </si>
  <si>
    <t>2020-10-24 14:24:47 UTC</t>
  </si>
  <si>
    <t>2020-10-24 17:35:42 UTC</t>
  </si>
  <si>
    <t>2022-09-22 15:56:50 UTC</t>
  </si>
  <si>
    <t>https://www.inaturalist.org/observations/63405957</t>
  </si>
  <si>
    <t>https://static.inaturalist.org/photos/101750763/medium.jpg</t>
  </si>
  <si>
    <t>2016-01-10 08:50:50 UTC</t>
  </si>
  <si>
    <t>erlandreflingnielsen</t>
  </si>
  <si>
    <t>Erland Refling Nielsen</t>
  </si>
  <si>
    <t>2020-10-25 10:16:23 UTC</t>
  </si>
  <si>
    <t>2022-09-22 15:56:38 UTC</t>
  </si>
  <si>
    <t>https://www.inaturalist.org/observations/63468087</t>
  </si>
  <si>
    <t>https://inaturalist-open-data.s3.amazonaws.com/photos/101861604/medium.jpg</t>
  </si>
  <si>
    <t>Belonogaster sp.</t>
  </si>
  <si>
    <t>January 2016._x000D_
Zombitse, Zombitse-Vohibasia National Park._x000D_
Madagascar.</t>
  </si>
  <si>
    <t>Mahasoa, Toliara, Madagascar</t>
  </si>
  <si>
    <t>2020-10-29 10:53:52 AM GMT+03:00</t>
  </si>
  <si>
    <t>2020-10-29 07:53:52 UTC</t>
  </si>
  <si>
    <t>elliot45</t>
  </si>
  <si>
    <t>Elliot Kulakow</t>
  </si>
  <si>
    <t>2020-10-29 07:56:36 UTC</t>
  </si>
  <si>
    <t>2022-09-22 15:26:36 UTC</t>
  </si>
  <si>
    <t>https://www.inaturalist.org/observations/63750940</t>
  </si>
  <si>
    <t>https://static.inaturalist.org/photos/102368891/medium.jpeg</t>
  </si>
  <si>
    <t>Karachuonyo, KE-HB, KE</t>
  </si>
  <si>
    <t>2019/01/15 11:11 AM UTC</t>
  </si>
  <si>
    <t>2019-01-15 11:11:00 UTC</t>
  </si>
  <si>
    <t>angelomg</t>
  </si>
  <si>
    <t>Andrianiaina Angelo</t>
  </si>
  <si>
    <t>2020-10-29 19:31:42 UTC</t>
  </si>
  <si>
    <t>2022-09-22 15:26:27 UTC</t>
  </si>
  <si>
    <t>https://www.inaturalist.org/observations/63779762</t>
  </si>
  <si>
    <t>https://inaturalist-open-data.s3.amazonaws.com/photos/102420216/medium.jpeg</t>
  </si>
  <si>
    <t>DSC_0213</t>
  </si>
  <si>
    <t>Madagascar</t>
  </si>
  <si>
    <t>2020/10/29 10:14 AM SAST</t>
  </si>
  <si>
    <t>2020-10-29 08:14:00 UTC</t>
  </si>
  <si>
    <t>grant_reed_botswana</t>
  </si>
  <si>
    <t>Grant Reed</t>
  </si>
  <si>
    <t>2020-10-30 12:55:36 UTC</t>
  </si>
  <si>
    <t>https://www.inaturalist.org/observations/63816238</t>
  </si>
  <si>
    <t>https://inaturalist-open-data.s3.amazonaws.com/photos/102485342/medium.jpg</t>
  </si>
  <si>
    <t>Stockholm</t>
  </si>
  <si>
    <t>kstenman</t>
  </si>
  <si>
    <t>2020-11-01 15:39:01 UTC</t>
  </si>
  <si>
    <t>2022-09-22 16:05:21 UTC</t>
  </si>
  <si>
    <t>https://www.inaturalist.org/observations/63967594</t>
  </si>
  <si>
    <t>https://inaturalist-open-data.s3.amazonaws.com/photos/102753293/medium.jpeg</t>
  </si>
  <si>
    <t>Abuko Nature reserve, Brikama Hwy, Lamin, Gambia</t>
  </si>
  <si>
    <t>2020/10/30 4:05 PM SAST</t>
  </si>
  <si>
    <t>2020-10-30 14:05:00 UTC</t>
  </si>
  <si>
    <t>2020-11-02 12:41:35 UTC</t>
  </si>
  <si>
    <t>2022-09-22 07:53:37 UTC</t>
  </si>
  <si>
    <t>https://www.inaturalist.org/observations/64033303</t>
  </si>
  <si>
    <t>https://inaturalist-open-data.s3.amazonaws.com/photos/102872933/medium.jpg</t>
  </si>
  <si>
    <t>Sat Nov 07 2020 12:44:31 GMT+0200 (GMT+2)</t>
  </si>
  <si>
    <t>2020-11-07 10:44:31 UTC</t>
  </si>
  <si>
    <t>knysna_wildflowers</t>
  </si>
  <si>
    <t>Dave U</t>
  </si>
  <si>
    <t>2020-11-07 18:07:08 UTC</t>
  </si>
  <si>
    <t>2022-04-10 14:37:49 UTC</t>
  </si>
  <si>
    <t>https://www.inaturalist.org/observations/64374361</t>
  </si>
  <si>
    <t>https://inaturalist-open-data.s3.amazonaws.com/photos/103483341/medium.jpg</t>
  </si>
  <si>
    <t>Wilhelm Zeraua Road, Omaruru, Erongo, NA</t>
  </si>
  <si>
    <t>2020-11-08 12:33:43 PM GMT+02:00</t>
  </si>
  <si>
    <t>2020-11-08 10:33:43 UTC</t>
  </si>
  <si>
    <t>2020-11-08 12:23:54 UTC</t>
  </si>
  <si>
    <t>2022-09-22 07:53:34 UTC</t>
  </si>
  <si>
    <t>https://www.inaturalist.org/observations/64430577</t>
  </si>
  <si>
    <t>https://inaturalist-open-data.s3.amazonaws.com/photos/103585737/medium.jpeg</t>
  </si>
  <si>
    <t>Emerald Hill, Harare, Zimbabwe</t>
  </si>
  <si>
    <t>2020-11-07 9:24:07 AM GMT+02:00</t>
  </si>
  <si>
    <t>2020-11-07 07:24:07 UTC</t>
  </si>
  <si>
    <t>2020-11-08 17:15:16 UTC</t>
  </si>
  <si>
    <t>2022-09-22 04:48:28 UTC</t>
  </si>
  <si>
    <t>https://www.inaturalist.org/observations/64448535</t>
  </si>
  <si>
    <t>https://static.inaturalist.org/photos/103617105/medium.jpeg</t>
  </si>
  <si>
    <t>Avenues, Mutare, Zimbabwe</t>
  </si>
  <si>
    <t>2020-11-09 3:29:37 PM GMT</t>
  </si>
  <si>
    <t>2020-11-09 15:29:37 UTC</t>
  </si>
  <si>
    <t>kungoso</t>
  </si>
  <si>
    <t>A.K.Samake</t>
  </si>
  <si>
    <t>2020-11-09 21:29:57 UTC</t>
  </si>
  <si>
    <t>2022-02-02 18:25:06 UTC</t>
  </si>
  <si>
    <t>https://www.inaturalist.org/observations/64549717</t>
  </si>
  <si>
    <t>https://static.inaturalist.org/photos/104040937/medium.jpeg</t>
  </si>
  <si>
    <t>Visuellement similaire</t>
  </si>
  <si>
    <t>Kati, Mali</t>
  </si>
  <si>
    <t>2019/08/10 9:26 AM CEST</t>
  </si>
  <si>
    <t>2019-08-10 07:26:00 UTC</t>
  </si>
  <si>
    <t>2020-11-11 19:32:09 UTC</t>
  </si>
  <si>
    <t>2022-09-22 04:47:49 UTC</t>
  </si>
  <si>
    <t>https://www.inaturalist.org/observations/64683979</t>
  </si>
  <si>
    <t>https://inaturalist-open-data.s3.amazonaws.com/photos/104028317/medium.jpeg</t>
  </si>
  <si>
    <t>Jasikan, Ghana</t>
  </si>
  <si>
    <t>2020/11/12 11:12 AM SAST</t>
  </si>
  <si>
    <t>2020-11-12 09:12:00 UTC</t>
  </si>
  <si>
    <t>2020-11-12 16:24:24 UTC</t>
  </si>
  <si>
    <t>2022-09-22 04:47:43 UTC</t>
  </si>
  <si>
    <t>https://www.inaturalist.org/observations/64734559</t>
  </si>
  <si>
    <t>https://inaturalist-open-data.s3.amazonaws.com/photos/104123743/medium.jpeg</t>
  </si>
  <si>
    <t>2020/09/13 10:57 AM CAT</t>
  </si>
  <si>
    <t>2020-09-13 09:57:00 UTC</t>
  </si>
  <si>
    <t>2020-11-18 02:39:39 UTC</t>
  </si>
  <si>
    <t>2022-09-22 04:47:35 UTC</t>
  </si>
  <si>
    <t>https://www.inaturalist.org/observations/65122330</t>
  </si>
  <si>
    <t>https://inaturalist-open-data.s3.amazonaws.com/photos/104780217/medium.jpeg</t>
  </si>
  <si>
    <t>Kasisi dam, Zambia</t>
  </si>
  <si>
    <t>2020-11-20 4:09:16 PM GMT</t>
  </si>
  <si>
    <t>2020-11-20 16:09:16 UTC</t>
  </si>
  <si>
    <t>2020-11-20 16:12:36 UTC</t>
  </si>
  <si>
    <t>2021-05-27 13:43:50 UTC</t>
  </si>
  <si>
    <t>https://www.inaturalist.org/observations/65279206</t>
  </si>
  <si>
    <t>https://static.inaturalist.org/photos/105039188/medium.jpeg</t>
  </si>
  <si>
    <t>2020/11/03 4:10 PM UTC</t>
  </si>
  <si>
    <t>2020-11-03 16:10:00 UTC</t>
  </si>
  <si>
    <t>victoria_roetger</t>
  </si>
  <si>
    <t>Victoria Roetger</t>
  </si>
  <si>
    <t>2020-11-21 12:57:30 UTC</t>
  </si>
  <si>
    <t>2022-09-22 04:47:27 UTC</t>
  </si>
  <si>
    <t>https://www.inaturalist.org/observations/65328460</t>
  </si>
  <si>
    <t>https://inaturalist-open-data.s3.amazonaws.com/photos/105127201/medium.jpg</t>
  </si>
  <si>
    <t>2020/11/22 8:39 AM SAST</t>
  </si>
  <si>
    <t>2020-11-22 06:39:00 UTC</t>
  </si>
  <si>
    <t>2020-11-23 16:53:28 UTC</t>
  </si>
  <si>
    <t>2022-09-22 04:47:18 UTC</t>
  </si>
  <si>
    <t>https://www.inaturalist.org/observations/65478420</t>
  </si>
  <si>
    <t>https://inaturalist-open-data.s3.amazonaws.com/photos/105398650/medium.jpeg</t>
  </si>
  <si>
    <t>34 Mckenzie St, St Lucia, 3936, South Africa</t>
  </si>
  <si>
    <t>wonderwalker</t>
  </si>
  <si>
    <t>2020-11-24 06:38:03 UTC</t>
  </si>
  <si>
    <t>2022-09-22 04:47:13 UTC</t>
  </si>
  <si>
    <t>https://www.inaturalist.org/observations/65517374</t>
  </si>
  <si>
    <t>https://inaturalist-open-data.s3.amazonaws.com/photos/105467385/medium.jpeg</t>
  </si>
  <si>
    <t>Commando Drift Nature Reserve</t>
  </si>
  <si>
    <t>2020-11-24 11:49:28 AM GMT+03:00</t>
  </si>
  <si>
    <t>2020-11-24 08:49:28 UTC</t>
  </si>
  <si>
    <t>mwinzi</t>
  </si>
  <si>
    <t>2020-11-24 09:31:11 UTC</t>
  </si>
  <si>
    <t>2022-09-22 04:47:10 UTC</t>
  </si>
  <si>
    <t>https://www.inaturalist.org/observations/65522899</t>
  </si>
  <si>
    <t>https://inaturalist-open-data.s3.amazonaws.com/photos/105476062/medium.jpeg</t>
  </si>
  <si>
    <t>Wasp</t>
  </si>
  <si>
    <t>Starehe, KE-NB, KE</t>
  </si>
  <si>
    <t>Tue Nov 24 2020 14:19:38 GMT+0200 (GMT+2)</t>
  </si>
  <si>
    <t>2020-11-24 12:19:38 UTC</t>
  </si>
  <si>
    <t>stefaneakame</t>
  </si>
  <si>
    <t>Stefaneakame</t>
  </si>
  <si>
    <t>2020-11-25 17:58:49 UTC</t>
  </si>
  <si>
    <t>2022-09-22 04:47:08 UTC</t>
  </si>
  <si>
    <t>https://www.inaturalist.org/observations/65592568</t>
  </si>
  <si>
    <t>https://inaturalist-open-data.s3.amazonaws.com/photos/105600271/medium.jpg</t>
  </si>
  <si>
    <t>Kameza, Blantyre, Province du Sud, MW</t>
  </si>
  <si>
    <t>2020-11-27 12:21:16 PM GMT+01:00</t>
  </si>
  <si>
    <t>2020-11-27 11:21:16 UTC</t>
  </si>
  <si>
    <t>2020-11-27 12:16:40 UTC</t>
  </si>
  <si>
    <t>2022-09-22 04:47:02 UTC</t>
  </si>
  <si>
    <t>https://www.inaturalist.org/observations/65688430</t>
  </si>
  <si>
    <t>https://inaturalist-open-data.s3.amazonaws.com/photos/105767318/medium.jpeg</t>
  </si>
  <si>
    <t>2020/10/23 5:49 PM EAT</t>
  </si>
  <si>
    <t>2020-10-23 14:49:00 UTC</t>
  </si>
  <si>
    <t>2020-11-29 22:50:14 UTC</t>
  </si>
  <si>
    <t>2022-09-22 04:46:55 UTC</t>
  </si>
  <si>
    <t>https://www.inaturalist.org/observations/65847133</t>
  </si>
  <si>
    <t>https://inaturalist-open-data.s3.amazonaws.com/photos/106050380/medium.jpeg</t>
  </si>
  <si>
    <t>Kenya, Elgeyo</t>
  </si>
  <si>
    <t>Salawa, Kenya</t>
  </si>
  <si>
    <t>2011/09/11 3:49 PM SAST</t>
  </si>
  <si>
    <t>2011-09-11 13:49:00 UTC</t>
  </si>
  <si>
    <t>roelofvdb</t>
  </si>
  <si>
    <t>Roelof van der Breggen</t>
  </si>
  <si>
    <t>2020-11-30 08:33:20 UTC</t>
  </si>
  <si>
    <t>2022-09-22 04:46:52 UTC</t>
  </si>
  <si>
    <t>https://www.inaturalist.org/observations/65875819</t>
  </si>
  <si>
    <t>https://inaturalist-open-data.s3.amazonaws.com/photos/106100227/medium.jpg</t>
  </si>
  <si>
    <t>My garden, ins1</t>
  </si>
  <si>
    <t>Ferndale, Randburg, 2194, South Africa</t>
  </si>
  <si>
    <t>2020-12-03 7:42:55 AM GMT+00:00</t>
  </si>
  <si>
    <t>2020-12-03 07:42:55 UTC</t>
  </si>
  <si>
    <t>elyta</t>
  </si>
  <si>
    <t>Elyta Ranivoarisoa</t>
  </si>
  <si>
    <t>2020-12-03 07:53:38 UTC</t>
  </si>
  <si>
    <t>2022-03-26 19:45:04 UTC</t>
  </si>
  <si>
    <t>https://www.inaturalist.org/observations/66037270</t>
  </si>
  <si>
    <t>https://static.inaturalist.org/photos/106373137/medium.jpeg</t>
  </si>
  <si>
    <t>Lot II 51, Antananarivo, Madagascar</t>
  </si>
  <si>
    <t>2020/10/08 9:56 AM SAST</t>
  </si>
  <si>
    <t>2020-10-08 07:56:00 UTC</t>
  </si>
  <si>
    <t>2020-12-06 04:39:07 UTC</t>
  </si>
  <si>
    <t>2022-09-22 07:53:31 UTC</t>
  </si>
  <si>
    <t>https://www.inaturalist.org/observations/66173290</t>
  </si>
  <si>
    <t>https://inaturalist-open-data.s3.amazonaws.com/photos/106618270/medium.jpeg</t>
  </si>
  <si>
    <t>Canal Dr, Berea West, Westville, 3629, South Africa</t>
  </si>
  <si>
    <t>2012/08/07 2:22 PM +0700</t>
  </si>
  <si>
    <t>2012-08-07 07:22:00 UTC</t>
  </si>
  <si>
    <t>Novosibirsk</t>
  </si>
  <si>
    <t>oleg_kosterin</t>
  </si>
  <si>
    <t>Oleg Kosterin</t>
  </si>
  <si>
    <t>2020-12-06 17:48:58 UTC</t>
  </si>
  <si>
    <t>2022-09-22 07:53:28 UTC</t>
  </si>
  <si>
    <t>https://www.inaturalist.org/observations/66196551</t>
  </si>
  <si>
    <t>https://inaturalist-open-data.s3.amazonaws.com/photos/106665454/medium.jpg</t>
  </si>
  <si>
    <t>Ethiopia, Amhara, South Wello, Lake Hayk SW bank,  Hayk Lodge</t>
  </si>
  <si>
    <t>Mon Dec 07 2020 15:46:10 GMT+0200 (GMT+2)</t>
  </si>
  <si>
    <t>2020-12-07 13:46:10 UTC</t>
  </si>
  <si>
    <t>2020-12-07 15:45:17 UTC</t>
  </si>
  <si>
    <t>2022-09-22 07:53:25 UTC</t>
  </si>
  <si>
    <t>https://www.inaturalist.org/observations/66250831</t>
  </si>
  <si>
    <t>https://static.inaturalist.org/photos/106758154/medium.jpg</t>
  </si>
  <si>
    <t>2020-12-08 6:40:50 PM GMT+02:00</t>
  </si>
  <si>
    <t>2020-12-08 16:40:50 UTC</t>
  </si>
  <si>
    <t>ajdyason</t>
  </si>
  <si>
    <t>Alistair Dyason</t>
  </si>
  <si>
    <t>2020-12-08 16:42:49 UTC</t>
  </si>
  <si>
    <t>2022-09-22 07:53:22 UTC</t>
  </si>
  <si>
    <t>https://www.inaturalist.org/observations/66296324</t>
  </si>
  <si>
    <t>https://static.inaturalist.org/photos/106842752/medium.jpeg</t>
  </si>
  <si>
    <t>Maruleng, South Africa</t>
  </si>
  <si>
    <t>jesusbz</t>
  </si>
  <si>
    <t>JesÃºs Macchi</t>
  </si>
  <si>
    <t>2020-12-08 23:21:32 UTC</t>
  </si>
  <si>
    <t>2020-12-08 23:21:49 UTC</t>
  </si>
  <si>
    <t>https://www.inaturalist.org/observations/66311507</t>
  </si>
  <si>
    <t>https://static.inaturalist.org/photos/106871074/medium.jpeg</t>
  </si>
  <si>
    <t>2012/07/16 1:45 PM CEST</t>
  </si>
  <si>
    <t>2012-07-16 11:45:00 UTC</t>
  </si>
  <si>
    <t>b_akeret</t>
  </si>
  <si>
    <t>Beat Akeret</t>
  </si>
  <si>
    <t>2020-12-09 09:43:40 UTC</t>
  </si>
  <si>
    <t>2022-09-22 07:53:18 UTC</t>
  </si>
  <si>
    <t>https://www.inaturalist.org/observations/66326860</t>
  </si>
  <si>
    <t>https://inaturalist-open-data.s3.amazonaws.com/photos/106900974/medium.jpeg</t>
  </si>
  <si>
    <t>Ghana</t>
  </si>
  <si>
    <t>Akuapim South District, Ghana</t>
  </si>
  <si>
    <t>2020/12/06 7:13 AM SAST</t>
  </si>
  <si>
    <t>2020-12-06 05:13:00 UTC</t>
  </si>
  <si>
    <t>2020-12-10 14:04:47 UTC</t>
  </si>
  <si>
    <t>2022-09-22 07:53:15 UTC</t>
  </si>
  <si>
    <t>https://www.inaturalist.org/observations/66373707</t>
  </si>
  <si>
    <t>https://inaturalist-open-data.s3.amazonaws.com/photos/106985573/medium.jpg</t>
  </si>
  <si>
    <t>&lt;h3&gt;Molesting a rellie?&lt;/h3&gt;_x000D_
See the ant: https://www.inaturalist.org/observations/66373843_x000D_
Photos kind courtesy of Hazel Nevin._x000D_
_x000D_
Only one shot, sadly (which I've zoomed into &amp; cropped). No idea what happened. Seems about to snip  its head off with her mighty jaws?_x000D_
Did she take the ant to feed to her young larvae?</t>
  </si>
  <si>
    <t>Renishaw</t>
  </si>
  <si>
    <t>Thu Dec 10 2020 16:35:13 GMT+0200 (GMT+2)</t>
  </si>
  <si>
    <t>2020-12-10 14:35:13 UTC</t>
  </si>
  <si>
    <t>2020-12-10 16:26:39 UTC</t>
  </si>
  <si>
    <t>2022-09-22 07:53:12 UTC</t>
  </si>
  <si>
    <t>https://www.inaturalist.org/observations/66378000</t>
  </si>
  <si>
    <t>https://inaturalist-open-data.s3.amazonaws.com/photos/106993573/medium.jpg</t>
  </si>
  <si>
    <t>2020/08/02 12:58 PM SAST</t>
  </si>
  <si>
    <t>2020-08-02 10:58:00 UTC</t>
  </si>
  <si>
    <t>2020-12-11 16:59:48 UTC</t>
  </si>
  <si>
    <t>2022-09-22 07:53:10 UTC</t>
  </si>
  <si>
    <t>https://www.inaturalist.org/observations/66423360</t>
  </si>
  <si>
    <t>https://inaturalist-open-data.s3.amazonaws.com/photos/107077099/medium.jpeg</t>
  </si>
  <si>
    <t>28 Fletcher Rd, Kleinemonde, Eastern Cape, South Africa</t>
  </si>
  <si>
    <t>Sat Dec 12 2020 18:47:38 GMT+0200 (GMT+2)</t>
  </si>
  <si>
    <t>2020-12-12 16:47:38 UTC</t>
  </si>
  <si>
    <t>markdoolan</t>
  </si>
  <si>
    <t>Mark Doolan</t>
  </si>
  <si>
    <t>2020-12-12 17:00:40 UTC</t>
  </si>
  <si>
    <t>2022-09-22 07:53:06 UTC</t>
  </si>
  <si>
    <t>https://www.inaturalist.org/observations/66471484</t>
  </si>
  <si>
    <t>https://static.inaturalist.org/photos/107164490/medium.jpg</t>
  </si>
  <si>
    <t>Blind River Close, East London, EC, ZA</t>
  </si>
  <si>
    <t>2018/08/14 6:02 PM CEST</t>
  </si>
  <si>
    <t>2018-08-14 16:02:00 UTC</t>
  </si>
  <si>
    <t>elebew</t>
  </si>
  <si>
    <t>Stefan Haag</t>
  </si>
  <si>
    <t>2020-12-12 18:13:12 UTC</t>
  </si>
  <si>
    <t>2022-09-22 07:53:03 UTC</t>
  </si>
  <si>
    <t>https://www.inaturalist.org/observations/66474743</t>
  </si>
  <si>
    <t>https://inaturalist-open-data.s3.amazonaws.com/photos/107163286/medium.jpeg</t>
  </si>
  <si>
    <t>Insekten+Spinnen</t>
  </si>
  <si>
    <t>Kenia; Sandai;</t>
  </si>
  <si>
    <t>Kieni West, Kenia</t>
  </si>
  <si>
    <t>2020/03/10 10:38 AM CET</t>
  </si>
  <si>
    <t>2020-03-10 09:38:00 UTC</t>
  </si>
  <si>
    <t>josefstulz</t>
  </si>
  <si>
    <t>Josef Stulz</t>
  </si>
  <si>
    <t>2020-12-13 21:23:53 UTC</t>
  </si>
  <si>
    <t>https://www.inaturalist.org/observations/66539006</t>
  </si>
  <si>
    <t>https://inaturalist-open-data.s3.amazonaws.com/photos/107286613/medium.jpg</t>
  </si>
  <si>
    <t>Nwoya, Uganda</t>
  </si>
  <si>
    <t>Thu Dec 17 2020 13:38:48 GMT+0200 (GMT+2)</t>
  </si>
  <si>
    <t>2020-12-17 09:38:48 UTC</t>
  </si>
  <si>
    <t>2020-12-17 15:57:39 UTC</t>
  </si>
  <si>
    <t>2022-09-22 04:45:52 UTC</t>
  </si>
  <si>
    <t>https://www.inaturalist.org/observations/66699093</t>
  </si>
  <si>
    <t>https://inaturalist-open-data.s3.amazonaws.com/photos/107583638/medium.jpg</t>
  </si>
  <si>
    <t>2020-09-18 3:14:52 PM GMT+02:00</t>
  </si>
  <si>
    <t>2020-09-18 13:14:52 UTC</t>
  </si>
  <si>
    <t>leandroop</t>
  </si>
  <si>
    <t>2020-12-23 10:26:15 UTC</t>
  </si>
  <si>
    <t>2022-09-22 04:45:44 UTC</t>
  </si>
  <si>
    <t>https://www.inaturalist.org/observations/66957219</t>
  </si>
  <si>
    <t>https://inaturalist-open-data.s3.amazonaws.com/photos/108062575/medium.jpeg</t>
  </si>
  <si>
    <t>Rohero, Burundi</t>
  </si>
  <si>
    <t>2012/01/10 7:36 AM CET</t>
  </si>
  <si>
    <t>2012-01-10 06:36:00 UTC</t>
  </si>
  <si>
    <t>2020-12-24 20:51:39 UTC</t>
  </si>
  <si>
    <t>2022-09-22 04:45:42 UTC</t>
  </si>
  <si>
    <t>https://www.inaturalist.org/observations/67019076</t>
  </si>
  <si>
    <t>https://inaturalist-open-data.s3.amazonaws.com/photos/108176583/medium.jpeg</t>
  </si>
  <si>
    <t>2020/12/04 2:16 PM CAT</t>
  </si>
  <si>
    <t>2020-12-04 13:16:00 UTC</t>
  </si>
  <si>
    <t>2020-12-26 06:57:04 UTC</t>
  </si>
  <si>
    <t>2022-09-22 04:45:36 UTC</t>
  </si>
  <si>
    <t>https://www.inaturalist.org/observations/67075478</t>
  </si>
  <si>
    <t>https://inaturalist-open-data.s3.amazonaws.com/photos/108279590/medium.jpeg</t>
  </si>
  <si>
    <t>2011/11/03 4:46 PM CET</t>
  </si>
  <si>
    <t>2011-11-03 15:46:00 UTC</t>
  </si>
  <si>
    <t>kristian</t>
  </si>
  <si>
    <t>Kristian</t>
  </si>
  <si>
    <t>2020-12-30 12:08:50 UTC</t>
  </si>
  <si>
    <t>2021-04-21 05:30:25 UTC</t>
  </si>
  <si>
    <t>https://www.inaturalist.org/observations/67298975</t>
  </si>
  <si>
    <t>https://static.inaturalist.org/photos/108696627/medium.jpg</t>
  </si>
  <si>
    <t>Africa, Madagascar, Insect, Insects, Wasp, Wasps</t>
  </si>
  <si>
    <t>2015/09/09 2:13 PM UTC</t>
  </si>
  <si>
    <t>2015-09-09 14:13:00 UTC</t>
  </si>
  <si>
    <t>snowmanstudios</t>
  </si>
  <si>
    <t>Thomas Fuhrmann</t>
  </si>
  <si>
    <t>2020-12-31 19:43:14 UTC</t>
  </si>
  <si>
    <t>2022-09-22 04:45:22 UTC</t>
  </si>
  <si>
    <t>https://www.inaturalist.org/observations/67365985</t>
  </si>
  <si>
    <t>https://inaturalist-open-data.s3.amazonaws.com/photos/108823524/medium.jpg</t>
  </si>
  <si>
    <t>2015, Abenteuer, Africa, Ammophila, Canon EF 24-70mm f/4L IS USM, Canon Eos 5D III, Keekorok, Kenia, Lila, Nomad, Reise, Reisen, Rundreise, Sandwespe, Urlaub, adventure, afrika, animal, animals, camping, eastern Africa, holidays, holydays, insects, insekten, rechts unten, rlc, roundtrip, snowman, snowman-studios, snowmanstudios, thomas fuhrmann, tier, tiere, travelling, Ã¶stliches Afrika</t>
  </si>
  <si>
    <t>Masai Mara National Reserve, Kenia - The image was taken during 5 weeks of traveling on an overlander camping tour through east and  south Africa in 2015.  -  Die Aufnahme entstand bei einer 5-wÃƒÂ¶chigen Campingtour durch das sÃƒÂ¼dliche und ÃƒÂ¶stliche Afrika im Jahr 2015.</t>
  </si>
  <si>
    <t>Masai Mara, Narok West, Narok, Kenya</t>
  </si>
  <si>
    <t>Thu Dec 31 2020 14:53:46 GMT+0200 (GMT+2)</t>
  </si>
  <si>
    <t>2020-12-31 12:53:46 UTC</t>
  </si>
  <si>
    <t>2020-12-31 21:23:09 UTC</t>
  </si>
  <si>
    <t>2022-09-22 04:45:19 UTC</t>
  </si>
  <si>
    <t>https://www.inaturalist.org/observations/67370813</t>
  </si>
  <si>
    <t>https://static.inaturalist.org/photos/108832675/medium.jpg</t>
  </si>
  <si>
    <t>2020/12/03 7:42 AM UTC</t>
  </si>
  <si>
    <t>2020-12-03 07:42:00 UTC</t>
  </si>
  <si>
    <t>avalonhaja</t>
  </si>
  <si>
    <t>Avalon Haja</t>
  </si>
  <si>
    <t>2021-01-01 12:00:24 UTC</t>
  </si>
  <si>
    <t>2022-09-22 04:44:40 UTC</t>
  </si>
  <si>
    <t>https://www.inaturalist.org/observations/67397278</t>
  </si>
  <si>
    <t>https://inaturalist-open-data.s3.amazonaws.com/photos/108882185/medium.jpg</t>
  </si>
  <si>
    <t>Insect</t>
  </si>
  <si>
    <t>Tsarasaotra, Antananarivo, Madagascar</t>
  </si>
  <si>
    <t>2020/12/24 5:41 PM SAST</t>
  </si>
  <si>
    <t>2020-12-24 15:41:00 UTC</t>
  </si>
  <si>
    <t>2021-01-02 17:31:59 UTC</t>
  </si>
  <si>
    <t>2022-09-22 04:44:37 UTC</t>
  </si>
  <si>
    <t>https://www.inaturalist.org/observations/67464732</t>
  </si>
  <si>
    <t>https://inaturalist-open-data.s3.amazonaws.com/photos/109005363/medium.jpg</t>
  </si>
  <si>
    <t>2012/07/25 9:58 PM CEST</t>
  </si>
  <si>
    <t>2012-07-25 19:58:00 UTC</t>
  </si>
  <si>
    <t>2021-01-06 10:53:09 UTC</t>
  </si>
  <si>
    <t>2022-09-22 04:44:30 UTC</t>
  </si>
  <si>
    <t>https://www.inaturalist.org/observations/67659010</t>
  </si>
  <si>
    <t>https://inaturalist-open-data.s3.amazonaws.com/photos/109369335/medium.jpeg</t>
  </si>
  <si>
    <t>Ghana, Echsen</t>
  </si>
  <si>
    <t>Twifo, Ghana</t>
  </si>
  <si>
    <t>2021-01-06 9:41:51 AM GMT+02:00</t>
  </si>
  <si>
    <t>2021-01-06 07:41:51 UTC</t>
  </si>
  <si>
    <t>2021-01-06 20:44:19 UTC</t>
  </si>
  <si>
    <t>2022-09-22 04:44:27 UTC</t>
  </si>
  <si>
    <t>https://www.inaturalist.org/observations/67677709</t>
  </si>
  <si>
    <t>https://inaturalist-open-data.s3.amazonaws.com/photos/109405592/medium.jpeg</t>
  </si>
  <si>
    <t xml:space="preserve">This wasp is alone on this nest all the time. 
</t>
  </si>
  <si>
    <t>2021/01/08 5:36 PM SAST</t>
  </si>
  <si>
    <t>2021-01-08 15:36:00 UTC</t>
  </si>
  <si>
    <t>2021-01-09 05:06:21 UTC</t>
  </si>
  <si>
    <t>2022-09-22 04:44:20 UTC</t>
  </si>
  <si>
    <t>https://www.inaturalist.org/observations/67781907</t>
  </si>
  <si>
    <t>https://inaturalist-open-data.s3.amazonaws.com/photos/109601868/medium.jpeg</t>
  </si>
  <si>
    <t>&lt;h3&gt;What the hell you're doing to that moth?&lt;/h3&gt;_x000D_
Noticed day moth flapping feebly on the ground. Amazed to see large wasp attacking it. Unknown whether it was stinging and/or biting. _x000D_
Moved grass blades to try for better view, but wasp flew off (last pic)._x000D_
Lurked about for a while to see if wasp would return. It did buzz about, making low passes over dying moth, but never re-engaged - even after I withdrew about 5m away and it grew dark.._x000D_
_x000D_
See victim: https://www.inaturalist.org/observations/67781568</t>
  </si>
  <si>
    <t>2020/12/27 1:05 PM SAST</t>
  </si>
  <si>
    <t>2020-12-27 11:05:00 UTC</t>
  </si>
  <si>
    <t>2021-01-10 18:31:18 UTC</t>
  </si>
  <si>
    <t>2022-09-22 04:44:13 UTC</t>
  </si>
  <si>
    <t>https://www.inaturalist.org/observations/67864180</t>
  </si>
  <si>
    <t>https://inaturalist-open-data.s3.amazonaws.com/photos/109755300/medium.jpg</t>
  </si>
  <si>
    <t>Tue Jan 12 2021 15:12:11 GMT+0200 (GMT+2)</t>
  </si>
  <si>
    <t>2021-01-12 13:12:11 UTC</t>
  </si>
  <si>
    <t>2021-01-12 14:31:15 UTC</t>
  </si>
  <si>
    <t>2022-09-22 07:52:57 UTC</t>
  </si>
  <si>
    <t>https://www.inaturalist.org/observations/67958289</t>
  </si>
  <si>
    <t>https://inaturalist-open-data.s3.amazonaws.com/photos/109930745/medium.jpg</t>
  </si>
  <si>
    <t>Wed Jan 13 2021 13:46:25 GMT+0200 (GMT+2)</t>
  </si>
  <si>
    <t>2021-01-13 09:46:25 UTC</t>
  </si>
  <si>
    <t>2021-01-13 15:00:40 UTC</t>
  </si>
  <si>
    <t>2022-09-22 07:52:53 UTC</t>
  </si>
  <si>
    <t>https://www.inaturalist.org/observations/68005295</t>
  </si>
  <si>
    <t>https://inaturalist-open-data.s3.amazonaws.com/photos/110016568/medium.jpg</t>
  </si>
  <si>
    <t>Sat Jan 16 2021 07:00:43 GMT+0200 (GMT+2)</t>
  </si>
  <si>
    <t>2021-01-16 05:00:43 UTC</t>
  </si>
  <si>
    <t>glennandben</t>
  </si>
  <si>
    <t>2021-01-16 05:36:01 UTC</t>
  </si>
  <si>
    <t>2022-09-22 07:52:50 UTC</t>
  </si>
  <si>
    <t>https://www.inaturalist.org/observations/68140728</t>
  </si>
  <si>
    <t>https://inaturalist-open-data.s3.amazonaws.com/photos/110261789/medium.jpg</t>
  </si>
  <si>
    <t>Umwindzidale, Mashonaland East, ZW</t>
  </si>
  <si>
    <t>2021-01-16 7:09:31 AM GMT+02:00</t>
  </si>
  <si>
    <t>2021-01-16 05:09:31 UTC</t>
  </si>
  <si>
    <t>2021-01-16 07:51:24 UTC</t>
  </si>
  <si>
    <t>2022-09-22 07:52:47 UTC</t>
  </si>
  <si>
    <t>https://www.inaturalist.org/observations/68143471</t>
  </si>
  <si>
    <t>https://inaturalist-open-data.s3.amazonaws.com/photos/110266397/medium.jpeg</t>
  </si>
  <si>
    <t>2021/01/16 9:46 AM UTC</t>
  </si>
  <si>
    <t>2021-01-16 09:46:00 UTC</t>
  </si>
  <si>
    <t>2021-01-16 08:40:26 UTC</t>
  </si>
  <si>
    <t>2022-09-22 07:52:44 UTC</t>
  </si>
  <si>
    <t>https://www.inaturalist.org/observations/68144637</t>
  </si>
  <si>
    <t>https://inaturalist-open-data.s3.amazonaws.com/photos/110268054/medium.jpg</t>
  </si>
  <si>
    <t>Dacomb Drive Road, Harare, Zimbabwe</t>
  </si>
  <si>
    <t>2021-01-16 11:22:21 AM GMT+02:00</t>
  </si>
  <si>
    <t>2021-01-16 09:22:21 UTC</t>
  </si>
  <si>
    <t>anjabuttstedt</t>
  </si>
  <si>
    <t>Anja Buttstedt</t>
  </si>
  <si>
    <t>2021-01-16 12:06:11 UTC</t>
  </si>
  <si>
    <t>2022-09-22 07:52:41 UTC</t>
  </si>
  <si>
    <t>https://www.inaturalist.org/observations/68149282</t>
  </si>
  <si>
    <t>https://static.inaturalist.org/photos/110276990/medium.jpeg</t>
  </si>
  <si>
    <t>2021-01-02 1:11:04 PM GMT+05:30</t>
  </si>
  <si>
    <t>2021-01-02 07:41:04 UTC</t>
  </si>
  <si>
    <t>Chennai</t>
  </si>
  <si>
    <t>vaishnavi_singh</t>
  </si>
  <si>
    <t>vaishnavi singh</t>
  </si>
  <si>
    <t>2021-01-20 07:47:43 UTC</t>
  </si>
  <si>
    <t>2021-01-20 07:47:50 UTC</t>
  </si>
  <si>
    <t>https://www.inaturalist.org/observations/68359638</t>
  </si>
  <si>
    <t>https://static.inaturalist.org/photos/110667987/medium.jpeg</t>
  </si>
  <si>
    <t>private</t>
  </si>
  <si>
    <t>2019/04/13 3:54 PM CEST</t>
  </si>
  <si>
    <t>2019-04-13 13:54:00 UTC</t>
  </si>
  <si>
    <t>almut_66</t>
  </si>
  <si>
    <t>Almut Martens</t>
  </si>
  <si>
    <t>2021-01-20 17:37:14 UTC</t>
  </si>
  <si>
    <t>2022-02-10 12:37:42 UTC</t>
  </si>
  <si>
    <t>https://www.inaturalist.org/observations/68372698</t>
  </si>
  <si>
    <t>https://inaturalist-open-data.s3.amazonaws.com/photos/110693422/medium.jpeg</t>
  </si>
  <si>
    <t>Hardap, Namibia</t>
  </si>
  <si>
    <t>2021-01-21 1:54:49 PM GMT+02:00</t>
  </si>
  <si>
    <t>2021-01-21 11:54:49 UTC</t>
  </si>
  <si>
    <t>isabellejoy</t>
  </si>
  <si>
    <t>Isabelle Joy</t>
  </si>
  <si>
    <t>2021-01-21 16:17:09 UTC</t>
  </si>
  <si>
    <t>2022-09-22 07:52:38 UTC</t>
  </si>
  <si>
    <t>https://www.inaturalist.org/observations/68411524</t>
  </si>
  <si>
    <t>https://static.inaturalist.org/photos/110767328/medium.jpeg</t>
  </si>
  <si>
    <t>Kouga, South Africa</t>
  </si>
  <si>
    <t>Thu Jan 21 2021 17:39:20 GMT+0100 (GMT+1)</t>
  </si>
  <si>
    <t>2021-01-21 16:39:20 UTC</t>
  </si>
  <si>
    <t>2021-01-21 17:07:34 UTC</t>
  </si>
  <si>
    <t>2022-09-22 07:52:36 UTC</t>
  </si>
  <si>
    <t>https://www.inaturalist.org/observations/68413380</t>
  </si>
  <si>
    <t>https://inaturalist-open-data.s3.amazonaws.com/photos/110770677/medium.jpg</t>
  </si>
  <si>
    <t>Centre, CM</t>
  </si>
  <si>
    <t>Wed Jul 30 2008 06:31:00 GMT+0200 (GMT+2)</t>
  </si>
  <si>
    <t>2008-07-30 02:31:00 UTC</t>
  </si>
  <si>
    <t>jeanpaulboerekamps</t>
  </si>
  <si>
    <t>Jean-Paul Boerekamps</t>
  </si>
  <si>
    <t>2021-01-21 18:01:29 UTC</t>
  </si>
  <si>
    <t>2022-09-22 07:52:33 UTC</t>
  </si>
  <si>
    <t>https://www.inaturalist.org/observations/68415251</t>
  </si>
  <si>
    <t>https://inaturalist-open-data.s3.amazonaws.com/photos/110774022/medium.jpg</t>
  </si>
  <si>
    <t>Kilimanjaro, TZ</t>
  </si>
  <si>
    <t>Sat Jan 16 2021 20:41:13 GMT+0100 (GMT+1)</t>
  </si>
  <si>
    <t>2021-01-16 19:41:13 UTC</t>
  </si>
  <si>
    <t>peter_sandkuehler</t>
  </si>
  <si>
    <t>Peter SandkÃ¼hler</t>
  </si>
  <si>
    <t>2021-01-22 09:25:37 UTC</t>
  </si>
  <si>
    <t>2022-09-22 04:43:57 UTC</t>
  </si>
  <si>
    <t>https://www.inaturalist.org/observations/68443154</t>
  </si>
  <si>
    <t>https://static.inaturalist.org/photos/110824739/medium.jpg</t>
  </si>
  <si>
    <t>Bas-Zaire, CD</t>
  </si>
  <si>
    <t>2021/01/22 7:38 AM SAST</t>
  </si>
  <si>
    <t>2021-01-22 05:38:00 UTC</t>
  </si>
  <si>
    <t>2021-01-23 09:27:47 UTC</t>
  </si>
  <si>
    <t>2022-09-22 04:43:55 UTC</t>
  </si>
  <si>
    <t>https://www.inaturalist.org/observations/68483726</t>
  </si>
  <si>
    <t>https://inaturalist-open-data.s3.amazonaws.com/photos/110900555/medium.jpg</t>
  </si>
  <si>
    <t>&lt;h3&gt;Rolling up the toothpaste tube&lt;/h3&gt;_x000D_
Wasp attacked worm, rolled it up in its skin, expelling its black guts, and flew off with the yellow blob, presumably to feed her hungry larva/e back home in the nest._x000D_
_x000D_
_x000D_
_x000D_
See caterpillar prey here: https://www.inaturalist.org/observations/68483766_x000D_
_x000D_
Great series of photos kind courtesy of Hazel Nevin</t>
  </si>
  <si>
    <t>2021-01-23 10:28:28 AM GMT+02:00</t>
  </si>
  <si>
    <t>2021-01-23 08:28:28 UTC</t>
  </si>
  <si>
    <t>margaretburger</t>
  </si>
  <si>
    <t>Margaret Burger</t>
  </si>
  <si>
    <t>2021-01-24 15:33:41 UTC</t>
  </si>
  <si>
    <t>2022-09-22 04:43:50 UTC</t>
  </si>
  <si>
    <t>https://www.inaturalist.org/observations/68548232</t>
  </si>
  <si>
    <t>https://inaturalist-open-data.s3.amazonaws.com/photos/111023847/medium.jpeg</t>
  </si>
  <si>
    <t>Umgeni Park, Durban North, 4051, South Africa</t>
  </si>
  <si>
    <t>2021-01-25 6:20:12 PM GMT+02:00</t>
  </si>
  <si>
    <t>2021-01-25 16:20:12 UTC</t>
  </si>
  <si>
    <t>2021-01-25 21:43:45 UTC</t>
  </si>
  <si>
    <t>2022-09-22 04:43:48 UTC</t>
  </si>
  <si>
    <t>https://www.inaturalist.org/observations/68614373</t>
  </si>
  <si>
    <t>https://inaturalist-open-data.s3.amazonaws.com/photos/111150279/medium.jpeg</t>
  </si>
  <si>
    <t>Victoria Heights Drive, Victoria Bay</t>
  </si>
  <si>
    <t>2019/03/01 7:43 AM EST</t>
  </si>
  <si>
    <t>2019-03-01 12:43:00 UTC</t>
  </si>
  <si>
    <t>c_hutton</t>
  </si>
  <si>
    <t>2021-01-31 20:14:10 UTC</t>
  </si>
  <si>
    <t>2022-11-23 18:12:53 UTC</t>
  </si>
  <si>
    <t>https://www.inaturalist.org/observations/68877969</t>
  </si>
  <si>
    <t>https://static.inaturalist.org/photos/111635612/medium.jpg</t>
  </si>
  <si>
    <t>Ifanadiana, Madagascar</t>
  </si>
  <si>
    <t>2019/03/01 8:10 AM EST</t>
  </si>
  <si>
    <t>2019-03-01 13:10:00 UTC</t>
  </si>
  <si>
    <t>2022-09-22 04:43:11 UTC</t>
  </si>
  <si>
    <t>https://www.inaturalist.org/observations/68877971</t>
  </si>
  <si>
    <t>https://static.inaturalist.org/photos/111635627/medium.jpg</t>
  </si>
  <si>
    <t>2019/03/10 2:08 PM EDT</t>
  </si>
  <si>
    <t>2019-03-10 18:08:00 UTC</t>
  </si>
  <si>
    <t>2021-02-01 19:28:39 UTC</t>
  </si>
  <si>
    <t>2022-09-22 04:43:08 UTC</t>
  </si>
  <si>
    <t>https://www.inaturalist.org/observations/68927523</t>
  </si>
  <si>
    <t>https://static.inaturalist.org/photos/111730434/medium.jpg</t>
  </si>
  <si>
    <t>2018/11/03 10:06 AM EDT</t>
  </si>
  <si>
    <t>2018-11-03 14:06:00 UTC</t>
  </si>
  <si>
    <t>2021-02-04 19:17:42 UTC</t>
  </si>
  <si>
    <t>2022-09-22 04:42:40 UTC</t>
  </si>
  <si>
    <t>https://www.inaturalist.org/observations/69061278</t>
  </si>
  <si>
    <t>https://static.inaturalist.org/photos/111974488/medium.jpg</t>
  </si>
  <si>
    <t>Buikwe, Uganda</t>
  </si>
  <si>
    <t>2015/08/02 1:09 AM CEST</t>
  </si>
  <si>
    <t>2015-08-01 23:09:00 UTC</t>
  </si>
  <si>
    <t>2021-02-06 00:16:20 UTC</t>
  </si>
  <si>
    <t>2022-09-22 04:42:34 UTC</t>
  </si>
  <si>
    <t>https://www.inaturalist.org/observations/69112143</t>
  </si>
  <si>
    <t>https://inaturalist-open-data.s3.amazonaws.com/photos/112073516/medium.jpg</t>
  </si>
  <si>
    <t>Mopani, SÃ¼dafrika</t>
  </si>
  <si>
    <t>2015/08/02 1:16 AM CEST</t>
  </si>
  <si>
    <t>2015-08-01 23:16:00 UTC</t>
  </si>
  <si>
    <t>2021-02-06 00:18:11 UTC</t>
  </si>
  <si>
    <t>2022-09-22 04:42:31 UTC</t>
  </si>
  <si>
    <t>https://www.inaturalist.org/observations/69112237</t>
  </si>
  <si>
    <t>https://inaturalist-open-data.s3.amazonaws.com/photos/112074141/medium.jpg</t>
  </si>
  <si>
    <t>2019/11/20 4:44 PM CET</t>
  </si>
  <si>
    <t>2019-11-20 15:44:00 UTC</t>
  </si>
  <si>
    <t>pmaaskant</t>
  </si>
  <si>
    <t>2021-02-07 12:38:34 UTC</t>
  </si>
  <si>
    <t>https://www.inaturalist.org/observations/69198412</t>
  </si>
  <si>
    <t>https://inaturalist-open-data.s3.amazonaws.com/photos/112233475/medium.jpeg</t>
  </si>
  <si>
    <t>Chinsali District, Zambia</t>
  </si>
  <si>
    <t>2021/02/06 7:43 AM SAST</t>
  </si>
  <si>
    <t>2021-02-06 05:43:00 UTC</t>
  </si>
  <si>
    <t>jaheymans</t>
  </si>
  <si>
    <t>Joseph Heymans</t>
  </si>
  <si>
    <t>2021-02-08 05:11:55 UTC</t>
  </si>
  <si>
    <t>2022-09-22 04:42:18 UTC</t>
  </si>
  <si>
    <t>https://www.inaturalist.org/observations/69243836</t>
  </si>
  <si>
    <t>https://inaturalist-open-data.s3.amazonaws.com/photos/112318702/medium.jpeg</t>
  </si>
  <si>
    <t>Modimolle, 0510, South Africa</t>
  </si>
  <si>
    <t>2021/02/09 6:27 PM UTC</t>
  </si>
  <si>
    <t>2021-02-09 18:27:00 UTC</t>
  </si>
  <si>
    <t>2021-02-10 11:35:24 UTC</t>
  </si>
  <si>
    <t>2022-09-22 07:52:24 UTC</t>
  </si>
  <si>
    <t>https://www.inaturalist.org/observations/69361341</t>
  </si>
  <si>
    <t>https://inaturalist-open-data.s3.amazonaws.com/photos/112519536/medium.jpg</t>
  </si>
  <si>
    <t>Chisipite, Harare, Zimbabwe</t>
  </si>
  <si>
    <t>2021-02-13 14:43:43+03:00</t>
  </si>
  <si>
    <t>2021-02-13 11:43:43 UTC</t>
  </si>
  <si>
    <t>resemmes</t>
  </si>
  <si>
    <t>2021-02-13 11:45:07 UTC</t>
  </si>
  <si>
    <t>2022-09-22 07:52:21 UTC</t>
  </si>
  <si>
    <t>https://www.inaturalist.org/observations/69497511</t>
  </si>
  <si>
    <t>https://inaturalist-open-data.s3.amazonaws.com/photos/112778312/medium.jpeg</t>
  </si>
  <si>
    <t>2020/08/17 4:15 PM CET</t>
  </si>
  <si>
    <t>2020-08-17 15:15:00 UTC</t>
  </si>
  <si>
    <t>oebenin</t>
  </si>
  <si>
    <t>ONG OeBenin</t>
  </si>
  <si>
    <t>2021-02-14 12:43:03 UTC</t>
  </si>
  <si>
    <t>2022-09-22 07:52:17 UTC</t>
  </si>
  <si>
    <t>https://www.inaturalist.org/observations/69556524</t>
  </si>
  <si>
    <t>https://inaturalist-open-data.s3.amazonaws.com/photos/112884910/medium.jpg</t>
  </si>
  <si>
    <t>TanguiÃ©ta, Benin</t>
  </si>
  <si>
    <t>2020/08/17 4:17 PM CET</t>
  </si>
  <si>
    <t>2020-08-17 15:17:00 UTC</t>
  </si>
  <si>
    <t>2022-09-22 07:52:14 UTC</t>
  </si>
  <si>
    <t>https://www.inaturalist.org/observations/69556525</t>
  </si>
  <si>
    <t>https://inaturalist-open-data.s3.amazonaws.com/photos/112884924/medium.jpg</t>
  </si>
  <si>
    <t>TanguiÃ©ta, Atakora, Benin</t>
  </si>
  <si>
    <t>2021/01/10 10:33 AM CET</t>
  </si>
  <si>
    <t>2021-01-10 09:33:00 UTC</t>
  </si>
  <si>
    <t>michael_mulligan</t>
  </si>
  <si>
    <t>2021-02-17 06:42:57 UTC</t>
  </si>
  <si>
    <t>2022-09-22 07:52:11 UTC</t>
  </si>
  <si>
    <t>https://www.inaturalist.org/observations/69708444</t>
  </si>
  <si>
    <t>https://static.inaturalist.org/photos/113169108/medium.jpeg</t>
  </si>
  <si>
    <t>Ngaliema, Kinshasa, Democratic Republic of the Congo</t>
  </si>
  <si>
    <t>2021/02/14 1:37 PM SAST</t>
  </si>
  <si>
    <t>2021-02-14 11:37:00 UTC</t>
  </si>
  <si>
    <t>moira_fitzpatrick</t>
  </si>
  <si>
    <t>Moira FitzPatrick</t>
  </si>
  <si>
    <t>2021-02-17 08:24:03 UTC</t>
  </si>
  <si>
    <t>2022-09-22 07:52:09 UTC</t>
  </si>
  <si>
    <t>https://www.inaturalist.org/observations/69710817</t>
  </si>
  <si>
    <t>https://inaturalist-open-data.s3.amazonaws.com/photos/113173761/medium.jpeg</t>
  </si>
  <si>
    <t>Amadzimba Cave, Matobo, Zimbabwe</t>
  </si>
  <si>
    <t>2018/03/30 5:05 PM UTC</t>
  </si>
  <si>
    <t>2018-03-30 17:05:00 UTC</t>
  </si>
  <si>
    <t>birdingislife</t>
  </si>
  <si>
    <t>Jonathan Breytenbach</t>
  </si>
  <si>
    <t>2021-02-18 12:51:28 UTC</t>
  </si>
  <si>
    <t>2022-09-22 07:52:05 UTC</t>
  </si>
  <si>
    <t>https://www.inaturalist.org/observations/69763245</t>
  </si>
  <si>
    <t>https://inaturalist-open-data.s3.amazonaws.com/photos/113275653/medium.jpeg</t>
  </si>
  <si>
    <t>1053, Blaawbank, Mamogalieskraal, Brits, 0250, South Africa</t>
  </si>
  <si>
    <t>lynrattle</t>
  </si>
  <si>
    <t>2021-02-18 13:30:20 UTC</t>
  </si>
  <si>
    <t>2022-09-22 15:25:53 UTC</t>
  </si>
  <si>
    <t>https://www.inaturalist.org/observations/69764214</t>
  </si>
  <si>
    <t>https://inaturalist-open-data.s3.amazonaws.com/photos/113278351/medium.jpeg</t>
  </si>
  <si>
    <t xml:space="preserve">Pretty sure this is Belonogaster but which one? Looks like Belonogaster dubia which doesn't appear to occur here in the Western Cape. </t>
  </si>
  <si>
    <t>Hout Bay</t>
  </si>
  <si>
    <t>2020-02-03 1:44:19 PM GMT+02:00</t>
  </si>
  <si>
    <t>2020-02-03 11:44:19 UTC</t>
  </si>
  <si>
    <t>lezanne_rossouw</t>
  </si>
  <si>
    <t>Lezanne Rossouw</t>
  </si>
  <si>
    <t>2021-02-19 08:44:32 UTC</t>
  </si>
  <si>
    <t>2022-09-22 15:25:49 UTC</t>
  </si>
  <si>
    <t>https://www.inaturalist.org/observations/69805110</t>
  </si>
  <si>
    <t>https://static.inaturalist.org/photos/113356198/medium.jpeg</t>
  </si>
  <si>
    <t xml:space="preserve">In my bedroom on the wall next to window </t>
  </si>
  <si>
    <t>Serene Valley</t>
  </si>
  <si>
    <t>2017/10/14 1:22 PM CEST</t>
  </si>
  <si>
    <t>2017-10-14 11:22:00 UTC</t>
  </si>
  <si>
    <t>oliverdrescher</t>
  </si>
  <si>
    <t>Oliver Drescher</t>
  </si>
  <si>
    <t>2021-02-21 01:05:01 UTC</t>
  </si>
  <si>
    <t>2022-09-22 15:25:45 UTC</t>
  </si>
  <si>
    <t>https://www.inaturalist.org/observations/69894587</t>
  </si>
  <si>
    <t>https://inaturalist-open-data.s3.amazonaws.com/photos/113521102/medium.jpg</t>
  </si>
  <si>
    <t>Bagamoyo, Tansania</t>
  </si>
  <si>
    <t>2021/02/13 6:51 AM CET</t>
  </si>
  <si>
    <t>2021-02-13 05:51:00 UTC</t>
  </si>
  <si>
    <t>2021-02-21 05:39:32 UTC</t>
  </si>
  <si>
    <t>2022-09-22 15:25:42 UTC</t>
  </si>
  <si>
    <t>https://www.inaturalist.org/observations/69906507</t>
  </si>
  <si>
    <t>https://inaturalist-open-data.s3.amazonaws.com/photos/113544164/medium.jpg</t>
  </si>
  <si>
    <t>Uzunguni, Arusha, Tansania</t>
  </si>
  <si>
    <t>Tue Feb 16 2021 11:09:21 GMT+0300 (GMT+3)</t>
  </si>
  <si>
    <t>2021-02-16 08:09:21 UTC</t>
  </si>
  <si>
    <t>micoltanzania</t>
  </si>
  <si>
    <t>2021-02-21 11:31:10 UTC</t>
  </si>
  <si>
    <t>2022-09-22 15:25:39 UTC</t>
  </si>
  <si>
    <t>https://www.inaturalist.org/observations/69916050</t>
  </si>
  <si>
    <t>https://inaturalist-open-data.s3.amazonaws.com/photos/113561396/medium.jpg</t>
  </si>
  <si>
    <t>Ruaha National Park, Iringa, TZ</t>
  </si>
  <si>
    <t>Sun Feb 21 2021 07:47:36 GMT+0200 (GMT+2)</t>
  </si>
  <si>
    <t>2021-02-21 05:47:36 UTC</t>
  </si>
  <si>
    <t>opearse</t>
  </si>
  <si>
    <t>Oliver Pearse</t>
  </si>
  <si>
    <t>2021-02-21 12:38:52 UTC</t>
  </si>
  <si>
    <t>2022-09-22 15:25:37 UTC</t>
  </si>
  <si>
    <t>https://www.inaturalist.org/observations/69918050</t>
  </si>
  <si>
    <t>https://inaturalist-open-data.s3.amazonaws.com/photos/113565203/medium.jpg</t>
  </si>
  <si>
    <t>Mulanje Forest Reserve, Southern Region, MW</t>
  </si>
  <si>
    <t>Sun Feb 21 2021 21:34:17 GMT+0100 (GMT+1)</t>
  </si>
  <si>
    <t>2021-02-21 20:34:17 UTC</t>
  </si>
  <si>
    <t>2021-02-21 22:13:12 UTC</t>
  </si>
  <si>
    <t>2022-09-22 04:42:05 UTC</t>
  </si>
  <si>
    <t>https://www.inaturalist.org/observations/69950483</t>
  </si>
  <si>
    <t>https://inaturalist-open-data.s3.amazonaws.com/photos/113623297/medium.jpg</t>
  </si>
  <si>
    <t>2021-02-19 9:44:41 AM GMT+02:00</t>
  </si>
  <si>
    <t>2021-02-19 07:44:41 UTC</t>
  </si>
  <si>
    <t>sfcnature</t>
  </si>
  <si>
    <t>2021-02-22 19:47:23 UTC</t>
  </si>
  <si>
    <t>2022-09-22 04:41:52 UTC</t>
  </si>
  <si>
    <t>https://www.inaturalist.org/observations/70000997</t>
  </si>
  <si>
    <t>https://inaturalist-open-data.s3.amazonaws.com/photos/113714179/medium.jpeg</t>
  </si>
  <si>
    <t>2021/02/13 8:42 PM CET</t>
  </si>
  <si>
    <t>2021-02-13 19:42:00 UTC</t>
  </si>
  <si>
    <t>2021-02-23 04:51:45 UTC</t>
  </si>
  <si>
    <t>2022-09-22 04:41:46 UTC</t>
  </si>
  <si>
    <t>https://www.inaturalist.org/observations/70023591</t>
  </si>
  <si>
    <t>https://inaturalist-open-data.s3.amazonaws.com/photos/113755944/medium.jpg</t>
  </si>
  <si>
    <t>Nzega, Tansania</t>
  </si>
  <si>
    <t>2021/02/18 11:52 AM SAST</t>
  </si>
  <si>
    <t>2021-02-18 09:52:00 UTC</t>
  </si>
  <si>
    <t>gvilimpopo</t>
  </si>
  <si>
    <t>GVI Limpopo</t>
  </si>
  <si>
    <t>2021-02-23 08:57:32 UTC</t>
  </si>
  <si>
    <t>2022-09-22 04:41:42 UTC</t>
  </si>
  <si>
    <t>https://www.inaturalist.org/observations/70029042</t>
  </si>
  <si>
    <t>https://inaturalist-open-data.s3.amazonaws.com/photos/113766830/medium.jpg</t>
  </si>
  <si>
    <t>Beacon Rock</t>
  </si>
  <si>
    <t>2021/02/23 2:42 PM SAST</t>
  </si>
  <si>
    <t>2021-02-23 12:42:00 UTC</t>
  </si>
  <si>
    <t>2021-02-24 08:22:01 UTC</t>
  </si>
  <si>
    <t>2022-09-22 10:20:26 UTC</t>
  </si>
  <si>
    <t>https://www.inaturalist.org/observations/70079160</t>
  </si>
  <si>
    <t>https://inaturalist-open-data.s3.amazonaws.com/photos/113859245/medium.jpeg</t>
  </si>
  <si>
    <t>Bulawayo South, Bulawayo, Zimbabwe</t>
  </si>
  <si>
    <t>2021/02/21 12:41 PM SAST</t>
  </si>
  <si>
    <t>2021-02-21 10:41:00 UTC</t>
  </si>
  <si>
    <t>ryanmtippett</t>
  </si>
  <si>
    <t>Ryan Tippett</t>
  </si>
  <si>
    <t>2021-02-25 15:54:17 UTC</t>
  </si>
  <si>
    <t>2022-09-22 04:41:35 UTC</t>
  </si>
  <si>
    <t>https://www.inaturalist.org/observations/70146820</t>
  </si>
  <si>
    <t>https://inaturalist-open-data.s3.amazonaws.com/photos/113977708/medium.jpeg</t>
  </si>
  <si>
    <t>Bo-Karoo, South Africa</t>
  </si>
  <si>
    <t>2021/02/26 8:17 AM SAST</t>
  </si>
  <si>
    <t>2021-02-26 06:17:00 UTC</t>
  </si>
  <si>
    <t>heracles</t>
  </si>
  <si>
    <t>Louis L. Lodder</t>
  </si>
  <si>
    <t>2021-02-26 09:02:18 UTC</t>
  </si>
  <si>
    <t>2022-09-22 04:41:20 UTC</t>
  </si>
  <si>
    <t>https://www.inaturalist.org/observations/70189694</t>
  </si>
  <si>
    <t>https://inaturalist-open-data.s3.amazonaws.com/photos/114052437/medium.jpeg</t>
  </si>
  <si>
    <t xml:space="preserve"> Palmiet Nature Reserve, Lower David McLean Drive, Dawncrest, Westville, 3629, South Africa</t>
  </si>
  <si>
    <t>2021/02/27 1:50 PM UTC</t>
  </si>
  <si>
    <t>2021-02-27 13:50:00 UTC</t>
  </si>
  <si>
    <t>glennstockil</t>
  </si>
  <si>
    <t>GLENN STOCKIL</t>
  </si>
  <si>
    <t>2021-02-27 12:18:43 UTC</t>
  </si>
  <si>
    <t>2022-09-22 04:41:18 UTC</t>
  </si>
  <si>
    <t>https://www.inaturalist.org/observations/70247417</t>
  </si>
  <si>
    <t>https://inaturalist-open-data.s3.amazonaws.com/photos/114158671/medium.jpeg</t>
  </si>
  <si>
    <t xml:space="preserve">Senuko Airport, Zimbabwe </t>
  </si>
  <si>
    <t>2021/01/08 11:41 AM SAST</t>
  </si>
  <si>
    <t>2021-01-08 07:41:00 UTC</t>
  </si>
  <si>
    <t>peterswart</t>
  </si>
  <si>
    <t>2021-02-27 19:34:44 UTC</t>
  </si>
  <si>
    <t>2022-09-22 04:41:14 UTC</t>
  </si>
  <si>
    <t>https://www.inaturalist.org/observations/70269337</t>
  </si>
  <si>
    <t>https://inaturalist-open-data.s3.amazonaws.com/photos/114198769/medium.jpg</t>
  </si>
  <si>
    <t>Forest Drive, Natures Valley, Nature's Valley, South Africa</t>
  </si>
  <si>
    <t>2019/10/05 8:10 PM +0800</t>
  </si>
  <si>
    <t>2019-10-05 12:10:00 UTC</t>
  </si>
  <si>
    <t>cclborneo</t>
  </si>
  <si>
    <t>Chien Lee</t>
  </si>
  <si>
    <t>2021-03-03 06:57:14 UTC</t>
  </si>
  <si>
    <t>2022-09-22 04:40:47 UTC</t>
  </si>
  <si>
    <t>https://www.inaturalist.org/observations/70488357</t>
  </si>
  <si>
    <t>https://static.inaturalist.org/photos/114603717/medium.jpg</t>
  </si>
  <si>
    <t>Aculeata, Apocrita, Hymenoptera, Insecta, Madagascar, Polistinae, Vespidae, Vespoidea, animal, arthropod, fauna, hornet, insect, invertebrate, nest, paper wasp, tropical, wasp</t>
  </si>
  <si>
    <t>2021/01/28 5:04 PM SAST</t>
  </si>
  <si>
    <t>2021-01-28 15:04:00 UTC</t>
  </si>
  <si>
    <t>johncallanan</t>
  </si>
  <si>
    <t>2021-03-07 22:12:11 UTC</t>
  </si>
  <si>
    <t>2022-09-22 04:40:24 UTC</t>
  </si>
  <si>
    <t>https://www.inaturalist.org/observations/70772147</t>
  </si>
  <si>
    <t>https://inaturalist-open-data.s3.amazonaws.com/photos/115112159/medium.jpeg</t>
  </si>
  <si>
    <t>Wilderness, 6560, South Africa</t>
  </si>
  <si>
    <t>2021/03/07 5:44 PM +0500</t>
  </si>
  <si>
    <t>2021-03-07 12:44:00 UTC</t>
  </si>
  <si>
    <t>Ekaterinburg</t>
  </si>
  <si>
    <t>svetlanakhanty</t>
  </si>
  <si>
    <t>Ð¡Ð²ÐµÑ‚Ð»Ð°Ð½Ð° Ð¦Ð°Ñ€Ð°Ñ…Ð¾Ð²Ð°</t>
  </si>
  <si>
    <t>2021-03-08 05:24:57 UTC</t>
  </si>
  <si>
    <t>2022-09-22 19:37:26 UTC</t>
  </si>
  <si>
    <t>https://www.inaturalist.org/observations/70799051</t>
  </si>
  <si>
    <t>https://inaturalist-open-data.s3.amazonaws.com/photos/115162287/medium.jpeg</t>
  </si>
  <si>
    <t>ÐœÐ¸ÐºÑƒÐ¼Ð¸, Ð¢Ð°Ð½Ð·Ð°Ð½Ð¸Ñ</t>
  </si>
  <si>
    <t>2021-03-06 9:02:14 AM GMT+02:00</t>
  </si>
  <si>
    <t>2021-03-06 05:02:14 UTC</t>
  </si>
  <si>
    <t>2021-03-08 18:09:15 UTC</t>
  </si>
  <si>
    <t>2022-02-02 18:42:20 UTC</t>
  </si>
  <si>
    <t>https://www.inaturalist.org/observations/70825702</t>
  </si>
  <si>
    <t>https://static.inaturalist.org/photos/115212552/medium.jpeg</t>
  </si>
  <si>
    <t>2015/10/26 4:41 PM CET</t>
  </si>
  <si>
    <t>2015-10-26 15:41:00 UTC</t>
  </si>
  <si>
    <t>gego</t>
  </si>
  <si>
    <t>G. VIGO</t>
  </si>
  <si>
    <t>2021-03-13 20:36:24 UTC</t>
  </si>
  <si>
    <t>2022-02-05 05:53:36 UTC</t>
  </si>
  <si>
    <t>https://www.inaturalist.org/observations/71156417</t>
  </si>
  <si>
    <t>https://inaturalist-open-data.s3.amazonaws.com/photos/115804130/medium.jpeg</t>
  </si>
  <si>
    <t>Dhofar, Oman</t>
  </si>
  <si>
    <t>2021/03/17 8:16 AM UTC</t>
  </si>
  <si>
    <t>2021-03-17 08:16:00 UTC</t>
  </si>
  <si>
    <t>subbi</t>
  </si>
  <si>
    <t>Subramanian Sevgan</t>
  </si>
  <si>
    <t>2021-03-18 03:33:03 UTC</t>
  </si>
  <si>
    <t>2022-09-22 15:25:28 UTC</t>
  </si>
  <si>
    <t>https://www.inaturalist.org/observations/71466745</t>
  </si>
  <si>
    <t>https://static.inaturalist.org/photos/116360050/medium.jpeg</t>
  </si>
  <si>
    <t>Parklands, Nairobi, Kenya</t>
  </si>
  <si>
    <t>2021/03/19 8:59 AM SAST</t>
  </si>
  <si>
    <t>2021-03-19 06:59:00 UTC</t>
  </si>
  <si>
    <t>2021-03-19 09:21:13 UTC</t>
  </si>
  <si>
    <t>2022-09-22 15:25:20 UTC</t>
  </si>
  <si>
    <t>https://www.inaturalist.org/observations/71540278</t>
  </si>
  <si>
    <t>https://inaturalist-open-data.s3.amazonaws.com/photos/116491686/medium.jpeg</t>
  </si>
  <si>
    <t>2009/03/26 11:29 AM CET</t>
  </si>
  <si>
    <t>2009-03-26 10:29:00 UTC</t>
  </si>
  <si>
    <t>wolfganggessl</t>
  </si>
  <si>
    <t>Wolfgang Gessl</t>
  </si>
  <si>
    <t>2021-03-21 18:24:02 UTC</t>
  </si>
  <si>
    <t>2022-09-26 06:06:03 UTC</t>
  </si>
  <si>
    <t>https://www.inaturalist.org/observations/71725783</t>
  </si>
  <si>
    <t>https://static.inaturalist.org/photos/116810873/medium.jpeg</t>
  </si>
  <si>
    <t>Mpulungu, Sambia, Charity</t>
  </si>
  <si>
    <t>2021/03/22 3:17 PM SAST</t>
  </si>
  <si>
    <t>2021-03-22 13:17:00 UTC</t>
  </si>
  <si>
    <t>jacob12_</t>
  </si>
  <si>
    <t>Jacob Henry</t>
  </si>
  <si>
    <t>2021-03-22 13:19:06 UTC</t>
  </si>
  <si>
    <t>2021-03-29 20:12:26 UTC</t>
  </si>
  <si>
    <t>https://www.inaturalist.org/observations/71795321</t>
  </si>
  <si>
    <t>https://inaturalist-open-data.s3.amazonaws.com/photos/116947038/medium.png</t>
  </si>
  <si>
    <t>Windhoek West, Windhoek, Namibia</t>
  </si>
  <si>
    <t>2021-03-24 10:36:52 AM GMT+03:00</t>
  </si>
  <si>
    <t>2021-03-24 07:36:52 UTC</t>
  </si>
  <si>
    <t>also_sprach_susscrofa</t>
  </si>
  <si>
    <t>BenJee</t>
  </si>
  <si>
    <t>2021-03-24 14:45:09 UTC</t>
  </si>
  <si>
    <t>2022-09-22 15:25:04 UTC</t>
  </si>
  <si>
    <t>https://www.inaturalist.org/observations/71947732</t>
  </si>
  <si>
    <t>https://inaturalist-open-data.s3.amazonaws.com/photos/117221552/medium.jpeg</t>
  </si>
  <si>
    <t>Idodi, Tanzania</t>
  </si>
  <si>
    <t>2021/03/18 9:20 AM SAST</t>
  </si>
  <si>
    <t>2021-03-18 07:20:00 UTC</t>
  </si>
  <si>
    <t>2021-03-26 08:07:41 UTC</t>
  </si>
  <si>
    <t>2022-09-22 15:25:00 UTC</t>
  </si>
  <si>
    <t>https://www.inaturalist.org/observations/72075148</t>
  </si>
  <si>
    <t>https://inaturalist-open-data.s3.amazonaws.com/photos/117452183/medium.jpeg</t>
  </si>
  <si>
    <t>Mooikloof, Pretoria, 0059, South Africa</t>
  </si>
  <si>
    <t>2021/03/26 2:36 PM SAST</t>
  </si>
  <si>
    <t>2021-03-26 10:36:00 UTC</t>
  </si>
  <si>
    <t>elainebester</t>
  </si>
  <si>
    <t>Elaine Bester</t>
  </si>
  <si>
    <t>2021-03-26 14:00:03 UTC</t>
  </si>
  <si>
    <t>2022-09-22 15:24:57 UTC</t>
  </si>
  <si>
    <t>https://www.inaturalist.org/observations/72086803</t>
  </si>
  <si>
    <t>https://inaturalist-open-data.s3.amazonaws.com/photos/117471931/medium.jpeg</t>
  </si>
  <si>
    <t>Rooiberg, 0500, South Africa</t>
  </si>
  <si>
    <t>2014/11/26 5:33 PM CAT</t>
  </si>
  <si>
    <t>2014-11-26 16:33:00 UTC</t>
  </si>
  <si>
    <t>2021-03-27 12:42:38 UTC</t>
  </si>
  <si>
    <t>2022-09-22 15:24:54 UTC</t>
  </si>
  <si>
    <t>https://www.inaturalist.org/observations/72158485</t>
  </si>
  <si>
    <t>https://inaturalist-open-data.s3.amazonaws.com/photos/117601679/medium.jpg</t>
  </si>
  <si>
    <t>Mozambique, Catapu, insects, Hymenoptera, Vespidae, Wasps</t>
  </si>
  <si>
    <t>TCT Dalmann Catapu, Mozambique</t>
  </si>
  <si>
    <t>2021/03/23 4:30 PM SAST</t>
  </si>
  <si>
    <t>2021-03-23 12:30:00 UTC</t>
  </si>
  <si>
    <t>2021-03-28 07:04:53 UTC</t>
  </si>
  <si>
    <t>2022-09-22 15:24:50 UTC</t>
  </si>
  <si>
    <t>https://www.inaturalist.org/observations/72244695</t>
  </si>
  <si>
    <t>https://inaturalist-open-data.s3.amazonaws.com/photos/117755804/medium.jpg</t>
  </si>
  <si>
    <t>River plain</t>
  </si>
  <si>
    <t>2021/03/26 11:12 AM CAT</t>
  </si>
  <si>
    <t>2021-03-26 10:12:00 UTC</t>
  </si>
  <si>
    <t>2021-03-28 12:43:33 UTC</t>
  </si>
  <si>
    <t>2022-09-22 15:24:46 UTC</t>
  </si>
  <si>
    <t>https://www.inaturalist.org/observations/72258813</t>
  </si>
  <si>
    <t>https://inaturalist-open-data.s3.amazonaws.com/photos/117780376/medium.jpg</t>
  </si>
  <si>
    <t>Zimbabwe, Harare, insects, Hymenoptera, Vespidae</t>
  </si>
  <si>
    <t>2021-03-13 12:17:05 PM GMT+02:00</t>
  </si>
  <si>
    <t>2021-03-13 10:17:05 UTC</t>
  </si>
  <si>
    <t>2021-03-28 19:48:03 UTC</t>
  </si>
  <si>
    <t>2022-09-22 15:24:44 UTC</t>
  </si>
  <si>
    <t>https://www.inaturalist.org/observations/72296952</t>
  </si>
  <si>
    <t>https://inaturalist-open-data.s3.amazonaws.com/photos/117847488/medium.jpeg</t>
  </si>
  <si>
    <t>2018-02-17 5:13:55 PM GMT+01:00</t>
  </si>
  <si>
    <t>2018-02-17 16:13:55 UTC</t>
  </si>
  <si>
    <t>asgard1</t>
  </si>
  <si>
    <t>Asgard</t>
  </si>
  <si>
    <t>2021-03-29 19:45:08 UTC</t>
  </si>
  <si>
    <t>2022-09-22 15:22:49 UTC</t>
  </si>
  <si>
    <t>https://www.inaturalist.org/observations/72387092</t>
  </si>
  <si>
    <t>https://static.inaturalist.org/photos/118012382/medium.jpeg</t>
  </si>
  <si>
    <t>Sakai, Kenya</t>
  </si>
  <si>
    <t>2021-03-31 7:08:24 PM GMT+02:00</t>
  </si>
  <si>
    <t>2021-03-31 17:08:24 UTC</t>
  </si>
  <si>
    <t>ferncliffenpc</t>
  </si>
  <si>
    <t>2021-04-02 18:26:05 UTC</t>
  </si>
  <si>
    <t>2022-09-22 16:03:41 UTC</t>
  </si>
  <si>
    <t>https://www.inaturalist.org/observations/72707223</t>
  </si>
  <si>
    <t>https://inaturalist-open-data.s3.amazonaws.com/photos/118588683/medium.jpeg</t>
  </si>
  <si>
    <t>Chase Valley, Pietermaritzburg, 3231, South Africa</t>
  </si>
  <si>
    <t>2021/04/02 2:32 PM CAT</t>
  </si>
  <si>
    <t>2021-04-02 13:32:00 UTC</t>
  </si>
  <si>
    <t>2021-04-03 14:15:42 UTC</t>
  </si>
  <si>
    <t>2022-09-22 16:03:38 UTC</t>
  </si>
  <si>
    <t>https://www.inaturalist.org/observations/72779118</t>
  </si>
  <si>
    <t>https://inaturalist-open-data.s3.amazonaws.com/photos/118723161/medium.jpg</t>
  </si>
  <si>
    <t>Zimbabwe, Harare, insects, Hymenoptera, Vespidae, Wasps, Ichneumonoidea</t>
  </si>
  <si>
    <t>2021-04-05 1:36:36 PM GMT+02:00</t>
  </si>
  <si>
    <t>2021-04-05 11:36:36 UTC</t>
  </si>
  <si>
    <t>2021-04-05 13:21:59 UTC</t>
  </si>
  <si>
    <t>2022-09-22 16:03:35 UTC</t>
  </si>
  <si>
    <t>https://www.inaturalist.org/observations/73005320</t>
  </si>
  <si>
    <t>https://inaturalist-open-data.s3.amazonaws.com/photos/119133319/medium.jpeg</t>
  </si>
  <si>
    <t>2021/04/02 11:19 AM HST</t>
  </si>
  <si>
    <t>2021-04-02 21:19:00 UTC</t>
  </si>
  <si>
    <t>gerberannette</t>
  </si>
  <si>
    <t>2021-04-05 15:52:30 UTC</t>
  </si>
  <si>
    <t>2022-09-22 16:03:32 UTC</t>
  </si>
  <si>
    <t>https://www.inaturalist.org/observations/73018341</t>
  </si>
  <si>
    <t>https://inaturalist-open-data.s3.amazonaws.com/photos/119155945/medium.jpeg</t>
  </si>
  <si>
    <t>2021-04-07 11:31:22 AM GMT+02:00</t>
  </si>
  <si>
    <t>2021-04-07 09:31:22 UTC</t>
  </si>
  <si>
    <t>matewe</t>
  </si>
  <si>
    <t>2021-04-08 04:52:45 UTC</t>
  </si>
  <si>
    <t>2022-09-22 04:39:51 UTC</t>
  </si>
  <si>
    <t>https://www.inaturalist.org/observations/73271813</t>
  </si>
  <si>
    <t>https://inaturalist-open-data.s3.amazonaws.com/photos/119604356/medium.jpeg</t>
  </si>
  <si>
    <t>Kanye</t>
  </si>
  <si>
    <t>2020/02/20 12:30 PM CET</t>
  </si>
  <si>
    <t>2020-02-20 11:30:00 UTC</t>
  </si>
  <si>
    <t>robcorv</t>
  </si>
  <si>
    <t>Roberto Corvino</t>
  </si>
  <si>
    <t>2021-04-08 12:55:00 UTC</t>
  </si>
  <si>
    <t>2022-09-22 04:39:48 UTC</t>
  </si>
  <si>
    <t>https://www.inaturalist.org/observations/73294982</t>
  </si>
  <si>
    <t>https://inaturalist-open-data.s3.amazonaws.com/photos/119626725/medium.jpg</t>
  </si>
  <si>
    <t>Dinokeng Game Reserve</t>
  </si>
  <si>
    <t>2021/04/10 10:16 AM UTC</t>
  </si>
  <si>
    <t>2021-04-10 10:16:00 UTC</t>
  </si>
  <si>
    <t>2021-04-10 18:54:55 UTC</t>
  </si>
  <si>
    <t>2022-09-22 04:39:42 UTC</t>
  </si>
  <si>
    <t>https://www.inaturalist.org/observations/73522462</t>
  </si>
  <si>
    <t>https://inaturalist-open-data.s3.amazonaws.com/photos/120038479/medium.jpeg</t>
  </si>
  <si>
    <t>Malawi</t>
  </si>
  <si>
    <t>2021/04/05 12:44 PM UTC</t>
  </si>
  <si>
    <t>2021-04-05 12:44:00 UTC</t>
  </si>
  <si>
    <t>2021-04-10 20:11:45 UTC</t>
  </si>
  <si>
    <t>2022-09-22 04:39:38 UTC</t>
  </si>
  <si>
    <t>https://www.inaturalist.org/observations/73533576</t>
  </si>
  <si>
    <t>https://inaturalist-open-data.s3.amazonaws.com/photos/120053776/medium.jpeg</t>
  </si>
  <si>
    <t>Likoma, Malawi</t>
  </si>
  <si>
    <t>Sun Apr 11 2021 13:24:13 GMT+0100 (GMT+1)</t>
  </si>
  <si>
    <t>2021-04-11 11:24:13 UTC</t>
  </si>
  <si>
    <t>2021-04-11 15:42:28 UTC</t>
  </si>
  <si>
    <t>2022-09-22 04:39:35 UTC</t>
  </si>
  <si>
    <t>https://www.inaturalist.org/observations/73625325</t>
  </si>
  <si>
    <t>https://inaturalist-open-data.s3.amazonaws.com/photos/120223901/medium.jpg</t>
  </si>
  <si>
    <t>2020-05-11 10:15:00 AM GMT+02:00</t>
  </si>
  <si>
    <t>2020-05-11 08:15:00 UTC</t>
  </si>
  <si>
    <t>suzanne346</t>
  </si>
  <si>
    <t>Suzanne Hoffman</t>
  </si>
  <si>
    <t>2021-04-12 06:52:22 UTC</t>
  </si>
  <si>
    <t>2022-09-22 04:39:28 UTC</t>
  </si>
  <si>
    <t>https://www.inaturalist.org/observations/73721814</t>
  </si>
  <si>
    <t>https://static.inaturalist.org/photos/120395193/medium.jpeg</t>
  </si>
  <si>
    <t>Bradfield, Bulawayo, Zimbabwe</t>
  </si>
  <si>
    <t>2015/11/18 6:48 PM CET</t>
  </si>
  <si>
    <t>2015-11-18 17:48:00 UTC</t>
  </si>
  <si>
    <t>benoit_segerer</t>
  </si>
  <si>
    <t>BenoÃ®t Segerer</t>
  </si>
  <si>
    <t>2021-04-13 12:28:35 UTC</t>
  </si>
  <si>
    <t>2022-09-22 04:39:22 UTC</t>
  </si>
  <si>
    <t>https://www.inaturalist.org/observations/73834982</t>
  </si>
  <si>
    <t>https://inaturalist-open-data.s3.amazonaws.com/photos/120599154/medium.jpeg</t>
  </si>
  <si>
    <t>Cap Skirring, SÃ©nÃ©gal</t>
  </si>
  <si>
    <t>christianpalsson</t>
  </si>
  <si>
    <t>Christian PÃ¥lsson</t>
  </si>
  <si>
    <t>2021-04-18 18:03:24 UTC</t>
  </si>
  <si>
    <t>2022-04-09 16:58:00 UTC</t>
  </si>
  <si>
    <t>https://www.inaturalist.org/observations/74402543</t>
  </si>
  <si>
    <t>https://static.inaturalist.org/photos/121595924/medium.jpg</t>
  </si>
  <si>
    <t>SÃ¶dra provinsen, UG</t>
  </si>
  <si>
    <t>Belonogaster punctilla</t>
  </si>
  <si>
    <t>Mon Apr 19 2021 13:56:04 GMT+0200 (GMT+2)</t>
  </si>
  <si>
    <t>2021-04-19 11:56:04 UTC</t>
  </si>
  <si>
    <t>gustav_van_vuuren</t>
  </si>
  <si>
    <t>Gustav van Vuuren</t>
  </si>
  <si>
    <t>2021-04-19 12:06:36 UTC</t>
  </si>
  <si>
    <t>2022-09-22 04:39:20 UTC</t>
  </si>
  <si>
    <t>https://www.inaturalist.org/observations/74505562</t>
  </si>
  <si>
    <t>https://static.inaturalist.org/photos/121778538/medium.jpg</t>
  </si>
  <si>
    <t>LP, ZA</t>
  </si>
  <si>
    <t>2021/04/26 1:42 PM SAST</t>
  </si>
  <si>
    <t>2021-04-26 11:42:00 UTC</t>
  </si>
  <si>
    <t>doug263</t>
  </si>
  <si>
    <t>Doug Charlton</t>
  </si>
  <si>
    <t>2021-04-26 12:19:08 UTC</t>
  </si>
  <si>
    <t>2022-09-22 04:39:01 UTC</t>
  </si>
  <si>
    <t>https://www.inaturalist.org/observations/75302811</t>
  </si>
  <si>
    <t>https://inaturalist-open-data.s3.amazonaws.com/photos/123177665/medium.jpg</t>
  </si>
  <si>
    <t>Olivedale, Garden, Lockdown</t>
  </si>
  <si>
    <t>A paper wasp I think.</t>
  </si>
  <si>
    <t>Olivedale, Randburg, 2158, South Africa</t>
  </si>
  <si>
    <t>Mon Apr 26 2021 17:29:40 GMT+0200 (GMT+2)</t>
  </si>
  <si>
    <t>2021-04-26 15:29:40 UTC</t>
  </si>
  <si>
    <t>natashasinghally</t>
  </si>
  <si>
    <t>2021-04-26 15:29:53 UTC</t>
  </si>
  <si>
    <t>2022-09-22 04:39:08 UTC</t>
  </si>
  <si>
    <t>https://www.inaturalist.org/observations/75318550</t>
  </si>
  <si>
    <t>https://inaturalist-open-data.s3.amazonaws.com/photos/123205028/medium.jpg</t>
  </si>
  <si>
    <t>Cardenden Street, Centurion, GP, ZA</t>
  </si>
  <si>
    <t>Sun Apr 25 2021 07:18:28 GMT+0100 (GMT+1)</t>
  </si>
  <si>
    <t>2021-04-25 05:18:28 UTC</t>
  </si>
  <si>
    <t>debronce</t>
  </si>
  <si>
    <t>2021-04-26 19:51:33 UTC</t>
  </si>
  <si>
    <t>2021-04-30 19:44:53 UTC</t>
  </si>
  <si>
    <t>https://www.inaturalist.org/observations/75346436</t>
  </si>
  <si>
    <t>https://static.inaturalist.org/photos/123253671/medium.jpg</t>
  </si>
  <si>
    <t>Rue 4.258, Centre, CM</t>
  </si>
  <si>
    <t>Belonogaster atrata</t>
  </si>
  <si>
    <t>2020-09-08 10:50:11 AM GMT+03:00</t>
  </si>
  <si>
    <t>2020-09-08 07:50:11 UTC</t>
  </si>
  <si>
    <t>2021-04-28 16:46:20 UTC</t>
  </si>
  <si>
    <t>2022-09-22 04:38:51 UTC</t>
  </si>
  <si>
    <t>https://www.inaturalist.org/observations/75555600</t>
  </si>
  <si>
    <t>https://inaturalist-open-data.s3.amazonaws.com/photos/123627345/medium.jpeg</t>
  </si>
  <si>
    <t>Lushoto</t>
  </si>
  <si>
    <t>2021-04-30 06:40:19 UTC</t>
  </si>
  <si>
    <t>2021-04-30 06:41:02 UTC</t>
  </si>
  <si>
    <t>2022-09-22 04:38:44 UTC</t>
  </si>
  <si>
    <t>https://www.inaturalist.org/observations/75756151</t>
  </si>
  <si>
    <t>https://inaturalist-open-data.s3.amazonaws.com/photos/123973376/medium.jpeg</t>
  </si>
  <si>
    <t>Needle-waisted paper wasp</t>
  </si>
  <si>
    <t>Fri Apr 30 2021 13:59:58 GMT+0200 (GMT+2)</t>
  </si>
  <si>
    <t>2021-04-30 11:59:58 UTC</t>
  </si>
  <si>
    <t>errol-d</t>
  </si>
  <si>
    <t>2021-04-30 12:10:39 UTC</t>
  </si>
  <si>
    <t>2022-09-22 04:38:30 UTC</t>
  </si>
  <si>
    <t>https://www.inaturalist.org/observations/75795205</t>
  </si>
  <si>
    <t>https://inaturalist-open-data.s3.amazonaws.com/photos/124030882/medium.jpg</t>
  </si>
  <si>
    <t>610312 Street, Iqadi, KZN, ZA</t>
  </si>
  <si>
    <t>2021-05-01 08:21:32 UTC</t>
  </si>
  <si>
    <t>mylesveysey</t>
  </si>
  <si>
    <t>Myles Veysey</t>
  </si>
  <si>
    <t>2021-05-01 08:42:49 UTC</t>
  </si>
  <si>
    <t>2022-09-22 04:38:23 UTC</t>
  </si>
  <si>
    <t>https://www.inaturalist.org/observations/76073299</t>
  </si>
  <si>
    <t>https://static.inaturalist.org/photos/124469190/medium.jpeg</t>
  </si>
  <si>
    <t>Sat May 01 2021 10:07:46 GMT+0200 (GMT+2)</t>
  </si>
  <si>
    <t>2021-05-01 08:07:46 UTC</t>
  </si>
  <si>
    <t>allanweideman10</t>
  </si>
  <si>
    <t>2021-05-01 09:39:44 UTC</t>
  </si>
  <si>
    <t>2021-05-01 09:40:07 UTC</t>
  </si>
  <si>
    <t>https://www.inaturalist.org/observations/76081735</t>
  </si>
  <si>
    <t>https://inaturalist-open-data.s3.amazonaws.com/photos/124481629/medium.jpg</t>
  </si>
  <si>
    <t>GP, ZA</t>
  </si>
  <si>
    <t>2021-05-01 09:14:09 UTC</t>
  </si>
  <si>
    <t>jackiepotgieter</t>
  </si>
  <si>
    <t>2021-05-01 16:18:07 UTC</t>
  </si>
  <si>
    <t>2022-09-22 04:38:11 UTC</t>
  </si>
  <si>
    <t>https://www.inaturalist.org/observations/76184694</t>
  </si>
  <si>
    <t>https://inaturalist-open-data.s3.amazonaws.com/photos/124634171/medium.jpeg</t>
  </si>
  <si>
    <t>Marakele National Park</t>
  </si>
  <si>
    <t>2018/05/16 2:07 PM UTC</t>
  </si>
  <si>
    <t>2018-05-16 14:07:00 UTC</t>
  </si>
  <si>
    <t>2021-05-01 16:52:13 UTC</t>
  </si>
  <si>
    <t>2022-09-22 04:38:09 UTC</t>
  </si>
  <si>
    <t>https://www.inaturalist.org/observations/76197514</t>
  </si>
  <si>
    <t>https://inaturalist-open-data.s3.amazonaws.com/photos/124652525/medium.jpeg</t>
  </si>
  <si>
    <t>P.O. Box 555 - 10400, Nanyuki, Kenya</t>
  </si>
  <si>
    <t>2021/04/26 7:26 AM HST</t>
  </si>
  <si>
    <t>2021-04-26 17:26:00 UTC</t>
  </si>
  <si>
    <t>mariskadw</t>
  </si>
  <si>
    <t>Mariska de Wit</t>
  </si>
  <si>
    <t>2021-05-01 19:09:43 UTC</t>
  </si>
  <si>
    <t>2022-09-22 04:38:07 UTC</t>
  </si>
  <si>
    <t>https://www.inaturalist.org/observations/76245835</t>
  </si>
  <si>
    <t>https://inaturalist-open-data.s3.amazonaws.com/photos/124719381/medium.jpeg</t>
  </si>
  <si>
    <t>2021/05/01 10:56 AM SAST</t>
  </si>
  <si>
    <t>2021-05-01 08:56:00 UTC</t>
  </si>
  <si>
    <t>widdiesgroup</t>
  </si>
  <si>
    <t>2021-05-02 10:14:05 UTC</t>
  </si>
  <si>
    <t>2022-09-22 16:03:30 UTC</t>
  </si>
  <si>
    <t>https://www.inaturalist.org/observations/76480833</t>
  </si>
  <si>
    <t>https://inaturalist-open-data.s3.amazonaws.com/photos/125104683/medium.jpeg</t>
  </si>
  <si>
    <t xml:space="preserve">Empisini Nature Reserve
</t>
  </si>
  <si>
    <t>Umkomaas, 4170, South Africa</t>
  </si>
  <si>
    <t>2021/05/01 10:50 AM SAST</t>
  </si>
  <si>
    <t>2021-05-01 08:50:00 UTC</t>
  </si>
  <si>
    <t>2021-05-02 10:14:08 UTC</t>
  </si>
  <si>
    <t>2022-09-22 16:03:27 UTC</t>
  </si>
  <si>
    <t>https://www.inaturalist.org/observations/76480860</t>
  </si>
  <si>
    <t>https://inaturalist-open-data.s3.amazonaws.com/photos/125104916/medium.jpeg</t>
  </si>
  <si>
    <t>1 Axbridge Pl, Umkomaas, 4170, South Africa</t>
  </si>
  <si>
    <t>2021-05-02 11:37:28 UTC</t>
  </si>
  <si>
    <t>marilynnaomi</t>
  </si>
  <si>
    <t>Marilynnaomi</t>
  </si>
  <si>
    <t>2021-05-02 11:41:13 UTC</t>
  </si>
  <si>
    <t>2022-09-22 16:03:24 UTC</t>
  </si>
  <si>
    <t>https://www.inaturalist.org/observations/76496597</t>
  </si>
  <si>
    <t>https://inaturalist-open-data.s3.amazonaws.com/photos/125130891/medium.jpeg</t>
  </si>
  <si>
    <t>Southridge, Verulam, 4339, South Africa</t>
  </si>
  <si>
    <t>2021-05-02 09:45:03 UTC</t>
  </si>
  <si>
    <t>michelleblanckenbergpienaar</t>
  </si>
  <si>
    <t>Michelle Blanckenberg Pienaar</t>
  </si>
  <si>
    <t>2021-05-02 12:40:38 UTC</t>
  </si>
  <si>
    <t>2022-09-22 16:03:21 UTC</t>
  </si>
  <si>
    <t>https://www.inaturalist.org/observations/76510100</t>
  </si>
  <si>
    <t>https://inaturalist-open-data.s3.amazonaws.com/photos/125151357/medium.jpeg</t>
  </si>
  <si>
    <t>2021/05/02 12:11 PM SAST</t>
  </si>
  <si>
    <t>2021-05-02 10:11:00 UTC</t>
  </si>
  <si>
    <t>2021-05-02 13:10:34 UTC</t>
  </si>
  <si>
    <t>2022-09-22 16:03:18 UTC</t>
  </si>
  <si>
    <t>https://www.inaturalist.org/observations/76517473</t>
  </si>
  <si>
    <t>https://inaturalist-open-data.s3.amazonaws.com/photos/125161738/medium.jpeg</t>
  </si>
  <si>
    <t>2021-05-02 4:03:23 PM GMT+02:00</t>
  </si>
  <si>
    <t>2021-05-02 14:03:23 UTC</t>
  </si>
  <si>
    <t>albertyn</t>
  </si>
  <si>
    <t>Albertyn</t>
  </si>
  <si>
    <t>2021-05-02 14:06:32 UTC</t>
  </si>
  <si>
    <t>2022-09-22 15:55:37 UTC</t>
  </si>
  <si>
    <t>https://www.inaturalist.org/observations/76535093</t>
  </si>
  <si>
    <t>https://static.inaturalist.org/photos/125189585/medium.jpeg</t>
  </si>
  <si>
    <t>Cullinan</t>
  </si>
  <si>
    <t>2021/05/02 11:07 AM UTC</t>
  </si>
  <si>
    <t>2021-05-02 11:07:00 UTC</t>
  </si>
  <si>
    <t>maxine_rodger</t>
  </si>
  <si>
    <t>Maxine Rodger</t>
  </si>
  <si>
    <t>2021-05-02 14:31:07 UTC</t>
  </si>
  <si>
    <t>2022-09-22 15:22:42 UTC</t>
  </si>
  <si>
    <t>https://www.inaturalist.org/observations/76543532</t>
  </si>
  <si>
    <t>https://static.inaturalist.org/photos/125201071/medium.jpeg</t>
  </si>
  <si>
    <t>Hawaan, Blackburn, 4319, South Africa</t>
  </si>
  <si>
    <t>2021-05-02 7:54:33 PM GMT+02:00</t>
  </si>
  <si>
    <t>2021-05-02 17:54:33 UTC</t>
  </si>
  <si>
    <t>rosemary_harrison</t>
  </si>
  <si>
    <t>Rosemary Harrison</t>
  </si>
  <si>
    <t>2021-05-02 17:55:08 UTC</t>
  </si>
  <si>
    <t>2022-09-22 07:51:59 UTC</t>
  </si>
  <si>
    <t>https://www.inaturalist.org/observations/76620915</t>
  </si>
  <si>
    <t>https://static.inaturalist.org/photos/125323239/medium.jpeg</t>
  </si>
  <si>
    <t>Bridgevale Park</t>
  </si>
  <si>
    <t>2021/05/01 8:21 AM UTC</t>
  </si>
  <si>
    <t>2021-05-01 08:21:00 UTC</t>
  </si>
  <si>
    <t>lyn_francey</t>
  </si>
  <si>
    <t>LYN FRANCEY</t>
  </si>
  <si>
    <t>2021-05-02 20:04:57 UTC</t>
  </si>
  <si>
    <t>2022-09-22 07:51:54 UTC</t>
  </si>
  <si>
    <t>https://www.inaturalist.org/observations/76671328</t>
  </si>
  <si>
    <t>https://static.inaturalist.org/photos/125400753/medium.jpg</t>
  </si>
  <si>
    <t>Kasane, Botswana</t>
  </si>
  <si>
    <t>2021/04/30 4:46 PM SAST</t>
  </si>
  <si>
    <t>2021-04-30 14:46:00 UTC</t>
  </si>
  <si>
    <t>cpt_cj</t>
  </si>
  <si>
    <t>Cathy Jenkins</t>
  </si>
  <si>
    <t>2021-05-02 21:42:07 UTC</t>
  </si>
  <si>
    <t>2022-09-22 07:51:51 UTC</t>
  </si>
  <si>
    <t>https://www.inaturalist.org/observations/76707389</t>
  </si>
  <si>
    <t>https://inaturalist-open-data.s3.amazonaws.com/photos/125442923/medium.jpeg</t>
  </si>
  <si>
    <t>wasp</t>
  </si>
  <si>
    <t>Wynberg NU (2), Cape Town, 7824, South Africa</t>
  </si>
  <si>
    <t>2011/04/03 1:56 PM EDT</t>
  </si>
  <si>
    <t>2011-04-03 17:56:00 UTC</t>
  </si>
  <si>
    <t>simon_verlynde</t>
  </si>
  <si>
    <t>Simon Verlynde</t>
  </si>
  <si>
    <t>2021-05-02 22:28:09 UTC</t>
  </si>
  <si>
    <t>2022-09-22 07:51:45 UTC</t>
  </si>
  <si>
    <t>https://www.inaturalist.org/observations/76724447</t>
  </si>
  <si>
    <t>https://inaturalist-open-data.s3.amazonaws.com/photos/125452882/medium.jpg</t>
  </si>
  <si>
    <t>Menoua, Ouest, Cameroon</t>
  </si>
  <si>
    <t>2021/05/02 10:52 AM SAST</t>
  </si>
  <si>
    <t>2021-05-02 08:52:00 UTC</t>
  </si>
  <si>
    <t>karen07</t>
  </si>
  <si>
    <t>Karen Kennedy</t>
  </si>
  <si>
    <t>2021-05-03 02:34:44 UTC</t>
  </si>
  <si>
    <t>2022-09-22 07:51:39 UTC</t>
  </si>
  <si>
    <t>https://www.inaturalist.org/observations/76805303</t>
  </si>
  <si>
    <t>https://inaturalist-open-data.s3.amazonaws.com/photos/125601106/medium.jpeg</t>
  </si>
  <si>
    <t>uMhlanga Lagoon Nature Reserve</t>
  </si>
  <si>
    <t>2020/12/25 9:48 AM UTC</t>
  </si>
  <si>
    <t>2020-12-25 09:48:00 UTC</t>
  </si>
  <si>
    <t>2021-05-03 08:09:44 UTC</t>
  </si>
  <si>
    <t>2022-09-16 21:07:26 UTC</t>
  </si>
  <si>
    <t>https://www.inaturalist.org/observations/76873548</t>
  </si>
  <si>
    <t>https://static.inaturalist.org/photos/125727599/medium.jpeg</t>
  </si>
  <si>
    <t>2012/03/24 11:57 AM EDT</t>
  </si>
  <si>
    <t>2012-03-24 15:57:00 UTC</t>
  </si>
  <si>
    <t>2021-05-03 14:39:33 UTC</t>
  </si>
  <si>
    <t>2022-09-22 07:51:32 UTC</t>
  </si>
  <si>
    <t>https://www.inaturalist.org/observations/76950501</t>
  </si>
  <si>
    <t>https://inaturalist-open-data.s3.amazonaws.com/photos/125842843/medium.jpg</t>
  </si>
  <si>
    <t>Ngoro, Cameroun</t>
  </si>
  <si>
    <t>2021/05/03 12:03 PM UTC</t>
  </si>
  <si>
    <t>2021-05-03 12:03:00 UTC</t>
  </si>
  <si>
    <t>kzoubos</t>
  </si>
  <si>
    <t>2021-05-03 14:58:13 UTC</t>
  </si>
  <si>
    <t>2022-09-22 07:51:30 UTC</t>
  </si>
  <si>
    <t>https://www.inaturalist.org/observations/76956197</t>
  </si>
  <si>
    <t>https://inaturalist-open-data.s3.amazonaws.com/photos/125853675/medium.jpeg</t>
  </si>
  <si>
    <t>Colbyn, Pretoria, 0083, South Africa</t>
  </si>
  <si>
    <t>Sat Jan 09 2021 09:00:00 GMT+0200 (GMT+2)</t>
  </si>
  <si>
    <t>2021-01-09 07:00:00 UTC</t>
  </si>
  <si>
    <t>drpetec</t>
  </si>
  <si>
    <t>2021-05-03 19:05:22 UTC</t>
  </si>
  <si>
    <t>2022-09-22 07:51:26 UTC</t>
  </si>
  <si>
    <t>https://www.inaturalist.org/observations/77035815</t>
  </si>
  <si>
    <t>https://inaturalist-open-data.s3.amazonaws.com/photos/125980979/medium.jpg</t>
  </si>
  <si>
    <t>2021-05-03 10:27:24 UTC</t>
  </si>
  <si>
    <t>vulani</t>
  </si>
  <si>
    <t>Vulani Maduwa</t>
  </si>
  <si>
    <t>2021-05-04 05:41:48 UTC</t>
  </si>
  <si>
    <t>2022-09-22 07:51:24 UTC</t>
  </si>
  <si>
    <t>https://www.inaturalist.org/observations/77216963</t>
  </si>
  <si>
    <t>https://static.inaturalist.org/photos/126270491/medium.jpeg</t>
  </si>
  <si>
    <t>2021/05/03 11:01 AM SAST</t>
  </si>
  <si>
    <t>2021-05-03 09:01:00 UTC</t>
  </si>
  <si>
    <t>charmaineoxtoby</t>
  </si>
  <si>
    <t>Charmaine Oxtoby</t>
  </si>
  <si>
    <t>2021-05-05 14:34:21 UTC</t>
  </si>
  <si>
    <t>2022-09-22 04:37:56 UTC</t>
  </si>
  <si>
    <t>https://www.inaturalist.org/observations/77454094</t>
  </si>
  <si>
    <t>https://static.inaturalist.org/photos/126668167/medium.jpeg</t>
  </si>
  <si>
    <t>De Hel Conservation Area</t>
  </si>
  <si>
    <t>Constantia, Cape Town, South Africa</t>
  </si>
  <si>
    <t>Thu May 06 2021 14:00:00 GMT+0200 (GMT+2)</t>
  </si>
  <si>
    <t>2021-05-06 12:00:00 UTC</t>
  </si>
  <si>
    <t>presha</t>
  </si>
  <si>
    <t>Presha Soogrim (she/her)</t>
  </si>
  <si>
    <t>2021-05-06 16:48:22 UTC</t>
  </si>
  <si>
    <t>2022-09-22 04:37:42 UTC</t>
  </si>
  <si>
    <t>https://www.inaturalist.org/observations/77624975</t>
  </si>
  <si>
    <t>https://inaturalist-open-data.s3.amazonaws.com/photos/126965885/medium.jpg</t>
  </si>
  <si>
    <t>Penny Lane, Outer West Durban, KZN, ZA</t>
  </si>
  <si>
    <t>2021/05/04 7:46 AM SAST</t>
  </si>
  <si>
    <t>2021-05-04 05:46:00 UTC</t>
  </si>
  <si>
    <t>2021-05-06 19:00:50 UTC</t>
  </si>
  <si>
    <t>2022-09-22 04:37:39 UTC</t>
  </si>
  <si>
    <t>https://www.inaturalist.org/observations/77642925</t>
  </si>
  <si>
    <t>https://inaturalist-open-data.s3.amazonaws.com/photos/126994380/medium.jpeg</t>
  </si>
  <si>
    <t>2021/05/02 11:02 AM SAST</t>
  </si>
  <si>
    <t>2021-05-02 09:02:00 UTC</t>
  </si>
  <si>
    <t>2021-05-07 22:19:51 UTC</t>
  </si>
  <si>
    <t>2022-09-22 04:37:35 UTC</t>
  </si>
  <si>
    <t>https://www.inaturalist.org/observations/77812603</t>
  </si>
  <si>
    <t>https://inaturalist-open-data.s3.amazonaws.com/photos/127266681/medium.jpeg</t>
  </si>
  <si>
    <t>one of the larger paper wasps, tubes about  5 mm  in diameter</t>
  </si>
  <si>
    <t>2021/05/02 12:05 PM SAST</t>
  </si>
  <si>
    <t>2021-05-02 10:05:00 UTC</t>
  </si>
  <si>
    <t>2021-05-07 22:20:08 UTC</t>
  </si>
  <si>
    <t>2022-09-22 04:37:06 UTC</t>
  </si>
  <si>
    <t>https://www.inaturalist.org/observations/77812684</t>
  </si>
  <si>
    <t>https://inaturalist-open-data.s3.amazonaws.com/photos/127271862/medium.jpeg</t>
  </si>
  <si>
    <t>attracted to the flowers of Gymnosporia</t>
  </si>
  <si>
    <t>2017/05/17 9:37 AM UTC</t>
  </si>
  <si>
    <t>2017-05-17 09:37:00 UTC</t>
  </si>
  <si>
    <t>weekendstrummer7</t>
  </si>
  <si>
    <t>2021-05-09 04:12:31 UTC</t>
  </si>
  <si>
    <t>2022-09-22 04:36:49 UTC</t>
  </si>
  <si>
    <t>https://www.inaturalist.org/observations/78012054</t>
  </si>
  <si>
    <t>https://inaturalist-open-data.s3.amazonaws.com/photos/127625135/medium.jpeg</t>
  </si>
  <si>
    <t>Nicoadala, ãƒ¢ã‚¶ãƒ³ãƒ“ãƒ¼ã‚¯</t>
  </si>
  <si>
    <t>2021-04-30 09:32:21 UTC</t>
  </si>
  <si>
    <t>2021-05-09 09:36:59 UTC</t>
  </si>
  <si>
    <t>2022-09-22 04:36:46 UTC</t>
  </si>
  <si>
    <t>https://www.inaturalist.org/observations/78032698</t>
  </si>
  <si>
    <t>https://inaturalist-open-data.s3.amazonaws.com/photos/127660339/medium.jpeg</t>
  </si>
  <si>
    <t>Sat May 08 2021 14:03:05 GMT+0300 (GMT+3)</t>
  </si>
  <si>
    <t>2021-05-08 11:03:05 UTC</t>
  </si>
  <si>
    <t>kenbehrens</t>
  </si>
  <si>
    <t>2021-05-09 15:54:50 UTC</t>
  </si>
  <si>
    <t>2022-09-22 04:36:44 UTC</t>
  </si>
  <si>
    <t>https://www.inaturalist.org/observations/78076135</t>
  </si>
  <si>
    <t>https://inaturalist-open-data.s3.amazonaws.com/photos/127732206/medium.jpg</t>
  </si>
  <si>
    <t>Diana, MG-AS, MG</t>
  </si>
  <si>
    <t>2021-05-08 22:17:25 UTC</t>
  </si>
  <si>
    <t>kristenhoss</t>
  </si>
  <si>
    <t>Kristen Hoss</t>
  </si>
  <si>
    <t>2021-05-10 05:31:59 UTC</t>
  </si>
  <si>
    <t>2022-03-28 15:59:43 UTC</t>
  </si>
  <si>
    <t>https://www.inaturalist.org/observations/78192866</t>
  </si>
  <si>
    <t>https://static.inaturalist.org/photos/127935490/medium.jpeg</t>
  </si>
  <si>
    <t>Meru, TZ-AS, TZ</t>
  </si>
  <si>
    <t>Mon May 10 2021 12:03:41 GMT+0200 (GMT+2)</t>
  </si>
  <si>
    <t>2021-05-10 10:03:41 UTC</t>
  </si>
  <si>
    <t>marikav</t>
  </si>
  <si>
    <t>2021-05-10 13:17:27 UTC</t>
  </si>
  <si>
    <t>2022-09-22 04:36:40 UTC</t>
  </si>
  <si>
    <t>https://www.inaturalist.org/observations/78218106</t>
  </si>
  <si>
    <t>https://inaturalist-open-data.s3.amazonaws.com/photos/127979964/medium.jpg</t>
  </si>
  <si>
    <t>Grassland Crescent, Centurion, GP, ZA</t>
  </si>
  <si>
    <t>2021/04/11 12:12 PM SAST</t>
  </si>
  <si>
    <t>2021-04-11 10:12:00 UTC</t>
  </si>
  <si>
    <t>carlbodenstaff</t>
  </si>
  <si>
    <t>2021-05-12 13:52:38 UTC</t>
  </si>
  <si>
    <t>2022-09-22 04:36:08 UTC</t>
  </si>
  <si>
    <t>https://www.inaturalist.org/observations/78457227</t>
  </si>
  <si>
    <t>https://inaturalist-open-data.s3.amazonaws.com/photos/128402071/medium.jpeg</t>
  </si>
  <si>
    <t>I have never seen a white hive, all the other Paper wasps hive that I have seen have been grey or grey'ish brown. This nest is attached under the roof eve</t>
  </si>
  <si>
    <t>Lone Hill, Sandton, 2062, South Africa</t>
  </si>
  <si>
    <t>2012/04/20 5:27 AM UTC</t>
  </si>
  <si>
    <t>2012-04-20 05:27:00 UTC</t>
  </si>
  <si>
    <t>tamara0815</t>
  </si>
  <si>
    <t>Tamara Schenekar</t>
  </si>
  <si>
    <t>2021-05-13 20:41:39 UTC</t>
  </si>
  <si>
    <t>2022-09-22 04:36:02 UTC</t>
  </si>
  <si>
    <t>https://www.inaturalist.org/observations/78622342</t>
  </si>
  <si>
    <t>https://static.inaturalist.org/photos/128673849/medium.jpg</t>
  </si>
  <si>
    <t>Livingstone, Sambia</t>
  </si>
  <si>
    <t>2021-05-04 06:33:33 UTC</t>
  </si>
  <si>
    <t>2021-05-14 06:31:52 UTC</t>
  </si>
  <si>
    <t>2022-09-22 04:35:59 UTC</t>
  </si>
  <si>
    <t>https://www.inaturalist.org/observations/78671234</t>
  </si>
  <si>
    <t>https://inaturalist-open-data.s3.amazonaws.com/photos/128780202/medium.jpeg</t>
  </si>
  <si>
    <t>2021/05/08 8:14 AM SAST</t>
  </si>
  <si>
    <t>2021-05-08 06:14:00 UTC</t>
  </si>
  <si>
    <t>2021-05-14 10:08:42 UTC</t>
  </si>
  <si>
    <t>2022-09-22 04:35:57 UTC</t>
  </si>
  <si>
    <t>https://www.inaturalist.org/observations/78680819</t>
  </si>
  <si>
    <t>https://inaturalist-open-data.s3.amazonaws.com/photos/128795998/medium.jpeg</t>
  </si>
  <si>
    <t>2021-05-12 09:52:16 UTC</t>
  </si>
  <si>
    <t>jimrsa</t>
  </si>
  <si>
    <t>2021-05-14 15:14:42 UTC</t>
  </si>
  <si>
    <t>2022-09-22 04:35:39 UTC</t>
  </si>
  <si>
    <t>https://www.inaturalist.org/observations/78704459</t>
  </si>
  <si>
    <t>https://inaturalist-open-data.s3.amazonaws.com/photos/128836372/medium.jpeg</t>
  </si>
  <si>
    <t>Mogale City, South Africa</t>
  </si>
  <si>
    <t>2021/05/16 11:55 AM SAST</t>
  </si>
  <si>
    <t>2021-05-16 09:55:00 UTC</t>
  </si>
  <si>
    <t>2021-05-18 14:39:16 UTC</t>
  </si>
  <si>
    <t>2022-09-22 04:35:18 UTC</t>
  </si>
  <si>
    <t>https://www.inaturalist.org/observations/79275254</t>
  </si>
  <si>
    <t>https://inaturalist-open-data.s3.amazonaws.com/photos/129828643/medium.jpeg</t>
  </si>
  <si>
    <t>See plant  https://www.inaturalist.org/observations/79275256</t>
  </si>
  <si>
    <t>Mon May 17 2021 10:12:32 GMT+0200 (GMT+2)</t>
  </si>
  <si>
    <t>2021-05-17 08:12:32 UTC</t>
  </si>
  <si>
    <t>2021-05-18 16:19:55 UTC</t>
  </si>
  <si>
    <t>2022-09-22 07:51:17 UTC</t>
  </si>
  <si>
    <t>https://www.inaturalist.org/observations/79286578</t>
  </si>
  <si>
    <t>https://inaturalist-open-data.s3.amazonaws.com/photos/129853518/medium.jpg</t>
  </si>
  <si>
    <t>Umkhanyakude, ZA-NL, ZA</t>
  </si>
  <si>
    <t>2021-05-18 19:50:51 UTC</t>
  </si>
  <si>
    <t>erickmunro</t>
  </si>
  <si>
    <t>Erick Munro</t>
  </si>
  <si>
    <t>2021-05-19 04:56:15 UTC</t>
  </si>
  <si>
    <t>2022-09-22 07:51:14 UTC</t>
  </si>
  <si>
    <t>https://www.inaturalist.org/observations/79361330</t>
  </si>
  <si>
    <t>https://inaturalist-open-data.s3.amazonaws.com/photos/129987935/medium.jpeg</t>
  </si>
  <si>
    <t>Lephalale Local Municipality, South Africa</t>
  </si>
  <si>
    <t>2021-05-18 16:55:55 UTC</t>
  </si>
  <si>
    <t>2021-05-19 04:56:49 UTC</t>
  </si>
  <si>
    <t>2022-09-22 07:51:11 UTC</t>
  </si>
  <si>
    <t>https://www.inaturalist.org/observations/79361364</t>
  </si>
  <si>
    <t>https://inaturalist-open-data.s3.amazonaws.com/photos/129988015/medium.jpeg</t>
  </si>
  <si>
    <t>FLAGGED: Same observation as previous line</t>
  </si>
  <si>
    <t>2015/05/14 3:57 PM UTC</t>
  </si>
  <si>
    <t>2015-05-14 15:57:00 UTC</t>
  </si>
  <si>
    <t>seandaniels</t>
  </si>
  <si>
    <t>Sean Daniels</t>
  </si>
  <si>
    <t>2021-05-19 06:43:09 UTC</t>
  </si>
  <si>
    <t>2022-09-22 07:51:08 UTC</t>
  </si>
  <si>
    <t>https://www.inaturalist.org/observations/79367440</t>
  </si>
  <si>
    <t>https://inaturalist-open-data.s3.amazonaws.com/photos/129948456/medium.jpeg</t>
  </si>
  <si>
    <t>There are 4 adults present, but the nest is completely dead.</t>
  </si>
  <si>
    <t>2021/04/30 2:40 PM CAT</t>
  </si>
  <si>
    <t>2021-04-30 13:40:00 UTC</t>
  </si>
  <si>
    <t>2021-05-19 07:16:19 UTC</t>
  </si>
  <si>
    <t>2022-09-22 07:51:06 UTC</t>
  </si>
  <si>
    <t>https://www.inaturalist.org/observations/79369362</t>
  </si>
  <si>
    <t>https://inaturalist-open-data.s3.amazonaws.com/photos/130000804/medium.jpg</t>
  </si>
  <si>
    <t>Kwali Camp, Malilangwe, Chiredzi, Zimbabwe</t>
  </si>
  <si>
    <t>2021/05/23 12:58 PM UTC</t>
  </si>
  <si>
    <t>2021-05-23 12:58:00 UTC</t>
  </si>
  <si>
    <t>2021-05-23 12:30:33 UTC</t>
  </si>
  <si>
    <t>2022-09-22 07:51:02 UTC</t>
  </si>
  <si>
    <t>https://www.inaturalist.org/observations/79928394</t>
  </si>
  <si>
    <t>https://inaturalist-open-data.s3.amazonaws.com/photos/130954983/medium.jpeg</t>
  </si>
  <si>
    <t>2021/05/22 4:29 PM +0800</t>
  </si>
  <si>
    <t>2021-05-22 08:29:00 UTC</t>
  </si>
  <si>
    <t>robinjames</t>
  </si>
  <si>
    <t>Robin James</t>
  </si>
  <si>
    <t>2021-05-23 18:17:55 UTC</t>
  </si>
  <si>
    <t>2022-09-22 07:50:59 UTC</t>
  </si>
  <si>
    <t>https://www.inaturalist.org/observations/79985015</t>
  </si>
  <si>
    <t>https://static.inaturalist.org/photos/131050006/medium.jpg</t>
  </si>
  <si>
    <t>Ruiru, Kenya</t>
  </si>
  <si>
    <t>Spectacular photograph (second photo)</t>
  </si>
  <si>
    <t>2021-05-15 11:42:31 UTC</t>
  </si>
  <si>
    <t>2021-05-23 21:11:15 UTC</t>
  </si>
  <si>
    <t>2022-09-22 07:50:53 UTC</t>
  </si>
  <si>
    <t>https://www.inaturalist.org/observations/80014337</t>
  </si>
  <si>
    <t>https://inaturalist-open-data.s3.amazonaws.com/photos/131099784/medium.jpeg</t>
  </si>
  <si>
    <t>Mabalingwe Nature Reserve</t>
  </si>
  <si>
    <t>2021/05/22 11:59 AM SAST</t>
  </si>
  <si>
    <t>2021-05-22 09:59:00 UTC</t>
  </si>
  <si>
    <t>2021-05-24 09:19:16 UTC</t>
  </si>
  <si>
    <t>2022-09-22 07:50:50 UTC</t>
  </si>
  <si>
    <t>https://www.inaturalist.org/observations/80080011</t>
  </si>
  <si>
    <t>https://inaturalist-open-data.s3.amazonaws.com/photos/131218913/medium.jpg</t>
  </si>
  <si>
    <t>Cullinan, Hiking trail, Muningi gorge, Pretoria, bushveld, savanna, wasps</t>
  </si>
  <si>
    <t>Muningi Gorge</t>
  </si>
  <si>
    <t>2021/05/22 1:29 PM SAST</t>
  </si>
  <si>
    <t>2021-05-22 11:29:00 UTC</t>
  </si>
  <si>
    <t>2021-05-24 14:31:02 UTC</t>
  </si>
  <si>
    <t>2022-09-22 07:50:47 UTC</t>
  </si>
  <si>
    <t>https://www.inaturalist.org/observations/80107251</t>
  </si>
  <si>
    <t>https://inaturalist-open-data.s3.amazonaws.com/photos/131264498/medium.jpeg</t>
  </si>
  <si>
    <t>City of Tshwane Metropolitan Municipality, South Africa</t>
  </si>
  <si>
    <t>2021-03-05 3:08:37 PM GMT+02:00</t>
  </si>
  <si>
    <t>2021-03-05 13:08:37 UTC</t>
  </si>
  <si>
    <t>muhammad_a</t>
  </si>
  <si>
    <t>Muhammad Adamjee</t>
  </si>
  <si>
    <t>2021-05-26 16:47:12 UTC</t>
  </si>
  <si>
    <t>2022-09-22 07:50:43 UTC</t>
  </si>
  <si>
    <t>https://www.inaturalist.org/observations/80380222</t>
  </si>
  <si>
    <t>https://static.inaturalist.org/photos/131737149/medium.jpeg</t>
  </si>
  <si>
    <t xml:space="preserve"> Zimbali Coastal Resort</t>
  </si>
  <si>
    <t>Tue May 25 2021 11:37:07 GMT+0100 (GMT+1)</t>
  </si>
  <si>
    <t>2021-05-25 09:37:07 UTC</t>
  </si>
  <si>
    <t>2021-05-28 22:14:25 UTC</t>
  </si>
  <si>
    <t>2022-09-22 04:35:12 UTC</t>
  </si>
  <si>
    <t>https://www.inaturalist.org/observations/80663214</t>
  </si>
  <si>
    <t>https://inaturalist-open-data.s3.amazonaws.com/photos/132222877/medium.jpg</t>
  </si>
  <si>
    <t>RÃ©serve du Dja, RÃ©gion de l'Est, CM</t>
  </si>
  <si>
    <t>Tue May 25 2021 10:02:06 GMT+0100 (GMT+1)</t>
  </si>
  <si>
    <t>2021-05-25 08:02:06 UTC</t>
  </si>
  <si>
    <t>2021-05-28 22:17:28 UTC</t>
  </si>
  <si>
    <t>2022-09-22 04:35:09 UTC</t>
  </si>
  <si>
    <t>https://www.inaturalist.org/observations/80663563</t>
  </si>
  <si>
    <t>https://inaturalist-open-data.s3.amazonaws.com/photos/132223379/medium.jpg</t>
  </si>
  <si>
    <t>Mon May 24 2021 12:27:34 GMT+0100 (GMT+1)</t>
  </si>
  <si>
    <t>2021-05-24 10:27:34 UTC</t>
  </si>
  <si>
    <t>2021-05-29 05:45:12 UTC</t>
  </si>
  <si>
    <t>2022-09-22 04:35:02 UTC</t>
  </si>
  <si>
    <t>https://www.inaturalist.org/observations/80696554</t>
  </si>
  <si>
    <t>https://inaturalist-open-data.s3.amazonaws.com/photos/132285120/medium.jpg</t>
  </si>
  <si>
    <t>Thu May 27 2021 12:55:42 GMT+0100 (GMT+1)</t>
  </si>
  <si>
    <t>2021-05-27 10:55:42 UTC</t>
  </si>
  <si>
    <t>2021-05-29 06:15:14 UTC</t>
  </si>
  <si>
    <t>2022-09-22 04:34:55 UTC</t>
  </si>
  <si>
    <t>https://www.inaturalist.org/observations/80697696</t>
  </si>
  <si>
    <t>https://inaturalist-open-data.s3.amazonaws.com/photos/132287257/medium.jpg</t>
  </si>
  <si>
    <t>Somalomo, RÃ©gion de l'Est, CM</t>
  </si>
  <si>
    <t>2021/04/10 7:53 AM CAT</t>
  </si>
  <si>
    <t>2021-04-10 06:53:00 UTC</t>
  </si>
  <si>
    <t>2021-05-29 11:13:45 UTC</t>
  </si>
  <si>
    <t>2022-09-22 04:34:51 UTC</t>
  </si>
  <si>
    <t>https://www.inaturalist.org/observations/80714832</t>
  </si>
  <si>
    <t>https://inaturalist-open-data.s3.amazonaws.com/photos/132314545/medium.jpeg</t>
  </si>
  <si>
    <t>Old Palm Tree lodge, Zambia</t>
  </si>
  <si>
    <t>2019/10/12 12:58 AM CEST</t>
  </si>
  <si>
    <t>2019-10-11 22:58:00 UTC</t>
  </si>
  <si>
    <t>substanz</t>
  </si>
  <si>
    <t>Fran W.</t>
  </si>
  <si>
    <t>2021-05-29 22:10:41 UTC</t>
  </si>
  <si>
    <t>2022-09-22 04:34:49 UTC</t>
  </si>
  <si>
    <t>https://www.inaturalist.org/observations/80798126</t>
  </si>
  <si>
    <t>https://static.inaturalist.org/photos/132430737/medium.jpg</t>
  </si>
  <si>
    <t>Vatovavy Fitovinany, Fianarantsoa, Madagascar</t>
  </si>
  <si>
    <t>2021-06-05 13:09:40 UTC</t>
  </si>
  <si>
    <t>pat_ngobeni</t>
  </si>
  <si>
    <t>2021-06-05 13:14:18 UTC</t>
  </si>
  <si>
    <t>2022-09-22 04:32:59 UTC</t>
  </si>
  <si>
    <t>https://www.inaturalist.org/observations/81694579</t>
  </si>
  <si>
    <t>https://inaturalist-open-data.s3.amazonaws.com/photos/134012066/medium.jpeg</t>
  </si>
  <si>
    <t>Greater Giyani Local Municipality, South Africa</t>
  </si>
  <si>
    <t>2021/06/05 12:53 PM SAST</t>
  </si>
  <si>
    <t>2021-06-05 10:53:00 UTC</t>
  </si>
  <si>
    <t>2021-06-09 18:39:29 UTC</t>
  </si>
  <si>
    <t>2022-09-22 04:31:13 UTC</t>
  </si>
  <si>
    <t>https://www.inaturalist.org/observations/82325261</t>
  </si>
  <si>
    <t>https://inaturalist-open-data.s3.amazonaws.com/photos/135095993/medium.jpg</t>
  </si>
  <si>
    <t>Possible hibernation cluster</t>
  </si>
  <si>
    <t>2021-06-14 10:54:24 UTC</t>
  </si>
  <si>
    <t>kajost</t>
  </si>
  <si>
    <t>Kaj Ostergaard</t>
  </si>
  <si>
    <t>2021-06-14 10:57:02 UTC</t>
  </si>
  <si>
    <t>2022-09-22 07:50:40 UTC</t>
  </si>
  <si>
    <t>https://www.inaturalist.org/observations/82980823</t>
  </si>
  <si>
    <t>https://inaturalist-open-data.s3.amazonaws.com/photos/136244693/medium.jpeg</t>
  </si>
  <si>
    <t>Outside</t>
  </si>
  <si>
    <t>2021/05/29 6:20 PM SAST</t>
  </si>
  <si>
    <t>2021-05-29 16:20:00 UTC</t>
  </si>
  <si>
    <t>2021-06-17 13:05:13 UTC</t>
  </si>
  <si>
    <t>2022-09-22 07:50:37 UTC</t>
  </si>
  <si>
    <t>https://www.inaturalist.org/observations/83379912</t>
  </si>
  <si>
    <t>https://inaturalist-open-data.s3.amazonaws.com/photos/136935523/medium.jpeg</t>
  </si>
  <si>
    <t>2008/01/26 6:10 AM CET</t>
  </si>
  <si>
    <t>2008-01-26 05:10:00 UTC</t>
  </si>
  <si>
    <t>theo_michael_schmitt</t>
  </si>
  <si>
    <t>Theo Michael Schmitt</t>
  </si>
  <si>
    <t>2021-06-21 10:55:24 UTC</t>
  </si>
  <si>
    <t>2022-09-22 07:50:34 UTC</t>
  </si>
  <si>
    <t>https://www.inaturalist.org/observations/83916690</t>
  </si>
  <si>
    <t>https://inaturalist-open-data.s3.amazonaws.com/photos/137866374/medium.jpeg</t>
  </si>
  <si>
    <t>Nkweseko, Tansania</t>
  </si>
  <si>
    <t>2021/06/19 12:29 PM SAST</t>
  </si>
  <si>
    <t>2021-06-19 10:29:00 UTC</t>
  </si>
  <si>
    <t>2021-06-21 20:22:33 UTC</t>
  </si>
  <si>
    <t>2022-09-22 07:50:32 UTC</t>
  </si>
  <si>
    <t>https://www.inaturalist.org/observations/83977434</t>
  </si>
  <si>
    <t>https://inaturalist-open-data.s3.amazonaws.com/photos/137971625/medium.jpg</t>
  </si>
  <si>
    <t>2021/06/02 12:02 PM SAST</t>
  </si>
  <si>
    <t>2021-06-02 10:02:00 UTC</t>
  </si>
  <si>
    <t>2021-06-22 19:17:39 UTC</t>
  </si>
  <si>
    <t>2022-09-22 07:50:29 UTC</t>
  </si>
  <si>
    <t>https://www.inaturalist.org/observations/84088755</t>
  </si>
  <si>
    <t>https://inaturalist-open-data.s3.amazonaws.com/photos/138161930/medium.jpeg</t>
  </si>
  <si>
    <t>Pretoriuskop Rest Camp, Kruger National Park</t>
  </si>
  <si>
    <t>2021/04/03 12:11 PM CAT</t>
  </si>
  <si>
    <t>2021-04-03 11:11:00 UTC</t>
  </si>
  <si>
    <t>2021-06-24 14:36:07 UTC</t>
  </si>
  <si>
    <t>2022-09-22 07:50:24 UTC</t>
  </si>
  <si>
    <t>https://www.inaturalist.org/observations/84305020</t>
  </si>
  <si>
    <t>https://inaturalist-open-data.s3.amazonaws.com/photos/138548237/medium.jpeg</t>
  </si>
  <si>
    <t>J. Lazy J. Sanctuary, Lusaka Central, Lusaka, Zambia</t>
  </si>
  <si>
    <t>2021/06/19 12:53 PM SAST</t>
  </si>
  <si>
    <t>2021-06-19 10:53:00 UTC</t>
  </si>
  <si>
    <t>2021-06-24 19:24:07 UTC</t>
  </si>
  <si>
    <t>2022-09-22 07:50:22 UTC</t>
  </si>
  <si>
    <t>https://www.inaturalist.org/observations/84338199</t>
  </si>
  <si>
    <t>https://inaturalist-open-data.s3.amazonaws.com/photos/138574001/medium.jpeg</t>
  </si>
  <si>
    <t>Wed Jun 23 2021 16:43:55 GMT +0200 (GMT+2)</t>
  </si>
  <si>
    <t>2021-06-23 14:43:55 UTC</t>
  </si>
  <si>
    <t>walkingandseeing</t>
  </si>
  <si>
    <t>2021-06-27 10:25:26 UTC</t>
  </si>
  <si>
    <t>2022-03-10 06:10:35 UTC</t>
  </si>
  <si>
    <t>https://www.inaturalist.org/observations/84675732</t>
  </si>
  <si>
    <t>https://inaturalist-open-data.s3.amazonaws.com/photos/150534472/medium.jpeg</t>
  </si>
  <si>
    <t>Khomas, NA-KH-WR, NA</t>
  </si>
  <si>
    <t>2021/06/14 1:11 PM CEST</t>
  </si>
  <si>
    <t>2021-06-14 11:11:00 UTC</t>
  </si>
  <si>
    <t>2021-06-30 06:38:25 UTC</t>
  </si>
  <si>
    <t>2022-09-22 07:50:19 UTC</t>
  </si>
  <si>
    <t>https://www.inaturalist.org/observations/85062373</t>
  </si>
  <si>
    <t>https://static.inaturalist.org/photos/139894204/medium.jpeg</t>
  </si>
  <si>
    <t>Nwoya, Ouganda</t>
  </si>
  <si>
    <t>2021/07/02 1:49 PM SAST</t>
  </si>
  <si>
    <t>2021-07-02 11:49:00 UTC</t>
  </si>
  <si>
    <t>2021-07-05 04:24:20 UTC</t>
  </si>
  <si>
    <t>2022-09-22 07:50:16 UTC</t>
  </si>
  <si>
    <t>https://www.inaturalist.org/observations/85726935</t>
  </si>
  <si>
    <t>https://inaturalist-open-data.s3.amazonaws.com/photos/141099339/medium.jpeg</t>
  </si>
  <si>
    <t>Ngala Reserve</t>
  </si>
  <si>
    <t>2021/07/05 10:11 AM UTC</t>
  </si>
  <si>
    <t>2021-07-05 10:11:00 UTC</t>
  </si>
  <si>
    <t>globalorthop</t>
  </si>
  <si>
    <t>Alexander Tiepsman</t>
  </si>
  <si>
    <t>2021-07-06 17:42:01 UTC</t>
  </si>
  <si>
    <t>2022-09-22 07:50:13 UTC</t>
  </si>
  <si>
    <t>https://www.inaturalist.org/observations/85936386</t>
  </si>
  <si>
    <t>https://static.inaturalist.org/photos/141480547/medium.jpeg</t>
  </si>
  <si>
    <t>Ntchisi, Malawi</t>
  </si>
  <si>
    <t>Thu Jul 08 2021 10:50:51 GMT+0200 (GMT+2)</t>
  </si>
  <si>
    <t>2021-07-08 08:50:51 UTC</t>
  </si>
  <si>
    <t>aicorner</t>
  </si>
  <si>
    <t>Glen Goddard</t>
  </si>
  <si>
    <t>2021-07-08 10:36:47 UTC</t>
  </si>
  <si>
    <t>2022-09-22 15:21:16 UTC</t>
  </si>
  <si>
    <t>https://www.inaturalist.org/observations/86143515</t>
  </si>
  <si>
    <t>https://inaturalist-open-data.s3.amazonaws.com/photos/141863385/medium.jpg</t>
  </si>
  <si>
    <t>Milkwood Drive, Dolphin Coast/Ballito, KZN, ZA</t>
  </si>
  <si>
    <t>2021/06/18 11:42 AM CEST</t>
  </si>
  <si>
    <t>2021-06-18 09:42:00 UTC</t>
  </si>
  <si>
    <t>2021-07-09 11:49:57 UTC</t>
  </si>
  <si>
    <t>2022-09-22 15:21:12 UTC</t>
  </si>
  <si>
    <t>https://www.inaturalist.org/observations/86266925</t>
  </si>
  <si>
    <t>https://static.inaturalist.org/photos/142087049/medium.jpeg</t>
  </si>
  <si>
    <t>Kaabong, Ouganda</t>
  </si>
  <si>
    <t>Sat Jul 14 2018 10:04:09 GMT-0400 (EDT)</t>
  </si>
  <si>
    <t>2018-07-14 14:04:09 UTC</t>
  </si>
  <si>
    <t>emmacaroline__</t>
  </si>
  <si>
    <t>2021-07-09 17:47:13 UTC</t>
  </si>
  <si>
    <t>2022-09-22 15:21:09 UTC</t>
  </si>
  <si>
    <t>https://www.inaturalist.org/observations/86302224</t>
  </si>
  <si>
    <t>https://inaturalist-open-data.s3.amazonaws.com/photos/142157198/medium.jpg</t>
  </si>
  <si>
    <t>Nairobi National Park, Machakos, Eastern, KE</t>
  </si>
  <si>
    <t>Sat Jul 10 2021 10:36:34 GMT+0200 (GMT+2)</t>
  </si>
  <si>
    <t>2021-07-10 08:36:34 UTC</t>
  </si>
  <si>
    <t>2021-07-11 07:52:53 UTC</t>
  </si>
  <si>
    <t>2022-09-22 15:21:05 UTC</t>
  </si>
  <si>
    <t>https://www.inaturalist.org/observations/86526079</t>
  </si>
  <si>
    <t>https://inaturalist-open-data.s3.amazonaws.com/photos/142556902/medium.jpg</t>
  </si>
  <si>
    <t>Uthungulu, ZA-NL, ZA</t>
  </si>
  <si>
    <t>2021-07-11 12:34:44 UTC</t>
  </si>
  <si>
    <t>2021-07-12 12:10:57 UTC</t>
  </si>
  <si>
    <t>2021-07-13 05:58:18 UTC</t>
  </si>
  <si>
    <t>https://www.inaturalist.org/observations/86701893</t>
  </si>
  <si>
    <t>https://static.inaturalist.org/photos/142877239/medium.jpeg</t>
  </si>
  <si>
    <t>Avance campsite resort, Unnamed Road, Kenya</t>
  </si>
  <si>
    <t>Tue Jul 13 2021 17:45:05 GMT+0100 (GMT+1)</t>
  </si>
  <si>
    <t>2021-07-13 15:45:05 UTC</t>
  </si>
  <si>
    <t>2021-07-13 16:53:10 UTC</t>
  </si>
  <si>
    <t>2022-09-22 04:30:55 UTC</t>
  </si>
  <si>
    <t>https://www.inaturalist.org/observations/86872823</t>
  </si>
  <si>
    <t>https://inaturalist-open-data.s3.amazonaws.com/photos/143187899/medium.jpg</t>
  </si>
  <si>
    <t>Rue 8.250, YaoundÃ©, Centre, CM</t>
  </si>
  <si>
    <t>2021/05/25 1:25 PM CAT</t>
  </si>
  <si>
    <t>2021-05-25 12:25:00 UTC</t>
  </si>
  <si>
    <t>2021-07-15 05:20:24 UTC</t>
  </si>
  <si>
    <t>2022-09-22 04:30:53 UTC</t>
  </si>
  <si>
    <t>https://www.inaturalist.org/observations/87089177</t>
  </si>
  <si>
    <t>https://inaturalist-open-data.s3.amazonaws.com/photos/143561728/medium.jpeg</t>
  </si>
  <si>
    <t>2021/07/15 12:27 PM SAST</t>
  </si>
  <si>
    <t>2021-07-15 10:27:00 UTC</t>
  </si>
  <si>
    <t>2021-07-15 16:05:36 UTC</t>
  </si>
  <si>
    <t>2022-09-22 04:30:50 UTC</t>
  </si>
  <si>
    <t>https://www.inaturalist.org/observations/87154031</t>
  </si>
  <si>
    <t>https://inaturalist-open-data.s3.amazonaws.com/photos/143633259/medium.jpeg</t>
  </si>
  <si>
    <t>St Lucia, South Africa</t>
  </si>
  <si>
    <t>2021-07-01 09:29:52 UTC</t>
  </si>
  <si>
    <t>batili419</t>
  </si>
  <si>
    <t>Bevon Dede</t>
  </si>
  <si>
    <t>2021-07-16 05:28:35 UTC</t>
  </si>
  <si>
    <t>2022-09-22 04:30:47 UTC</t>
  </si>
  <si>
    <t>https://www.inaturalist.org/observations/87236633</t>
  </si>
  <si>
    <t>https://static.inaturalist.org/photos/143794922/medium.jpeg</t>
  </si>
  <si>
    <t>Mombasa Road</t>
  </si>
  <si>
    <t>2021/05/28 5:41 PM CAT</t>
  </si>
  <si>
    <t>2021-05-28 16:41:00 UTC</t>
  </si>
  <si>
    <t>2021-07-16 18:12:26 UTC</t>
  </si>
  <si>
    <t>2022-09-22 04:30:41 UTC</t>
  </si>
  <si>
    <t>https://www.inaturalist.org/observations/87297799</t>
  </si>
  <si>
    <t>https://inaturalist-open-data.s3.amazonaws.com/photos/143905197/medium.jpeg</t>
  </si>
  <si>
    <t>2021/07/17 2:44 PM SAST</t>
  </si>
  <si>
    <t>2021-07-17 12:44:00 UTC</t>
  </si>
  <si>
    <t>2021-07-18 03:54:11 UTC</t>
  </si>
  <si>
    <t>2022-09-22 04:30:37 UTC</t>
  </si>
  <si>
    <t>https://www.inaturalist.org/observations/87503266</t>
  </si>
  <si>
    <t>https://inaturalist-open-data.s3.amazonaws.com/photos/144273888/medium.jpeg</t>
  </si>
  <si>
    <t>New garden critter</t>
  </si>
  <si>
    <t>&lt;h3&gt;Winter cuddle-puddle - not quite!&lt;/h3&gt;_x000D_
Placid adults gather to overnight together on a favoured roof-beam under the eaves</t>
  </si>
  <si>
    <t>Sea Park, Port Shepstone, 4241, South Africa</t>
  </si>
  <si>
    <t>2021/06/22 12:58 PM CEST</t>
  </si>
  <si>
    <t>2021-06-22 10:58:00 UTC</t>
  </si>
  <si>
    <t>2021-07-18 10:38:07 UTC</t>
  </si>
  <si>
    <t>2022-09-22 04:30:18 UTC</t>
  </si>
  <si>
    <t>https://www.inaturalist.org/observations/87530197</t>
  </si>
  <si>
    <t>https://static.inaturalist.org/photos/144323699/medium.jpeg</t>
  </si>
  <si>
    <t>2016-09-25 2:33:17 PM GMT+02:00</t>
  </si>
  <si>
    <t>2016-09-25 12:33:17 UTC</t>
  </si>
  <si>
    <t>jmeu</t>
  </si>
  <si>
    <t>2021-07-18 10:57:00 UTC</t>
  </si>
  <si>
    <t>2022-09-22 04:30:15 UTC</t>
  </si>
  <si>
    <t>https://www.inaturalist.org/observations/87531611</t>
  </si>
  <si>
    <t>https://inaturalist-open-data.s3.amazonaws.com/photos/144326650/medium.jpeg</t>
  </si>
  <si>
    <t>Sodwana Bay Lodge</t>
  </si>
  <si>
    <t>2021-07-17 16:25:42 UTC</t>
  </si>
  <si>
    <t>lemoncul</t>
  </si>
  <si>
    <t>Marc Henrion</t>
  </si>
  <si>
    <t>2021-07-18 19:06:00 UTC</t>
  </si>
  <si>
    <t>2022-09-22 04:30:05 UTC</t>
  </si>
  <si>
    <t>https://www.inaturalist.org/observations/87599393</t>
  </si>
  <si>
    <t>https://inaturalist-open-data.s3.amazonaws.com/photos/144441926/medium.jpeg</t>
  </si>
  <si>
    <t>Old Mountain Road, Old Up Road, Malawi</t>
  </si>
  <si>
    <t>Small hibernation cluster, but quite far north - Malawi</t>
  </si>
  <si>
    <t>2021/06/06 2:09 PM CAT</t>
  </si>
  <si>
    <t>2021-06-06 13:09:00 UTC</t>
  </si>
  <si>
    <t>2021-07-22 18:47:23 UTC</t>
  </si>
  <si>
    <t>2022-09-22 04:29:46 UTC</t>
  </si>
  <si>
    <t>https://www.inaturalist.org/observations/88159486</t>
  </si>
  <si>
    <t>https://inaturalist-open-data.s3.amazonaws.com/photos/145421197/medium.jpeg</t>
  </si>
  <si>
    <t>2021/05/20 8:34 PM SAST</t>
  </si>
  <si>
    <t>2021-05-20 18:34:00 UTC</t>
  </si>
  <si>
    <t>2021-07-24 15:22:45 UTC</t>
  </si>
  <si>
    <t>2022-09-22 04:29:42 UTC</t>
  </si>
  <si>
    <t>https://www.inaturalist.org/observations/88398479</t>
  </si>
  <si>
    <t>https://inaturalist-open-data.s3.amazonaws.com/photos/145845450/medium.jpg</t>
  </si>
  <si>
    <t>Somalomo, Haut-Nyong, Kamerun</t>
  </si>
  <si>
    <t>Mon Jul 26 2021 13:47:00 GMT+0200 (GMT+2)</t>
  </si>
  <si>
    <t>2021-07-26 11:47:00 UTC</t>
  </si>
  <si>
    <t>2021-07-26 17:48:05 UTC</t>
  </si>
  <si>
    <t>2022-09-22 04:29:39 UTC</t>
  </si>
  <si>
    <t>https://www.inaturalist.org/observations/88716210</t>
  </si>
  <si>
    <t>https://inaturalist-open-data.s3.amazonaws.com/photos/146410187/medium.jpg</t>
  </si>
  <si>
    <t>Buckingham Road, Kloof, KZN, ZA</t>
  </si>
  <si>
    <t>2021/06/15 11:03 AM CAT</t>
  </si>
  <si>
    <t>2021-06-15 10:03:00 UTC</t>
  </si>
  <si>
    <t>2021-07-29 03:20:16 UTC</t>
  </si>
  <si>
    <t>2022-09-22 04:29:31 UTC</t>
  </si>
  <si>
    <t>https://www.inaturalist.org/observations/89020269</t>
  </si>
  <si>
    <t>https://inaturalist-open-data.s3.amazonaws.com/photos/146957516/medium.jpeg</t>
  </si>
  <si>
    <t>2021/06/16 1:57 PM CAT</t>
  </si>
  <si>
    <t>2021-06-16 12:57:00 UTC</t>
  </si>
  <si>
    <t>2021-07-29 03:26:14 UTC</t>
  </si>
  <si>
    <t>2022-09-22 04:29:28 UTC</t>
  </si>
  <si>
    <t>https://www.inaturalist.org/observations/89020807</t>
  </si>
  <si>
    <t>https://inaturalist-open-data.s3.amazonaws.com/photos/146958352/medium.jpeg</t>
  </si>
  <si>
    <t>2021-07-29 07:26:49 UTC</t>
  </si>
  <si>
    <t>humphreynjoroge</t>
  </si>
  <si>
    <t>humphrey njoroge</t>
  </si>
  <si>
    <t>2021-07-29 07:33:24 UTC</t>
  </si>
  <si>
    <t>2022-09-22 04:29:26 UTC</t>
  </si>
  <si>
    <t>https://www.inaturalist.org/observations/89034539</t>
  </si>
  <si>
    <t>https://static.inaturalist.org/photos/146983147/medium.jpeg</t>
  </si>
  <si>
    <t>Kiuu, Kenya</t>
  </si>
  <si>
    <t>Fri Jul 30 2021 21:12:41 GMT+0300 (GMT+3)</t>
  </si>
  <si>
    <t>2021-07-30 18:12:41 UTC</t>
  </si>
  <si>
    <t>hazfw</t>
  </si>
  <si>
    <t>Harry Fonseca Williams</t>
  </si>
  <si>
    <t>2021-07-30 19:40:10 UTC</t>
  </si>
  <si>
    <t>2022-09-22 04:29:11 UTC</t>
  </si>
  <si>
    <t>https://www.inaturalist.org/observations/89231000</t>
  </si>
  <si>
    <t>https://static.inaturalist.org/photos/147330609/medium.jpg</t>
  </si>
  <si>
    <t>Kilifi, Coast, KE</t>
  </si>
  <si>
    <t>2011-08-13 08:47:00 UTC</t>
  </si>
  <si>
    <t>macasado</t>
  </si>
  <si>
    <t>Miguel A. Casado</t>
  </si>
  <si>
    <t>2021-08-05 18:33:41 UTC</t>
  </si>
  <si>
    <t>2022-09-22 04:28:37 UTC</t>
  </si>
  <si>
    <t>https://www.inaturalist.org/observations/90057646</t>
  </si>
  <si>
    <t>https://inaturalist-open-data.s3.amazonaws.com/photos/148780667/medium.jpeg</t>
  </si>
  <si>
    <t>Distrito de Antsalova, Madagascar</t>
  </si>
  <si>
    <t>2021/08/01 11:34 AM SAST</t>
  </si>
  <si>
    <t>2021-08-01 09:34:00 UTC</t>
  </si>
  <si>
    <t>2021-08-07 06:02:20 UTC</t>
  </si>
  <si>
    <t>2022-04-10 13:50:20 UTC</t>
  </si>
  <si>
    <t>https://www.inaturalist.org/observations/90230903</t>
  </si>
  <si>
    <t>https://inaturalist-open-data.s3.amazonaws.com/photos/149102826/medium.jpg</t>
  </si>
  <si>
    <t>Dzalanyama Forest Reserve, Malawi</t>
  </si>
  <si>
    <t>2007/05/09 11:54 AM CEST</t>
  </si>
  <si>
    <t>2007-05-09 09:54:00 UTC</t>
  </si>
  <si>
    <t>phiro</t>
  </si>
  <si>
    <t>Philipp</t>
  </si>
  <si>
    <t>2021-08-08 18:41:30 UTC</t>
  </si>
  <si>
    <t>2021-08-29 12:10:38 UTC</t>
  </si>
  <si>
    <t>https://www.inaturalist.org/observations/90430078</t>
  </si>
  <si>
    <t>https://inaturalist-open-data.s3.amazonaws.com/photos/149454360/medium.jpeg</t>
  </si>
  <si>
    <t>Mananjary, Madagaskar</t>
  </si>
  <si>
    <t>Close-up of male on post-emergence nest</t>
  </si>
  <si>
    <t>2021-07-27 13:42:51 UTC</t>
  </si>
  <si>
    <t>2021-08-09 14:30:38 UTC</t>
  </si>
  <si>
    <t>2022-09-22 04:28:28 UTC</t>
  </si>
  <si>
    <t>https://www.inaturalist.org/observations/90537714</t>
  </si>
  <si>
    <t>https://inaturalist-open-data.s3.amazonaws.com/photos/149643734/medium.jpeg</t>
  </si>
  <si>
    <t>Katavi, Mlele, TZ-KA, TZ</t>
  </si>
  <si>
    <t>2021-08-08 11:57:09 UTC</t>
  </si>
  <si>
    <t>mexel</t>
  </si>
  <si>
    <t>2021-08-09 20:06:26 UTC</t>
  </si>
  <si>
    <t>2022-03-10 06:10:17 UTC</t>
  </si>
  <si>
    <t>https://www.inaturalist.org/observations/90576177</t>
  </si>
  <si>
    <t>https://inaturalist-open-data.s3.amazonaws.com/photos/149711360/medium.jpeg</t>
  </si>
  <si>
    <t>Gondola, MZ-MN, MZ</t>
  </si>
  <si>
    <t>2021/08/15 9:50 AM UTC</t>
  </si>
  <si>
    <t>2021-08-15 09:50:00 UTC</t>
  </si>
  <si>
    <t>2021-08-15 18:04:49 UTC</t>
  </si>
  <si>
    <t>2022-09-22 15:20:56 UTC</t>
  </si>
  <si>
    <t>https://www.inaturalist.org/observations/91294385</t>
  </si>
  <si>
    <t>https://static.inaturalist.org/photos/150976758/medium.jpeg</t>
  </si>
  <si>
    <t>2021/08/15 12:04 PM SAST</t>
  </si>
  <si>
    <t>2021-08-15 10:04:00 UTC</t>
  </si>
  <si>
    <t>2021-08-17 12:35:14 UTC</t>
  </si>
  <si>
    <t>2022-09-22 15:20:49 UTC</t>
  </si>
  <si>
    <t>https://www.inaturalist.org/observations/91520393</t>
  </si>
  <si>
    <t>https://inaturalist-open-data.s3.amazonaws.com/photos/151402463/medium.jpg</t>
  </si>
  <si>
    <t>2021-08-18 12:53:03 UTC</t>
  </si>
  <si>
    <t>2021-08-21 14:46:48 UTC</t>
  </si>
  <si>
    <t>2022-09-22 15:20:46 UTC</t>
  </si>
  <si>
    <t>https://www.inaturalist.org/observations/91967647</t>
  </si>
  <si>
    <t>https://inaturalist-open-data.s3.amazonaws.com/photos/152202618/medium.jpeg</t>
  </si>
  <si>
    <t>Hawaan Forest</t>
  </si>
  <si>
    <t>Small hibernation cluster</t>
  </si>
  <si>
    <t>2019-10-07 07:57:07 UTC</t>
  </si>
  <si>
    <t>marcusfarnham</t>
  </si>
  <si>
    <t>Marcus Farnham</t>
  </si>
  <si>
    <t>2021-08-23 14:38:14 UTC</t>
  </si>
  <si>
    <t>2021-08-23 14:38:32 UTC</t>
  </si>
  <si>
    <t>https://www.inaturalist.org/observations/92239946</t>
  </si>
  <si>
    <t>https://static.inaturalist.org/photos/152696877/medium.jpeg</t>
  </si>
  <si>
    <t>Fri Aug 20 2021 13:39:30 GMT+0100 (GMT+1)</t>
  </si>
  <si>
    <t>2021-08-20 11:39:30 UTC</t>
  </si>
  <si>
    <t>2021-08-23 18:05:54 UTC</t>
  </si>
  <si>
    <t>2022-09-22 15:20:37 UTC</t>
  </si>
  <si>
    <t>https://www.inaturalist.org/observations/92263957</t>
  </si>
  <si>
    <t>https://inaturalist-open-data.s3.amazonaws.com/photos/152741118/medium.jpg</t>
  </si>
  <si>
    <t>Mefou et Afamba, CM-CE, CM</t>
  </si>
  <si>
    <t>2021-05-29 12:26:31 UTC</t>
  </si>
  <si>
    <t>prieur2</t>
  </si>
  <si>
    <t>Prieur Du Plessis</t>
  </si>
  <si>
    <t>2021-08-24 08:22:31 UTC</t>
  </si>
  <si>
    <t>2022-09-22 15:55:26 UTC</t>
  </si>
  <si>
    <t>https://www.inaturalist.org/observations/92334946</t>
  </si>
  <si>
    <t>https://static.inaturalist.org/photos/152873818/medium.jpeg</t>
  </si>
  <si>
    <t>Sinoville, Pretoria, 0129, South Africa</t>
  </si>
  <si>
    <t>2021-09-05 10:45:43 UTC</t>
  </si>
  <si>
    <t>2022-09-22 15:55:07 UTC</t>
  </si>
  <si>
    <t>https://www.inaturalist.org/observations/93697933</t>
  </si>
  <si>
    <t>https://static.inaturalist.org/photos/155331863/medium.jpeg</t>
  </si>
  <si>
    <t>Royston Hall Guesthouse</t>
  </si>
  <si>
    <t>2017/11/13 12:00 AM SAST</t>
  </si>
  <si>
    <t>2017-11-12 22:00:00 UTC</t>
  </si>
  <si>
    <t>luciaphillips</t>
  </si>
  <si>
    <t>Lucia Phillips</t>
  </si>
  <si>
    <t>2021-09-05 15:11:45 UTC</t>
  </si>
  <si>
    <t>2022-09-22 15:55:03 UTC</t>
  </si>
  <si>
    <t>https://www.inaturalist.org/observations/93722993</t>
  </si>
  <si>
    <t>https://inaturalist-open-data.s3.amazonaws.com/photos/155375200/medium.jpg</t>
  </si>
  <si>
    <t>48A Surprise Ridge Rd, Albina, Hillcrest, South Africa</t>
  </si>
  <si>
    <t>2021/06/29 1:29 PM CAT</t>
  </si>
  <si>
    <t>2021-06-29 12:29:00 UTC</t>
  </si>
  <si>
    <t>2021-09-15 03:02:08 UTC</t>
  </si>
  <si>
    <t>2022-09-22 04:28:10 UTC</t>
  </si>
  <si>
    <t>https://www.inaturalist.org/observations/94895032</t>
  </si>
  <si>
    <t>https://inaturalist-open-data.s3.amazonaws.com/photos/157471271/medium.jpeg</t>
  </si>
  <si>
    <t>2021/09/15 1:17 PM CAT</t>
  </si>
  <si>
    <t>2021-09-15 12:17:00 UTC</t>
  </si>
  <si>
    <t>2021-09-17 11:50:13 UTC</t>
  </si>
  <si>
    <t>2022-09-22 04:28:07 UTC</t>
  </si>
  <si>
    <t>https://www.inaturalist.org/observations/95133263</t>
  </si>
  <si>
    <t>https://static.inaturalist.org/photos/157898505/medium.jpg</t>
  </si>
  <si>
    <t>Belvedere, Harare, Zimbabwe</t>
  </si>
  <si>
    <t>Belonogaster grisea</t>
  </si>
  <si>
    <t>2021-08-25 19:14:36 UTC</t>
  </si>
  <si>
    <t>bahleman</t>
  </si>
  <si>
    <t>AMADOU BAHLEMAN FARID</t>
  </si>
  <si>
    <t>2021-09-19 08:23:40 UTC</t>
  </si>
  <si>
    <t>2022-09-22 04:27:42 UTC</t>
  </si>
  <si>
    <t>https://www.inaturalist.org/observations/95373036</t>
  </si>
  <si>
    <t>https://inaturalist-open-data.s3.amazonaws.com/photos/158326496/medium.jpeg</t>
  </si>
  <si>
    <t>V7QQ+2JX Zone CynÃ©gÃ©tique de la Pendjari, BÃ©nin</t>
  </si>
  <si>
    <t>2021/09/17 9:57 AM UTC</t>
  </si>
  <si>
    <t>2021-09-17 09:57:00 UTC</t>
  </si>
  <si>
    <t>bdr_photography</t>
  </si>
  <si>
    <t>Asrat Ayalew</t>
  </si>
  <si>
    <t>2021-09-24 09:35:14 UTC</t>
  </si>
  <si>
    <t>2022-02-02 18:34:01 UTC</t>
  </si>
  <si>
    <t>https://www.inaturalist.org/observations/95943485</t>
  </si>
  <si>
    <t>https://static.inaturalist.org/photos/159339046/medium.jpeg</t>
  </si>
  <si>
    <t xml:space="preserve">Taxon suggested by system </t>
  </si>
  <si>
    <t>Bahir Dar, Ethiopia</t>
  </si>
  <si>
    <t>2021-09-23 16:11:00 UTC</t>
  </si>
  <si>
    <t>wendy819</t>
  </si>
  <si>
    <t>Wendy Rasikhanya</t>
  </si>
  <si>
    <t>2021-09-24 13:44:40 UTC</t>
  </si>
  <si>
    <t>2021-09-24 13:44:51 UTC</t>
  </si>
  <si>
    <t>https://www.inaturalist.org/observations/95960173</t>
  </si>
  <si>
    <t>https://static.inaturalist.org/photos/159367159/medium.jpeg</t>
  </si>
  <si>
    <t>Pullen Farm</t>
  </si>
  <si>
    <t>2017/10/07 11:32 PM CEST</t>
  </si>
  <si>
    <t>2017-10-07 21:32:00 UTC</t>
  </si>
  <si>
    <t>glandarius</t>
  </si>
  <si>
    <t>2021-09-29 19:13:49 UTC</t>
  </si>
  <si>
    <t>2022-09-22 04:27:12 UTC</t>
  </si>
  <si>
    <t>https://www.inaturalist.org/observations/96609730</t>
  </si>
  <si>
    <t>https://inaturalist-open-data.s3.amazonaws.com/photos/160518495/medium.jpeg</t>
  </si>
  <si>
    <t>Springbok Ave, Birchleigh, Kempton Park, 1618, SÃ¼dafrika</t>
  </si>
  <si>
    <t>2017/09/26 8:29 PM CEST</t>
  </si>
  <si>
    <t>2017-09-26 18:29:00 UTC</t>
  </si>
  <si>
    <t>2021-09-29 19:13:58 UTC</t>
  </si>
  <si>
    <t>2022-09-22 04:27:10 UTC</t>
  </si>
  <si>
    <t>https://www.inaturalist.org/observations/96609765</t>
  </si>
  <si>
    <t>https://inaturalist-open-data.s3.amazonaws.com/photos/160518890/medium.jpeg</t>
  </si>
  <si>
    <t>Sun Oct 03 2021 09:38:28 GMT+0200 (GMT+2)</t>
  </si>
  <si>
    <t>2021-10-03 07:38:28 UTC</t>
  </si>
  <si>
    <t>2021-10-03 18:15:59 UTC</t>
  </si>
  <si>
    <t>2022-09-22 04:26:53 UTC</t>
  </si>
  <si>
    <t>https://www.inaturalist.org/observations/97045904</t>
  </si>
  <si>
    <t>https://inaturalist-open-data.s3.amazonaws.com/photos/161314118/medium.jpg</t>
  </si>
  <si>
    <t>Malosa, Southern, MW</t>
  </si>
  <si>
    <t>Wed Oct 06 2021 12:59:39 GMT+0200 (GMT+2)</t>
  </si>
  <si>
    <t>2021-10-06 10:59:39 UTC</t>
  </si>
  <si>
    <t>2021-10-06 12:41:14 UTC</t>
  </si>
  <si>
    <t>2022-09-22 04:26:23 UTC</t>
  </si>
  <si>
    <t>https://www.inaturalist.org/observations/97337420</t>
  </si>
  <si>
    <t>https://inaturalist-open-data.s3.amazonaws.com/photos/161866296/medium.jpg</t>
  </si>
  <si>
    <t>Michiru Road, Blantyre, Province du Sud, MW</t>
  </si>
  <si>
    <t>2020-04-06 10:49:30 UTC</t>
  </si>
  <si>
    <t>2021-10-12 04:58:11 UTC</t>
  </si>
  <si>
    <t>2022-09-22 04:26:01 UTC</t>
  </si>
  <si>
    <t>https://www.inaturalist.org/observations/97978457</t>
  </si>
  <si>
    <t>https://static.inaturalist.org/photos/163040344/medium.jpeg</t>
  </si>
  <si>
    <t>Utawala</t>
  </si>
  <si>
    <t>2021-10-12 22:18:58 UTC</t>
  </si>
  <si>
    <t>sos_biodiversity</t>
  </si>
  <si>
    <t>ONG SOS Biodiversity</t>
  </si>
  <si>
    <t>2021-10-12 17:43:53 UTC</t>
  </si>
  <si>
    <t>2022-09-22 15:54:50 UTC</t>
  </si>
  <si>
    <t>https://www.inaturalist.org/observations/98023680</t>
  </si>
  <si>
    <t>https://inaturalist-open-data.s3.amazonaws.com/photos/163123339/medium.jpeg</t>
  </si>
  <si>
    <t>GuÃªpes</t>
  </si>
  <si>
    <t>Toffo, BJ-AQ, BJ</t>
  </si>
  <si>
    <t>Fri Oct 22 2021 10:24:14 GMT+0200 (GMT+2)</t>
  </si>
  <si>
    <t>2021-10-22 08:24:14 UTC</t>
  </si>
  <si>
    <t>2021-10-22 19:26:44 UTC</t>
  </si>
  <si>
    <t>2021-11-04 15:49:36 UTC</t>
  </si>
  <si>
    <t>https://www.inaturalist.org/observations/99007382</t>
  </si>
  <si>
    <t>https://inaturalist-open-data.s3.amazonaws.com/photos/164961047/medium.jpg</t>
  </si>
  <si>
    <t>Windsor Road, Kloof, KZN, ZA</t>
  </si>
  <si>
    <t>Fri Oct 22 2021 09:16:24 GMT+0200 (GMT+2)</t>
  </si>
  <si>
    <t>2021-10-22 07:16:24 UTC</t>
  </si>
  <si>
    <t>2021-10-22 20:15:20 UTC</t>
  </si>
  <si>
    <t>2021-10-22 20:15:26 UTC</t>
  </si>
  <si>
    <t>https://www.inaturalist.org/observations/99012230</t>
  </si>
  <si>
    <t>https://inaturalist-open-data.s3.amazonaws.com/photos/164969136/medium.jpg</t>
  </si>
  <si>
    <t>Indwa Place, Kloof, KZN, ZA</t>
  </si>
  <si>
    <t>2021/10/22 9:50 AM SAST</t>
  </si>
  <si>
    <t>2021-10-22 07:50:00 UTC</t>
  </si>
  <si>
    <t>2021-10-23 06:29:17 UTC</t>
  </si>
  <si>
    <t>2022-03-10 06:22:53 UTC</t>
  </si>
  <si>
    <t>https://www.inaturalist.org/observations/99057319</t>
  </si>
  <si>
    <t>https://inaturalist-open-data.s3.amazonaws.com/photos/165054466/medium.jpeg</t>
  </si>
  <si>
    <t>Hillside Dams, Bulawayo, Zimbabwe</t>
  </si>
  <si>
    <t>2021/09/29 10:47 AM CAT</t>
  </si>
  <si>
    <t>2021-09-29 09:47:00 UTC</t>
  </si>
  <si>
    <t>2021-10-23 07:12:05 UTC</t>
  </si>
  <si>
    <t>2022-09-22 15:20:03 UTC</t>
  </si>
  <si>
    <t>https://www.inaturalist.org/observations/99059368</t>
  </si>
  <si>
    <t>https://inaturalist-open-data.s3.amazonaws.com/photos/165057510/medium.jpg</t>
  </si>
  <si>
    <t>Mopani, Kruger NP, South Africa</t>
  </si>
  <si>
    <t>There is one adult on the dead nest</t>
  </si>
  <si>
    <t>2021/09/29 10:48 AM CAT</t>
  </si>
  <si>
    <t>2021-09-29 09:48:00 UTC</t>
  </si>
  <si>
    <t>2021-10-23 07:12:06 UTC</t>
  </si>
  <si>
    <t>2022-09-22 15:20:01 UTC</t>
  </si>
  <si>
    <t>https://www.inaturalist.org/observations/99059370</t>
  </si>
  <si>
    <t>https://inaturalist-open-data.s3.amazonaws.com/photos/165057522/medium.jpg</t>
  </si>
  <si>
    <t>2021-10-23 08:12:01 UTC</t>
  </si>
  <si>
    <t>mauriza_kruger_wa_gr9</t>
  </si>
  <si>
    <t>MK2</t>
  </si>
  <si>
    <t>2021-10-23 08:28:36 UTC</t>
  </si>
  <si>
    <t>2022-09-22 15:19:57 UTC</t>
  </si>
  <si>
    <t>https://www.inaturalist.org/observations/99063696</t>
  </si>
  <si>
    <t>https://inaturalist-open-data.s3.amazonaws.com/photos/165066839/medium.jpeg</t>
  </si>
  <si>
    <t>Mookgophong/Modimolle, South Africa</t>
  </si>
  <si>
    <t>2021/10/22 6:26 PM SAST</t>
  </si>
  <si>
    <t>2021-10-22 16:26:00 UTC</t>
  </si>
  <si>
    <t>2021-10-23 21:07:58 UTC</t>
  </si>
  <si>
    <t>2022-09-22 15:19:33 UTC</t>
  </si>
  <si>
    <t>https://www.inaturalist.org/observations/99133071</t>
  </si>
  <si>
    <t>https://inaturalist-open-data.s3.amazonaws.com/photos/165193246/medium.jpeg</t>
  </si>
  <si>
    <t>2021-10-24 08:06:44 UTC</t>
  </si>
  <si>
    <t>2021-10-24 08:28:25 UTC</t>
  </si>
  <si>
    <t>2021-10-24 08:28:54 UTC</t>
  </si>
  <si>
    <t>https://www.inaturalist.org/observations/99190135</t>
  </si>
  <si>
    <t>https://inaturalist-open-data.s3.amazonaws.com/photos/165300505/medium.jpeg</t>
  </si>
  <si>
    <t>Malindela, Bulawayo, Zimbabwe</t>
  </si>
  <si>
    <t>2021-10-24 08:22:13 UTC</t>
  </si>
  <si>
    <t>sashdvt</t>
  </si>
  <si>
    <t>2021-10-24 12:08:29 UTC</t>
  </si>
  <si>
    <t>2022-09-22 04:25:45 UTC</t>
  </si>
  <si>
    <t>https://www.inaturalist.org/observations/99204448</t>
  </si>
  <si>
    <t>https://static.inaturalist.org/photos/165326285/medium.jpeg</t>
  </si>
  <si>
    <t>Yellow Wood Park, Durban, 4011, South Africa</t>
  </si>
  <si>
    <t>2021/10/24 5:17 PM UTC</t>
  </si>
  <si>
    <t>2021-10-24 17:17:00 UTC</t>
  </si>
  <si>
    <t>lucynjenga</t>
  </si>
  <si>
    <t>Lucy Wanjiru Njenga</t>
  </si>
  <si>
    <t>2021-10-24 14:50:47 UTC</t>
  </si>
  <si>
    <t>2022-09-22 04:25:42 UTC</t>
  </si>
  <si>
    <t>https://www.inaturalist.org/observations/99218935</t>
  </si>
  <si>
    <t>https://inaturalist-open-data.s3.amazonaws.com/photos/165353222/medium.jpg</t>
  </si>
  <si>
    <t>Watamu, Kenya</t>
  </si>
  <si>
    <t>Sun Oct 24 2021 11:57:55 GMT+0200 (GMT+2)</t>
  </si>
  <si>
    <t>2021-10-24 08:57:55 UTC</t>
  </si>
  <si>
    <t>Athens</t>
  </si>
  <si>
    <t>nic-mac</t>
  </si>
  <si>
    <t>Nicolla Mackay</t>
  </si>
  <si>
    <t>2021-10-24 17:33:10 UTC</t>
  </si>
  <si>
    <t>2022-09-22 04:25:35 UTC</t>
  </si>
  <si>
    <t>https://www.inaturalist.org/observations/99238190</t>
  </si>
  <si>
    <t>https://static.inaturalist.org/photos/165390072/medium.jpg</t>
  </si>
  <si>
    <t>eThekwini, ZA-NL, ZA</t>
  </si>
  <si>
    <t>2021/10/25 8:00 AM UTC</t>
  </si>
  <si>
    <t>2021-10-25 08:00:00 UTC</t>
  </si>
  <si>
    <t>2021-10-25 08:32:55 UTC</t>
  </si>
  <si>
    <t>2022-09-22 04:25:06 UTC</t>
  </si>
  <si>
    <t>https://www.inaturalist.org/observations/99324800</t>
  </si>
  <si>
    <t>https://inaturalist-open-data.s3.amazonaws.com/photos/165550633/medium.jpeg</t>
  </si>
  <si>
    <t>Granite Park, Bulawayo, Zimbabwe</t>
  </si>
  <si>
    <t>2021/10/23 10:19 AM UTC</t>
  </si>
  <si>
    <t>2021-10-23 10:19:00 UTC</t>
  </si>
  <si>
    <t>2021-10-25 10:16:10 UTC</t>
  </si>
  <si>
    <t>2022-09-22 04:25:03 UTC</t>
  </si>
  <si>
    <t>https://www.inaturalist.org/observations/99329956</t>
  </si>
  <si>
    <t>https://static.inaturalist.org/photos/165560862/medium.jpg</t>
  </si>
  <si>
    <t>Aggregation of females on a stem. Why?</t>
  </si>
  <si>
    <t>Sat Oct 23 2021 13:36:45 GMT+0200 (GMT+2)</t>
  </si>
  <si>
    <t>2021-10-23 10:36:45 UTC</t>
  </si>
  <si>
    <t>2021-10-25 10:37:11 UTC</t>
  </si>
  <si>
    <t>2021-10-25 10:37:19 UTC</t>
  </si>
  <si>
    <t>https://www.inaturalist.org/observations/99331289</t>
  </si>
  <si>
    <t>https://inaturalist-open-data.s3.amazonaws.com/photos/165563195/medium.jpg</t>
  </si>
  <si>
    <t>NW, ZA</t>
  </si>
  <si>
    <t>2021-10-24 19:59:50 UTC</t>
  </si>
  <si>
    <t>candzsa</t>
  </si>
  <si>
    <t>2021-10-25 17:25:10 UTC</t>
  </si>
  <si>
    <t>2022-09-22 04:24:53 UTC</t>
  </si>
  <si>
    <t>https://www.inaturalist.org/observations/99364948</t>
  </si>
  <si>
    <t>https://inaturalist-open-data.s3.amazonaws.com/photos/165624930/medium.jpeg</t>
  </si>
  <si>
    <t>Forest Hill, Kloof, 3610, South Africa</t>
  </si>
  <si>
    <t>2021/10/25 11:39 AM CAT</t>
  </si>
  <si>
    <t>2021-10-25 10:39:00 UTC</t>
  </si>
  <si>
    <t>2021-10-27 04:22:16 UTC</t>
  </si>
  <si>
    <t>2022-09-22 04:24:44 UTC</t>
  </si>
  <si>
    <t>https://www.inaturalist.org/observations/99517002</t>
  </si>
  <si>
    <t>https://inaturalist-open-data.s3.amazonaws.com/photos/165912847/medium.jpeg</t>
  </si>
  <si>
    <t>Farm Carl, Lusaka, Zambia</t>
  </si>
  <si>
    <t>2021/10/25 11:40 AM CAT</t>
  </si>
  <si>
    <t>2021-10-25 10:40:00 UTC</t>
  </si>
  <si>
    <t>2022-09-22 04:24:42 UTC</t>
  </si>
  <si>
    <t>https://www.inaturalist.org/observations/99517003</t>
  </si>
  <si>
    <t>https://inaturalist-open-data.s3.amazonaws.com/photos/165912854/medium.jpeg</t>
  </si>
  <si>
    <t>2021/07/12 1:49 PM CAT</t>
  </si>
  <si>
    <t>2021-07-12 12:49:00 UTC</t>
  </si>
  <si>
    <t>2021-10-31 18:11:24 UTC</t>
  </si>
  <si>
    <t>2022-09-22 04:23:58 UTC</t>
  </si>
  <si>
    <t>https://www.inaturalist.org/observations/99898078</t>
  </si>
  <si>
    <t>https://inaturalist-open-data.s3.amazonaws.com/photos/166636205/medium.jpeg</t>
  </si>
  <si>
    <t>2021/10/30 6:46 AM SAST</t>
  </si>
  <si>
    <t>2021-10-30 04:46:00 UTC</t>
  </si>
  <si>
    <t>erwinsieben</t>
  </si>
  <si>
    <t>Erwin Sieben</t>
  </si>
  <si>
    <t>2021-11-01 04:00:07 UTC</t>
  </si>
  <si>
    <t>2022-09-22 04:23:55 UTC</t>
  </si>
  <si>
    <t>https://www.inaturalist.org/observations/99947267</t>
  </si>
  <si>
    <t>https://inaturalist-open-data.s3.amazonaws.com/photos/166730676/medium.jpeg</t>
  </si>
  <si>
    <t>Mtwalume, 4186, South Africa</t>
  </si>
  <si>
    <t>2021-11-03 05:00:06 UTC</t>
  </si>
  <si>
    <t>mrpopp</t>
  </si>
  <si>
    <t>Manuel R Popp</t>
  </si>
  <si>
    <t>2021-11-03 05:15:00 UTC</t>
  </si>
  <si>
    <t>2022-09-22 15:19:00 UTC</t>
  </si>
  <si>
    <t>https://www.inaturalist.org/observations/100123683</t>
  </si>
  <si>
    <t>https://inaturalist-open-data.s3.amazonaws.com/photos/167067449/medium.jpeg</t>
  </si>
  <si>
    <t>2017/11/12 1:20 PM UTC</t>
  </si>
  <si>
    <t>2017-11-12 13:20:00 UTC</t>
  </si>
  <si>
    <t>dougnaturalist</t>
  </si>
  <si>
    <t>2021-11-05 22:53:28 UTC</t>
  </si>
  <si>
    <t>2022-09-22 15:18:57 UTC</t>
  </si>
  <si>
    <t>https://www.inaturalist.org/observations/100351882</t>
  </si>
  <si>
    <t>https://static.inaturalist.org/photos/167475339/medium.jpg</t>
  </si>
  <si>
    <t>2021-11-06 14:08:12 UTC</t>
  </si>
  <si>
    <t>konkoit</t>
  </si>
  <si>
    <t>Nature Lover</t>
  </si>
  <si>
    <t>2021-11-06 14:34:57 UTC</t>
  </si>
  <si>
    <t>2022-09-22 15:54:26 UTC</t>
  </si>
  <si>
    <t>https://www.inaturalist.org/observations/100399833</t>
  </si>
  <si>
    <t>https://static.inaturalist.org/photos/167563100/medium.jpeg</t>
  </si>
  <si>
    <t>2020/12/23 6:20 AM UTC</t>
  </si>
  <si>
    <t>2020-12-23 06:20:00 UTC</t>
  </si>
  <si>
    <t>lmartinezinigo</t>
  </si>
  <si>
    <t>2021-11-07 00:23:50 UTC</t>
  </si>
  <si>
    <t>2022-09-16 20:05:03 UTC</t>
  </si>
  <si>
    <t>https://www.inaturalist.org/observations/100448015</t>
  </si>
  <si>
    <t>https://inaturalist-open-data.s3.amazonaws.com/photos/167651284/medium.jpeg</t>
  </si>
  <si>
    <t>Etimboue, Gabon</t>
  </si>
  <si>
    <t>Polistinae</t>
  </si>
  <si>
    <t>2021-11-07 09:58:02 UTC</t>
  </si>
  <si>
    <t>2021-11-07 17:26:53 UTC</t>
  </si>
  <si>
    <t>2022-09-22 07:50:06 UTC</t>
  </si>
  <si>
    <t>https://www.inaturalist.org/observations/100511742</t>
  </si>
  <si>
    <t>https://static.inaturalist.org/photos/167765348/medium.jpeg</t>
  </si>
  <si>
    <t>Mon Nov 08 2021 17:46:45 GMT +0300 (GMT+3)</t>
  </si>
  <si>
    <t>2021-11-08 14:46:45 UTC</t>
  </si>
  <si>
    <t>harrymillw</t>
  </si>
  <si>
    <t>2021-11-08 14:46:54 UTC</t>
  </si>
  <si>
    <t>2021-11-08 14:47:08 UTC</t>
  </si>
  <si>
    <t>https://www.inaturalist.org/observations/100599129</t>
  </si>
  <si>
    <t>https://inaturalist-open-data.s3.amazonaws.com/photos/167923578/medium.jpeg</t>
  </si>
  <si>
    <t>2021-11-09 15:04:53 UTC</t>
  </si>
  <si>
    <t>tiaan_kotze</t>
  </si>
  <si>
    <t>Tiaan KotzÃ©</t>
  </si>
  <si>
    <t>2021-11-09 15:08:44 UTC</t>
  </si>
  <si>
    <t>2022-09-22 07:50:03 UTC</t>
  </si>
  <si>
    <t>https://www.inaturalist.org/observations/100686551</t>
  </si>
  <si>
    <t>https://static.inaturalist.org/photos/168079653/medium.jpeg</t>
  </si>
  <si>
    <t>Mispel Ave and Orpen St, Lydiana, Pretoria, 0184, South Africa</t>
  </si>
  <si>
    <t>Tue Nov 09 2021 16:38:25 GMT+0300 (GMT+3)</t>
  </si>
  <si>
    <t>2021-11-09 13:38:25 UTC</t>
  </si>
  <si>
    <t>emmanueltoussaint</t>
  </si>
  <si>
    <t>Emmanuel Toussaint</t>
  </si>
  <si>
    <t>2021-11-09 15:17:21 UTC</t>
  </si>
  <si>
    <t>2022-09-22 07:50:00 UTC</t>
  </si>
  <si>
    <t>https://www.inaturalist.org/observations/100687022</t>
  </si>
  <si>
    <t>https://static.inaturalist.org/photos/168080593/medium.jpg</t>
  </si>
  <si>
    <t>Sekei, Arusha, RÃ©gion d'Aroucha, TZ</t>
  </si>
  <si>
    <t>Fri Nov 05 2021 16:39:13 GMT+0300 (GMT+3)</t>
  </si>
  <si>
    <t>2021-11-05 13:39:13 UTC</t>
  </si>
  <si>
    <t>2021-11-09 16:40:50 UTC</t>
  </si>
  <si>
    <t>2022-09-22 07:49:56 UTC</t>
  </si>
  <si>
    <t>https://www.inaturalist.org/observations/100698165</t>
  </si>
  <si>
    <t>https://inaturalist-open-data.s3.amazonaws.com/photos/168089475/medium.jpg</t>
  </si>
  <si>
    <t>Nkhotakota Wildlife Reserve, Central, MW</t>
  </si>
  <si>
    <t>2021-11-11 9:06:23 AM GMT+03:00</t>
  </si>
  <si>
    <t>2021-11-11 06:06:23 UTC</t>
  </si>
  <si>
    <t>joshua_rains</t>
  </si>
  <si>
    <t>Joshua Rains</t>
  </si>
  <si>
    <t>2021-11-11 06:08:14 UTC</t>
  </si>
  <si>
    <t>2022-09-22 07:49:54 UTC</t>
  </si>
  <si>
    <t>https://www.inaturalist.org/observations/100832373</t>
  </si>
  <si>
    <t>https://inaturalist-open-data.s3.amazonaws.com/photos/168332539/medium.jpeg</t>
  </si>
  <si>
    <t>Dabaso, Kenya</t>
  </si>
  <si>
    <t>2021-11-11 10:05:33 UTC</t>
  </si>
  <si>
    <t>2022-09-22 15:18:29 UTC</t>
  </si>
  <si>
    <t>https://www.inaturalist.org/observations/100841988</t>
  </si>
  <si>
    <t>https://inaturalist-open-data.s3.amazonaws.com/photos/168348461/medium.jpg</t>
  </si>
  <si>
    <t>Olivedale, Garden, Swimming Pool Kill, Lockdown</t>
  </si>
  <si>
    <t>Rescued from the pool.</t>
  </si>
  <si>
    <t>Wed Nov 10 2021 16:14:25 GMT+0200 (GMT+2)</t>
  </si>
  <si>
    <t>2021-11-10 14:14:25 UTC</t>
  </si>
  <si>
    <t>lanceexplores</t>
  </si>
  <si>
    <t>2021-11-11 14:26:29 UTC</t>
  </si>
  <si>
    <t>2022-09-22 04:23:41 UTC</t>
  </si>
  <si>
    <t>https://www.inaturalist.org/observations/100852591</t>
  </si>
  <si>
    <t>https://inaturalist-open-data.s3.amazonaws.com/photos/168367660/medium.jpg</t>
  </si>
  <si>
    <t>Durban Botanic Gardens, Berea, KZN, ZA</t>
  </si>
  <si>
    <t>2021/11/07 12:54 PM CET</t>
  </si>
  <si>
    <t>2021-11-07 11:54:00 UTC</t>
  </si>
  <si>
    <t>felix_riegel</t>
  </si>
  <si>
    <t>Felix Riegel</t>
  </si>
  <si>
    <t>2021-11-12 16:54:46 UTC</t>
  </si>
  <si>
    <t>2022-09-22 04:23:33 UTC</t>
  </si>
  <si>
    <t>https://www.inaturalist.org/observations/100936556</t>
  </si>
  <si>
    <t>https://inaturalist-open-data.s3.amazonaws.com/photos/168516014/medium.jpeg</t>
  </si>
  <si>
    <t>Umtamvuna Nature Reserve, Port Edward, KwaZulu-Natal, South Africa</t>
  </si>
  <si>
    <t>Very different nest architecture to other Belonogaster</t>
  </si>
  <si>
    <t>2021/11/12 2:10 PM SAST</t>
  </si>
  <si>
    <t>2021-11-12 12:10:00 UTC</t>
  </si>
  <si>
    <t>2021-11-12 17:46:20 UTC</t>
  </si>
  <si>
    <t>2022-09-22 04:23:31 UTC</t>
  </si>
  <si>
    <t>https://www.inaturalist.org/observations/100939372</t>
  </si>
  <si>
    <t>https://inaturalist-open-data.s3.amazonaws.com/photos/168522724/medium.jpeg</t>
  </si>
  <si>
    <t>2021-11-13 14:59:12 UTC</t>
  </si>
  <si>
    <t>rachel_grace</t>
  </si>
  <si>
    <t>Rachel Scharf</t>
  </si>
  <si>
    <t>2021-11-15 00:03:28 UTC</t>
  </si>
  <si>
    <t>2022-09-23 14:02:55 UTC</t>
  </si>
  <si>
    <t>https://www.inaturalist.org/observations/101153109</t>
  </si>
  <si>
    <t>https://inaturalist-open-data.s3.amazonaws.com/photos/168888722/medium.jpeg</t>
  </si>
  <si>
    <t>2021/11/12 2:15 PM EAT</t>
  </si>
  <si>
    <t>2021-11-12 11:15:00 UTC</t>
  </si>
  <si>
    <t>2021-11-15 14:23:01 UTC</t>
  </si>
  <si>
    <t>2022-09-22 04:22:27 UTC</t>
  </si>
  <si>
    <t>https://www.inaturalist.org/observations/101190267</t>
  </si>
  <si>
    <t>https://inaturalist-open-data.s3.amazonaws.com/photos/168958806/medium.jpeg</t>
  </si>
  <si>
    <t>2021/11/15 4:48 PM SAST</t>
  </si>
  <si>
    <t>2021-11-15 14:48:00 UTC</t>
  </si>
  <si>
    <t>2021-11-16 14:21:51 UTC</t>
  </si>
  <si>
    <t>2022-09-22 04:22:23 UTC</t>
  </si>
  <si>
    <t>https://www.inaturalist.org/observations/101261225</t>
  </si>
  <si>
    <t>https://inaturalist-open-data.s3.amazonaws.com/photos/169091404/medium.jpg</t>
  </si>
  <si>
    <t>Kuil</t>
  </si>
  <si>
    <t>Third photo shows a large number of flies near the nest</t>
  </si>
  <si>
    <t>2021-11-13 14:59:11 UTC</t>
  </si>
  <si>
    <t>2021-11-16 21:53:48 UTC</t>
  </si>
  <si>
    <t>2022-09-22 04:22:19 UTC</t>
  </si>
  <si>
    <t>https://www.inaturalist.org/observations/101286709</t>
  </si>
  <si>
    <t>https://inaturalist-open-data.s3.amazonaws.com/photos/169139822/medium.jpeg</t>
  </si>
  <si>
    <t>2021/07/06 11:08 AM SAST</t>
  </si>
  <si>
    <t>2021-07-06 09:08:00 UTC</t>
  </si>
  <si>
    <t>2021-11-18 18:44:17 UTC</t>
  </si>
  <si>
    <t>2022-09-22 04:21:52 UTC</t>
  </si>
  <si>
    <t>https://www.inaturalist.org/observations/101412016</t>
  </si>
  <si>
    <t>https://inaturalist-open-data.s3.amazonaws.com/photos/169362905/medium.jpg</t>
  </si>
  <si>
    <t>2021/10/17 12:14 PM UTC</t>
  </si>
  <si>
    <t>2021-10-17 12:14:00 UTC</t>
  </si>
  <si>
    <t>scott_phares</t>
  </si>
  <si>
    <t>2021-11-23 17:00:17 UTC</t>
  </si>
  <si>
    <t>2022-09-22 04:21:48 UTC</t>
  </si>
  <si>
    <t>https://www.inaturalist.org/observations/101765982</t>
  </si>
  <si>
    <t>https://static.inaturalist.org/photos/169997199/medium.jpg</t>
  </si>
  <si>
    <t>pamushana</t>
  </si>
  <si>
    <t>2021/11/02 12:20 PM SAST</t>
  </si>
  <si>
    <t>2021-11-02 10:20:00 UTC</t>
  </si>
  <si>
    <t>bionerds</t>
  </si>
  <si>
    <t>Bionerds</t>
  </si>
  <si>
    <t>2021-11-24 09:26:06 UTC</t>
  </si>
  <si>
    <t>2022-09-22 04:19:52 UTC</t>
  </si>
  <si>
    <t>https://www.inaturalist.org/observations/101817024</t>
  </si>
  <si>
    <t>https://static.inaturalist.org/photos/169991166/medium.jpeg</t>
  </si>
  <si>
    <t>Western District, South Africa</t>
  </si>
  <si>
    <t>2021-11-28 04:23:52 UTC</t>
  </si>
  <si>
    <t>siyabonga674</t>
  </si>
  <si>
    <t>siyabonga mgenge</t>
  </si>
  <si>
    <t>2021-11-28 19:24:47 UTC</t>
  </si>
  <si>
    <t>2022-09-22 04:19:48 UTC</t>
  </si>
  <si>
    <t>https://www.inaturalist.org/observations/102104773</t>
  </si>
  <si>
    <t>https://inaturalist-open-data.s3.amazonaws.com/photos/170619253/medium.jpeg</t>
  </si>
  <si>
    <t>BUFFELSDRAAI REFORESTATION HUB : CENTRE OF EXCELLENCE</t>
  </si>
  <si>
    <t>Tue Nov 23 2021 15:47:39 GMT+0200 (GMT+2)</t>
  </si>
  <si>
    <t>2021-11-23 13:47:39 UTC</t>
  </si>
  <si>
    <t>2021-12-01 11:18:34 UTC</t>
  </si>
  <si>
    <t>2022-09-22 05:23:49 UTC</t>
  </si>
  <si>
    <t>https://www.inaturalist.org/observations/102294099</t>
  </si>
  <si>
    <t>https://inaturalist-open-data.s3.amazonaws.com/photos/170963813/medium.jpg</t>
  </si>
  <si>
    <t>RÃ©gion du Nord, MW</t>
  </si>
  <si>
    <t>2021-12-02 11:38:20 UTC</t>
  </si>
  <si>
    <t>2022-09-22 07:49:46 UTC</t>
  </si>
  <si>
    <t>https://www.inaturalist.org/observations/102349468</t>
  </si>
  <si>
    <t>https://inaturalist-open-data.s3.amazonaws.com/photos/171066130/medium.jpg</t>
  </si>
  <si>
    <t>2021/08/12 3:49 PM CEST</t>
  </si>
  <si>
    <t>2021-08-12 13:49:00 UTC</t>
  </si>
  <si>
    <t>koenbetjes</t>
  </si>
  <si>
    <t>2021-12-02 13:38:47 UTC</t>
  </si>
  <si>
    <t>2022-09-22 07:49:43 UTC</t>
  </si>
  <si>
    <t>https://www.inaturalist.org/observations/102352342</t>
  </si>
  <si>
    <t>https://inaturalist-open-data.s3.amazonaws.com/photos/171070702/medium.jpeg</t>
  </si>
  <si>
    <t>Lekoko Department, Gabon</t>
  </si>
  <si>
    <t>2021/09/13 8:46 PM SAST</t>
  </si>
  <si>
    <t>2021-09-13 18:46:00 UTC</t>
  </si>
  <si>
    <t>2021-12-04 07:30:04 UTC</t>
  </si>
  <si>
    <t>2022-09-22 07:49:40 UTC</t>
  </si>
  <si>
    <t>https://www.inaturalist.org/observations/102454219</t>
  </si>
  <si>
    <t>https://inaturalist-open-data.s3.amazonaws.com/photos/171267011/medium.jpeg</t>
  </si>
  <si>
    <t>Bulawayo East, Bulawayo, Zimbabwe</t>
  </si>
  <si>
    <t>2015/02/10 6:56 PM EAT</t>
  </si>
  <si>
    <t>2015-02-10 15:56:00 UTC</t>
  </si>
  <si>
    <t>daniel-van-hauten</t>
  </si>
  <si>
    <t>Daniel van Hauten</t>
  </si>
  <si>
    <t>2021-12-04 08:46:38 UTC</t>
  </si>
  <si>
    <t>2022-09-22 07:49:37 UTC</t>
  </si>
  <si>
    <t>https://www.inaturalist.org/observations/102456306</t>
  </si>
  <si>
    <t>https://static.inaturalist.org/photos/171272201/medium.jpeg</t>
  </si>
  <si>
    <t>Rhapta Road, Nairobi, Kenya</t>
  </si>
  <si>
    <t>2021/09/17 11:45 AM CAT</t>
  </si>
  <si>
    <t>2021-09-17 10:45:00 UTC</t>
  </si>
  <si>
    <t>2021-12-05 18:09:00 UTC</t>
  </si>
  <si>
    <t>2022-09-22 07:49:30 UTC</t>
  </si>
  <si>
    <t>https://www.inaturalist.org/observations/102546198</t>
  </si>
  <si>
    <t>https://inaturalist-open-data.s3.amazonaws.com/photos/171445340/medium.jpeg</t>
  </si>
  <si>
    <t>Sun Dec 05 2021 10:32:48 GMT+0200 (GMT+2)</t>
  </si>
  <si>
    <t>2021-12-05 08:32:48 UTC</t>
  </si>
  <si>
    <t>lindalakeside</t>
  </si>
  <si>
    <t>Linda Hibbin</t>
  </si>
  <si>
    <t>2021-12-05 18:56:29 UTC</t>
  </si>
  <si>
    <t>2022-09-22 07:49:28 UTC</t>
  </si>
  <si>
    <t>https://www.inaturalist.org/observations/102549617</t>
  </si>
  <si>
    <t>https://inaturalist-open-data.s3.amazonaws.com/photos/171452097/medium.jpg</t>
  </si>
  <si>
    <t>Kirstenbosch National Botanical Gardens, Southern Suburbs, WC, ZA</t>
  </si>
  <si>
    <t>Difficult to see nest clearly</t>
  </si>
  <si>
    <t>2021/12/05 9:51 PM UTC</t>
  </si>
  <si>
    <t>2021-12-05 21:51:00 UTC</t>
  </si>
  <si>
    <t>2021-12-06 19:33:49 UTC</t>
  </si>
  <si>
    <t>2021-12-07 11:25:22 UTC</t>
  </si>
  <si>
    <t>https://www.inaturalist.org/observations/102619469</t>
  </si>
  <si>
    <t>https://inaturalist-open-data.s3.amazonaws.com/photos/171583132/medium.jpg</t>
  </si>
  <si>
    <t>2021/12/07 6:59 AM SAST</t>
  </si>
  <si>
    <t>2021-12-07 04:59:00 UTC</t>
  </si>
  <si>
    <t>2021-12-08 03:36:54 UTC</t>
  </si>
  <si>
    <t>2022-09-22 15:54:13 UTC</t>
  </si>
  <si>
    <t>https://www.inaturalist.org/observations/102696642</t>
  </si>
  <si>
    <t>https://inaturalist-open-data.s3.amazonaws.com/photos/171724309/medium.jpeg</t>
  </si>
  <si>
    <t>&lt;h3&gt;Chevron station&lt;/h3&gt;</t>
  </si>
  <si>
    <t>Fri Dec 10 2021 13:30:37 GMT+0200 (GMT+2)</t>
  </si>
  <si>
    <t>2021-12-10 11:30:37 UTC</t>
  </si>
  <si>
    <t>2021-12-10 11:33:22 UTC</t>
  </si>
  <si>
    <t>2022-09-22 07:49:05 UTC</t>
  </si>
  <si>
    <t>https://www.inaturalist.org/observations/102811096</t>
  </si>
  <si>
    <t>https://inaturalist-open-data.s3.amazonaws.com/photos/171944728/medium.jpg</t>
  </si>
  <si>
    <t>2021/12/05 10:54 AM SAST</t>
  </si>
  <si>
    <t>2021-12-05 08:54:00 UTC</t>
  </si>
  <si>
    <t>2021-12-11 08:29:36 UTC</t>
  </si>
  <si>
    <t>2022-09-22 07:48:58 UTC</t>
  </si>
  <si>
    <t>https://www.inaturalist.org/observations/102860171</t>
  </si>
  <si>
    <t>https://inaturalist-open-data.s3.amazonaws.com/photos/172031059/medium.jpg</t>
  </si>
  <si>
    <t>See plant  https://www.inaturalist.org/observations/102860170_x000D_
See what a disturbed wasp does  https://www.inaturalist.org/observations/102860648</t>
  </si>
  <si>
    <t>KwaNibela, South Africa</t>
  </si>
  <si>
    <t>2021/09/25 9:47 AM CAT</t>
  </si>
  <si>
    <t>2021-09-25 08:47:00 UTC</t>
  </si>
  <si>
    <t>2021-12-14 19:15:41 UTC</t>
  </si>
  <si>
    <t>2022-09-22 07:48:54 UTC</t>
  </si>
  <si>
    <t>https://www.inaturalist.org/observations/103058062</t>
  </si>
  <si>
    <t>https://inaturalist-open-data.s3.amazonaws.com/photos/172402581/medium.jpeg</t>
  </si>
  <si>
    <t>Lilayi Lodge, Zambia</t>
  </si>
  <si>
    <t>Thu Dec 16 2021 11:07:15 GMT+0200 (GMT+2)</t>
  </si>
  <si>
    <t>2021-12-16 09:07:15 UTC</t>
  </si>
  <si>
    <t>robert_taylor</t>
  </si>
  <si>
    <t>Robert Taylor</t>
  </si>
  <si>
    <t>2021-12-16 11:03:07 UTC</t>
  </si>
  <si>
    <t>2022-09-22 07:48:52 UTC</t>
  </si>
  <si>
    <t>https://www.inaturalist.org/observations/103139723</t>
  </si>
  <si>
    <t>https://inaturalist-open-data.s3.amazonaws.com/photos/172558302/medium.jpg</t>
  </si>
  <si>
    <t>Okavango Delta, North-West, BW</t>
  </si>
  <si>
    <t>Collecting tree sap amongst irridescent beetles</t>
  </si>
  <si>
    <t>2021-11-04 10:26:50 UTC</t>
  </si>
  <si>
    <t>dbeadle</t>
  </si>
  <si>
    <t>2021-12-17 04:00:33 UTC</t>
  </si>
  <si>
    <t>2022-09-22 07:48:48 UTC</t>
  </si>
  <si>
    <t>https://www.inaturalist.org/observations/103179199</t>
  </si>
  <si>
    <t>https://static.inaturalist.org/photos/172631568/medium.jpg</t>
  </si>
  <si>
    <t>Belonogaster (Needle-waisted Paper Wasps) - West Usambara, Tanzania</t>
  </si>
  <si>
    <t xml:space="preserve">Belonogaster (Needle-waisted Paper Wasps). Photographed at Magamba Forest, West Usambara, Tanzania on 4 November 2021. </t>
  </si>
  <si>
    <t>Magamba Nature Forest Reserve Office, West Usambara, Tanzania</t>
  </si>
  <si>
    <t>2021/12/12 2:49 PM SAST</t>
  </si>
  <si>
    <t>2021-12-12 12:49:00 UTC</t>
  </si>
  <si>
    <t>andre_harmse</t>
  </si>
  <si>
    <t>Andre Harmse</t>
  </si>
  <si>
    <t>2021-12-19 00:16:59 UTC</t>
  </si>
  <si>
    <t>2022-09-22 07:48:44 UTC</t>
  </si>
  <si>
    <t>https://www.inaturalist.org/observations/103279818</t>
  </si>
  <si>
    <t>https://inaturalist-open-data.s3.amazonaws.com/photos/172813856/medium.jpg</t>
  </si>
  <si>
    <t>Milhoro Hiking Trail, Magaliesburg, NW, South Africa</t>
  </si>
  <si>
    <t>2021/11/25 2:08 PM SAST</t>
  </si>
  <si>
    <t>2021-11-25 12:08:00 UTC</t>
  </si>
  <si>
    <t>jaunnemarelize</t>
  </si>
  <si>
    <t>Jaunne-Marelize Van Tonder</t>
  </si>
  <si>
    <t>2021-12-19 15:50:28 UTC</t>
  </si>
  <si>
    <t>2022-09-22 07:48:41 UTC</t>
  </si>
  <si>
    <t>https://www.inaturalist.org/observations/103310548</t>
  </si>
  <si>
    <t>https://inaturalist-open-data.s3.amazonaws.com/photos/172873126/medium.jpg</t>
  </si>
  <si>
    <t>2021, Little Eden, Little Eden 2021</t>
  </si>
  <si>
    <t>2021/11/19 7:43 PM SAST</t>
  </si>
  <si>
    <t>2021-11-19 17:43:00 UTC</t>
  </si>
  <si>
    <t>2021-12-19 19:44:55 UTC</t>
  </si>
  <si>
    <t>2022-09-22 07:48:36 UTC</t>
  </si>
  <si>
    <t>https://www.inaturalist.org/observations/103322997</t>
  </si>
  <si>
    <t>https://inaturalist-open-data.s3.amazonaws.com/photos/172897841/medium.jpg</t>
  </si>
  <si>
    <t>Krauseville AH, 2021, November</t>
  </si>
  <si>
    <t>Sat Dec 04 2021 13:57:00 GMT+0100 (GMT+1)</t>
  </si>
  <si>
    <t>2021-12-04 12:57:00 UTC</t>
  </si>
  <si>
    <t>2021-12-21 07:14:24 UTC</t>
  </si>
  <si>
    <t>2022-09-22 07:48:33 UTC</t>
  </si>
  <si>
    <t>https://www.inaturalist.org/observations/103407216</t>
  </si>
  <si>
    <t>https://inaturalist-open-data.s3.amazonaws.com/photos/173059379/medium.jpg</t>
  </si>
  <si>
    <t>Volta, GH</t>
  </si>
  <si>
    <t>2021/02/28 9:16 AM SAST</t>
  </si>
  <si>
    <t>2021-02-28 07:16:00 UTC</t>
  </si>
  <si>
    <t>2021-12-22 00:08:26 UTC</t>
  </si>
  <si>
    <t>2022-09-22 07:48:30 UTC</t>
  </si>
  <si>
    <t>https://www.inaturalist.org/observations/103443415</t>
  </si>
  <si>
    <t>https://inaturalist-open-data.s3.amazonaws.com/photos/173125558/medium.jpg</t>
  </si>
  <si>
    <t>Borakalalo National Park, NW, South Africa</t>
  </si>
  <si>
    <t>Sun Dec 05 2021 07:28:00 GMT+0100 (GMT+1)</t>
  </si>
  <si>
    <t>2021-12-05 06:28:00 UTC</t>
  </si>
  <si>
    <t>2021-12-22 16:36:01 UTC</t>
  </si>
  <si>
    <t>2022-09-22 04:19:38 UTC</t>
  </si>
  <si>
    <t>https://www.inaturalist.org/observations/103476781</t>
  </si>
  <si>
    <t>https://inaturalist-open-data.s3.amazonaws.com/photos/173193268/medium.jpg</t>
  </si>
  <si>
    <t>Mountain Paradise Close, Volta, GH</t>
  </si>
  <si>
    <t>2021-12-25 09:46:35 UTC</t>
  </si>
  <si>
    <t>2021-12-25 10:31:25 UTC</t>
  </si>
  <si>
    <t>2022-09-22 04:18:30 UTC</t>
  </si>
  <si>
    <t>https://www.inaturalist.org/observations/103625944</t>
  </si>
  <si>
    <t>https://static.inaturalist.org/photos/173480743/medium.jpeg</t>
  </si>
  <si>
    <t>2021-12-25 09:05:56 UTC</t>
  </si>
  <si>
    <t>lukenslaura</t>
  </si>
  <si>
    <t>2021-12-25 12:00:44 UTC</t>
  </si>
  <si>
    <t>2022-09-22 04:18:26 UTC</t>
  </si>
  <si>
    <t>https://www.inaturalist.org/observations/103627675</t>
  </si>
  <si>
    <t>https://inaturalist-open-data.s3.amazonaws.com/photos/173484087/medium.jpeg</t>
  </si>
  <si>
    <t>QRG2+68X, Nairobi, Kenya</t>
  </si>
  <si>
    <t>2021/11/18 6:09 PM CAT</t>
  </si>
  <si>
    <t>2021-11-18 17:09:00 UTC</t>
  </si>
  <si>
    <t>2021-12-26 07:34:42 UTC</t>
  </si>
  <si>
    <t>2022-09-22 04:18:23 UTC</t>
  </si>
  <si>
    <t>https://www.inaturalist.org/observations/103674544</t>
  </si>
  <si>
    <t>https://inaturalist-open-data.s3.amazonaws.com/photos/173572624/medium.jpg</t>
  </si>
  <si>
    <t>Tue Dec 07 2021 14:59:00 GMT+0100 (GMT+1)</t>
  </si>
  <si>
    <t>2021-12-07 13:59:00 UTC</t>
  </si>
  <si>
    <t>2021-12-26 10:04:17 UTC</t>
  </si>
  <si>
    <t>2022-09-22 04:18:21 UTC</t>
  </si>
  <si>
    <t>https://www.inaturalist.org/observations/103678330</t>
  </si>
  <si>
    <t>https://inaturalist-open-data.s3.amazonaws.com/photos/173579521/medium.jpg</t>
  </si>
  <si>
    <t>Water Fall Trail, Volta, GH</t>
  </si>
  <si>
    <t>2021-12-25 15:27:07 UTC</t>
  </si>
  <si>
    <t>sa-insects</t>
  </si>
  <si>
    <t>Insects of South Africa</t>
  </si>
  <si>
    <t>2021-12-26 13:02:29 UTC</t>
  </si>
  <si>
    <t>2022-09-22 04:18:18 UTC</t>
  </si>
  <si>
    <t>https://www.inaturalist.org/observations/103683955</t>
  </si>
  <si>
    <t>https://static.inaturalist.org/photos/173590246/medium.jpeg</t>
  </si>
  <si>
    <t>Leeupoort Vakansiedorp, 0486, South Africa</t>
  </si>
  <si>
    <t>2021-12-26 12:08:41 UTC</t>
  </si>
  <si>
    <t>emma_ferreira</t>
  </si>
  <si>
    <t>Emma Ferreira</t>
  </si>
  <si>
    <t>2021-12-26 18:48:45 UTC</t>
  </si>
  <si>
    <t>2022-09-22 04:18:16 UTC</t>
  </si>
  <si>
    <t>https://www.inaturalist.org/observations/103701439</t>
  </si>
  <si>
    <t>https://inaturalist-open-data.s3.amazonaws.com/photos/173622746/medium.jpeg</t>
  </si>
  <si>
    <t>Giants Castle Game Reserve, South Africa</t>
  </si>
  <si>
    <t>Wed Dec 08 2021 12:36:00 GMT+0100 (GMT+1)</t>
  </si>
  <si>
    <t>2021-12-08 11:36:00 UTC</t>
  </si>
  <si>
    <t>2021-12-27 11:10:18 UTC</t>
  </si>
  <si>
    <t>2022-09-22 04:18:13 UTC</t>
  </si>
  <si>
    <t>https://www.inaturalist.org/observations/103745960</t>
  </si>
  <si>
    <t>https://inaturalist-open-data.s3.amazonaws.com/photos/173710243/medium.jpg</t>
  </si>
  <si>
    <t>Amedzofe, Volta, GH</t>
  </si>
  <si>
    <t>2021/12/25 11:33 AM SAST</t>
  </si>
  <si>
    <t>2021-12-25 09:33:00 UTC</t>
  </si>
  <si>
    <t>mattf1996</t>
  </si>
  <si>
    <t>Matthew Fainman</t>
  </si>
  <si>
    <t>2021-12-27 14:11:39 UTC</t>
  </si>
  <si>
    <t>2022-09-22 04:18:10 UTC</t>
  </si>
  <si>
    <t>https://www.inaturalist.org/observations/103751516</t>
  </si>
  <si>
    <t>https://inaturalist-open-data.s3.amazonaws.com/photos/173721495/medium.jpeg</t>
  </si>
  <si>
    <t>Hogsback, Eastern Cape, South Africa</t>
  </si>
  <si>
    <t>2021-11-06 08:50:04 UTC</t>
  </si>
  <si>
    <t>2021-12-28 22:38:10 UTC</t>
  </si>
  <si>
    <t>2022-09-22 04:18:02 UTC</t>
  </si>
  <si>
    <t>https://www.inaturalist.org/observations/103849158</t>
  </si>
  <si>
    <t>https://static.inaturalist.org/photos/173912904/medium.jpg</t>
  </si>
  <si>
    <t xml:space="preserve">Belonogaster (Needle-waisted Paper Wasps). Photographed at Magamba Forest, West Usambara, Tanzania on 6 November 2021. </t>
  </si>
  <si>
    <t>Magamba Forest, Tanzania</t>
  </si>
  <si>
    <t>2021-12-29 14:54:10 UTC</t>
  </si>
  <si>
    <t>bahati</t>
  </si>
  <si>
    <t>Julian</t>
  </si>
  <si>
    <t>2021-12-29 14:59:13 UTC</t>
  </si>
  <si>
    <t>2022-09-22 04:18:00 UTC</t>
  </si>
  <si>
    <t>https://www.inaturalist.org/observations/103888645</t>
  </si>
  <si>
    <t>https://inaturalist-open-data.s3.amazonaws.com/photos/173989856/medium.jpeg</t>
  </si>
  <si>
    <t>Mkwaja, Tanzania</t>
  </si>
  <si>
    <t>2021-12-30 07:52:02 UTC</t>
  </si>
  <si>
    <t>agellis</t>
  </si>
  <si>
    <t>Allan Ellis</t>
  </si>
  <si>
    <t>2021-12-30 08:34:34 UTC</t>
  </si>
  <si>
    <t>2022-09-22 04:17:53 UTC</t>
  </si>
  <si>
    <t>https://www.inaturalist.org/observations/103943589</t>
  </si>
  <si>
    <t>https://inaturalist-open-data.s3.amazonaws.com/photos/174099419/medium.jpeg</t>
  </si>
  <si>
    <t>Haga Haga, Amatola Coastal, 5272, South Africa</t>
  </si>
  <si>
    <t>2021/12/29 10:11 PM SAST</t>
  </si>
  <si>
    <t>2021-12-29 20:11:00 UTC</t>
  </si>
  <si>
    <t>2021-12-31 17:26:48 UTC</t>
  </si>
  <si>
    <t>2022-09-22 04:17:50 UTC</t>
  </si>
  <si>
    <t>https://www.inaturalist.org/observations/104041134</t>
  </si>
  <si>
    <t>https://inaturalist-open-data.s3.amazonaws.com/photos/174275701/medium.jpeg</t>
  </si>
  <si>
    <t>Ololunga, Kenya</t>
  </si>
  <si>
    <t>Declined post-emergence nest (abandoned, as males only)</t>
  </si>
  <si>
    <t>8 males</t>
  </si>
  <si>
    <t>Apparently declined post-emergence nest, with 8 males remaining</t>
  </si>
  <si>
    <t>2006/02/08 2:03 PM UTC</t>
  </si>
  <si>
    <t>2006-02-08 14:03:00 UTC</t>
  </si>
  <si>
    <t>maarten40</t>
  </si>
  <si>
    <t>Maarten Vanhove</t>
  </si>
  <si>
    <t>2022-01-02 04:37:32 UTC</t>
  </si>
  <si>
    <t>2022-09-22 04:17:48 UTC</t>
  </si>
  <si>
    <t>https://www.inaturalist.org/observations/104159209</t>
  </si>
  <si>
    <t>https://static.inaturalist.org/photos/174496292/medium.jpeg</t>
  </si>
  <si>
    <t>Dakar-Bango, Saint-Louis, Senegal</t>
  </si>
  <si>
    <t>2018/03/25 10:20 AM UTC</t>
  </si>
  <si>
    <t>2018-03-25 10:20:00 UTC</t>
  </si>
  <si>
    <t>alatham</t>
  </si>
  <si>
    <t>Alex R</t>
  </si>
  <si>
    <t>2022-01-02 15:19:51 UTC</t>
  </si>
  <si>
    <t>2022-09-22 04:17:41 UTC</t>
  </si>
  <si>
    <t>https://www.inaturalist.org/observations/104185012</t>
  </si>
  <si>
    <t>https://inaturalist-open-data.s3.amazonaws.com/photos/174552548/medium.jpg</t>
  </si>
  <si>
    <t>Arusha-Taveta Road Sekei Area Arusha TZ, Arusha 2673, Tanzania</t>
  </si>
  <si>
    <t>2019/03/10 5:35 PM UTC</t>
  </si>
  <si>
    <t>2019-03-10 17:35:00 UTC</t>
  </si>
  <si>
    <t>2022-01-03 10:46:16 UTC</t>
  </si>
  <si>
    <t>2022-09-22 04:17:36 UTC</t>
  </si>
  <si>
    <t>https://www.inaturalist.org/observations/104269367</t>
  </si>
  <si>
    <t>https://inaturalist-open-data.s3.amazonaws.com/photos/174676762/medium.jpg</t>
  </si>
  <si>
    <t>Dolly Estate</t>
  </si>
  <si>
    <t>Thu Dec 16 2021 10:29:57 GMT+0100 (GMT+1)</t>
  </si>
  <si>
    <t>2021-12-16 09:29:57 UTC</t>
  </si>
  <si>
    <t>2022-01-04 16:56:42 UTC</t>
  </si>
  <si>
    <t>2022-09-22 04:17:33 UTC</t>
  </si>
  <si>
    <t>https://www.inaturalist.org/observations/104351718</t>
  </si>
  <si>
    <t>https://inaturalist-open-data.s3.amazonaws.com/photos/174836162/medium.jpg</t>
  </si>
  <si>
    <t>Cape Coast - Twifo Praso Road, Central, GH</t>
  </si>
  <si>
    <t>Fri Dec 17 2021 05:09:00 GMT+0100 (GMT+1)</t>
  </si>
  <si>
    <t>2021-12-17 04:09:00 UTC</t>
  </si>
  <si>
    <t>2022-01-05 08:54:51 UTC</t>
  </si>
  <si>
    <t>2022-09-22 04:17:31 UTC</t>
  </si>
  <si>
    <t>https://www.inaturalist.org/observations/104396720</t>
  </si>
  <si>
    <t>https://inaturalist-open-data.s3.amazonaws.com/photos/174918444/medium.jpg</t>
  </si>
  <si>
    <t>Kakum National Park, Central, GH</t>
  </si>
  <si>
    <t>2022/01/07 12:41 PM UTC</t>
  </si>
  <si>
    <t>2022-01-07 12:41:00 UTC</t>
  </si>
  <si>
    <t>2022-01-07 23:34:44 UTC</t>
  </si>
  <si>
    <t>2022-09-22 04:17:28 UTC</t>
  </si>
  <si>
    <t>https://www.inaturalist.org/observations/104544451</t>
  </si>
  <si>
    <t>https://static.inaturalist.org/photos/175194015/medium.jpg</t>
  </si>
  <si>
    <t>Kololi, Serekunda, Gambia</t>
  </si>
  <si>
    <t>2022-01-09 11:15:12 UTC</t>
  </si>
  <si>
    <t>susanthescout</t>
  </si>
  <si>
    <t>Susan Gammon</t>
  </si>
  <si>
    <t>2022-01-09 15:22:34 UTC</t>
  </si>
  <si>
    <t>2022-09-22 04:17:26 UTC</t>
  </si>
  <si>
    <t>https://www.inaturalist.org/observations/104644873</t>
  </si>
  <si>
    <t>https://inaturalist-open-data.s3.amazonaws.com/photos/175389295/medium.jpeg</t>
  </si>
  <si>
    <t>Mon Jan 10 2022 06:09:23 GMT+0200 (GMT+2)</t>
  </si>
  <si>
    <t>2022-01-10 04:09:23 UTC</t>
  </si>
  <si>
    <t>2022-01-10 09:08:48 UTC</t>
  </si>
  <si>
    <t>2022-09-22 04:17:23 UTC</t>
  </si>
  <si>
    <t>https://www.inaturalist.org/observations/104696882</t>
  </si>
  <si>
    <t>https://inaturalist-open-data.s3.amazonaws.com/photos/175488926/medium.jpg</t>
  </si>
  <si>
    <t>Arran Road, Berea, KZN, ZA</t>
  </si>
  <si>
    <t>2021/10/15 1:38 PM SAST</t>
  </si>
  <si>
    <t>2021-10-15 11:38:00 UTC</t>
  </si>
  <si>
    <t>2022-01-10 19:44:49 UTC</t>
  </si>
  <si>
    <t>2022-09-22 04:17:20 UTC</t>
  </si>
  <si>
    <t>https://www.inaturalist.org/observations/104719904</t>
  </si>
  <si>
    <t>https://inaturalist-open-data.s3.amazonaws.com/photos/175520102/medium.jpg</t>
  </si>
  <si>
    <t>2022-01-10 09:20:55 UTC</t>
  </si>
  <si>
    <t>nkyirimma</t>
  </si>
  <si>
    <t>Emmanuel Baffoe Bonney</t>
  </si>
  <si>
    <t>2022-01-10 22:22:03 UTC</t>
  </si>
  <si>
    <t>2022-10-21 09:23:05 UTC</t>
  </si>
  <si>
    <t>https://www.inaturalist.org/observations/104728299</t>
  </si>
  <si>
    <t>https://inaturalist-open-data.s3.amazonaws.com/photos/175548341/medium.jpeg</t>
  </si>
  <si>
    <t>Regent University College of Science and Technology</t>
  </si>
  <si>
    <t>2022-01-12 10:36:49 UTC</t>
  </si>
  <si>
    <t>vicky209</t>
  </si>
  <si>
    <t>Vicky Field</t>
  </si>
  <si>
    <t>2022-01-12 11:23:12 UTC</t>
  </si>
  <si>
    <t>2022-09-22 04:17:13 UTC</t>
  </si>
  <si>
    <t>https://www.inaturalist.org/observations/104807514</t>
  </si>
  <si>
    <t>https://static.inaturalist.org/photos/175700569/medium.jpeg</t>
  </si>
  <si>
    <t>Stonehenge, Mbombela, South Africa</t>
  </si>
  <si>
    <t>Tue Jan 18 2022 11:35:34 GMT+0300 (GMT+3)</t>
  </si>
  <si>
    <t>2022-01-18 08:35:34 UTC</t>
  </si>
  <si>
    <t>rf222</t>
  </si>
  <si>
    <t>2022-01-18 08:37:06 UTC</t>
  </si>
  <si>
    <t>2022-09-22 07:48:27 UTC</t>
  </si>
  <si>
    <t>https://www.inaturalist.org/observations/105147477</t>
  </si>
  <si>
    <t>https://inaturalist-open-data.s3.amazonaws.com/photos/176356252/medium.jpg</t>
  </si>
  <si>
    <t>Kirinyaga, Nyeri, Central, KE</t>
  </si>
  <si>
    <t>2022/01/09 1:16 AM HST</t>
  </si>
  <si>
    <t>2022-01-09 11:16:00 UTC</t>
  </si>
  <si>
    <t>2022-01-18 17:05:04 UTC</t>
  </si>
  <si>
    <t>2022-09-22 07:48:24 UTC</t>
  </si>
  <si>
    <t>https://www.inaturalist.org/observations/105161883</t>
  </si>
  <si>
    <t>https://inaturalist-open-data.s3.amazonaws.com/photos/176381023/medium.jpeg</t>
  </si>
  <si>
    <t>Palm Beach, Port Edward, South Africa</t>
  </si>
  <si>
    <t>Wed Jan 19 2022 15:09:26 GMT+0300 (GMT+3)</t>
  </si>
  <si>
    <t>2022-01-19 12:09:26 UTC</t>
  </si>
  <si>
    <t>dkhn</t>
  </si>
  <si>
    <t>2022-01-19 12:38:41 UTC</t>
  </si>
  <si>
    <t>https://www.inaturalist.org/observations/105206673</t>
  </si>
  <si>
    <t>Provinz Nord-Buganda, UG</t>
  </si>
  <si>
    <t>FLAGGED: No photograph</t>
  </si>
  <si>
    <t>2017/12/24 2:00 PM CAT</t>
  </si>
  <si>
    <t>2017-12-24 13:00:00 UTC</t>
  </si>
  <si>
    <t>petrusbester</t>
  </si>
  <si>
    <t>Petrus Bester</t>
  </si>
  <si>
    <t>2022-01-19 14:55:55 UTC</t>
  </si>
  <si>
    <t>2022-09-22 07:48:21 UTC</t>
  </si>
  <si>
    <t>https://www.inaturalist.org/observations/105211315</t>
  </si>
  <si>
    <t>https://static.inaturalist.org/photos/176477991/medium.jpg</t>
  </si>
  <si>
    <t>Die Heuwel, Emalahleni, 1034, South Africa</t>
  </si>
  <si>
    <t>2007/10/01 10:18 PM SAST</t>
  </si>
  <si>
    <t>2007-10-01 20:18:00 UTC</t>
  </si>
  <si>
    <t>kellyabram</t>
  </si>
  <si>
    <t>Kelly Abram</t>
  </si>
  <si>
    <t>2022-01-22 16:40:00 UTC</t>
  </si>
  <si>
    <t>2022-09-22 07:48:17 UTC</t>
  </si>
  <si>
    <t>https://www.inaturalist.org/observations/105369141</t>
  </si>
  <si>
    <t>https://inaturalist-open-data.s3.amazonaws.com/photos/176781514/medium.jpg</t>
  </si>
  <si>
    <t>Tue Nov 23 2021 15:47:36 GMT+0100 (GMT+1)</t>
  </si>
  <si>
    <t>2021-11-23 14:47:36 UTC</t>
  </si>
  <si>
    <t>2022-01-23 11:05:54 UTC</t>
  </si>
  <si>
    <t>2022-02-02 19:53:55 UTC</t>
  </si>
  <si>
    <t>https://www.inaturalist.org/observations/105423970</t>
  </si>
  <si>
    <t>https://inaturalist-open-data.s3.amazonaws.com/photos/176883682/medium.jpg</t>
  </si>
  <si>
    <t>Northern, MW</t>
  </si>
  <si>
    <t>2022-01-23 11:42:11 UTC</t>
  </si>
  <si>
    <t>readyfreddy123</t>
  </si>
  <si>
    <t>Fred Berrington</t>
  </si>
  <si>
    <t>2022-01-23 19:54:43 UTC</t>
  </si>
  <si>
    <t>2022-02-20 07:07:00 UTC</t>
  </si>
  <si>
    <t>https://www.inaturalist.org/observations/105449563</t>
  </si>
  <si>
    <t>https://inaturalist-open-data.s3.amazonaws.com/photos/176931782/medium.jpeg</t>
  </si>
  <si>
    <t>Sonheuwel, Mbombela, 1212, South Africa</t>
  </si>
  <si>
    <t>2022/01/24 9:33 AM SAST</t>
  </si>
  <si>
    <t>2022-01-24 07:33:00 UTC</t>
  </si>
  <si>
    <t>2022-01-24 11:38:27 UTC</t>
  </si>
  <si>
    <t>2022-02-20 07:06:55 UTC</t>
  </si>
  <si>
    <t>https://www.inaturalist.org/observations/105494422</t>
  </si>
  <si>
    <t>https://inaturalist-open-data.s3.amazonaws.com/photos/177017142/medium.jpeg</t>
  </si>
  <si>
    <t>2022-01-26 4:30:22 PM GMT+02:00</t>
  </si>
  <si>
    <t>2022-01-26 14:30:22 UTC</t>
  </si>
  <si>
    <t>2022-01-26 14:36:21 UTC</t>
  </si>
  <si>
    <t>2022-09-22 07:48:14 UTC</t>
  </si>
  <si>
    <t>https://www.inaturalist.org/observations/105613670</t>
  </si>
  <si>
    <t>https://static.inaturalist.org/photos/177243006/medium.jpeg</t>
  </si>
  <si>
    <t>2021/12/25 10:43 AM CET</t>
  </si>
  <si>
    <t>2021-12-25 09:43:00 UTC</t>
  </si>
  <si>
    <t>opisska</t>
  </si>
  <si>
    <t>Jan Ebr</t>
  </si>
  <si>
    <t>2022-01-27 18:22:41 UTC</t>
  </si>
  <si>
    <t>2022-02-20 07:06:41 UTC</t>
  </si>
  <si>
    <t>https://www.inaturalist.org/observations/105672788</t>
  </si>
  <si>
    <t>https://inaturalist-open-data.s3.amazonaws.com/photos/177355101/medium.jpeg</t>
  </si>
  <si>
    <t>Shinyalu, Kenya</t>
  </si>
  <si>
    <t>2021/12/27 8:26 PM CET</t>
  </si>
  <si>
    <t>2021-12-27 19:26:00 UTC</t>
  </si>
  <si>
    <t>2022-01-27 18:52:45 UTC</t>
  </si>
  <si>
    <t>2022-09-22 04:16:57 UTC</t>
  </si>
  <si>
    <t>https://www.inaturalist.org/observations/105674306</t>
  </si>
  <si>
    <t>https://inaturalist-open-data.s3.amazonaws.com/photos/177355822/medium.jpeg</t>
  </si>
  <si>
    <t>Kaplamai, Kenya</t>
  </si>
  <si>
    <t>2022/01/28 5:05 PM CAT</t>
  </si>
  <si>
    <t>2022-01-28 16:05:00 UTC</t>
  </si>
  <si>
    <t>2022-01-28 15:08:37 UTC</t>
  </si>
  <si>
    <t>2022-02-02 18:33:38 UTC</t>
  </si>
  <si>
    <t>https://www.inaturalist.org/observations/105716851</t>
  </si>
  <si>
    <t>https://inaturalist-open-data.s3.amazonaws.com/photos/177441171/medium.png</t>
  </si>
  <si>
    <t>Avis, Windhoek, Namibia</t>
  </si>
  <si>
    <t>2022/01/28 5:18 PM UTC</t>
  </si>
  <si>
    <t>2022-01-28 17:18:00 UTC</t>
  </si>
  <si>
    <t>discipleofchrist</t>
  </si>
  <si>
    <t>2022-01-28 17:21:19 UTC</t>
  </si>
  <si>
    <t>2022-02-23 22:01:07 UTC</t>
  </si>
  <si>
    <t>https://www.inaturalist.org/observations/105722782</t>
  </si>
  <si>
    <t>https://inaturalist-open-data.s3.amazonaws.com/photos/177452076/medium.jpg</t>
  </si>
  <si>
    <t>Kasoa, Ghana</t>
  </si>
  <si>
    <t>2022-01-27 12:19:29 UTC</t>
  </si>
  <si>
    <t>2022-01-31 08:34:22 UTC</t>
  </si>
  <si>
    <t>2022-02-20 07:06:23 UTC</t>
  </si>
  <si>
    <t>https://www.inaturalist.org/observations/105896177</t>
  </si>
  <si>
    <t>https://inaturalist-open-data.s3.amazonaws.com/photos/177786047/medium.jpeg</t>
  </si>
  <si>
    <t>Murehwa, Zimbabwe</t>
  </si>
  <si>
    <t>2022-01-31 5:48:04 PM GMT+02:00</t>
  </si>
  <si>
    <t>2022-01-31 15:48:04 UTC</t>
  </si>
  <si>
    <t>2022-01-31 15:50:00 UTC</t>
  </si>
  <si>
    <t>2022-09-22 04:16:51 UTC</t>
  </si>
  <si>
    <t>https://www.inaturalist.org/observations/105910309</t>
  </si>
  <si>
    <t>https://static.inaturalist.org/photos/177813552/medium.jpeg</t>
  </si>
  <si>
    <t>2022/02/02 3:15 PM UTC</t>
  </si>
  <si>
    <t>2022-02-02 15:15:00 UTC</t>
  </si>
  <si>
    <t>tommy_c</t>
  </si>
  <si>
    <t>Tommy Curley</t>
  </si>
  <si>
    <t>2022-02-03 09:51:49 UTC</t>
  </si>
  <si>
    <t>2022-10-20 08:02:33 UTC</t>
  </si>
  <si>
    <t>https://www.inaturalist.org/observations/106062967</t>
  </si>
  <si>
    <t>https://static.inaturalist.org/photos/178099439/medium.jpg</t>
  </si>
  <si>
    <t>Midgard, Namibia</t>
  </si>
  <si>
    <t>2015/11/03 7:49 AM UTC</t>
  </si>
  <si>
    <t>2015-11-03 07:49:00 UTC</t>
  </si>
  <si>
    <t>bruno_mels</t>
  </si>
  <si>
    <t>Bruno Mels</t>
  </si>
  <si>
    <t>2022-02-06 00:01:46 UTC</t>
  </si>
  <si>
    <t>2022-02-06 12:01:37 UTC</t>
  </si>
  <si>
    <t>https://www.inaturalist.org/observations/106207772</t>
  </si>
  <si>
    <t>https://static.inaturalist.org/photos/178377874/medium.jpeg</t>
  </si>
  <si>
    <t>TÃ´lanaro, Madagaskar</t>
  </si>
  <si>
    <t>2022-02-06 08:21:33 UTC</t>
  </si>
  <si>
    <t>vandalsen</t>
  </si>
  <si>
    <t>Mark</t>
  </si>
  <si>
    <t>2022-02-06 10:52:11 UTC</t>
  </si>
  <si>
    <t>2022-05-07 12:31:36 UTC</t>
  </si>
  <si>
    <t>https://www.inaturalist.org/observations/106234261</t>
  </si>
  <si>
    <t>https://inaturalist-open-data.s3.amazonaws.com/photos/178427085/medium.jpeg</t>
  </si>
  <si>
    <t>Dunkirk Estate, Salt Rock</t>
  </si>
  <si>
    <t>2022-02-02 06:37:58 UTC</t>
  </si>
  <si>
    <t>2022-02-06 12:14:16 UTC</t>
  </si>
  <si>
    <t>2022-03-19 17:10:08 UTC</t>
  </si>
  <si>
    <t>https://www.inaturalist.org/observations/106236791</t>
  </si>
  <si>
    <t>https://inaturalist-open-data.s3.amazonaws.com/photos/178431814/medium.jpeg</t>
  </si>
  <si>
    <t>361101, Ikere, Nigeria</t>
  </si>
  <si>
    <t>2015/11/01 8:40 PM UTC</t>
  </si>
  <si>
    <t>2015-11-01 20:40:00 UTC</t>
  </si>
  <si>
    <t>2022-02-06 13:32:58 UTC</t>
  </si>
  <si>
    <t>2022-10-08 22:33:12 UTC</t>
  </si>
  <si>
    <t>https://www.inaturalist.org/observations/106240124</t>
  </si>
  <si>
    <t>https://static.inaturalist.org/photos/178437838/medium.jpeg</t>
  </si>
  <si>
    <t>2022/01/29 2:18 PM SAST</t>
  </si>
  <si>
    <t>2022-01-29 12:18:00 UTC</t>
  </si>
  <si>
    <t>2022-02-07 19:32:37 UTC</t>
  </si>
  <si>
    <t>2022-02-20 07:03:58 UTC</t>
  </si>
  <si>
    <t>https://www.inaturalist.org/observations/106331114</t>
  </si>
  <si>
    <t>https://inaturalist-open-data.s3.amazonaws.com/photos/178601141/medium.jpg</t>
  </si>
  <si>
    <t>Pilanesberg National Park, NW, South Africa</t>
  </si>
  <si>
    <t>2015/02/03 11:19 AM CET</t>
  </si>
  <si>
    <t>2015-02-03 10:19:00 UTC</t>
  </si>
  <si>
    <t>morten</t>
  </si>
  <si>
    <t>Morten Ross</t>
  </si>
  <si>
    <t>2022-02-10 17:30:09 UTC</t>
  </si>
  <si>
    <t>2022-02-14 13:18:23 UTC</t>
  </si>
  <si>
    <t>https://www.inaturalist.org/observations/106501277</t>
  </si>
  <si>
    <t>https://inaturalist-open-data.s3.amazonaws.com/photos/178917288/medium.jpg</t>
  </si>
  <si>
    <t>Hadhramaut Governorate, Yemen</t>
  </si>
  <si>
    <t>Note: ignore photo 1, which is of a non-Belonogaster wasp. The other three photos show Belonogaster (possibly two separate individuals). See photo 4 for strepsipteran.</t>
  </si>
  <si>
    <t>2022/02/10 5:49 PM SAST</t>
  </si>
  <si>
    <t>2022-02-10 15:49:00 UTC</t>
  </si>
  <si>
    <t>2022-02-11 12:56:57 UTC</t>
  </si>
  <si>
    <t>2022-02-20 07:03:48 UTC</t>
  </si>
  <si>
    <t>https://www.inaturalist.org/observations/106546365</t>
  </si>
  <si>
    <t>https://inaturalist-open-data.s3.amazonaws.com/photos/179003976/medium.jpg</t>
  </si>
  <si>
    <t>On a rock face next to the river.</t>
  </si>
  <si>
    <t>2020/11/14 6:50 PM CAT</t>
  </si>
  <si>
    <t>2020-11-14 17:50:00 UTC</t>
  </si>
  <si>
    <t>2022-02-13 16:50:39 UTC</t>
  </si>
  <si>
    <t>2022-02-20 07:03:43 UTC</t>
  </si>
  <si>
    <t>https://www.inaturalist.org/observations/106685047</t>
  </si>
  <si>
    <t>https://static.inaturalist.org/photos/179270881/medium.jpg</t>
  </si>
  <si>
    <t>Tue Feb 15 2022 17:39:05 GMT+0100 (GMT+1)</t>
  </si>
  <si>
    <t>2022-02-15 16:39:05 UTC</t>
  </si>
  <si>
    <t>2022-02-15 21:30:06 UTC</t>
  </si>
  <si>
    <t>2022-02-20 07:03:32 UTC</t>
  </si>
  <si>
    <t>https://www.inaturalist.org/observations/106819098</t>
  </si>
  <si>
    <t>https://static.inaturalist.org/photos/179529421/medium.jpg</t>
  </si>
  <si>
    <t>Kintambo, Kinshasa, Kinshasa, CD</t>
  </si>
  <si>
    <t>2019/07/27 8:44 PM UTC</t>
  </si>
  <si>
    <t>2019-07-27 20:44:00 UTC</t>
  </si>
  <si>
    <t>mneateclegg</t>
  </si>
  <si>
    <t>2022-02-18 19:25:01 UTC</t>
  </si>
  <si>
    <t>2022-02-20 07:03:24 UTC</t>
  </si>
  <si>
    <t>https://www.inaturalist.org/observations/106987933</t>
  </si>
  <si>
    <t>https://inaturalist-open-data.s3.amazonaws.com/photos/179850457/medium.jpeg</t>
  </si>
  <si>
    <t>Muheza, Tanzania</t>
  </si>
  <si>
    <t>2022/01/27 8:08 AM CET</t>
  </si>
  <si>
    <t>2022-01-27 07:08:00 UTC</t>
  </si>
  <si>
    <t>roman_burkardt</t>
  </si>
  <si>
    <t>Roman Burkardt</t>
  </si>
  <si>
    <t>2022-02-18 22:23:24 UTC</t>
  </si>
  <si>
    <t>2022-02-19 20:47:19 UTC</t>
  </si>
  <si>
    <t>https://www.inaturalist.org/observations/106998502</t>
  </si>
  <si>
    <t>https://inaturalist-open-data.s3.amazonaws.com/photos/179870395/medium.jpg</t>
  </si>
  <si>
    <t>Windhoek West, NA-KH, NA</t>
  </si>
  <si>
    <t>2022/02/04 3:55 PM SAST</t>
  </si>
  <si>
    <t>2022-02-04 13:55:00 UTC</t>
  </si>
  <si>
    <t>darragh132</t>
  </si>
  <si>
    <t>Darragh Woodford</t>
  </si>
  <si>
    <t>2022-02-19 14:13:00 UTC</t>
  </si>
  <si>
    <t>2022-03-03 10:18:53 UTC</t>
  </si>
  <si>
    <t>https://www.inaturalist.org/observations/107035882</t>
  </si>
  <si>
    <t>https://inaturalist-open-data.s3.amazonaws.com/photos/179941233/medium.jpg</t>
  </si>
  <si>
    <t>2012/05/17 9:03 AM CEST</t>
  </si>
  <si>
    <t>2012-05-17 07:03:00 UTC</t>
  </si>
  <si>
    <t>bjseitz</t>
  </si>
  <si>
    <t>Bernd-J. Seitz</t>
  </si>
  <si>
    <t>2022-02-23 16:23:13 UTC</t>
  </si>
  <si>
    <t>2022-02-23 18:05:03 UTC</t>
  </si>
  <si>
    <t>https://www.inaturalist.org/observations/107319242</t>
  </si>
  <si>
    <t>https://inaturalist-open-data.s3.amazonaws.com/photos/180473839/medium.jpg</t>
  </si>
  <si>
    <t>!Fauna, !Geografie, !Jahr, !Schutzgebiete, 2012, Afrika, HautflÃ¼gler (Hymenoptera), Insekten, Madagaskar, Nationalpark, Zombitse-Vohibasia</t>
  </si>
  <si>
    <t>Sakaraha, Madagaskar</t>
  </si>
  <si>
    <t>2022-02-25 15:13:59 UTC</t>
  </si>
  <si>
    <t>2022-02-25 15:16:08 UTC</t>
  </si>
  <si>
    <t>2022-05-02 21:57:15 UTC</t>
  </si>
  <si>
    <t>https://www.inaturalist.org/observations/107417250</t>
  </si>
  <si>
    <t>https://static.inaturalist.org/photos/180659110/medium.jpeg</t>
  </si>
  <si>
    <t>2022-02-26 12:22:43 UTC</t>
  </si>
  <si>
    <t>2022-02-26 12:24:09 UTC</t>
  </si>
  <si>
    <t>2022-05-02 21:56:54 UTC</t>
  </si>
  <si>
    <t>https://www.inaturalist.org/observations/107472205</t>
  </si>
  <si>
    <t>https://static.inaturalist.org/photos/180763496/medium.jpeg</t>
  </si>
  <si>
    <t>2022/02/25 8:46 AM UTC</t>
  </si>
  <si>
    <t>2022-02-25 08:46:00 UTC</t>
  </si>
  <si>
    <t>2022-02-27 19:31:55 UTC</t>
  </si>
  <si>
    <t>2022-05-02 21:56:49 UTC</t>
  </si>
  <si>
    <t>https://www.inaturalist.org/observations/107577996</t>
  </si>
  <si>
    <t>https://inaturalist-open-data.s3.amazonaws.com/photos/180955147/medium.jpg</t>
  </si>
  <si>
    <t>In and around Seldom Seen forest + cottages</t>
  </si>
  <si>
    <t>Mon Feb 28 2022 16:45:14 GMT +0200 (GMT+2)</t>
  </si>
  <si>
    <t>2022-02-28 14:45:14 UTC</t>
  </si>
  <si>
    <t>dd92</t>
  </si>
  <si>
    <t>2022-02-28 14:45:45 UTC</t>
  </si>
  <si>
    <t>2022-05-02 21:56:46 UTC</t>
  </si>
  <si>
    <t>https://www.inaturalist.org/observations/107636285</t>
  </si>
  <si>
    <t>https://inaturalist-open-data.s3.amazonaws.com/photos/181166358/medium.jpeg</t>
  </si>
  <si>
    <t>Ekurhuleni, ZA-GT, ZA</t>
  </si>
  <si>
    <t>2022/02/27 8:57 AM SAST</t>
  </si>
  <si>
    <t>2022-02-27 06:57:00 UTC</t>
  </si>
  <si>
    <t>2022-02-28 21:12:08 UTC</t>
  </si>
  <si>
    <t>2022-09-22 04:14:39 UTC</t>
  </si>
  <si>
    <t>https://www.inaturalist.org/observations/107656990</t>
  </si>
  <si>
    <t>https://inaturalist-open-data.s3.amazonaws.com/photos/181110142/medium.jpg</t>
  </si>
  <si>
    <t>Kgaswane Mountain Reserve, Rustenburg, NW, South Africa</t>
  </si>
  <si>
    <t>2022-03-05 12:37:27 UTC</t>
  </si>
  <si>
    <t>gingerbadjie</t>
  </si>
  <si>
    <t>Ginger Badjie</t>
  </si>
  <si>
    <t>2022-03-05 15:28:25 UTC</t>
  </si>
  <si>
    <t>2022-09-22 15:17:06 UTC</t>
  </si>
  <si>
    <t>https://www.inaturalist.org/observations/107951358</t>
  </si>
  <si>
    <t>https://static.inaturalist.org/photos/181658961/medium.jpeg</t>
  </si>
  <si>
    <t>Bijilo Beach</t>
  </si>
  <si>
    <t>Tue Mar 08 2022 11:15:08 GMT+0200 (GMT+2)</t>
  </si>
  <si>
    <t>2022-03-08 09:15:08 UTC</t>
  </si>
  <si>
    <t>petabrom</t>
  </si>
  <si>
    <t>2022-03-08 17:07:26 UTC</t>
  </si>
  <si>
    <t>2022-09-22 15:16:47 UTC</t>
  </si>
  <si>
    <t>https://www.inaturalist.org/observations/108182693</t>
  </si>
  <si>
    <t>https://inaturalist-open-data.s3.amazonaws.com/photos/182096255/medium.jpg</t>
  </si>
  <si>
    <t>Suspended inside several culverts along this stretch of road. Brown and black, hornet shaped with narrow abdomen. Aggressive.</t>
  </si>
  <si>
    <t>Lotus Gardens, Pretoria, GP, ZA</t>
  </si>
  <si>
    <t>Difficult to see nest clearly. There is a second photograph, also with post-emergence nests, but too blurred.</t>
  </si>
  <si>
    <t>2022-03-09 12:33:15 UTC</t>
  </si>
  <si>
    <t>2022-03-10 10:00:16 UTC</t>
  </si>
  <si>
    <t>2022-09-22 15:16:42 UTC</t>
  </si>
  <si>
    <t>https://www.inaturalist.org/observations/108293441</t>
  </si>
  <si>
    <t>https://inaturalist-open-data.s3.amazonaws.com/photos/182304092/medium.jpeg</t>
  </si>
  <si>
    <t>Eastview Gardens Complex, Eastlea, Harare, Zimbabwe</t>
  </si>
  <si>
    <t>Nest stage slightly ambiguous</t>
  </si>
  <si>
    <t>2022-02-12 13:00:03 UTC</t>
  </si>
  <si>
    <t>2022-03-12 04:11:36 UTC</t>
  </si>
  <si>
    <t>2022-09-22 15:51:04 UTC</t>
  </si>
  <si>
    <t>https://www.inaturalist.org/observations/108410372</t>
  </si>
  <si>
    <t>https://inaturalist-open-data.s3.amazonaws.com/photos/182521869/medium.jpeg</t>
  </si>
  <si>
    <t xml:space="preserve">Not 100% sure of ID </t>
  </si>
  <si>
    <t>Mtubatuba, South Africa</t>
  </si>
  <si>
    <t>Sun Mar 13 2022 08:33:36 GMT+0200 (GMT+2)</t>
  </si>
  <si>
    <t>2022-03-13 06:33:36 UTC</t>
  </si>
  <si>
    <t>sqquish</t>
  </si>
  <si>
    <t>2022-03-13 12:46:49 UTC</t>
  </si>
  <si>
    <t>2022-09-22 15:16:29 UTC</t>
  </si>
  <si>
    <t>https://www.inaturalist.org/observations/108502516</t>
  </si>
  <si>
    <t>https://inaturalist-open-data.s3.amazonaws.com/photos/182693864/medium.jpg</t>
  </si>
  <si>
    <t>Table Mountain National Park, Cape Town, WC, ZA</t>
  </si>
  <si>
    <t>2021/11/12 7:12 AM CET</t>
  </si>
  <si>
    <t>2021-11-12 06:12:00 UTC</t>
  </si>
  <si>
    <t>2022-03-13 14:49:57 UTC</t>
  </si>
  <si>
    <t>2022-09-22 15:16:25 UTC</t>
  </si>
  <si>
    <t>https://www.inaturalist.org/observations/108508368</t>
  </si>
  <si>
    <t>https://inaturalist-open-data.s3.amazonaws.com/photos/182704530/medium.jpeg</t>
  </si>
  <si>
    <t>2019/06/23 2:00 AM MDT</t>
  </si>
  <si>
    <t>2019-06-23 08:00:00 UTC</t>
  </si>
  <si>
    <t>chziemke</t>
  </si>
  <si>
    <t>Clayton H. Ziemke</t>
  </si>
  <si>
    <t>2022-03-13 16:59:32 UTC</t>
  </si>
  <si>
    <t>2022-09-22 15:16:22 UTC</t>
  </si>
  <si>
    <t>https://www.inaturalist.org/observations/108517206</t>
  </si>
  <si>
    <t>https://inaturalist-open-data.s3.amazonaws.com/photos/182718377/medium.jpeg</t>
  </si>
  <si>
    <t>Central, Kenya</t>
  </si>
  <si>
    <t>2018/06/01 4:40 PM MDT</t>
  </si>
  <si>
    <t>2018-06-01 22:40:00 UTC</t>
  </si>
  <si>
    <t>2022-03-13 19:41:43 UTC</t>
  </si>
  <si>
    <t>2022-09-22 15:16:19 UTC</t>
  </si>
  <si>
    <t>https://www.inaturalist.org/observations/108528839</t>
  </si>
  <si>
    <t>https://inaturalist-open-data.s3.amazonaws.com/photos/182733096/medium.jpg</t>
  </si>
  <si>
    <t>2022-03-14 08:01:29 UTC</t>
  </si>
  <si>
    <t>luka99</t>
  </si>
  <si>
    <t>2022-03-14 08:02:12 UTC</t>
  </si>
  <si>
    <t>2022-05-22 11:49:29 UTC</t>
  </si>
  <si>
    <t>https://www.inaturalist.org/observations/108572824</t>
  </si>
  <si>
    <t>https://inaturalist-open-data.s3.amazonaws.com/photos/182827736/medium.jpeg</t>
  </si>
  <si>
    <t>Wapadrand Security Village, Pretoria, 0050, SÃ¼dafrika</t>
  </si>
  <si>
    <t>2019/01/13 11:29 PM MST</t>
  </si>
  <si>
    <t>2019-01-14 06:29:00 UTC</t>
  </si>
  <si>
    <t>2022-03-14 14:24:03 UTC</t>
  </si>
  <si>
    <t>2022-09-22 15:16:16 UTC</t>
  </si>
  <si>
    <t>https://www.inaturalist.org/observations/108586490</t>
  </si>
  <si>
    <t>https://inaturalist-open-data.s3.amazonaws.com/photos/182849935/medium.jpeg</t>
  </si>
  <si>
    <t>2022/03/08 10:38 AM SAST</t>
  </si>
  <si>
    <t>2022-03-08 08:38:00 UTC</t>
  </si>
  <si>
    <t>2022-03-14 21:17:38 UTC</t>
  </si>
  <si>
    <t>2022-09-22 16:42:15 UTC</t>
  </si>
  <si>
    <t>https://www.inaturalist.org/observations/108611225</t>
  </si>
  <si>
    <t>https://inaturalist-open-data.s3.amazonaws.com/photos/182889559/medium.jpeg</t>
  </si>
  <si>
    <t>Hillside Dams koppie w Upper Dam, Bulawayo</t>
  </si>
  <si>
    <t>2022/03/12 8:30 PM SAST</t>
  </si>
  <si>
    <t>2022-03-12 18:30:00 UTC</t>
  </si>
  <si>
    <t>2022-03-16 09:33:18 UTC</t>
  </si>
  <si>
    <t>2022-09-22 15:15:13 UTC</t>
  </si>
  <si>
    <t>https://www.inaturalist.org/observations/108715533</t>
  </si>
  <si>
    <t>https://inaturalist-open-data.s3.amazonaws.com/photos/183096107/medium.jpeg</t>
  </si>
  <si>
    <t>Seldomseen - around Witchwood lodge</t>
  </si>
  <si>
    <t>2022/03/12 10:39 PM SAST</t>
  </si>
  <si>
    <t>2022-03-12 20:39:00 UTC</t>
  </si>
  <si>
    <t>2022-03-16 09:33:22 UTC</t>
  </si>
  <si>
    <t>2022-09-20 07:34:02 UTC</t>
  </si>
  <si>
    <t>https://www.inaturalist.org/observations/108715540</t>
  </si>
  <si>
    <t>https://inaturalist-open-data.s3.amazonaws.com/photos/183096200/medium.jpeg</t>
  </si>
  <si>
    <t>Four males on a leaf. Interpretted as likely leaf lek.</t>
  </si>
  <si>
    <t>Sun Dec 05 2021 14:38:47 GMT-0500 (EST)</t>
  </si>
  <si>
    <t>2021-12-05 19:38:47 UTC</t>
  </si>
  <si>
    <t>peterburke</t>
  </si>
  <si>
    <t>Peter Burke</t>
  </si>
  <si>
    <t>2022-03-19 01:03:41 UTC</t>
  </si>
  <si>
    <t>2022-09-22 04:14:03 UTC</t>
  </si>
  <si>
    <t>https://www.inaturalist.org/observations/108914545</t>
  </si>
  <si>
    <t>https://static.inaturalist.org/photos/183469139/medium.jpg</t>
  </si>
  <si>
    <t>Kibale National Park, Hoima, UG</t>
  </si>
  <si>
    <t>Wed Mar 23 2022 14:01:09 GMT+0100 (GMT+1)</t>
  </si>
  <si>
    <t>2022-03-23 13:01:09 UTC</t>
  </si>
  <si>
    <t>2022-03-23 13:26:43 UTC</t>
  </si>
  <si>
    <t>2022-09-22 04:13:44 UTC</t>
  </si>
  <si>
    <t>https://www.inaturalist.org/observations/109282384</t>
  </si>
  <si>
    <t>https://inaturalist-open-data.s3.amazonaws.com/photos/184156989/medium.jpg</t>
  </si>
  <si>
    <t>Poumougne, de l'Ouest, CM</t>
  </si>
  <si>
    <t>2022-03-23 12:22:54 PM GMT+03:00</t>
  </si>
  <si>
    <t>2022-03-23 09:22:54 UTC</t>
  </si>
  <si>
    <t>spencer_holmes</t>
  </si>
  <si>
    <t>Spencer Holmes</t>
  </si>
  <si>
    <t>2022-03-23 14:52:53 UTC</t>
  </si>
  <si>
    <t>2022-09-22 04:13:41 UTC</t>
  </si>
  <si>
    <t>https://www.inaturalist.org/observations/109288007</t>
  </si>
  <si>
    <t>https://inaturalist-open-data.s3.amazonaws.com/photos/184168686/medium.jpeg</t>
  </si>
  <si>
    <t>Langata South Road, Nairobi, Kenya</t>
  </si>
  <si>
    <t>2008/06/06 7:47 AM BST</t>
  </si>
  <si>
    <t>2008-06-06 06:47:00 UTC</t>
  </si>
  <si>
    <t>larantoniades</t>
  </si>
  <si>
    <t>Lara Antoniades</t>
  </si>
  <si>
    <t>2022-03-24 13:58:50 UTC</t>
  </si>
  <si>
    <t>2022-09-22 04:13:35 UTC</t>
  </si>
  <si>
    <t>https://www.inaturalist.org/observations/109369151</t>
  </si>
  <si>
    <t>https://inaturalist-open-data.s3.amazonaws.com/photos/184323175/medium.jpeg</t>
  </si>
  <si>
    <t>Mara, Kenya</t>
  </si>
  <si>
    <t>2022-03-25 10:28:47 UTC</t>
  </si>
  <si>
    <t>villaespesapaul</t>
  </si>
  <si>
    <t>Villaespesa paul</t>
  </si>
  <si>
    <t>2022-03-26 03:16:35 UTC</t>
  </si>
  <si>
    <t>2022-09-22 04:13:32 UTC</t>
  </si>
  <si>
    <t>https://www.inaturalist.org/observations/109512855</t>
  </si>
  <si>
    <t>https://static.inaturalist.org/photos/184589019/medium.jpeg</t>
  </si>
  <si>
    <t>Mitwaba, RÃ©publique dÃ©mocratique du Congo</t>
  </si>
  <si>
    <t>Fri Mar 25 2022 16:27:14 GMT+0200 (GMT+2)</t>
  </si>
  <si>
    <t>2022-03-25 14:27:14 UTC</t>
  </si>
  <si>
    <t>luke_abbot</t>
  </si>
  <si>
    <t>LUKE ABBOT</t>
  </si>
  <si>
    <t>2022-03-26 06:33:02 UTC</t>
  </si>
  <si>
    <t>2022-09-22 04:13:30 UTC</t>
  </si>
  <si>
    <t>https://www.inaturalist.org/observations/109521852</t>
  </si>
  <si>
    <t>https://inaturalist-open-data.s3.amazonaws.com/photos/184607317/medium.jpg</t>
  </si>
  <si>
    <t>Akagera National Park, Prefegitura ya Byumba, RW</t>
  </si>
  <si>
    <t>2022-03-27 06:20:07 UTC</t>
  </si>
  <si>
    <t>berniedup</t>
  </si>
  <si>
    <t>Bernard DUPONT</t>
  </si>
  <si>
    <t>2022-03-27 13:03:23 UTC</t>
  </si>
  <si>
    <t>2022-09-22 04:13:24 UTC</t>
  </si>
  <si>
    <t>https://www.inaturalist.org/observations/109641372</t>
  </si>
  <si>
    <t>https://inaturalist-open-data.s3.amazonaws.com/photos/184827500/medium.jpg</t>
  </si>
  <si>
    <t>Birds of Paradise, Eshowe, KwaZulu-Natal, Needle-waisted Paper Wasp, Belonogaster, nest, Needle-waisted, Paper Wasp, Taxonomy:Genus=Belonogaster, Wasp, Needle-waisted Paper Wasps (Belonogaster sp.) on nest ...</t>
  </si>
  <si>
    <t>Birds of Paradise B&amp;B, Eshowe, KwaZulu-Natal, SOUTH AFRICA</t>
  </si>
  <si>
    <t>Birds of Paradise B&amp;B, Eshowe, uMlalazi, KwaZulu-Natal, South Africa</t>
  </si>
  <si>
    <t>2022/03/27 3:53 PM UTC</t>
  </si>
  <si>
    <t>2022-03-27 15:53:00 UTC</t>
  </si>
  <si>
    <t>dazzy78</t>
  </si>
  <si>
    <t>2022-03-27 14:04:15 UTC</t>
  </si>
  <si>
    <t>2022-09-22 04:13:22 UTC</t>
  </si>
  <si>
    <t>https://www.inaturalist.org/observations/109646100</t>
  </si>
  <si>
    <t>https://inaturalist-open-data.s3.amazonaws.com/photos/184835946/medium.jpg</t>
  </si>
  <si>
    <t>Biina, Kampala, Uganda</t>
  </si>
  <si>
    <t>2022-03-26 11:20:58 UTC</t>
  </si>
  <si>
    <t>janettebotha</t>
  </si>
  <si>
    <t>Janette Botha</t>
  </si>
  <si>
    <t>2022-03-29 16:45:25 UTC</t>
  </si>
  <si>
    <t>2022-09-22 04:13:20 UTC</t>
  </si>
  <si>
    <t>https://www.inaturalist.org/observations/109847157</t>
  </si>
  <si>
    <t>https://static.inaturalist.org/photos/185212306/medium.jpeg</t>
  </si>
  <si>
    <t>St Lucia Park, South Africa</t>
  </si>
  <si>
    <t>2022-02-09 08:53:10 UTC</t>
  </si>
  <si>
    <t>capetonian_hiker</t>
  </si>
  <si>
    <t>2022-03-29 18:20:51 UTC</t>
  </si>
  <si>
    <t>2022-05-10 06:00:09 UTC</t>
  </si>
  <si>
    <t>https://www.inaturalist.org/observations/109854516</t>
  </si>
  <si>
    <t>https://inaturalist-open-data.s3.amazonaws.com/photos/185225762/medium.jpeg</t>
  </si>
  <si>
    <t>Abaqulusi Municipality, South Africa</t>
  </si>
  <si>
    <t>2022-03-30 04:46:01 UTC</t>
  </si>
  <si>
    <t>patrickdwyer</t>
  </si>
  <si>
    <t>Patrick Dwyer</t>
  </si>
  <si>
    <t>2022-03-30 04:48:40 UTC</t>
  </si>
  <si>
    <t>2022-09-22 04:13:17 UTC</t>
  </si>
  <si>
    <t>https://www.inaturalist.org/observations/109898754</t>
  </si>
  <si>
    <t>https://static.inaturalist.org/photos/185310856/medium.jpeg</t>
  </si>
  <si>
    <t>Mount Edgecombe Country Estate 1, Mount Edgecombe, 4302, South Africa</t>
  </si>
  <si>
    <t>2022/03/08 12:12 PM CET</t>
  </si>
  <si>
    <t>2022-03-08 11:12:00 UTC</t>
  </si>
  <si>
    <t>matthieu_gauvain</t>
  </si>
  <si>
    <t>Matthieu Gauvain</t>
  </si>
  <si>
    <t>2022-03-30 05:45:50 UTC</t>
  </si>
  <si>
    <t>2022-09-22 04:13:14 UTC</t>
  </si>
  <si>
    <t>https://www.inaturalist.org/observations/109901568</t>
  </si>
  <si>
    <t>https://inaturalist-open-data.s3.amazonaws.com/photos/185310709/medium.jpeg</t>
  </si>
  <si>
    <t>Oussouye, Ziguinchor, Senegal</t>
  </si>
  <si>
    <t>2014/08/15 12:28 PM CEST</t>
  </si>
  <si>
    <t>2014-08-15 10:28:00 UTC</t>
  </si>
  <si>
    <t>rudyclaeys</t>
  </si>
  <si>
    <t>2022-03-30 15:04:22 UTC</t>
  </si>
  <si>
    <t>2022-09-22 04:13:12 UTC</t>
  </si>
  <si>
    <t>https://www.inaturalist.org/observations/109925180</t>
  </si>
  <si>
    <t>https://inaturalist-open-data.s3.amazonaws.com/photos/185359097/medium.jpg</t>
  </si>
  <si>
    <t>Mara, Kenia</t>
  </si>
  <si>
    <t>2022-03-30 05:51:55 UTC</t>
  </si>
  <si>
    <t>cvilca</t>
  </si>
  <si>
    <t>CÃ©line V.</t>
  </si>
  <si>
    <t>2022-03-31 12:27:51 UTC</t>
  </si>
  <si>
    <t>2022-09-22 04:13:10 UTC</t>
  </si>
  <si>
    <t>https://www.inaturalist.org/observations/110000593</t>
  </si>
  <si>
    <t>https://inaturalist-open-data.s3.amazonaws.com/photos/185496372/medium.jpeg</t>
  </si>
  <si>
    <t>GJCG+8MX, Kiwenda, Ouganda</t>
  </si>
  <si>
    <t>2021/09/05 3:55 PM EET</t>
  </si>
  <si>
    <t>2021-09-05 13:55:00 UTC</t>
  </si>
  <si>
    <t>2022-04-02 07:45:30 UTC</t>
  </si>
  <si>
    <t>2022-09-22 04:12:49 UTC</t>
  </si>
  <si>
    <t>https://www.inaturalist.org/observations/110159067</t>
  </si>
  <si>
    <t>https://inaturalist-open-data.s3.amazonaws.com/photos/185786417/medium.jpeg</t>
  </si>
  <si>
    <t>Lubowa, Kampala, Uganda</t>
  </si>
  <si>
    <t>2021/12/15 10:56 AM EET</t>
  </si>
  <si>
    <t>2021-12-15 08:56:00 UTC</t>
  </si>
  <si>
    <t>2022-04-03 06:51:08 UTC</t>
  </si>
  <si>
    <t>2022-08-14 14:59:41 UTC</t>
  </si>
  <si>
    <t>https://www.inaturalist.org/observations/110261113</t>
  </si>
  <si>
    <t>https://inaturalist-open-data.s3.amazonaws.com/photos/185803503/medium.jpeg</t>
  </si>
  <si>
    <t>1 adult present on completely dead nest</t>
  </si>
  <si>
    <t>2022/04/01 6:53 PM UTC</t>
  </si>
  <si>
    <t>2022-04-01 18:53:00 UTC</t>
  </si>
  <si>
    <t>jandrevanzyl</t>
  </si>
  <si>
    <t>Jandre Van Zyl</t>
  </si>
  <si>
    <t>2022-04-04 06:53:31 UTC</t>
  </si>
  <si>
    <t>2022-09-22 04:12:44 UTC</t>
  </si>
  <si>
    <t>https://www.inaturalist.org/observations/110376421</t>
  </si>
  <si>
    <t>https://static.inaturalist.org/photos/186072357/medium.jpeg</t>
  </si>
  <si>
    <t>Welgegund Rd, Boskop, Potchefstroom, 2520, South Africa</t>
  </si>
  <si>
    <t>2022/03/11 1:32 PM CET</t>
  </si>
  <si>
    <t>2022-03-11 12:32:00 UTC</t>
  </si>
  <si>
    <t>2022-04-06 16:41:17 UTC</t>
  </si>
  <si>
    <t>2022-09-22 16:02:34 UTC</t>
  </si>
  <si>
    <t>https://www.inaturalist.org/observations/110584782</t>
  </si>
  <si>
    <t>https://inaturalist-open-data.s3.amazonaws.com/photos/186571682/medium.jpg</t>
  </si>
  <si>
    <t>Rwanda, Vespidae, arthropoda, Fauna, Hexapoda, hymenoptera, insecta, Kigali, Insects</t>
  </si>
  <si>
    <t>Kimihurura, Kigali, Rwanda</t>
  </si>
  <si>
    <t>2012/11/03 12:26 PM CET</t>
  </si>
  <si>
    <t>2012-11-03 11:26:00 UTC</t>
  </si>
  <si>
    <t>crawlingworld</t>
  </si>
  <si>
    <t>Thomas Hiller</t>
  </si>
  <si>
    <t>2022-04-06 17:20:49 UTC</t>
  </si>
  <si>
    <t>2022-09-22 16:02:31 UTC</t>
  </si>
  <si>
    <t>https://www.inaturalist.org/observations/110587932</t>
  </si>
  <si>
    <t>https://static.inaturalist.org/photos/186576779/medium.jpg</t>
  </si>
  <si>
    <t>Mognori, Ghana</t>
  </si>
  <si>
    <t>Wed Apr 06 2022 15:07:36 GMT+0200 (GMT+2)</t>
  </si>
  <si>
    <t>2022-04-06 12:07:36 UTC</t>
  </si>
  <si>
    <t>reubenjonker</t>
  </si>
  <si>
    <t>2022-04-07 17:27:04 UTC</t>
  </si>
  <si>
    <t>2022-05-05 11:10:07 UTC</t>
  </si>
  <si>
    <t>https://www.inaturalist.org/observations/110677218</t>
  </si>
  <si>
    <t>https://inaturalist-open-data.s3.amazonaws.com/photos/186745512/medium.jpg</t>
  </si>
  <si>
    <t>Vyfhoek AH, Potchefstroom, NW, ZA</t>
  </si>
  <si>
    <t>Sun Apr 03 2022 09:59:42 GMT+0200 (GMT+2)</t>
  </si>
  <si>
    <t>2022-04-03 07:59:42 UTC</t>
  </si>
  <si>
    <t>2022-04-08 17:56:15 UTC</t>
  </si>
  <si>
    <t>2022-09-22 16:02:28 UTC</t>
  </si>
  <si>
    <t>https://www.inaturalist.org/observations/110768578</t>
  </si>
  <si>
    <t>https://inaturalist-open-data.s3.amazonaws.com/photos/186912484/medium.jpg</t>
  </si>
  <si>
    <t>Edgecliff Road, Westville, KZN, ZA</t>
  </si>
  <si>
    <t>Three males on a leaf, interpretted as leaf lek.</t>
  </si>
  <si>
    <t>2022-04-08 12:48:41 UTC</t>
  </si>
  <si>
    <t>rcswart</t>
  </si>
  <si>
    <t>2022-04-09 13:30:05 UTC</t>
  </si>
  <si>
    <t>2022-10-20 08:06:22 UTC</t>
  </si>
  <si>
    <t>https://www.inaturalist.org/observations/110841582</t>
  </si>
  <si>
    <t>https://inaturalist-open-data.s3.amazonaws.com/photos/187047978/medium.jpeg</t>
  </si>
  <si>
    <t>Canyon Roadhouse, Gondwana Collection Namibia</t>
  </si>
  <si>
    <t>2022/04/09 11:04 AM SAST</t>
  </si>
  <si>
    <t>2022-04-09 09:04:00 UTC</t>
  </si>
  <si>
    <t>patriciat2</t>
  </si>
  <si>
    <t>Pat Thompson</t>
  </si>
  <si>
    <t>2022-04-09 14:44:35 UTC</t>
  </si>
  <si>
    <t>2022-09-22 16:02:25 UTC</t>
  </si>
  <si>
    <t>https://www.inaturalist.org/observations/110848060</t>
  </si>
  <si>
    <t>https://inaturalist-open-data.s3.amazonaws.com/photos/187057849/medium.jpeg</t>
  </si>
  <si>
    <t>Declining post-emergence nest (almost all males)</t>
  </si>
  <si>
    <t>Almost all individuals present are males: this is a terminal nest</t>
  </si>
  <si>
    <t>2022/04/09 1:42 PM SAST</t>
  </si>
  <si>
    <t>2022-04-09 11:42:00 UTC</t>
  </si>
  <si>
    <t>ianlouw</t>
  </si>
  <si>
    <t>2022-04-09 16:41:39 UTC</t>
  </si>
  <si>
    <t>2022-09-05 07:17:32 UTC</t>
  </si>
  <si>
    <t>https://www.inaturalist.org/observations/110859936</t>
  </si>
  <si>
    <t>https://static.inaturalist.org/photos/187079252/medium.jpeg</t>
  </si>
  <si>
    <t>The Orchards, Akasia, South Africa</t>
  </si>
  <si>
    <t>Difficult to see clearly</t>
  </si>
  <si>
    <t>2022/04/08 7:06 AM GMT-7</t>
  </si>
  <si>
    <t>milena_shaljyan</t>
  </si>
  <si>
    <t>Milena Shaljyan</t>
  </si>
  <si>
    <t>2022-04-09 18:30:05 UTC</t>
  </si>
  <si>
    <t>https://www.inaturalist.org/observations/110872568</t>
  </si>
  <si>
    <t>https://inaturalist-open-data.s3.amazonaws.com/photos/187097585/medium.png</t>
  </si>
  <si>
    <t xml:space="preserve">It is hard to believe that fluids can pass through such a narrow center, but it works. </t>
  </si>
  <si>
    <t>2022/04/10 6:02 PM UTC</t>
  </si>
  <si>
    <t>2022-04-10 18:02:00 UTC</t>
  </si>
  <si>
    <t>2022-04-10 17:06:49 UTC</t>
  </si>
  <si>
    <t>2022-09-22 04:12:34 UTC</t>
  </si>
  <si>
    <t>https://www.inaturalist.org/observations/110981015</t>
  </si>
  <si>
    <t>https://inaturalist-open-data.s3.amazonaws.com/photos/187298234/medium.jpeg</t>
  </si>
  <si>
    <t>Muthaiga, Nairobi, Kenya</t>
  </si>
  <si>
    <t>Moscow</t>
  </si>
  <si>
    <t>mrkawa</t>
  </si>
  <si>
    <t>Rene Nieuwenkamp</t>
  </si>
  <si>
    <t>2022-04-13 11:45:06 UTC</t>
  </si>
  <si>
    <t>2022-09-22 04:12:32 UTC</t>
  </si>
  <si>
    <t>https://www.inaturalist.org/observations/111296143</t>
  </si>
  <si>
    <t>https://inaturalist-open-data.s3.amazonaws.com/photos/187868636/medium.jpeg</t>
  </si>
  <si>
    <t>Wasps protecting the nest and feeding? their legacy</t>
  </si>
  <si>
    <t>Manyago, Entebbe, Uganda</t>
  </si>
  <si>
    <t>2022/04/14 9:01 AM SAST</t>
  </si>
  <si>
    <t>2022-04-14 07:01:00 UTC</t>
  </si>
  <si>
    <t>dominic215</t>
  </si>
  <si>
    <t>DOMINIC</t>
  </si>
  <si>
    <t>2022-04-14 10:33:50 UTC</t>
  </si>
  <si>
    <t>2022-05-13 05:57:29 UTC</t>
  </si>
  <si>
    <t>https://www.inaturalist.org/observations/111398116</t>
  </si>
  <si>
    <t>https://inaturalist-open-data.s3.amazonaws.com/photos/188051556/medium.jpeg</t>
  </si>
  <si>
    <t>245 Swaan St, Jan Niemand Park, Pretoria, 0186, South Africa</t>
  </si>
  <si>
    <t>2022-04-15 16:12:58+02:00</t>
  </si>
  <si>
    <t>2022-04-15 14:12:58 UTC</t>
  </si>
  <si>
    <t>wynie</t>
  </si>
  <si>
    <t>Wynand Breytenbach</t>
  </si>
  <si>
    <t>2022-04-15 14:15:45 UTC</t>
  </si>
  <si>
    <t>2022-05-04 06:40:57 UTC</t>
  </si>
  <si>
    <t>https://www.inaturalist.org/observations/111519453</t>
  </si>
  <si>
    <t>https://static.inaturalist.org/photos/188267991/medium.jpg</t>
  </si>
  <si>
    <t>Stinkhout Street, Cradock, EC, ZA</t>
  </si>
  <si>
    <t>2015/02/07 3:25 PM UTC</t>
  </si>
  <si>
    <t>2015-02-07 15:25:00 UTC</t>
  </si>
  <si>
    <t>2022-04-16 08:54:35 UTC</t>
  </si>
  <si>
    <t>2022-09-22 04:12:29 UTC</t>
  </si>
  <si>
    <t>https://www.inaturalist.org/observations/111621664</t>
  </si>
  <si>
    <t>https://static.inaturalist.org/photos/188456566/medium.jpeg</t>
  </si>
  <si>
    <t>Nkangala, South Africa</t>
  </si>
  <si>
    <t>2022-02-19 19:40:46 UTC</t>
  </si>
  <si>
    <t>augustinsoulard</t>
  </si>
  <si>
    <t>Augustin Soulard</t>
  </si>
  <si>
    <t>2022-04-17 05:30:26 UTC</t>
  </si>
  <si>
    <t>2022-10-26 10:29:17 UTC</t>
  </si>
  <si>
    <t>https://www.inaturalist.org/observations/111746820</t>
  </si>
  <si>
    <t>https://inaturalist-open-data.s3.amazonaws.com/photos/188683867/medium.jpeg</t>
  </si>
  <si>
    <t>BouÃ©ni, Mayotte</t>
  </si>
  <si>
    <t>2022-04-17 08:26:02 UTC</t>
  </si>
  <si>
    <t>2022-09-22 04:12:13 UTC</t>
  </si>
  <si>
    <t>https://www.inaturalist.org/observations/111755578</t>
  </si>
  <si>
    <t>https://static.inaturalist.org/photos/188700069/medium.jpeg</t>
  </si>
  <si>
    <t>Ndzou camp</t>
  </si>
  <si>
    <t>2022-04-17 13:05:38 UTC</t>
  </si>
  <si>
    <t>geoffbold</t>
  </si>
  <si>
    <t>Geoff</t>
  </si>
  <si>
    <t>2022-04-17 15:38:02 UTC</t>
  </si>
  <si>
    <t>2022-05-03 08:37:31 UTC</t>
  </si>
  <si>
    <t>https://www.inaturalist.org/observations/111791362</t>
  </si>
  <si>
    <t>https://inaturalist-open-data.s3.amazonaws.com/photos/188762552/medium.jpeg</t>
  </si>
  <si>
    <t>Aldarapark, Randburg, 2194, South Africa</t>
  </si>
  <si>
    <t>2022/04/18 11:32 AM SAST</t>
  </si>
  <si>
    <t>2022-04-18 09:32:00 UTC</t>
  </si>
  <si>
    <t>2022-04-18 21:49:26 UTC</t>
  </si>
  <si>
    <t>2022-04-29 16:05:26 UTC</t>
  </si>
  <si>
    <t>https://www.inaturalist.org/observations/111976950</t>
  </si>
  <si>
    <t>https://inaturalist-open-data.s3.amazonaws.com/photos/189096515/medium.jpeg</t>
  </si>
  <si>
    <t>Made On Earth, Vlakplaats 354-Jr, Centurion, Gauteng, South Africa</t>
  </si>
  <si>
    <t>2022/04/18 10:34 AM SAST</t>
  </si>
  <si>
    <t>2022-04-18 08:34:00 UTC</t>
  </si>
  <si>
    <t>heidib</t>
  </si>
  <si>
    <t>Heidi Boshoff</t>
  </si>
  <si>
    <t>2022-04-19 15:02:32 UTC</t>
  </si>
  <si>
    <t>2022-04-29 09:20:55 UTC</t>
  </si>
  <si>
    <t>https://www.inaturalist.org/observations/112046517</t>
  </si>
  <si>
    <t>https://static.inaturalist.org/photos/189226837/medium.jpg</t>
  </si>
  <si>
    <t>Hennopspark, Centurion, 0157, South Africa</t>
  </si>
  <si>
    <t>2022/04/19 12:35 PM SAST</t>
  </si>
  <si>
    <t>2022-04-19 10:35:00 UTC</t>
  </si>
  <si>
    <t>2022-04-19 15:55:19 UTC</t>
  </si>
  <si>
    <t>2022-04-29 09:15:46 UTC</t>
  </si>
  <si>
    <t>https://www.inaturalist.org/observations/112051355</t>
  </si>
  <si>
    <t>https://static.inaturalist.org/photos/189235738/medium.jpg</t>
  </si>
  <si>
    <t>Brummeria, Pretoria, 0184, South Africa</t>
  </si>
  <si>
    <t>2022-04-12 22:30:00 UTC</t>
  </si>
  <si>
    <t>libbing_life</t>
  </si>
  <si>
    <t>Libbi Wu</t>
  </si>
  <si>
    <t>2022-04-20 08:54:53 UTC</t>
  </si>
  <si>
    <t>2022-09-22 04:12:01 UTC</t>
  </si>
  <si>
    <t>https://www.inaturalist.org/observations/112131165</t>
  </si>
  <si>
    <t>https://static.inaturalist.org/photos/189381229/medium.jpeg</t>
  </si>
  <si>
    <t>Lyantonde, Uganda</t>
  </si>
  <si>
    <t>2022-04-21 12:23:39+02:00</t>
  </si>
  <si>
    <t>2022-04-21 10:23:39 UTC</t>
  </si>
  <si>
    <t>2022-04-22 04:38:44 UTC</t>
  </si>
  <si>
    <t>2022-09-22 04:11:53 UTC</t>
  </si>
  <si>
    <t>https://www.inaturalist.org/observations/112353084</t>
  </si>
  <si>
    <t>https://inaturalist-open-data.s3.amazonaws.com/photos/189777366/medium.jpg</t>
  </si>
  <si>
    <t>2022-04-22 10:37:23 UTC</t>
  </si>
  <si>
    <t>pieterhuy</t>
  </si>
  <si>
    <t>Pieter Huybrechts</t>
  </si>
  <si>
    <t>2022-04-23 10:53:28 UTC</t>
  </si>
  <si>
    <t>2022-09-22 16:02:17 UTC</t>
  </si>
  <si>
    <t>https://www.inaturalist.org/observations/112497275</t>
  </si>
  <si>
    <t>https://inaturalist-open-data.s3.amazonaws.com/photos/190019023/medium.jpeg</t>
  </si>
  <si>
    <t>Tegetero, Tanzania</t>
  </si>
  <si>
    <t>2022-04-23 11:33:00 UTC</t>
  </si>
  <si>
    <t>2022-04-27 09:04:01 UTC</t>
  </si>
  <si>
    <t>2022-06-17 06:21:08 UTC</t>
  </si>
  <si>
    <t>https://www.inaturalist.org/observations/113069824</t>
  </si>
  <si>
    <t>https://inaturalist-open-data.s3.amazonaws.com/photos/191032216/medium.jpeg</t>
  </si>
  <si>
    <t>Rietvlei, Pretoria</t>
  </si>
  <si>
    <t>2022-04-27 11:02:00 UTC</t>
  </si>
  <si>
    <t>2022-04-27 15:02:18 UTC</t>
  </si>
  <si>
    <t>2022-06-17 06:09:42 UTC</t>
  </si>
  <si>
    <t>https://www.inaturalist.org/observations/113095844</t>
  </si>
  <si>
    <t>https://static.inaturalist.org/photos/191081193/medium.jpeg</t>
  </si>
  <si>
    <t>Dr Kenneth Kaunda, North West, South Africa</t>
  </si>
  <si>
    <t>2022-04-21 09:19:00 UTC</t>
  </si>
  <si>
    <t>2022-04-28 15:47:05 UTC</t>
  </si>
  <si>
    <t>2022-06-15 09:58:52 UTC</t>
  </si>
  <si>
    <t>https://www.inaturalist.org/observations/113227385</t>
  </si>
  <si>
    <t>https://inaturalist-open-data.s3.amazonaws.com/photos/191315142/medium.jpeg</t>
  </si>
  <si>
    <t>Umdoni Park Interactive tree and bird trail, Pennington, KwaZulu-Natal, South Africa</t>
  </si>
  <si>
    <t>Fantastic observation, complete with videos</t>
  </si>
  <si>
    <t>2022-04-29 09:16:00 UTC</t>
  </si>
  <si>
    <t>2022-04-29 09:21:08 UTC</t>
  </si>
  <si>
    <t>2022-06-15 09:25:12 UTC</t>
  </si>
  <si>
    <t>https://www.inaturalist.org/observations/113347048</t>
  </si>
  <si>
    <t>https://static.inaturalist.org/photos/191519022/medium.jpeg</t>
  </si>
  <si>
    <t>2022-04-29 12:36:51 UTC</t>
  </si>
  <si>
    <t>Africa/Lagos</t>
  </si>
  <si>
    <t>dapsy</t>
  </si>
  <si>
    <t>Nyiaghan Baridapsi</t>
  </si>
  <si>
    <t>2022-04-29 12:39:57 UTC</t>
  </si>
  <si>
    <t>2022-04-29 21:51:33 UTC</t>
  </si>
  <si>
    <t>https://www.inaturalist.org/observations/113377850</t>
  </si>
  <si>
    <t>https://static.inaturalist.org/photos/191566077/medium.jpeg</t>
  </si>
  <si>
    <t>Portharcourt No. 5, Lane 2, Onukuru Street Off Iwofe Road Phc, 500102, Nkpo, Nigeria</t>
  </si>
  <si>
    <t>2022-04-29 16:33:29+02:00</t>
  </si>
  <si>
    <t>2022-04-29 14:33:29 UTC</t>
  </si>
  <si>
    <t>joyfuljoy</t>
  </si>
  <si>
    <t>2022-04-29 14:34:13 UTC</t>
  </si>
  <si>
    <t>2022-06-15 08:32:59 UTC</t>
  </si>
  <si>
    <t>https://www.inaturalist.org/observations/113413812</t>
  </si>
  <si>
    <t>https://inaturalist-open-data.s3.amazonaws.com/photos/191617559/medium.jpg</t>
  </si>
  <si>
    <t>Newcombe Place, Berea, KZN, ZA</t>
  </si>
  <si>
    <t>2022-04-29 17:30:29+01:00</t>
  </si>
  <si>
    <t>2022-04-29 16:30:29 UTC</t>
  </si>
  <si>
    <t>Africa/Douala</t>
  </si>
  <si>
    <t>2022-04-29 16:59:29 UTC</t>
  </si>
  <si>
    <t>2022-04-29 18:17:40 UTC</t>
  </si>
  <si>
    <t>https://www.inaturalist.org/observations/113466327</t>
  </si>
  <si>
    <t>https://inaturalist-open-data.s3.amazonaws.com/photos/191695361/medium.jpg</t>
  </si>
  <si>
    <t>Mengueme, Centre, CM</t>
  </si>
  <si>
    <t>2022-04-29 06:20:36 UTC</t>
  </si>
  <si>
    <t>sheila336</t>
  </si>
  <si>
    <t>Sheila Schutte</t>
  </si>
  <si>
    <t>2022-04-29 17:02:22 UTC</t>
  </si>
  <si>
    <t>2022-06-15 07:56:45 UTC</t>
  </si>
  <si>
    <t>https://www.inaturalist.org/observations/113467236</t>
  </si>
  <si>
    <t>https://static.inaturalist.org/photos/191696574/medium.jpeg</t>
  </si>
  <si>
    <t xml:space="preserve">Hornet </t>
  </si>
  <si>
    <t>Finningley Estates PTY LTD</t>
  </si>
  <si>
    <t>2022-04-23 10:28:00 UTC</t>
  </si>
  <si>
    <t>2022-04-29 17:20:33 UTC</t>
  </si>
  <si>
    <t>2022-04-30 18:08:30 UTC</t>
  </si>
  <si>
    <t>https://www.inaturalist.org/observations/113473330</t>
  </si>
  <si>
    <t>https://inaturalist-open-data.s3.amazonaws.com/photos/191704005/medium.jpg</t>
  </si>
  <si>
    <t>Mutsheleli Dam, Matopos NP, Zimbabwe</t>
  </si>
  <si>
    <t>2022-04-30 05:20:16 UTC</t>
  </si>
  <si>
    <t>nick_schaller</t>
  </si>
  <si>
    <t>Nick Schaller</t>
  </si>
  <si>
    <t>2022-04-30 05:25:08 UTC</t>
  </si>
  <si>
    <t>2022-06-14 11:17:25 UTC</t>
  </si>
  <si>
    <t>https://www.inaturalist.org/observations/113688943</t>
  </si>
  <si>
    <t>https://inaturalist-open-data.s3.amazonaws.com/photos/192062763/medium.jpeg</t>
  </si>
  <si>
    <t>Umhlanga, 4153, South Africa</t>
  </si>
  <si>
    <t>2022-04-29 07:20:45 UTC</t>
  </si>
  <si>
    <t>margret11</t>
  </si>
  <si>
    <t>Margret Prior</t>
  </si>
  <si>
    <t>2022-04-30 05:45:14 UTC</t>
  </si>
  <si>
    <t>2022-09-22 15:14:31 UTC</t>
  </si>
  <si>
    <t>https://www.inaturalist.org/observations/113691878</t>
  </si>
  <si>
    <t>https://static.inaturalist.org/photos/192067649/medium.jpeg</t>
  </si>
  <si>
    <t>Clansthal</t>
  </si>
  <si>
    <t>2022-04-30 06:55:24 UTC</t>
  </si>
  <si>
    <t>2022-09-22 15:14:28 UTC</t>
  </si>
  <si>
    <t>https://www.inaturalist.org/observations/113702076</t>
  </si>
  <si>
    <t>https://static.inaturalist.org/photos/192084272/medium.jpeg</t>
  </si>
  <si>
    <t>robyn237</t>
  </si>
  <si>
    <t>Robyn Wainwright</t>
  </si>
  <si>
    <t>2022-04-30 10:14:01 UTC</t>
  </si>
  <si>
    <t>2022-09-22 15:14:22 UTC</t>
  </si>
  <si>
    <t>https://www.inaturalist.org/observations/113734783</t>
  </si>
  <si>
    <t>https://static.inaturalist.org/photos/192134120/medium.jpeg</t>
  </si>
  <si>
    <t>Brighton Beach, Bluff, 4052, South Africa</t>
  </si>
  <si>
    <t>Interpretted as likely post-emergence</t>
  </si>
  <si>
    <t>2022-04-30 09:27:46 UTC</t>
  </si>
  <si>
    <t>2022-04-30 11:16:17 UTC</t>
  </si>
  <si>
    <t>2022-09-22 07:48:05 UTC</t>
  </si>
  <si>
    <t>https://www.inaturalist.org/observations/113746464</t>
  </si>
  <si>
    <t>https://inaturalist-open-data.s3.amazonaws.com/photos/192150528/medium.jpeg</t>
  </si>
  <si>
    <t>2010/03/01 11:40 Ð²ÐµÑ‡ÐµÑ€Ð°</t>
  </si>
  <si>
    <t>2010-03-01 09:40:00 UTC</t>
  </si>
  <si>
    <t>botalex</t>
  </si>
  <si>
    <t>Dr. Alexey Yakovlev</t>
  </si>
  <si>
    <t>2022-04-30 11:23:24 UTC</t>
  </si>
  <si>
    <t>2022-06-16 19:02:49 UTC</t>
  </si>
  <si>
    <t>https://www.inaturalist.org/observations/113747631</t>
  </si>
  <si>
    <t>https://static.inaturalist.org/photos/192147894/medium.jpg</t>
  </si>
  <si>
    <t>Mhlopeni Nature Reserve</t>
  </si>
  <si>
    <t>Mhlopeni Nature Reserve, Greyton, Kwazulu Natal, South Africa.</t>
  </si>
  <si>
    <t>Ð£Ð¼Ð·Ð¸Ð½ÑŒÑÑ‚Ñ…Ð¸, Ð®Ð¶Ð½Ð°Ñ ÐÑ„Ñ€Ð¸ÐºÐ°</t>
  </si>
  <si>
    <t>2022-04-29 07:13:00 UTC</t>
  </si>
  <si>
    <t>kevin2226</t>
  </si>
  <si>
    <t>Kevin Westermann</t>
  </si>
  <si>
    <t>2022-04-30 14:35:58 UTC</t>
  </si>
  <si>
    <t>2022-09-22 08:58:02 UTC</t>
  </si>
  <si>
    <t>https://www.inaturalist.org/observations/113805252</t>
  </si>
  <si>
    <t>https://static.inaturalist.org/photos/192224156/medium.jpg</t>
  </si>
  <si>
    <t>binary comment</t>
  </si>
  <si>
    <t>Clansthal, Ezembeni, South Africa</t>
  </si>
  <si>
    <t>2022-04-24 07:55:00 UTC</t>
  </si>
  <si>
    <t>2022-04-30 19:22:34 UTC</t>
  </si>
  <si>
    <t>2022-09-22 04:11:01 UTC</t>
  </si>
  <si>
    <t>https://www.inaturalist.org/observations/113923372</t>
  </si>
  <si>
    <t>https://inaturalist-open-data.s3.amazonaws.com/photos/192420647/medium.jpeg</t>
  </si>
  <si>
    <t>Nswatugi Cave, Matopos, Zimbabwe</t>
  </si>
  <si>
    <t>2022-04-30 12:39:00 UTC</t>
  </si>
  <si>
    <t>debtherat</t>
  </si>
  <si>
    <t>deb</t>
  </si>
  <si>
    <t>2022-04-30 20:08:48 UTC</t>
  </si>
  <si>
    <t>https://www.inaturalist.org/observations/113942291</t>
  </si>
  <si>
    <t>https://inaturalist-open-data.s3.amazonaws.com/photos/192433395/medium.jpeg</t>
  </si>
  <si>
    <t>Klaasenbosch Greenbelt,Constantia, Cape Town, South Africa</t>
  </si>
  <si>
    <t>2022-05-01 10:07:13+02:00</t>
  </si>
  <si>
    <t>2022-05-01 08:07:13 UTC</t>
  </si>
  <si>
    <t>Africa/Gaborone</t>
  </si>
  <si>
    <t>2022-05-01 08:07:20 UTC</t>
  </si>
  <si>
    <t>2022-09-22 04:10:51 UTC</t>
  </si>
  <si>
    <t>https://www.inaturalist.org/observations/114137051</t>
  </si>
  <si>
    <t>https://inaturalist-open-data.s3.amazonaws.com/photos/192775045/medium.jpg</t>
  </si>
  <si>
    <t>Matlapaneng, North-West, BW</t>
  </si>
  <si>
    <t>2022-05-01 13:03:10 UTC</t>
  </si>
  <si>
    <t>apusaffinis</t>
  </si>
  <si>
    <t>2022-05-01 13:06:04 UTC</t>
  </si>
  <si>
    <t>2022-05-20 07:28:16 UTC</t>
  </si>
  <si>
    <t>https://www.inaturalist.org/observations/114197892</t>
  </si>
  <si>
    <t>https://inaturalist-open-data.s3.amazonaws.com/photos/192868855/medium.jpeg</t>
  </si>
  <si>
    <t>Sabie, 1260, South Africa</t>
  </si>
  <si>
    <t>Sat Apr 30 2022 09:59:23 GMT+0200 (GMT+2)</t>
  </si>
  <si>
    <t>2022-04-30 07:59:23 UTC</t>
  </si>
  <si>
    <t>persdrakie</t>
  </si>
  <si>
    <t>Henriette Kieser</t>
  </si>
  <si>
    <t>2022-05-01 15:37:28 UTC</t>
  </si>
  <si>
    <t>2022-05-20 06:53:36 UTC</t>
  </si>
  <si>
    <t>https://www.inaturalist.org/observations/114252853</t>
  </si>
  <si>
    <t>https://inaturalist-open-data.s3.amazonaws.com/photos/192952717/medium.jpg</t>
  </si>
  <si>
    <t>Three females (likely B. petiolata) on a honeybee comb</t>
  </si>
  <si>
    <t>2022-05-02 02:58:00 UTC</t>
  </si>
  <si>
    <t>natalie_peacock</t>
  </si>
  <si>
    <t>Natalie Peacock</t>
  </si>
  <si>
    <t>2022-05-02 03:31:42 UTC</t>
  </si>
  <si>
    <t>2022-05-30 20:46:11 UTC</t>
  </si>
  <si>
    <t>https://www.inaturalist.org/observations/114542873</t>
  </si>
  <si>
    <t>https://static.inaturalist.org/photos/193418312/medium.jpeg</t>
  </si>
  <si>
    <t>Bulawayo, ZW-BU-BL, ZW</t>
  </si>
  <si>
    <t>2022-05-02 08:47:00 UTC</t>
  </si>
  <si>
    <t>m_d</t>
  </si>
  <si>
    <t>Mahomed Desai</t>
  </si>
  <si>
    <t>2022-05-02 11:48:48 UTC</t>
  </si>
  <si>
    <t>2022-05-18 11:44:14 UTC</t>
  </si>
  <si>
    <t>https://www.inaturalist.org/observations/114642975</t>
  </si>
  <si>
    <t>https://inaturalist-open-data.s3.amazonaws.com/photos/193551203/medium.jpeg</t>
  </si>
  <si>
    <t>Bulwer, Berea, 4083, South Africa</t>
  </si>
  <si>
    <t>gavin_hazell</t>
  </si>
  <si>
    <t>Gavin Hazell</t>
  </si>
  <si>
    <t>2022-05-02 12:18:15 UTC</t>
  </si>
  <si>
    <t>2022-10-27 09:56:49 UTC</t>
  </si>
  <si>
    <t>https://www.inaturalist.org/observations/114650423</t>
  </si>
  <si>
    <t>https://inaturalist-open-data.s3.amazonaws.com/photos/193585490/medium.jpeg</t>
  </si>
  <si>
    <t>Kenneth Stainbank Nature Reserve</t>
  </si>
  <si>
    <t>2022-05-02 15:28:04+02:00</t>
  </si>
  <si>
    <t>2022-05-02 13:28:04 UTC</t>
  </si>
  <si>
    <t>philip_paige_green</t>
  </si>
  <si>
    <t>Philip Paige-Green</t>
  </si>
  <si>
    <t>2022-05-02 13:30:29 UTC</t>
  </si>
  <si>
    <t>2022-05-18 10:55:45 UTC</t>
  </si>
  <si>
    <t>https://www.inaturalist.org/observations/114673385</t>
  </si>
  <si>
    <t>https://static.inaturalist.org/photos/193619681/medium.jpg</t>
  </si>
  <si>
    <t>Peffer Street, Pretoria, GP, ZA</t>
  </si>
  <si>
    <t>2022-05-02 15:41:58 UTC</t>
  </si>
  <si>
    <t>2022-05-02 15:49:46 UTC</t>
  </si>
  <si>
    <t>2022-05-18 08:42:36 UTC</t>
  </si>
  <si>
    <t>https://www.inaturalist.org/observations/114728442</t>
  </si>
  <si>
    <t>https://inaturalist-open-data.s3.amazonaws.com/photos/193831707/medium.jpeg</t>
  </si>
  <si>
    <t>2022-05-02 14:28:40+02:00</t>
  </si>
  <si>
    <t>2022-05-02 12:28:40 UTC</t>
  </si>
  <si>
    <t>2022-05-02 21:58:24 UTC</t>
  </si>
  <si>
    <t>2022-09-22 15:13:37 UTC</t>
  </si>
  <si>
    <t>https://www.inaturalist.org/observations/114891047</t>
  </si>
  <si>
    <t>https://static.inaturalist.org/photos/193955532/medium.jpg</t>
  </si>
  <si>
    <t>Mzuzu, Northern Region, MW</t>
  </si>
  <si>
    <t>Large pre-emergence nest suspended from a tree trunk</t>
  </si>
  <si>
    <t>2022-05-01 12:51:00 UTC</t>
  </si>
  <si>
    <t>2022-05-03 04:54:21 UTC</t>
  </si>
  <si>
    <t>2022-09-22 15:13:29 UTC</t>
  </si>
  <si>
    <t>https://www.inaturalist.org/observations/115044685</t>
  </si>
  <si>
    <t>https://inaturalist-open-data.s3.amazonaws.com/photos/194201112/medium.jpeg</t>
  </si>
  <si>
    <t>&lt;h3&gt;I take what I can get&lt;/h3&gt;_x000D_
See Plant: https://www.inaturalist.org/observations/115044693</t>
  </si>
  <si>
    <t>Pumula, Hibberdene, 4235, South Africa</t>
  </si>
  <si>
    <t>2022-05-02 18:06:58 UTC</t>
  </si>
  <si>
    <t>2022-05-03 09:19:31 UTC</t>
  </si>
  <si>
    <t>2022-05-08 04:38:52 UTC</t>
  </si>
  <si>
    <t>https://www.inaturalist.org/observations/115077666</t>
  </si>
  <si>
    <t>https://inaturalist-open-data.s3.amazonaws.com/photos/194259828/medium.jpeg</t>
  </si>
  <si>
    <t>Kilombero, TZ-MO, TZ</t>
  </si>
  <si>
    <t>2022-03-08 04:49:00 UTC</t>
  </si>
  <si>
    <t>wade_lee22</t>
  </si>
  <si>
    <t>2022-05-03 15:57:02 UTC</t>
  </si>
  <si>
    <t>2022-06-13 04:53:50 UTC</t>
  </si>
  <si>
    <t>https://www.inaturalist.org/observations/115143316</t>
  </si>
  <si>
    <t>https://inaturalist-open-data.s3.amazonaws.com/photos/194359511/medium.jpg</t>
  </si>
  <si>
    <t>2022-04-30 13:10:00 UTC</t>
  </si>
  <si>
    <t>tracythebushbaby</t>
  </si>
  <si>
    <t>2022-05-03 16:54:57 UTC</t>
  </si>
  <si>
    <t>2022-09-22 07:47:52 UTC</t>
  </si>
  <si>
    <t>https://www.inaturalist.org/observations/115155502</t>
  </si>
  <si>
    <t>https://inaturalist-open-data.s3.amazonaws.com/photos/194385227/medium.jpg</t>
  </si>
  <si>
    <t>Durban South, Durban, South Africa</t>
  </si>
  <si>
    <t>2022-04-29 07:00:00 UTC</t>
  </si>
  <si>
    <t>sand10</t>
  </si>
  <si>
    <t>Sandra Dell</t>
  </si>
  <si>
    <t>2022-05-03 22:27:55 UTC</t>
  </si>
  <si>
    <t>2022-09-22 04:09:09 UTC</t>
  </si>
  <si>
    <t>https://www.inaturalist.org/observations/115229164</t>
  </si>
  <si>
    <t>https://inaturalist-open-data.s3.amazonaws.com/photos/194502841/medium.jpg</t>
  </si>
  <si>
    <t>19 Hythe Rd, Sea View, Durban, 4094, South Africa</t>
  </si>
  <si>
    <t>2022-04-29 11:00:00 UTC</t>
  </si>
  <si>
    <t>mark400</t>
  </si>
  <si>
    <t>Mark Liptrot</t>
  </si>
  <si>
    <t>2022-05-04 06:42:06 UTC</t>
  </si>
  <si>
    <t>2022-05-16 18:27:44 UTC</t>
  </si>
  <si>
    <t>https://www.inaturalist.org/observations/115301835</t>
  </si>
  <si>
    <t>https://inaturalist-open-data.s3.amazonaws.com/photos/194633082/medium.jpeg</t>
  </si>
  <si>
    <t>Ronaldskloof Ext, Kloof, 3610, South Africa</t>
  </si>
  <si>
    <t>2022-04-29 07:46:00 UTC</t>
  </si>
  <si>
    <t>sbonelo_sikhakhane</t>
  </si>
  <si>
    <t>Sbonelo Sikhakhane</t>
  </si>
  <si>
    <t>2022-05-05 10:35:25 UTC</t>
  </si>
  <si>
    <t>2022-09-22 04:08:51 UTC</t>
  </si>
  <si>
    <t>https://www.inaturalist.org/observations/115537430</t>
  </si>
  <si>
    <t>https://static.inaturalist.org/photos/194974456/medium.jpeg</t>
  </si>
  <si>
    <t>Virginia, Durban North, 4051, South Africa</t>
  </si>
  <si>
    <t>2022-05-01 07:38:00 UTC</t>
  </si>
  <si>
    <t>2022-05-05 13:27:26 UTC</t>
  </si>
  <si>
    <t>2022-09-22 04:08:48 UTC</t>
  </si>
  <si>
    <t>https://www.inaturalist.org/observations/115556101</t>
  </si>
  <si>
    <t>https://inaturalist-open-data.s3.amazonaws.com/photos/195024277/medium.jpeg</t>
  </si>
  <si>
    <t>Kirstenbosch NBG</t>
  </si>
  <si>
    <t>2022-03-09 08:54:00 UTC</t>
  </si>
  <si>
    <t>2022-05-05 19:08:31 UTC</t>
  </si>
  <si>
    <t>2022-09-22 04:08:39 UTC</t>
  </si>
  <si>
    <t>https://www.inaturalist.org/observations/115611176</t>
  </si>
  <si>
    <t>https://inaturalist-open-data.s3.amazonaws.com/photos/195115880/medium.jpg</t>
  </si>
  <si>
    <t>Zeekoegat, Bo-Karoo, South Africa</t>
  </si>
  <si>
    <t>2022-04-30 09:07:00 UTC</t>
  </si>
  <si>
    <t>2022-05-06 19:20:11 UTC</t>
  </si>
  <si>
    <t>2022-05-16 11:11:30 UTC</t>
  </si>
  <si>
    <t>https://www.inaturalist.org/observations/115782079</t>
  </si>
  <si>
    <t>https://inaturalist-open-data.s3.amazonaws.com/photos/195408217/medium.jpeg</t>
  </si>
  <si>
    <t>Riverside Rd, Prospect Hall, Durban, 4051, South Africa</t>
  </si>
  <si>
    <t>2022-05-04 14:47:00 UTC</t>
  </si>
  <si>
    <t>2022-05-07 11:49:42 UTC</t>
  </si>
  <si>
    <t>2022-09-22 04:08:07 UTC</t>
  </si>
  <si>
    <t>https://www.inaturalist.org/observations/115886426</t>
  </si>
  <si>
    <t>https://inaturalist-open-data.s3.amazonaws.com/photos/195586946/medium.jpeg</t>
  </si>
  <si>
    <t>2022-04-05 07:43:00 UTC</t>
  </si>
  <si>
    <t>2022-05-10 21:41:52 UTC</t>
  </si>
  <si>
    <t>2022-10-29 14:49:49 UTC</t>
  </si>
  <si>
    <t>https://www.inaturalist.org/observations/116477632</t>
  </si>
  <si>
    <t>https://inaturalist-open-data.s3.amazonaws.com/photos/196619475/medium.jpeg</t>
  </si>
  <si>
    <t>District d'Ankazobe, Madagascar</t>
  </si>
  <si>
    <t>2022-05-05 09:30:37+02:00</t>
  </si>
  <si>
    <t>2022-05-05 07:30:37 UTC</t>
  </si>
  <si>
    <t>2022-05-11 15:32:02 UTC</t>
  </si>
  <si>
    <t>2022-09-22 04:06:06 UTC</t>
  </si>
  <si>
    <t>https://www.inaturalist.org/observations/116566281</t>
  </si>
  <si>
    <t>https://inaturalist-open-data.s3.amazonaws.com/photos/196776824/medium.jpg</t>
  </si>
  <si>
    <t>7 females on the top of a washing-line. Appears to be a small hibernation cluster, but is surprisingly exposed.</t>
  </si>
  <si>
    <t>2022-05-09 09:28:49 UTC</t>
  </si>
  <si>
    <t>tapiwa1</t>
  </si>
  <si>
    <t>Tapiwa Prosper Chimbadzwa</t>
  </si>
  <si>
    <t>2022-05-11 16:53:38 UTC</t>
  </si>
  <si>
    <t>2022-09-19 20:05:46 UTC</t>
  </si>
  <si>
    <t>https://www.inaturalist.org/observations/116576293</t>
  </si>
  <si>
    <t>https://static.inaturalist.org/photos/196794164/medium.jpeg</t>
  </si>
  <si>
    <t>Matabeleland South Province, Zimbabwe</t>
  </si>
  <si>
    <t>2022-05-11 14:32:49 UTC</t>
  </si>
  <si>
    <t>2022-05-11 18:37:23 UTC</t>
  </si>
  <si>
    <t>2022-05-11 19:10:59 UTC</t>
  </si>
  <si>
    <t>https://www.inaturalist.org/observations/116589858</t>
  </si>
  <si>
    <t>https://static.inaturalist.org/photos/196817702/medium.jpeg</t>
  </si>
  <si>
    <t>2022-05-12 08:55:00 UTC</t>
  </si>
  <si>
    <t>2022-05-13 08:21:00 UTC</t>
  </si>
  <si>
    <t>2022-05-13 08:40:47 UTC</t>
  </si>
  <si>
    <t>https://www.inaturalist.org/observations/116802783</t>
  </si>
  <si>
    <t>https://inaturalist-open-data.s3.amazonaws.com/photos/197199158/medium.jpeg</t>
  </si>
  <si>
    <t>maybe</t>
  </si>
  <si>
    <t>Fri May 13 2022 18:48:42 GMT +0200 (GMT+2)</t>
  </si>
  <si>
    <t>2022-05-13 16:48:42 UTC</t>
  </si>
  <si>
    <t>fjfrazier</t>
  </si>
  <si>
    <t>2022-05-13 20:24:09 UTC</t>
  </si>
  <si>
    <t>2022-05-14 02:28:56 UTC</t>
  </si>
  <si>
    <t>https://www.inaturalist.org/observations/116878273</t>
  </si>
  <si>
    <t>https://inaturalist-open-data.s3.amazonaws.com/photos/197327945/medium.jpeg</t>
  </si>
  <si>
    <t>Victoria Falls</t>
  </si>
  <si>
    <t>2022-05-14 16:15:00 UTC</t>
  </si>
  <si>
    <t>lendebeer</t>
  </si>
  <si>
    <t>Len deBeer</t>
  </si>
  <si>
    <t>2022-05-15 15:10:22 UTC</t>
  </si>
  <si>
    <t>2022-08-30 19:03:06 UTC</t>
  </si>
  <si>
    <t>https://www.inaturalist.org/observations/117145645</t>
  </si>
  <si>
    <t>https://static.inaturalist.org/photos/197806875/medium.jpg</t>
  </si>
  <si>
    <t>Marovoay, Madagascar</t>
  </si>
  <si>
    <t>Appears to be a very large pre-emergence nest with just one adult</t>
  </si>
  <si>
    <t>2022-05-14 16:32:00 UTC</t>
  </si>
  <si>
    <t>2022-05-15 15:31:27 UTC</t>
  </si>
  <si>
    <t>2022-08-30 19:03:03 UTC</t>
  </si>
  <si>
    <t>https://www.inaturalist.org/observations/117149292</t>
  </si>
  <si>
    <t>https://static.inaturalist.org/photos/197813568/medium.jpg</t>
  </si>
  <si>
    <t>2022-05-12 09:11:09 UTC</t>
  </si>
  <si>
    <t>cat_ragout</t>
  </si>
  <si>
    <t>Cat Ragout</t>
  </si>
  <si>
    <t>2022-05-16 05:32:39 UTC</t>
  </si>
  <si>
    <t>2022-05-16 05:32:47 UTC</t>
  </si>
  <si>
    <t>https://www.inaturalist.org/observations/117269693</t>
  </si>
  <si>
    <t>https://static.inaturalist.org/photos/198032895/medium.jpeg</t>
  </si>
  <si>
    <t>Mtumba, Tansania</t>
  </si>
  <si>
    <t>2022-05-16 07:15:00 UTC</t>
  </si>
  <si>
    <t>2022-05-16 13:59:34 UTC</t>
  </si>
  <si>
    <t>2022-08-30 19:02:47 UTC</t>
  </si>
  <si>
    <t>https://www.inaturalist.org/observations/117307462</t>
  </si>
  <si>
    <t>https://inaturalist-open-data.s3.amazonaws.com/photos/198097473/medium.jpeg</t>
  </si>
  <si>
    <t>2022-05-01 12:43:58+02:00</t>
  </si>
  <si>
    <t>2022-05-01 10:43:58 UTC</t>
  </si>
  <si>
    <t>2022-05-16 16:13:11 UTC</t>
  </si>
  <si>
    <t>2022-08-30 19:02:43 UTC</t>
  </si>
  <si>
    <t>https://www.inaturalist.org/observations/117324364</t>
  </si>
  <si>
    <t>https://inaturalist-open-data.s3.amazonaws.com/photos/198128767/medium.jpg</t>
  </si>
  <si>
    <t>KZN, ZA</t>
  </si>
  <si>
    <t>2015-06-17 08:35:00 UTC</t>
  </si>
  <si>
    <t>gigilaidler</t>
  </si>
  <si>
    <t>Gigi Laidler</t>
  </si>
  <si>
    <t>2022-05-16 17:51:15 UTC</t>
  </si>
  <si>
    <t>2022-08-30 19:02:41 UTC</t>
  </si>
  <si>
    <t>https://www.inaturalist.org/observations/117338267</t>
  </si>
  <si>
    <t>https://inaturalist-open-data.s3.amazonaws.com/photos/198148157/medium.jpeg</t>
  </si>
  <si>
    <t>2015_06-07 KZN Trip Ndumo</t>
  </si>
  <si>
    <t>The Hatchery area</t>
  </si>
  <si>
    <t>Moderate hibernation cluster</t>
  </si>
  <si>
    <t>2022-05-17 09:52:00 UTC</t>
  </si>
  <si>
    <t>graham_g</t>
  </si>
  <si>
    <t>2022-05-17 14:31:20 UTC</t>
  </si>
  <si>
    <t>2022-09-22 07:47:45 UTC</t>
  </si>
  <si>
    <t>https://www.inaturalist.org/observations/117451845</t>
  </si>
  <si>
    <t>https://inaturalist-open-data.s3.amazonaws.com/photos/198359901/medium.jpg</t>
  </si>
  <si>
    <t>Renishaw Hills, South Africa</t>
  </si>
  <si>
    <t>2022-05-18 08:12:00 UTC</t>
  </si>
  <si>
    <t>2022-05-18 12:32:23 UTC</t>
  </si>
  <si>
    <t>2022-09-22 07:47:42 UTC</t>
  </si>
  <si>
    <t>https://www.inaturalist.org/observations/117581319</t>
  </si>
  <si>
    <t>https://inaturalist-open-data.s3.amazonaws.com/photos/198594673/medium.jpg</t>
  </si>
  <si>
    <t>Old Cottage, Blommekloof</t>
  </si>
  <si>
    <t>2022-05-19 06:45:00 UTC</t>
  </si>
  <si>
    <t>2022-05-19 07:16:25 UTC</t>
  </si>
  <si>
    <t>2022-09-22 07:47:38 UTC</t>
  </si>
  <si>
    <t>https://www.inaturalist.org/observations/117699010</t>
  </si>
  <si>
    <t>https://inaturalist-open-data.s3.amazonaws.com/photos/198803497/medium.jpg</t>
  </si>
  <si>
    <t>Fri May 20 2022 13:44:47 GMT+0300 (GMT+3)</t>
  </si>
  <si>
    <t>2022-05-20 10:44:47 UTC</t>
  </si>
  <si>
    <t>2022-05-20 10:45:02 UTC</t>
  </si>
  <si>
    <t>2022-09-22 15:52:20 UTC</t>
  </si>
  <si>
    <t>https://www.inaturalist.org/observations/117844457</t>
  </si>
  <si>
    <t>https://inaturalist-open-data.s3.amazonaws.com/photos/199083325/medium.jpg</t>
  </si>
  <si>
    <t>2022-05-03 13:28:00+02:00</t>
  </si>
  <si>
    <t>2022-05-03 11:28:00 UTC</t>
  </si>
  <si>
    <t>2022-05-20 12:09:50 UTC</t>
  </si>
  <si>
    <t>2022-09-22 07:47:24 UTC</t>
  </si>
  <si>
    <t>https://www.inaturalist.org/observations/117850907</t>
  </si>
  <si>
    <t>https://inaturalist-open-data.s3.amazonaws.com/photos/199067694/medium.jpg</t>
  </si>
  <si>
    <t>Sontuli Loop, KZN, ZA</t>
  </si>
  <si>
    <t>Categorised as 'off-nest' despite sitting on remains of an old petiole, as there is no nest there currently.</t>
  </si>
  <si>
    <t>2022-05-04 09:06:49+01:00</t>
  </si>
  <si>
    <t>2022-05-04 08:06:49 UTC</t>
  </si>
  <si>
    <t>2022-05-21 07:08:17 UTC</t>
  </si>
  <si>
    <t>2022-09-22 04:05:26 UTC</t>
  </si>
  <si>
    <t>https://www.inaturalist.org/observations/117968256</t>
  </si>
  <si>
    <t>https://inaturalist-open-data.s3.amazonaws.com/photos/199274709/medium.jpg</t>
  </si>
  <si>
    <t>Hornbill Street, St Lucia, KZN, ZA</t>
  </si>
  <si>
    <t>2022-05-06 15:09:55+02:00</t>
  </si>
  <si>
    <t>2022-05-06 13:09:55 UTC</t>
  </si>
  <si>
    <t>2022-05-23 09:50:13 UTC</t>
  </si>
  <si>
    <t>2022-08-30 19:02:25 UTC</t>
  </si>
  <si>
    <t>https://www.inaturalist.org/observations/118343746</t>
  </si>
  <si>
    <t>https://inaturalist-open-data.s3.amazonaws.com/photos/199940047/medium.jpg</t>
  </si>
  <si>
    <t>iSimangaliso Wetland Park, KZN, ZA</t>
  </si>
  <si>
    <t>2022-05-24 09:56:31 UTC</t>
  </si>
  <si>
    <t>Africa/Porto-Novo</t>
  </si>
  <si>
    <t>2022-05-24 17:59:08 UTC</t>
  </si>
  <si>
    <t>2022-08-30 19:02:07 UTC</t>
  </si>
  <si>
    <t>https://www.inaturalist.org/observations/118543781</t>
  </si>
  <si>
    <t>https://inaturalist-open-data.s3.amazonaws.com/photos/200298855/medium.jpeg</t>
  </si>
  <si>
    <t>Bonou, BJ-OU, BJ</t>
  </si>
  <si>
    <t>2022-05-24 09:50:49 UTC</t>
  </si>
  <si>
    <t>2022-05-24 17:59:43 UTC</t>
  </si>
  <si>
    <t>2022-08-30 19:02:04 UTC</t>
  </si>
  <si>
    <t>https://www.inaturalist.org/observations/118543889</t>
  </si>
  <si>
    <t>https://inaturalist-open-data.s3.amazonaws.com/photos/200298987/medium.jpeg</t>
  </si>
  <si>
    <t>FLAGGED: Likely same individual as in previous line</t>
  </si>
  <si>
    <t>2022-05-26 08:57:33 UTC</t>
  </si>
  <si>
    <t>charlesanyebepaul</t>
  </si>
  <si>
    <t>Charles Anyebe</t>
  </si>
  <si>
    <t>2022-05-26 09:07:42 UTC</t>
  </si>
  <si>
    <t>2022-08-30 19:01:59 UTC</t>
  </si>
  <si>
    <t>https://www.inaturalist.org/observations/118757772</t>
  </si>
  <si>
    <t>https://inaturalist-open-data.s3.amazonaws.com/photos/200687315/medium.jpeg</t>
  </si>
  <si>
    <t>State Secretariat</t>
  </si>
  <si>
    <t>2022-05-27 08:36:42 UTC</t>
  </si>
  <si>
    <t>Africa/Kigali</t>
  </si>
  <si>
    <t>shemathegame</t>
  </si>
  <si>
    <t>ShemaThegame Olivier12</t>
  </si>
  <si>
    <t>2022-05-27 08:52:24 UTC</t>
  </si>
  <si>
    <t>2022-11-14 06:10:01 UTC</t>
  </si>
  <si>
    <t>https://www.inaturalist.org/observations/118893379</t>
  </si>
  <si>
    <t>https://static.inaturalist.org/photos/200931488/medium.jpeg</t>
  </si>
  <si>
    <t>Hymenoptera, Insecta, Arthropoda</t>
  </si>
  <si>
    <t>Rutembagoyi Island, Rutsiro, Rwanda</t>
  </si>
  <si>
    <t>2022-05-27 08:35:35 UTC</t>
  </si>
  <si>
    <t>uwineza</t>
  </si>
  <si>
    <t>2022-05-27 09:22:14 UTC</t>
  </si>
  <si>
    <t>2022-11-14 06:10:17 UTC</t>
  </si>
  <si>
    <t>https://www.inaturalist.org/observations/118895081</t>
  </si>
  <si>
    <t>https://inaturalist-open-data.s3.amazonaws.com/photos/200934279/medium.jpeg</t>
  </si>
  <si>
    <t>Insect, Hymenoptera, Arthropoda</t>
  </si>
  <si>
    <t>Rutsiro, Rwanda</t>
  </si>
  <si>
    <t>2022-05-25 06:35:00 UTC</t>
  </si>
  <si>
    <t>2022-05-28 04:22:39 UTC</t>
  </si>
  <si>
    <t>2022-08-30 18:59:51 UTC</t>
  </si>
  <si>
    <t>https://www.inaturalist.org/observations/119014705</t>
  </si>
  <si>
    <t>https://static.inaturalist.org/photos/201150604/medium.jpeg</t>
  </si>
  <si>
    <t>Mahajanga Rural, Madagascar</t>
  </si>
  <si>
    <t>2022-05-28 09:03:23+02:00</t>
  </si>
  <si>
    <t>2022-05-28 07:03:23 UTC</t>
  </si>
  <si>
    <t>uwumukiza_delphine</t>
  </si>
  <si>
    <t>Uwumukiza Delphine</t>
  </si>
  <si>
    <t>2022-05-28 07:05:35 UTC</t>
  </si>
  <si>
    <t>2022-08-30 18:59:44 UTC</t>
  </si>
  <si>
    <t>https://www.inaturalist.org/observations/119024227</t>
  </si>
  <si>
    <t>https://static.inaturalist.org/photos/201168228/medium.jpg</t>
  </si>
  <si>
    <t>Wasps, Insect
Hymenoptera, Insecta, Arthropoda</t>
  </si>
  <si>
    <t>Lake Kivu, Prefecture de Kibuye, RW</t>
  </si>
  <si>
    <t>2022-05-28 07:49:44 UTC</t>
  </si>
  <si>
    <t>2022-05-28 07:52:46 UTC</t>
  </si>
  <si>
    <t>2022-05-28 17:45:15 UTC</t>
  </si>
  <si>
    <t>https://www.inaturalist.org/observations/119026605</t>
  </si>
  <si>
    <t>https://static.inaturalist.org/photos/201172862/medium.jpeg</t>
  </si>
  <si>
    <t>Nyamasheke, Rwanda</t>
  </si>
  <si>
    <t>2022-05-28 07:49:03 UTC</t>
  </si>
  <si>
    <t>lilyvictoria</t>
  </si>
  <si>
    <t>lilyvictoria ian</t>
  </si>
  <si>
    <t>2022-05-28 07:53:44 UTC</t>
  </si>
  <si>
    <t>2022-08-30 18:59:32 UTC</t>
  </si>
  <si>
    <t>https://www.inaturalist.org/observations/119026642</t>
  </si>
  <si>
    <t>https://static.inaturalist.org/photos/201172431/medium.jpeg</t>
  </si>
  <si>
    <t>2022-05-24 09:23:46 UTC</t>
  </si>
  <si>
    <t>2022-05-28 08:00:31 UTC</t>
  </si>
  <si>
    <t>2022-08-30 18:59:29 UTC</t>
  </si>
  <si>
    <t>https://www.inaturalist.org/observations/119026983</t>
  </si>
  <si>
    <t>https://inaturalist-open-data.s3.amazonaws.com/photos/201173083/medium.jpeg</t>
  </si>
  <si>
    <t>Bela-Bela Local Municipality, South Africa</t>
  </si>
  <si>
    <t>2022-05-28 08:25:22 UTC</t>
  </si>
  <si>
    <t>2022-05-28 08:37:12 UTC</t>
  </si>
  <si>
    <t>2022-05-28 17:45:03 UTC</t>
  </si>
  <si>
    <t>https://www.inaturalist.org/observations/119028968</t>
  </si>
  <si>
    <t>https://inaturalist-open-data.s3.amazonaws.com/photos/201176637/medium.jpeg</t>
  </si>
  <si>
    <t>Deformed wing virus</t>
  </si>
  <si>
    <t>iradukunda1</t>
  </si>
  <si>
    <t>Iradukunda Alain</t>
  </si>
  <si>
    <t>2022-05-28 11:31:12 UTC</t>
  </si>
  <si>
    <t>2022-05-28 11:31:25 UTC</t>
  </si>
  <si>
    <t>https://www.inaturalist.org/observations/119042949</t>
  </si>
  <si>
    <t>https://static.inaturalist.org/photos/201200074/medium.jpeg</t>
  </si>
  <si>
    <t>FLAGGED: Same observation as 119024227</t>
  </si>
  <si>
    <t>2022-05-28 12:54:00 UTC</t>
  </si>
  <si>
    <t>ntirenganya</t>
  </si>
  <si>
    <t>Ntirenganya Emmanuel</t>
  </si>
  <si>
    <t>2022-05-28 13:06:06 UTC</t>
  </si>
  <si>
    <t>2022-05-28 13:06:50 UTC</t>
  </si>
  <si>
    <t>https://www.inaturalist.org/observations/119052935</t>
  </si>
  <si>
    <t>https://static.inaturalist.org/photos/201216732/medium.jpeg</t>
  </si>
  <si>
    <t>2022-03-15 13:17:00 UTC</t>
  </si>
  <si>
    <t>eliegaget</t>
  </si>
  <si>
    <t>2022-05-29 08:31:11 UTC</t>
  </si>
  <si>
    <t>2022-08-30 18:59:18 UTC</t>
  </si>
  <si>
    <t>https://www.inaturalist.org/observations/119202642</t>
  </si>
  <si>
    <t>https://inaturalist-open-data.s3.amazonaws.com/photos/201477078/medium.jpg</t>
  </si>
  <si>
    <t>District de Lilongwe, Malawi</t>
  </si>
  <si>
    <t>2022-05-27 08:35:42 UTC</t>
  </si>
  <si>
    <t>2022-05-30 06:51:50 UTC</t>
  </si>
  <si>
    <t>2022-11-14 06:12:07 UTC</t>
  </si>
  <si>
    <t>https://www.inaturalist.org/observations/119382209</t>
  </si>
  <si>
    <t>https://inaturalist-open-data.s3.amazonaws.com/photos/201805651/medium.jpeg</t>
  </si>
  <si>
    <t>2022-05-20 2:11:40 PM GMT+02:00</t>
  </si>
  <si>
    <t>2022-05-20 12:11:40 UTC</t>
  </si>
  <si>
    <t>2022-06-01 05:01:09 UTC</t>
  </si>
  <si>
    <t>2022-06-21 12:22:12 UTC</t>
  </si>
  <si>
    <t>https://www.inaturalist.org/observations/119694737</t>
  </si>
  <si>
    <t>https://static.inaturalist.org/photos/202371766/medium.jpeg</t>
  </si>
  <si>
    <t>Zimbali Coastal Estate, Dolphin Coast, 4439, South Africa</t>
  </si>
  <si>
    <t>2022-06-01 06:24:00 UTC</t>
  </si>
  <si>
    <t>2022-06-01 07:55:25 UTC</t>
  </si>
  <si>
    <t>2022-06-01 17:17:03 UTC</t>
  </si>
  <si>
    <t>https://www.inaturalist.org/observations/119704832</t>
  </si>
  <si>
    <t>https://inaturalist-open-data.s3.amazonaws.com/photos/202389224/medium.jpeg</t>
  </si>
  <si>
    <t>Wed Jun 01 2022 09:07:28 GMT+0300 (GMT+3)</t>
  </si>
  <si>
    <t>2022-06-01 06:07:28 UTC</t>
  </si>
  <si>
    <t>2022-06-01 09:50:36 UTC</t>
  </si>
  <si>
    <t>2022-06-01 17:14:57 UTC</t>
  </si>
  <si>
    <t>https://www.inaturalist.org/observations/119711322</t>
  </si>
  <si>
    <t>https://inaturalist-open-data.s3.amazonaws.com/photos/202402376/medium.jpg</t>
  </si>
  <si>
    <t>2022-05-10 14:06:00 UTC</t>
  </si>
  <si>
    <t>Africa/Windhoek</t>
  </si>
  <si>
    <t>juliangums</t>
  </si>
  <si>
    <t>Julian Gums</t>
  </si>
  <si>
    <t>2022-06-01 14:15:00 UTC</t>
  </si>
  <si>
    <t>2022-09-27 20:13:51 UTC</t>
  </si>
  <si>
    <t>https://www.inaturalist.org/observations/119734275</t>
  </si>
  <si>
    <t>https://static.inaturalist.org/photos/202405233/medium.jpeg</t>
  </si>
  <si>
    <t>Katima Muliro Rural, Chobe, Zambezi, Namibia</t>
  </si>
  <si>
    <t>2022-05-11 09:41:00 UTC</t>
  </si>
  <si>
    <t>2022-06-01 14:15:02 UTC</t>
  </si>
  <si>
    <t>2022-09-27 20:13:38 UTC</t>
  </si>
  <si>
    <t>https://www.inaturalist.org/observations/119734281</t>
  </si>
  <si>
    <t>https://static.inaturalist.org/photos/202405339/medium.jpeg</t>
  </si>
  <si>
    <t>2022-06-02 09:55:00 UTC</t>
  </si>
  <si>
    <t>2022-06-02 11:32:03 UTC</t>
  </si>
  <si>
    <t>2022-06-20 11:23:14 UTC</t>
  </si>
  <si>
    <t>https://www.inaturalist.org/observations/119855726</t>
  </si>
  <si>
    <t>https://inaturalist-open-data.s3.amazonaws.com/photos/202658795/medium.jpeg</t>
  </si>
  <si>
    <t>Olivedale, Garden</t>
  </si>
  <si>
    <t>2022-06-02 12:24:30 UTC</t>
  </si>
  <si>
    <t>2022-06-02 12:50:23 UTC</t>
  </si>
  <si>
    <t>2022-09-22 04:04:18 UTC</t>
  </si>
  <si>
    <t>https://www.inaturalist.org/observations/119861983</t>
  </si>
  <si>
    <t>https://static.inaturalist.org/photos/202669980/medium.jpeg</t>
  </si>
  <si>
    <t>2022-04-21 04:18:00 UTC</t>
  </si>
  <si>
    <t>2022-06-04 04:30:43 UTC</t>
  </si>
  <si>
    <t>2022-06-20 10:38:59 UTC</t>
  </si>
  <si>
    <t>https://www.inaturalist.org/observations/120111183</t>
  </si>
  <si>
    <t>https://inaturalist-open-data.s3.amazonaws.com/photos/203117049/medium.gif</t>
  </si>
  <si>
    <t>Duplicate of: https://www.inaturalist.org/observations/113227385</t>
  </si>
  <si>
    <t>FLAGGED: Same observation as 113227385</t>
  </si>
  <si>
    <t>2022-06-05 12:22:30+02:00</t>
  </si>
  <si>
    <t>2022-06-05 10:22:30 UTC</t>
  </si>
  <si>
    <t>janet_taylor</t>
  </si>
  <si>
    <t>2022-06-05 10:36:50 UTC</t>
  </si>
  <si>
    <t>2022-08-30 18:58:11 UTC</t>
  </si>
  <si>
    <t>https://www.inaturalist.org/observations/120307813</t>
  </si>
  <si>
    <t>https://inaturalist-open-data.s3.amazonaws.com/photos/203467246/medium.jpg</t>
  </si>
  <si>
    <t>Eagle Crescent, KZN, ZA</t>
  </si>
  <si>
    <t>Declined post-emergence nest (nest cells empty, but several black-eyes remain)</t>
  </si>
  <si>
    <t>2018-12-26 08:46:00 UTC</t>
  </si>
  <si>
    <t>jandutoit</t>
  </si>
  <si>
    <t>2022-06-07 11:58:17 UTC</t>
  </si>
  <si>
    <t>2022-08-30 18:57:44 UTC</t>
  </si>
  <si>
    <t>https://www.inaturalist.org/observations/120652421</t>
  </si>
  <si>
    <t>https://inaturalist-open-data.s3.amazonaws.com/photos/204089875/medium.jpeg</t>
  </si>
  <si>
    <t>Roodekrans 183-Iq, Roodepoort, South Africa</t>
  </si>
  <si>
    <t>Wed Jun 08 2022 10:54:23 GMT +0300 (GMT+3)</t>
  </si>
  <si>
    <t>2022-06-08 07:54:23 UTC</t>
  </si>
  <si>
    <t>wreni</t>
  </si>
  <si>
    <t>Wren Edwards</t>
  </si>
  <si>
    <t>2022-06-08 11:49:39 UTC</t>
  </si>
  <si>
    <t>2022-06-08 16:08:33 UTC</t>
  </si>
  <si>
    <t>https://www.inaturalist.org/observations/120799050</t>
  </si>
  <si>
    <t>https://static.inaturalist.org/photos/204352948/medium.jpeg</t>
  </si>
  <si>
    <t>Kibale, UG-KE, UG</t>
  </si>
  <si>
    <t>2022-05-25 12:03:00 UTC</t>
  </si>
  <si>
    <t>2022-06-10 18:56:59 UTC</t>
  </si>
  <si>
    <t>2022-09-24 07:45:20 UTC</t>
  </si>
  <si>
    <t>https://www.inaturalist.org/observations/121126965</t>
  </si>
  <si>
    <t>https://inaturalist-open-data.s3.amazonaws.com/photos/204936480/medium.jpeg</t>
  </si>
  <si>
    <t>Masvingo, Zimbabwe</t>
  </si>
  <si>
    <t>2022-06-11 04:20:31 UTC</t>
  </si>
  <si>
    <t>2022-06-11 16:33:07 UTC</t>
  </si>
  <si>
    <t>2022-06-20 08:30:29 UTC</t>
  </si>
  <si>
    <t>https://www.inaturalist.org/observations/121257626</t>
  </si>
  <si>
    <t>https://static.inaturalist.org/photos/205170619/medium.jpeg</t>
  </si>
  <si>
    <t>2022-06-09 08:59:00 UTC</t>
  </si>
  <si>
    <t>rohanchak</t>
  </si>
  <si>
    <t>Rohan Chakravarty</t>
  </si>
  <si>
    <t>2022-06-12 06:39:51 UTC</t>
  </si>
  <si>
    <t>2022-08-30 18:55:30 UTC</t>
  </si>
  <si>
    <t>https://www.inaturalist.org/observations/121368989</t>
  </si>
  <si>
    <t>https://inaturalist-open-data.s3.amazonaws.com/photos/205372791/medium.jpeg</t>
  </si>
  <si>
    <t>Modderfontein, Lethabong, South Africa</t>
  </si>
  <si>
    <t>2022-06-12 12:59:44 UTC</t>
  </si>
  <si>
    <t>Africa/Banjul</t>
  </si>
  <si>
    <t>2022-06-12 17:18:17 UTC</t>
  </si>
  <si>
    <t>2022-06-12 17:18:37 UTC</t>
  </si>
  <si>
    <t>https://www.inaturalist.org/observations/121443693</t>
  </si>
  <si>
    <t>https://static.inaturalist.org/photos/205503578/medium.jpeg</t>
  </si>
  <si>
    <t>Abuko Nature Reserve</t>
  </si>
  <si>
    <t>2015-03-08 07:43:00 UTC</t>
  </si>
  <si>
    <t>2022-06-14 08:36:24 UTC</t>
  </si>
  <si>
    <t>2022-06-20 07:58:38 UTC</t>
  </si>
  <si>
    <t>https://www.inaturalist.org/observations/121707036</t>
  </si>
  <si>
    <t>https://inaturalist-open-data.s3.amazonaws.com/photos/205983674/medium.jpeg</t>
  </si>
  <si>
    <t>Whitethorn, Uitkyk Rd south of the N4 looping back to Nelspruit, Mpumalanga, South Africa</t>
  </si>
  <si>
    <t>Female presumably collecting tree sap, surrounded by other insects</t>
  </si>
  <si>
    <t>2022-06-10 16:54:21+02:00</t>
  </si>
  <si>
    <t>2022-06-10 14:54:21 UTC</t>
  </si>
  <si>
    <t>timothylloyd</t>
  </si>
  <si>
    <t>2022-06-16 05:28:17 UTC</t>
  </si>
  <si>
    <t>2022-08-30 18:55:20 UTC</t>
  </si>
  <si>
    <t>https://www.inaturalist.org/observations/121979408</t>
  </si>
  <si>
    <t>https://inaturalist-open-data.s3.amazonaws.com/photos/206475661/medium.jpg</t>
  </si>
  <si>
    <t>Hoima, UG</t>
  </si>
  <si>
    <t>2022-05-25 09:58:00 UTC</t>
  </si>
  <si>
    <t>Africa/Libreville</t>
  </si>
  <si>
    <t>bureaubenjamin</t>
  </si>
  <si>
    <t>2022-06-17 10:03:22 UTC</t>
  </si>
  <si>
    <t>2022-08-30 18:55:18 UTC</t>
  </si>
  <si>
    <t>https://www.inaturalist.org/observations/122139706</t>
  </si>
  <si>
    <t>https://inaturalist-open-data.s3.amazonaws.com/photos/206763532/medium.jpeg</t>
  </si>
  <si>
    <t>fusÃ©e pylone</t>
  </si>
  <si>
    <t>Unusual architecure. Appears to be pupae cap behind central wasp.</t>
  </si>
  <si>
    <t>2022-06-09 10:55:00 UTC</t>
  </si>
  <si>
    <t>jacqui_badenhorst</t>
  </si>
  <si>
    <t>2022-06-18 16:00:44 UTC</t>
  </si>
  <si>
    <t>2022-09-22 07:47:19 UTC</t>
  </si>
  <si>
    <t>https://www.inaturalist.org/observations/122326292</t>
  </si>
  <si>
    <t>https://inaturalist-open-data.s3.amazonaws.com/photos/207097463/medium.jpg</t>
  </si>
  <si>
    <t>Ais - Ais/Richtersveld, ZA-NC-NA, ZA-NC, ZA</t>
  </si>
  <si>
    <t>2019-03-06 07:00:00 UTC</t>
  </si>
  <si>
    <t>2022-06-22 08:35:02 UTC</t>
  </si>
  <si>
    <t>2022-06-28 07:52:17 UTC</t>
  </si>
  <si>
    <t>https://www.inaturalist.org/observations/122922553</t>
  </si>
  <si>
    <t>https://inaturalist-open-data.s3.amazonaws.com/photos/208181331/medium.jpg</t>
  </si>
  <si>
    <t>Florida Park, Roodepoort, 1709, South Africa</t>
  </si>
  <si>
    <t>Thu Jun 23 2022 14:17:06 GMT+0300 (GMT+3)</t>
  </si>
  <si>
    <t>2022-06-23 11:17:06 UTC</t>
  </si>
  <si>
    <t>2022-06-23 14:43:16 UTC</t>
  </si>
  <si>
    <t>2022-06-23 16:49:00 UTC</t>
  </si>
  <si>
    <t>https://www.inaturalist.org/observations/123089008</t>
  </si>
  <si>
    <t>https://inaturalist-open-data.s3.amazonaws.com/photos/208483651/medium.jpg</t>
  </si>
  <si>
    <t>As line above (second photo - central nest)</t>
  </si>
  <si>
    <t>As line above (second photo - upper-left nest)</t>
  </si>
  <si>
    <t>As line above (second photo - upper-right nest)</t>
  </si>
  <si>
    <t>2022-06-16 15:35:00 UTC</t>
  </si>
  <si>
    <t>biancazoletto</t>
  </si>
  <si>
    <t>2022-06-25 07:40:48 UTC</t>
  </si>
  <si>
    <t>2022-09-22 04:03:08 UTC</t>
  </si>
  <si>
    <t>https://www.inaturalist.org/observations/123329924</t>
  </si>
  <si>
    <t>https://inaturalist-open-data.s3.amazonaws.com/photos/208919024/medium.jpeg</t>
  </si>
  <si>
    <t>Nyamagabe, Rwanda</t>
  </si>
  <si>
    <t>Sat Jun 25 2022 15:30:15 GMT+0300 (GMT+3)</t>
  </si>
  <si>
    <t>2022-06-25 12:30:15 UTC</t>
  </si>
  <si>
    <t>2022-06-25 12:30:52 UTC</t>
  </si>
  <si>
    <t>2022-06-25 18:21:21 UTC</t>
  </si>
  <si>
    <t>https://www.inaturalist.org/observations/123351631</t>
  </si>
  <si>
    <t>https://inaturalist-open-data.s3.amazonaws.com/photos/208956452/medium.jpg</t>
  </si>
  <si>
    <t>Muguga Green, Nairobi, Nairobi, KE</t>
  </si>
  <si>
    <t>usavalli</t>
  </si>
  <si>
    <t>2022-06-25 23:01:33 UTC</t>
  </si>
  <si>
    <t>2022-06-26 07:25:27 UTC</t>
  </si>
  <si>
    <t>https://www.inaturalist.org/observations/123440968</t>
  </si>
  <si>
    <t>https://inaturalist-open-data.s3.amazonaws.com/photos/209114426/medium.jpg</t>
  </si>
  <si>
    <t>Kakamega Natl Reserve, Kenya</t>
  </si>
  <si>
    <t>2022-07-02 12:24:00 UTC</t>
  </si>
  <si>
    <t>aboonga</t>
  </si>
  <si>
    <t>2022-07-02 12:27:03 UTC</t>
  </si>
  <si>
    <t>2022-10-19 11:27:43 UTC</t>
  </si>
  <si>
    <t>https://www.inaturalist.org/observations/124374927</t>
  </si>
  <si>
    <t>https://inaturalist-open-data.s3.amazonaws.com/photos/210807001/medium.jpg</t>
  </si>
  <si>
    <t>Albany, Hillcrest, 3610, South Africa</t>
  </si>
  <si>
    <t>2022-07-02 11:26:57+02:00</t>
  </si>
  <si>
    <t>2022-07-02 09:26:57 UTC</t>
  </si>
  <si>
    <t>caspertvedejacobsen</t>
  </si>
  <si>
    <t>Casper Tvede Jacobsen</t>
  </si>
  <si>
    <t>2022-07-02 12:56:22 UTC</t>
  </si>
  <si>
    <t>2022-08-30 18:55:05 UTC</t>
  </si>
  <si>
    <t>https://www.inaturalist.org/observations/124377827</t>
  </si>
  <si>
    <t>https://static.inaturalist.org/photos/210812761/medium.jpg</t>
  </si>
  <si>
    <t>Victoria Falls National Park, 2, Matabeleland North, ZW</t>
  </si>
  <si>
    <t>2022-07-04 12:47:38 UTC</t>
  </si>
  <si>
    <t>2022-07-04 12:49:07 UTC</t>
  </si>
  <si>
    <t>2022-08-30 18:53:38 UTC</t>
  </si>
  <si>
    <t>https://www.inaturalist.org/observations/124714971</t>
  </si>
  <si>
    <t>https://static.inaturalist.org/photos/211417266/medium.jpeg</t>
  </si>
  <si>
    <t>WCV6+XP9, Mabanza, Rwanda</t>
  </si>
  <si>
    <t>2022-03-20 15:48:00 UTC</t>
  </si>
  <si>
    <t>cassyvogel</t>
  </si>
  <si>
    <t>Cassy</t>
  </si>
  <si>
    <t>2022-07-07 14:58:57 UTC</t>
  </si>
  <si>
    <t>2022-08-30 18:53:00 UTC</t>
  </si>
  <si>
    <t>https://www.inaturalist.org/observations/125171614</t>
  </si>
  <si>
    <t>https://inaturalist-open-data.s3.amazonaws.com/photos/212245777/medium.jpeg</t>
  </si>
  <si>
    <t>Mzimba, Malawi</t>
  </si>
  <si>
    <t>2013-02-28 21:10:00 UTC</t>
  </si>
  <si>
    <t>nicolas_madagascar</t>
  </si>
  <si>
    <t>Nicolas Cliquennois</t>
  </si>
  <si>
    <t>2022-07-08 08:11:29 UTC</t>
  </si>
  <si>
    <t>2022-08-30 18:52:42 UTC</t>
  </si>
  <si>
    <t>https://www.inaturalist.org/observations/125276240</t>
  </si>
  <si>
    <t>https://inaturalist-open-data.s3.amazonaws.com/photos/212438333/medium.jpeg</t>
  </si>
  <si>
    <t>Ampasipohy, Madagascar</t>
  </si>
  <si>
    <t>Wed Jul 06 2022 11:55:54 GMT +0300 (GMT+3)</t>
  </si>
  <si>
    <t>2022-07-06 08:55:54 UTC</t>
  </si>
  <si>
    <t>camkenya</t>
  </si>
  <si>
    <t>2022-07-08 10:26:31 UTC</t>
  </si>
  <si>
    <t>2022-08-30 18:52:38 UTC</t>
  </si>
  <si>
    <t>https://www.inaturalist.org/observations/125283625</t>
  </si>
  <si>
    <t>https://inaturalist-open-data.s3.amazonaws.com/photos/212451061/medium.jpeg</t>
  </si>
  <si>
    <t>2022-07-09 20:04:02+03:00</t>
  </si>
  <si>
    <t>2022-07-09 17:04:02 UTC</t>
  </si>
  <si>
    <t>hmg_lattorff</t>
  </si>
  <si>
    <t>Michael Lattorff</t>
  </si>
  <si>
    <t>2022-07-09 17:23:59 UTC</t>
  </si>
  <si>
    <t>2022-07-16 04:53:44 UTC</t>
  </si>
  <si>
    <t>https://www.inaturalist.org/observations/125476368</t>
  </si>
  <si>
    <t>https://inaturalist-open-data.s3.amazonaws.com/photos/212789876/medium.jpg</t>
  </si>
  <si>
    <t>Acacia Drive, Nairobi, Nairobi, KE</t>
  </si>
  <si>
    <t>2022-06-08 15:26:11+03:00</t>
  </si>
  <si>
    <t>2022-06-08 12:26:11 UTC</t>
  </si>
  <si>
    <t>epickerill</t>
  </si>
  <si>
    <t>2022-07-10 08:08:26 UTC</t>
  </si>
  <si>
    <t>2022-08-30 18:52:26 UTC</t>
  </si>
  <si>
    <t>https://www.inaturalist.org/observations/125573917</t>
  </si>
  <si>
    <t>https://inaturalist-open-data.s3.amazonaws.com/photos/212967588/medium.jpg</t>
  </si>
  <si>
    <t>Kigongi, Kabale, Western, UG</t>
  </si>
  <si>
    <t>2021-06-06 13:24:00 UTC</t>
  </si>
  <si>
    <t>2022-07-10 10:59:46 UTC</t>
  </si>
  <si>
    <t>2022-08-30 18:52:24 UTC</t>
  </si>
  <si>
    <t>https://www.inaturalist.org/observations/125587630</t>
  </si>
  <si>
    <t>https://inaturalist-open-data.s3.amazonaws.com/photos/212991012/medium.jpeg</t>
  </si>
  <si>
    <t>Runda, Nairobi, Kenia</t>
  </si>
  <si>
    <t>2022-07-10 12:33:00 UTC</t>
  </si>
  <si>
    <t>2022-07-10 13:11:48 UTC</t>
  </si>
  <si>
    <t>2022-08-30 18:52:17 UTC</t>
  </si>
  <si>
    <t>https://www.inaturalist.org/observations/125602056</t>
  </si>
  <si>
    <t>https://inaturalist-open-data.s3.amazonaws.com/photos/213015925/medium.jpeg</t>
  </si>
  <si>
    <t>2019-10-13 14:04:00 UTC</t>
  </si>
  <si>
    <t>2022-07-12 11:27:48 UTC</t>
  </si>
  <si>
    <t>2022-10-19 07:30:05 UTC</t>
  </si>
  <si>
    <t>https://www.inaturalist.org/observations/125910650</t>
  </si>
  <si>
    <t>https://inaturalist-open-data.s3.amazonaws.com/photos/213579451/medium.jpeg</t>
  </si>
  <si>
    <t>Parkview, Johannesburg, 2122, South Africa</t>
  </si>
  <si>
    <t>2022-07-04 13:44:23+03:00</t>
  </si>
  <si>
    <t>2022-07-04 10:44:23 UTC</t>
  </si>
  <si>
    <t>2022-07-14 00:23:56 UTC</t>
  </si>
  <si>
    <t>2022-09-22 04:02:16 UTC</t>
  </si>
  <si>
    <t>https://www.inaturalist.org/observations/126140655</t>
  </si>
  <si>
    <t>https://inaturalist-open-data.s3.amazonaws.com/photos/213991569/medium.jpg</t>
  </si>
  <si>
    <t>Meru, TZ</t>
  </si>
  <si>
    <t>2022-07-14 11:20:30 UTC</t>
  </si>
  <si>
    <t>simone429</t>
  </si>
  <si>
    <t>Simone Romano</t>
  </si>
  <si>
    <t>2022-07-14 11:21:55 UTC</t>
  </si>
  <si>
    <t>2022-07-14 11:22:01 UTC</t>
  </si>
  <si>
    <t>https://www.inaturalist.org/observations/126188866</t>
  </si>
  <si>
    <t>https://static.inaturalist.org/photos/214083756/medium.jpeg</t>
  </si>
  <si>
    <t>2022-07-11 13:08:00 UTC</t>
  </si>
  <si>
    <t>Africa/Mbabane</t>
  </si>
  <si>
    <t>2022-07-15 09:11:44 UTC</t>
  </si>
  <si>
    <t>2022-09-22 15:51:44 UTC</t>
  </si>
  <si>
    <t>https://www.inaturalist.org/observations/126318695</t>
  </si>
  <si>
    <t>https://static.inaturalist.org/photos/214318552/medium.jpg</t>
  </si>
  <si>
    <t>Lobamba, Eswatini</t>
  </si>
  <si>
    <t>2022-07-16 09:18:00 UTC</t>
  </si>
  <si>
    <t>dinofelis</t>
  </si>
  <si>
    <t>Warren Lewis</t>
  </si>
  <si>
    <t>2022-07-17 07:53:52 UTC</t>
  </si>
  <si>
    <t>2022-10-13 09:51:10 UTC</t>
  </si>
  <si>
    <t>https://www.inaturalist.org/observations/126607323</t>
  </si>
  <si>
    <t>https://inaturalist-open-data.s3.amazonaws.com/photos/214835729/medium.jpeg</t>
  </si>
  <si>
    <t>Betty's Bay, 7141, South Africa</t>
  </si>
  <si>
    <t>2022-07-15 19:50:00 UTC</t>
  </si>
  <si>
    <t>2022-07-18 16:55:14 UTC</t>
  </si>
  <si>
    <t>2022-10-13 09:33:33 UTC</t>
  </si>
  <si>
    <t>https://www.inaturalist.org/observations/126833947</t>
  </si>
  <si>
    <t>https://inaturalist-open-data.s3.amazonaws.com/photos/215244310/medium.jpg</t>
  </si>
  <si>
    <t>with Adriaan Jordaan</t>
  </si>
  <si>
    <t>Elangeni Hiking Trail, Elands River</t>
  </si>
  <si>
    <t>2022-07-12 09:26:00 UTC</t>
  </si>
  <si>
    <t>2022-07-21 07:46:51 UTC</t>
  </si>
  <si>
    <t>2022-08-30 18:52:07 UTC</t>
  </si>
  <si>
    <t>https://www.inaturalist.org/observations/127195818</t>
  </si>
  <si>
    <t>https://static.inaturalist.org/photos/215914080/medium.jpg</t>
  </si>
  <si>
    <t>2022-07-12 09:28:00 UTC</t>
  </si>
  <si>
    <t>2022-07-21 07:54:07 UTC</t>
  </si>
  <si>
    <t>2022-08-30 18:52:05 UTC</t>
  </si>
  <si>
    <t>https://www.inaturalist.org/observations/127196243</t>
  </si>
  <si>
    <t>https://static.inaturalist.org/photos/215914834/medium.jpg</t>
  </si>
  <si>
    <t>2022-05-15 11:03:00 UTC</t>
  </si>
  <si>
    <t>2022-07-22 20:41:47 UTC</t>
  </si>
  <si>
    <t>2022-08-30 18:51:02 UTC</t>
  </si>
  <si>
    <t>https://www.inaturalist.org/observations/127411399</t>
  </si>
  <si>
    <t>https://inaturalist-open-data.s3.amazonaws.com/photos/216304108/medium.jpg</t>
  </si>
  <si>
    <t>In roof of a rondavel</t>
  </si>
  <si>
    <t>Interesting observation: hundreds of wasps, including many visible males, apparently in hibernation cluster.</t>
  </si>
  <si>
    <t>2022-07-21 07:34:00 UTC</t>
  </si>
  <si>
    <t>2022-07-23 13:04:32 UTC</t>
  </si>
  <si>
    <t>2022-10-13 08:50:50 UTC</t>
  </si>
  <si>
    <t>https://www.inaturalist.org/observations/127497061</t>
  </si>
  <si>
    <t>https://inaturalist-open-data.s3.amazonaws.com/photos/216458991/medium.jpg</t>
  </si>
  <si>
    <t>Avondale farm, Ugu District Municipality, South Africa</t>
  </si>
  <si>
    <t>Another interesting observation: many wasps tightly packed into a crevice in a rock</t>
  </si>
  <si>
    <t>2022-07-23 08:13:00 UTC</t>
  </si>
  <si>
    <t>2022-07-23 14:24:40 UTC</t>
  </si>
  <si>
    <t>2022-08-30 18:50:37 UTC</t>
  </si>
  <si>
    <t>https://www.inaturalist.org/observations/127507416</t>
  </si>
  <si>
    <t>https://inaturalist-open-data.s3.amazonaws.com/photos/216469579/medium.jpeg</t>
  </si>
  <si>
    <t>2022-07-24 11:46:06 UTC</t>
  </si>
  <si>
    <t>2022-07-24 12:41:40 UTC</t>
  </si>
  <si>
    <t>2022-10-13 08:26:02 UTC</t>
  </si>
  <si>
    <t>https://www.inaturalist.org/observations/127664280</t>
  </si>
  <si>
    <t>https://static.inaturalist.org/photos/216761816/medium.jpeg</t>
  </si>
  <si>
    <t>2022-07-16 07:48:00 UTC</t>
  </si>
  <si>
    <t>2022-07-24 14:11:28 UTC</t>
  </si>
  <si>
    <t>2022-10-13 08:24:08 UTC</t>
  </si>
  <si>
    <t>https://www.inaturalist.org/observations/127675204</t>
  </si>
  <si>
    <t>https://inaturalist-open-data.s3.amazonaws.com/photos/216750438/medium.jpg</t>
  </si>
  <si>
    <t>See plant  https://www.inaturalist.org/observations/127675203</t>
  </si>
  <si>
    <t>2022-05-16 11:41:00 UTC</t>
  </si>
  <si>
    <t>2022-07-25 19:31:12 UTC</t>
  </si>
  <si>
    <t>2022-09-09 17:26:06 UTC</t>
  </si>
  <si>
    <t>https://www.inaturalist.org/observations/127887495</t>
  </si>
  <si>
    <t>https://inaturalist-open-data.s3.amazonaws.com/photos/217166428/medium.jpg</t>
  </si>
  <si>
    <t>Beryl Dr, Bulawayo, Zimbabwe</t>
  </si>
  <si>
    <t>2022-07-26 12:02:42 UTC</t>
  </si>
  <si>
    <t>2022-07-26 12:48:40 UTC</t>
  </si>
  <si>
    <t>2022-10-13 07:03:25 UTC</t>
  </si>
  <si>
    <t>https://www.inaturalist.org/observations/127984835</t>
  </si>
  <si>
    <t>https://static.inaturalist.org/photos/217347074/medium.jpeg</t>
  </si>
  <si>
    <t>2022-07-26 15:11:14 UTC</t>
  </si>
  <si>
    <t>America/Guayaquil</t>
  </si>
  <si>
    <t>joss38</t>
  </si>
  <si>
    <t>Joss Arevalo</t>
  </si>
  <si>
    <t>2022-07-26 15:12:50 UTC</t>
  </si>
  <si>
    <t>2022-07-26 15:13:21 UTC</t>
  </si>
  <si>
    <t>https://www.inaturalist.org/observations/128001256</t>
  </si>
  <si>
    <t>https://static.inaturalist.org/photos/217376848/medium.jpeg</t>
  </si>
  <si>
    <t>Thu Jul 28 2022 16:12:42 GMT +0300 (GMT+3)</t>
  </si>
  <si>
    <t>2022-07-28 13:12:42 UTC</t>
  </si>
  <si>
    <t>julied1990</t>
  </si>
  <si>
    <t>2022-07-28 15:35:28 UTC</t>
  </si>
  <si>
    <t>2022-08-30 18:48:55 UTC</t>
  </si>
  <si>
    <t>https://www.inaturalist.org/observations/128309077</t>
  </si>
  <si>
    <t>https://inaturalist-open-data.s3.amazonaws.com/photos/218130931/medium.jpeg</t>
  </si>
  <si>
    <t>Nakasongola, UG-NA-BR, UG</t>
  </si>
  <si>
    <t>2022-07-31 5:11:00 ä¸‹åˆ GMT+08:00</t>
  </si>
  <si>
    <t>2022-07-31 09:11:00 UTC</t>
  </si>
  <si>
    <t>Beijing</t>
  </si>
  <si>
    <t>sldtg</t>
  </si>
  <si>
    <t>2022-07-31 09:11:59 UTC</t>
  </si>
  <si>
    <t>https://www.inaturalist.org/observations/128765437</t>
  </si>
  <si>
    <t>Xishuangbanna Dai, CN-YN, CN</t>
  </si>
  <si>
    <t>2022-07-30 13:23:00 UTC</t>
  </si>
  <si>
    <t>2022-07-31 14:45:42 UTC</t>
  </si>
  <si>
    <t>2022-09-22 04:01:43 UTC</t>
  </si>
  <si>
    <t>https://www.inaturalist.org/observations/128800757</t>
  </si>
  <si>
    <t>https://inaturalist-open-data.s3.amazonaws.com/photos/218811069/medium.jpeg</t>
  </si>
  <si>
    <t>Kasarani, Nairobi, Kenya</t>
  </si>
  <si>
    <t>2022-07-30 09:44:11 UTC</t>
  </si>
  <si>
    <t>kalium_puceon</t>
  </si>
  <si>
    <t>Kali</t>
  </si>
  <si>
    <t>2022-08-01 09:09:32 UTC</t>
  </si>
  <si>
    <t>2022-10-12 09:05:07 UTC</t>
  </si>
  <si>
    <t>https://www.inaturalist.org/observations/128949034</t>
  </si>
  <si>
    <t>https://inaturalist-open-data.s3.amazonaws.com/photos/219080213/medium.jpeg</t>
  </si>
  <si>
    <t>Sterkfontein DMA, South Africa</t>
  </si>
  <si>
    <t>2022-08-04 07:48:00 UTC</t>
  </si>
  <si>
    <t>Africa/Bujumbura</t>
  </si>
  <si>
    <t>evamana_kv</t>
  </si>
  <si>
    <t>evamana.kv</t>
  </si>
  <si>
    <t>2022-08-04 08:54:32 UTC</t>
  </si>
  <si>
    <t>2022-09-22 04:01:13 UTC</t>
  </si>
  <si>
    <t>https://www.inaturalist.org/observations/129387005</t>
  </si>
  <si>
    <t>https://static.inaturalist.org/photos/219875353/medium.jpeg</t>
  </si>
  <si>
    <t>Bujumbura, Burundi</t>
  </si>
  <si>
    <t>2022-08-04 15:09:17+02:00</t>
  </si>
  <si>
    <t>2022-08-04 13:09:17 UTC</t>
  </si>
  <si>
    <t>Africa/Lusaka</t>
  </si>
  <si>
    <t>kirstyh2</t>
  </si>
  <si>
    <t>2022-08-04 13:09:50 UTC</t>
  </si>
  <si>
    <t>2022-09-22 04:01:09 UTC</t>
  </si>
  <si>
    <t>https://www.inaturalist.org/observations/129404237</t>
  </si>
  <si>
    <t>https://inaturalist-open-data.s3.amazonaws.com/photos/219906081/medium.jpg</t>
  </si>
  <si>
    <t>Lusaka, ZM</t>
  </si>
  <si>
    <t>2022-08-05 16:18:09+02:00</t>
  </si>
  <si>
    <t>2022-08-05 14:18:09 UTC</t>
  </si>
  <si>
    <t>martin_fichtler</t>
  </si>
  <si>
    <t>2022-08-05 14:26:37 UTC</t>
  </si>
  <si>
    <t>2022-10-11 10:41:38 UTC</t>
  </si>
  <si>
    <t>https://www.inaturalist.org/observations/129544194</t>
  </si>
  <si>
    <t>https://inaturalist-open-data.s3.amazonaws.com/photos/220163780/medium.jpg</t>
  </si>
  <si>
    <t>Makhado, Louis Trichardt, LP, ZA</t>
  </si>
  <si>
    <t>2022-08-06 10:40:00 UTC</t>
  </si>
  <si>
    <t>2022-08-06 14:36:05 UTC</t>
  </si>
  <si>
    <t>2022-10-11 10:29:15 UTC</t>
  </si>
  <si>
    <t>https://www.inaturalist.org/observations/129677785</t>
  </si>
  <si>
    <t>https://inaturalist-open-data.s3.amazonaws.com/photos/220411606/medium.jpeg</t>
  </si>
  <si>
    <t>2022-08-08 10:06:43+02:00</t>
  </si>
  <si>
    <t>2022-08-08 08:06:43 UTC</t>
  </si>
  <si>
    <t>2022-08-08 11:22:38 UTC</t>
  </si>
  <si>
    <t>2022-10-11 08:56:46 UTC</t>
  </si>
  <si>
    <t>https://www.inaturalist.org/observations/129962535</t>
  </si>
  <si>
    <t>https://inaturalist-open-data.s3.amazonaws.com/photos/220942292/medium.jpg</t>
  </si>
  <si>
    <t>Tue Aug 09 2022 14:02:51 GMT+0300 (GMT+3)</t>
  </si>
  <si>
    <t>2022-08-09 11:02:51 UTC</t>
  </si>
  <si>
    <t>2022-08-09 11:03:04 UTC</t>
  </si>
  <si>
    <t>2022-08-30 18:48:19 UTC</t>
  </si>
  <si>
    <t>https://www.inaturalist.org/observations/130092496</t>
  </si>
  <si>
    <t>https://inaturalist-open-data.s3.amazonaws.com/photos/221183989/medium.jpg</t>
  </si>
  <si>
    <t>Kipande Road, Nairobi, Nairobi, KE</t>
  </si>
  <si>
    <t>2022-07-27 14:45:37 UTC</t>
  </si>
  <si>
    <t>Africa/Accra</t>
  </si>
  <si>
    <t>ekpe</t>
  </si>
  <si>
    <t>Attah Julius</t>
  </si>
  <si>
    <t>2022-08-10 09:55:52 UTC</t>
  </si>
  <si>
    <t>2022-08-30 18:48:01 UTC</t>
  </si>
  <si>
    <t>https://www.inaturalist.org/observations/130220799</t>
  </si>
  <si>
    <t>https://inaturalist-open-data.s3.amazonaws.com/photos/221425598/medium.jpeg</t>
  </si>
  <si>
    <t>Amedzofe</t>
  </si>
  <si>
    <t>2022-08-10 10:16:00 UTC</t>
  </si>
  <si>
    <t>2022-08-11 07:50:13 UTC</t>
  </si>
  <si>
    <t>2022-10-11 06:43:53 UTC</t>
  </si>
  <si>
    <t>https://www.inaturalist.org/observations/130346648</t>
  </si>
  <si>
    <t>https://inaturalist-open-data.s3.amazonaws.com/photos/221660467/medium.jpg</t>
  </si>
  <si>
    <t>mkriek</t>
  </si>
  <si>
    <t>M Kriek</t>
  </si>
  <si>
    <t>2022-08-12 08:57:32 UTC</t>
  </si>
  <si>
    <t>2022-10-11 06:24:17 UTC</t>
  </si>
  <si>
    <t>https://www.inaturalist.org/observations/130475482</t>
  </si>
  <si>
    <t>https://inaturalist-open-data.s3.amazonaws.com/photos/221898967/medium.jpeg</t>
  </si>
  <si>
    <t>Ignore the third photograph of these three, which does not seem to be Belonogaster</t>
  </si>
  <si>
    <t>2020-05-02 11:56:00 UTC</t>
  </si>
  <si>
    <t>2022-08-15 07:44:25 UTC</t>
  </si>
  <si>
    <t>2022-10-10 10:16:40 UTC</t>
  </si>
  <si>
    <t>https://www.inaturalist.org/observations/130906866</t>
  </si>
  <si>
    <t>https://inaturalist-open-data.s3.amazonaws.com/photos/222688614/medium.jpg</t>
  </si>
  <si>
    <t>2022-08-09 20:39:36+02:00</t>
  </si>
  <si>
    <t>2022-08-09 18:39:36 UTC</t>
  </si>
  <si>
    <t>balinsky</t>
  </si>
  <si>
    <t>2022-08-15 12:10:22 UTC</t>
  </si>
  <si>
    <t>2022-08-30 18:45:26 UTC</t>
  </si>
  <si>
    <t>https://www.inaturalist.org/observations/130922112</t>
  </si>
  <si>
    <t>https://inaturalist-open-data.s3.amazonaws.com/photos/222721571/medium.jpg</t>
  </si>
  <si>
    <t>1, Matabeleland North, ZW</t>
  </si>
  <si>
    <t>2016-11-13 15:10:00 UTC</t>
  </si>
  <si>
    <t>Africa/Maputo</t>
  </si>
  <si>
    <t>gabrielajamie</t>
  </si>
  <si>
    <t>Gabriel Jamie</t>
  </si>
  <si>
    <t>2022-08-16 20:27:35 UTC</t>
  </si>
  <si>
    <t>2022-09-22 07:46:26 UTC</t>
  </si>
  <si>
    <t>https://www.inaturalist.org/observations/131115548</t>
  </si>
  <si>
    <t>https://inaturalist-open-data.s3.amazonaws.com/photos/223077596/medium.jpeg</t>
  </si>
  <si>
    <t>Sanga, MZ-NS, MZ</t>
  </si>
  <si>
    <t>2016-11-25 09:28:00 UTC</t>
  </si>
  <si>
    <t>2022-08-16 20:27:36 UTC</t>
  </si>
  <si>
    <t>2022-09-22 07:46:24 UTC</t>
  </si>
  <si>
    <t>https://www.inaturalist.org/observations/131115551</t>
  </si>
  <si>
    <t>https://inaturalist-open-data.s3.amazonaws.com/photos/223077876/medium.jpeg</t>
  </si>
  <si>
    <t>2022-08-18 08:49:08 UTC</t>
  </si>
  <si>
    <t>silver57</t>
  </si>
  <si>
    <t>2022-08-18 09:02:18 UTC</t>
  </si>
  <si>
    <t>2022-09-22 07:46:21 UTC</t>
  </si>
  <si>
    <t>https://www.inaturalist.org/observations/131309426</t>
  </si>
  <si>
    <t>https://inaturalist-open-data.s3.amazonaws.com/photos/223439170/medium.jpeg</t>
  </si>
  <si>
    <t>347 President Ave - Private, Bag K4, Kasane, Botswana</t>
  </si>
  <si>
    <t>Unclear why females aggregating</t>
  </si>
  <si>
    <t>2022-08-18 08:30:14+02:00</t>
  </si>
  <si>
    <t>2022-08-18 06:30:14 UTC</t>
  </si>
  <si>
    <t>pseudotsugabiloba</t>
  </si>
  <si>
    <t>2022-08-18 11:44:22 UTC</t>
  </si>
  <si>
    <t>2022-10-10 08:27:22 UTC</t>
  </si>
  <si>
    <t>https://www.inaturalist.org/observations/131318915</t>
  </si>
  <si>
    <t>https://inaturalist-open-data.s3.amazonaws.com/photos/223456354/medium.jpg</t>
  </si>
  <si>
    <t>Dinokeng Game Reserve, Hammanskraal, GP, ZA</t>
  </si>
  <si>
    <t>2022-08-19 12:21:30 UTC</t>
  </si>
  <si>
    <t>todd_forden</t>
  </si>
  <si>
    <t>Todd Forden</t>
  </si>
  <si>
    <t>2022-08-19 12:23:02 UTC</t>
  </si>
  <si>
    <t>2022-08-30 18:44:55 UTC</t>
  </si>
  <si>
    <t>https://www.inaturalist.org/observations/131444451</t>
  </si>
  <si>
    <t>https://static.inaturalist.org/photos/223691848/medium.jpeg</t>
  </si>
  <si>
    <t>H644+PWF, Kenya</t>
  </si>
  <si>
    <t>2022-08-19 15:02:54 UTC</t>
  </si>
  <si>
    <t>kyle_campbell1</t>
  </si>
  <si>
    <t>Kyle Campbell</t>
  </si>
  <si>
    <t>2022-08-19 19:37:47 UTC</t>
  </si>
  <si>
    <t>2022-10-10 11:24:49 UTC</t>
  </si>
  <si>
    <t>https://www.inaturalist.org/observations/131489848</t>
  </si>
  <si>
    <t>https://inaturalist-open-data.s3.amazonaws.com/photos/223774935/medium.jpeg</t>
  </si>
  <si>
    <t>Carletonville, 2499, South Africa</t>
  </si>
  <si>
    <t>2022-08-20 17:24:42+03:00</t>
  </si>
  <si>
    <t>2022-08-20 14:24:42 UTC</t>
  </si>
  <si>
    <t>kyle_edgerton</t>
  </si>
  <si>
    <t>Kyle Edgerton</t>
  </si>
  <si>
    <t>2022-08-20 14:25:40 UTC</t>
  </si>
  <si>
    <t>2022-08-30 18:44:46 UTC</t>
  </si>
  <si>
    <t>https://www.inaturalist.org/observations/131583208</t>
  </si>
  <si>
    <t>https://static.inaturalist.org/photos/224267209/medium.jpg</t>
  </si>
  <si>
    <t>Kajiado East, Kajiado, Kajiado, KE</t>
  </si>
  <si>
    <t>Tue Jul 19 2022 19:23:37 GMT+0100 (GMT+1)</t>
  </si>
  <si>
    <t>2022-07-19 18:23:37 UTC</t>
  </si>
  <si>
    <t>tinusodendaal</t>
  </si>
  <si>
    <t>Tinus Odendaal</t>
  </si>
  <si>
    <t>2022-08-21 13:42:04 UTC</t>
  </si>
  <si>
    <t>2022-08-30 18:44:17 UTC</t>
  </si>
  <si>
    <t>https://www.inaturalist.org/observations/131727868</t>
  </si>
  <si>
    <t>https://inaturalist-open-data.s3.amazonaws.com/photos/224215580/medium.jpg</t>
  </si>
  <si>
    <t>Dibombari, Littoral, CM</t>
  </si>
  <si>
    <t>2022-08-20 12:28:59+02:00</t>
  </si>
  <si>
    <t>2022-08-20 10:28:59 UTC</t>
  </si>
  <si>
    <t>krystalfullmer</t>
  </si>
  <si>
    <t>2022-08-23 15:49:47 UTC</t>
  </si>
  <si>
    <t>2022-08-30 18:41:23 UTC</t>
  </si>
  <si>
    <t>https://www.inaturalist.org/observations/132020702</t>
  </si>
  <si>
    <t>https://inaturalist-open-data.s3.amazonaws.com/photos/224761969/medium.jpg</t>
  </si>
  <si>
    <t>TA Kalolo, MW-LI, MW</t>
  </si>
  <si>
    <t>2018-06-03 10:22:00 UTC</t>
  </si>
  <si>
    <t>2022-08-24 15:38:35 UTC</t>
  </si>
  <si>
    <t>2022-08-28 08:40:29 UTC</t>
  </si>
  <si>
    <t>https://www.inaturalist.org/observations/132151128</t>
  </si>
  <si>
    <t>https://inaturalist-open-data.s3.amazonaws.com/photos/225002630/medium.jpeg</t>
  </si>
  <si>
    <t>Bonou, BÃ©nin</t>
  </si>
  <si>
    <t>2022-08-24 19:20:56+03:00</t>
  </si>
  <si>
    <t>2022-08-24 16:20:56 UTC</t>
  </si>
  <si>
    <t>alexander1908</t>
  </si>
  <si>
    <t>2022-08-24 19:45:49 UTC</t>
  </si>
  <si>
    <t>2022-08-30 18:39:30 UTC</t>
  </si>
  <si>
    <t>https://www.inaturalist.org/observations/132181825</t>
  </si>
  <si>
    <t>https://inaturalist-open-data.s3.amazonaws.com/photos/225058617/medium.jpg</t>
  </si>
  <si>
    <t>T16, Kilombero, TZ</t>
  </si>
  <si>
    <t>2018-11-26 09:51:00 UTC</t>
  </si>
  <si>
    <t>2022-08-25 10:29:36 UTC</t>
  </si>
  <si>
    <t>2022-08-30 18:39:39 UTC</t>
  </si>
  <si>
    <t>https://www.inaturalist.org/observations/132255776</t>
  </si>
  <si>
    <t>https://inaturalist-open-data.s3.amazonaws.com/photos/225197744/medium.jpeg</t>
  </si>
  <si>
    <t>Dangbo, BÃ©nin</t>
  </si>
  <si>
    <t>2022-08-25 13:04:00 UTC</t>
  </si>
  <si>
    <t>2022-08-25 14:02:43 UTC</t>
  </si>
  <si>
    <t>2022-10-05 12:28:10 UTC</t>
  </si>
  <si>
    <t>https://www.inaturalist.org/observations/132273697</t>
  </si>
  <si>
    <t>https://inaturalist-open-data.s3.amazonaws.com/photos/225230502/medium.jpeg</t>
  </si>
  <si>
    <t>2022-08-27 22:57:22 UTC</t>
  </si>
  <si>
    <t>2022-08-28 15:00:07 UTC</t>
  </si>
  <si>
    <t>2022-09-09 17:19:23 UTC</t>
  </si>
  <si>
    <t>https://www.inaturalist.org/observations/132592094</t>
  </si>
  <si>
    <t>https://static.inaturalist.org/photos/225792437/medium.jpeg</t>
  </si>
  <si>
    <t>Parklands, Bulawayo, Zimbabwe</t>
  </si>
  <si>
    <t>2022-08-29 12:44:00 UTC</t>
  </si>
  <si>
    <t>saloshg</t>
  </si>
  <si>
    <t>Saloshnie Govender</t>
  </si>
  <si>
    <t>2022-08-29 12:54:25 UTC</t>
  </si>
  <si>
    <t>2022-10-05 11:19:18 UTC</t>
  </si>
  <si>
    <t>https://www.inaturalist.org/observations/132808504</t>
  </si>
  <si>
    <t>https://inaturalist-open-data.s3.amazonaws.com/photos/226121333/medium.jpeg</t>
  </si>
  <si>
    <t>Botanical Society of South Africa, Botanic Gardens Rhodes Ave, Newlands, Cape Town, 7700, South Africa</t>
  </si>
  <si>
    <t>2022-08-27 04:59:08 UTC</t>
  </si>
  <si>
    <t>beate1803</t>
  </si>
  <si>
    <t>2022-08-30 05:35:22 UTC</t>
  </si>
  <si>
    <t>2022-09-22 03:59:40 UTC</t>
  </si>
  <si>
    <t>https://www.inaturalist.org/observations/132916452</t>
  </si>
  <si>
    <t>https://inaturalist-open-data.s3.amazonaws.com/photos/226325236/medium.jpeg</t>
  </si>
  <si>
    <t>Dodoth, Uganda</t>
  </si>
  <si>
    <t>2022-09-04 12:24:21 UTC</t>
  </si>
  <si>
    <t>2022-09-04 13:17:35 UTC</t>
  </si>
  <si>
    <t>2022-10-03 11:11:43 UTC</t>
  </si>
  <si>
    <t>https://www.inaturalist.org/observations/133603859</t>
  </si>
  <si>
    <t>https://static.inaturalist.org/photos/227598925/medium.jpeg</t>
  </si>
  <si>
    <t>2022-09-04 09:47:00 UTC</t>
  </si>
  <si>
    <t>2022-09-04 15:28:27 UTC</t>
  </si>
  <si>
    <t>2022-09-22 03:58:55 UTC</t>
  </si>
  <si>
    <t>https://www.inaturalist.org/observations/133621579</t>
  </si>
  <si>
    <t>https://inaturalist-open-data.s3.amazonaws.com/photos/227630089/medium.jpg</t>
  </si>
  <si>
    <t>Mahlongwa tributary, Ezembeni, South Africa</t>
  </si>
  <si>
    <t>2022-09-04 08:11:00 UTC</t>
  </si>
  <si>
    <t>flosbert</t>
  </si>
  <si>
    <t>2022-09-05 08:11:52 UTC</t>
  </si>
  <si>
    <t>2022-10-03 10:47:09 UTC</t>
  </si>
  <si>
    <t>https://www.inaturalist.org/observations/133736289</t>
  </si>
  <si>
    <t>https://inaturalist-open-data.s3.amazonaws.com/photos/227845543/medium.png</t>
  </si>
  <si>
    <t>Lovemore Park, Port Elizabeth, 6070, South Africa</t>
  </si>
  <si>
    <t>Declining post-emergence nest</t>
  </si>
  <si>
    <t>Cells all dead, but 12 adults present</t>
  </si>
  <si>
    <t>2022-08-15 08:22:00 UTC</t>
  </si>
  <si>
    <t>2022-09-05 16:42:04 UTC</t>
  </si>
  <si>
    <t>2022-10-20 08:15:24 UTC</t>
  </si>
  <si>
    <t>https://www.inaturalist.org/observations/133782068</t>
  </si>
  <si>
    <t>https://inaturalist-open-data.s3.amazonaws.com/photos/227912671/medium.jpg</t>
  </si>
  <si>
    <t>Fish River Canyon, Namibia</t>
  </si>
  <si>
    <t>2022-08-15 10:10:00 UTC</t>
  </si>
  <si>
    <t>2022-09-05 16:42:11 UTC</t>
  </si>
  <si>
    <t>https://www.inaturalist.org/observations/133782113</t>
  </si>
  <si>
    <t>https://inaturalist-open-data.s3.amazonaws.com/photos/227922532/medium.jpg</t>
  </si>
  <si>
    <t>2022-09-03 09:23:00 UTC</t>
  </si>
  <si>
    <t>2022-09-05 20:04:53 UTC</t>
  </si>
  <si>
    <t>2022-10-03 10:31:06 UTC</t>
  </si>
  <si>
    <t>https://www.inaturalist.org/observations/133814634</t>
  </si>
  <si>
    <t>https://inaturalist-open-data.s3.amazonaws.com/photos/227942632/medium.jpeg</t>
  </si>
  <si>
    <t>See plant  https://www.inaturalist.org/observations/133814636</t>
  </si>
  <si>
    <t>2022-09-03 10:25:00 UTC</t>
  </si>
  <si>
    <t>2022-09-05 20:05:14 UTC</t>
  </si>
  <si>
    <t>2022-10-03 10:27:06 UTC</t>
  </si>
  <si>
    <t>https://www.inaturalist.org/observations/133814724</t>
  </si>
  <si>
    <t>https://inaturalist-open-data.s3.amazonaws.com/photos/227949374/medium.jpeg</t>
  </si>
  <si>
    <t>Not clear why aggregating</t>
  </si>
  <si>
    <t>2022-09-03 13:52:00 UTC</t>
  </si>
  <si>
    <t>2022-09-07 12:08:16 UTC</t>
  </si>
  <si>
    <t>2022-09-22 03:58:31 UTC</t>
  </si>
  <si>
    <t>https://www.inaturalist.org/observations/134026773</t>
  </si>
  <si>
    <t>https://inaturalist-open-data.s3.amazonaws.com/photos/228388119/medium.jpg</t>
  </si>
  <si>
    <t>2022-08-28 07:55:00 UTC</t>
  </si>
  <si>
    <t>2022-09-08 05:41:21 UTC</t>
  </si>
  <si>
    <t>2022-09-22 03:58:12 UTC</t>
  </si>
  <si>
    <t>https://www.inaturalist.org/observations/134137540</t>
  </si>
  <si>
    <t>https://inaturalist-open-data.s3.amazonaws.com/photos/228594607/medium.jpg</t>
  </si>
  <si>
    <t>2022-09-06 12:38:41 UTC</t>
  </si>
  <si>
    <t>tommy_andriollo</t>
  </si>
  <si>
    <t>Tommy Andriollo</t>
  </si>
  <si>
    <t>2022-09-09 10:53:04 UTC</t>
  </si>
  <si>
    <t>2022-10-16 13:04:56 UTC</t>
  </si>
  <si>
    <t>https://www.inaturalist.org/observations/134280949</t>
  </si>
  <si>
    <t>https://inaturalist-open-data.s3.amazonaws.com/photos/228861661/medium.jpeg</t>
  </si>
  <si>
    <t>Buhaguzi, Uganda</t>
  </si>
  <si>
    <t>2022-09-06 16:07:55 UTC</t>
  </si>
  <si>
    <t>2022-09-09 10:54:02 UTC</t>
  </si>
  <si>
    <t>https://www.inaturalist.org/observations/134280982</t>
  </si>
  <si>
    <t>https://inaturalist-open-data.s3.amazonaws.com/photos/228861731/medium.jpeg</t>
  </si>
  <si>
    <t>2022-09-09 14:20:00 UTC</t>
  </si>
  <si>
    <t>2022-09-10 09:11:10 UTC</t>
  </si>
  <si>
    <t>2022-09-29 07:15:25 UTC</t>
  </si>
  <si>
    <t>https://www.inaturalist.org/observations/134398978</t>
  </si>
  <si>
    <t>https://inaturalist-open-data.s3.amazonaws.com/photos/229082358/medium.jpeg</t>
  </si>
  <si>
    <t>Birchleigh, Kempton Park, 1618, SÃ¼dafrika</t>
  </si>
  <si>
    <t>Foundress nest built on remains of old post-emergence nest</t>
  </si>
  <si>
    <t>2022-09-10 09:12:35 UTC</t>
  </si>
  <si>
    <t>javixu</t>
  </si>
  <si>
    <t>2022-09-10 15:28:05 UTC</t>
  </si>
  <si>
    <t>2022-09-22 07:46:05 UTC</t>
  </si>
  <si>
    <t>https://www.inaturalist.org/observations/134433168</t>
  </si>
  <si>
    <t>https://inaturalist-open-data.s3.amazonaws.com/photos/229143171/medium.jpeg</t>
  </si>
  <si>
    <t>Uru Mashariki, Tanzania</t>
  </si>
  <si>
    <t>2022-09-11 09:29:00 UTC</t>
  </si>
  <si>
    <t>2022-09-11 19:20:07 UTC</t>
  </si>
  <si>
    <t>2022-09-22 07:46:02 UTC</t>
  </si>
  <si>
    <t>https://www.inaturalist.org/observations/134625267</t>
  </si>
  <si>
    <t>https://inaturalist-open-data.s3.amazonaws.com/photos/229502665/medium.jpg</t>
  </si>
  <si>
    <t>2022-08-26 15:31:00 UTC</t>
  </si>
  <si>
    <t>2022-09-12 06:14:20 UTC</t>
  </si>
  <si>
    <t>2022-09-22 03:55:53 UTC</t>
  </si>
  <si>
    <t>https://www.inaturalist.org/observations/134699759</t>
  </si>
  <si>
    <t>https://inaturalist-open-data.s3.amazonaws.com/photos/229644596/medium.jpg</t>
  </si>
  <si>
    <t>2022-09-12 03:38:59 UTC</t>
  </si>
  <si>
    <t>2022-09-12 06:45:20 UTC</t>
  </si>
  <si>
    <t>2022-09-22 03:55:50 UTC</t>
  </si>
  <si>
    <t>https://www.inaturalist.org/observations/134701217</t>
  </si>
  <si>
    <t>https://inaturalist-open-data.s3.amazonaws.com/photos/229647869/medium.jpeg</t>
  </si>
  <si>
    <t>XWW2+X7R, Arua, Uganda</t>
  </si>
  <si>
    <t>2022-08-16 13:20:00 UTC</t>
  </si>
  <si>
    <t>2022-09-12 22:07:05 UTC</t>
  </si>
  <si>
    <t>2022-11-12 16:17:15 UTC</t>
  </si>
  <si>
    <t>https://www.inaturalist.org/observations/134788333</t>
  </si>
  <si>
    <t>https://inaturalist-open-data.s3.amazonaws.com/photos/229801658/medium.jpeg</t>
  </si>
  <si>
    <t>Ngepi Camp, Caprivi, Namibia</t>
  </si>
  <si>
    <t>2022-09-03 14:06:00 UTC</t>
  </si>
  <si>
    <t>2022-09-13 11:34:32 UTC</t>
  </si>
  <si>
    <t>2022-09-22 03:55:30 UTC</t>
  </si>
  <si>
    <t>https://www.inaturalist.org/observations/134845056</t>
  </si>
  <si>
    <t>https://inaturalist-open-data.s3.amazonaws.com/photos/229916042/medium.jpeg</t>
  </si>
  <si>
    <t>rebeccastockil</t>
  </si>
  <si>
    <t>2022-09-13 15:10:11 UTC</t>
  </si>
  <si>
    <t>2022-09-22 07:46:00 UTC</t>
  </si>
  <si>
    <t>https://www.inaturalist.org/observations/134866027</t>
  </si>
  <si>
    <t>https://inaturalist-open-data.s3.amazonaws.com/photos/229952506/medium.jpeg</t>
  </si>
  <si>
    <t>2022-09-14 15:55:50+02:00</t>
  </si>
  <si>
    <t>2022-09-14 13:55:50 UTC</t>
  </si>
  <si>
    <t>uwase</t>
  </si>
  <si>
    <t>UWASE Sandrine</t>
  </si>
  <si>
    <t>2022-09-14 14:04:01 UTC</t>
  </si>
  <si>
    <t>2022-09-22 03:55:13 UTC</t>
  </si>
  <si>
    <t>https://www.inaturalist.org/observations/134983877</t>
  </si>
  <si>
    <t>https://inaturalist-open-data.s3.amazonaws.com/photos/230173565/medium.jpg</t>
  </si>
  <si>
    <t>NR1, Butare, Huye, RW</t>
  </si>
  <si>
    <t>2022-09-13 18:18:00 UTC</t>
  </si>
  <si>
    <t>2022-09-17 10:55:50 UTC</t>
  </si>
  <si>
    <t>https://www.inaturalist.org/observations/135354360</t>
  </si>
  <si>
    <t>https://inaturalist-open-data.s3.amazonaws.com/photos/230845511/medium.jpeg</t>
  </si>
  <si>
    <t>Buhaguzi, Hoima, Uganda</t>
  </si>
  <si>
    <t>Fri Sep 09 2022 11:35:49 GMT+0200 (GMT+2)</t>
  </si>
  <si>
    <t>2022-09-09 09:35:49 UTC</t>
  </si>
  <si>
    <t>dianacharsley</t>
  </si>
  <si>
    <t>Diana Charsley</t>
  </si>
  <si>
    <t>2022-09-18 05:00:30 UTC</t>
  </si>
  <si>
    <t>2022-09-19 15:05:16 UTC</t>
  </si>
  <si>
    <t>https://www.inaturalist.org/observations/135479980</t>
  </si>
  <si>
    <t>https://inaturalist-open-data.s3.amazonaws.com/photos/231077878/medium.jpg</t>
  </si>
  <si>
    <t>9, Matabeleland North, ZW</t>
  </si>
  <si>
    <t>2022-09-18 10:06:31+02:00</t>
  </si>
  <si>
    <t>2022-09-18 08:06:31 UTC</t>
  </si>
  <si>
    <t>2022-09-18 21:24:58 UTC</t>
  </si>
  <si>
    <t>2022-09-26 07:36:15 UTC</t>
  </si>
  <si>
    <t>https://www.inaturalist.org/observations/135580739</t>
  </si>
  <si>
    <t>https://inaturalist-open-data.s3.amazonaws.com/photos/231264910/medium.jpg</t>
  </si>
  <si>
    <t>Fraser Street, Knysna, WC, ZA</t>
  </si>
  <si>
    <t>2022-08-19 11:58:50+02:00</t>
  </si>
  <si>
    <t>2022-08-19 09:58:50 UTC</t>
  </si>
  <si>
    <t>jameshoughton</t>
  </si>
  <si>
    <t>James Houghton</t>
  </si>
  <si>
    <t>2022-09-19 23:20:04 UTC</t>
  </si>
  <si>
    <t>2022-09-20 01:39:31 UTC</t>
  </si>
  <si>
    <t>https://www.inaturalist.org/observations/135724004</t>
  </si>
  <si>
    <t>https://static.inaturalist.org/photos/231531416/medium.jpg</t>
  </si>
  <si>
    <t>Great North Road, Central, ZM</t>
  </si>
  <si>
    <t>2022-09-03 13:39:00 UTC</t>
  </si>
  <si>
    <t>scaramouche</t>
  </si>
  <si>
    <t>2022-09-20 07:10:23 UTC</t>
  </si>
  <si>
    <t>2022-09-22 03:53:02 UTC</t>
  </si>
  <si>
    <t>https://www.inaturalist.org/observations/135759587</t>
  </si>
  <si>
    <t>https://inaturalist-open-data.s3.amazonaws.com/photos/231601676/medium.jpeg</t>
  </si>
  <si>
    <t>Victoria Falls, Zimbabwe</t>
  </si>
  <si>
    <t>2022-09-20 09:04:38 UTC</t>
  </si>
  <si>
    <t>2022-09-20 09:42:30 UTC</t>
  </si>
  <si>
    <t>2022-09-22 03:52:59 UTC</t>
  </si>
  <si>
    <t>https://www.inaturalist.org/observations/135766342</t>
  </si>
  <si>
    <t>https://inaturalist-open-data.s3.amazonaws.com/photos/231613894/medium.jpeg</t>
  </si>
  <si>
    <t>Rosslyn Valley, Nairobi, Kenya</t>
  </si>
  <si>
    <t>2022-09-10 07:20:00 UTC</t>
  </si>
  <si>
    <t>gabrielbz</t>
  </si>
  <si>
    <t>Gabriel Bienzobas</t>
  </si>
  <si>
    <t>2022-09-21 05:30:01 UTC</t>
  </si>
  <si>
    <t>2022-10-01 09:19:01 UTC</t>
  </si>
  <si>
    <t>https://www.inaturalist.org/observations/135879446</t>
  </si>
  <si>
    <t>https://inaturalist-open-data.s3.amazonaws.com/photos/231824323/medium.jpeg</t>
  </si>
  <si>
    <t>Khomas, Namibia</t>
  </si>
  <si>
    <t>2022-09-20 11:18:00 UTC</t>
  </si>
  <si>
    <t>carasylvia</t>
  </si>
  <si>
    <t>cara sylvia</t>
  </si>
  <si>
    <t>2022-09-21 15:25:28 UTC</t>
  </si>
  <si>
    <t>2022-09-22 10:46:18 UTC</t>
  </si>
  <si>
    <t>https://www.inaturalist.org/observations/135920541</t>
  </si>
  <si>
    <t>https://static.inaturalist.org/photos/231898733/medium.jpeg</t>
  </si>
  <si>
    <t>Woodside, Pinetown, 3629, South Africa</t>
  </si>
  <si>
    <t>Fri Sep 23 2022 13:33:09 GMT +0300 (GMT+3)</t>
  </si>
  <si>
    <t>2022-09-23 10:33:09 UTC</t>
  </si>
  <si>
    <t>maximion</t>
  </si>
  <si>
    <t>2022-09-23 14:19:35 UTC</t>
  </si>
  <si>
    <t>2022-09-23 14:27:50 UTC</t>
  </si>
  <si>
    <t>https://www.inaturalist.org/observations/136156351</t>
  </si>
  <si>
    <t>https://inaturalist-open-data.s3.amazonaws.com/photos/232335817/medium.jpeg</t>
  </si>
  <si>
    <t>Diani Beach</t>
  </si>
  <si>
    <t>2022-09-22 14:03:38 UTC</t>
  </si>
  <si>
    <t>2022-09-23 16:24:08 UTC</t>
  </si>
  <si>
    <t>2022-10-28 08:26:59 UTC</t>
  </si>
  <si>
    <t>https://www.inaturalist.org/observations/136171621</t>
  </si>
  <si>
    <t>https://static.inaturalist.org/photos/232363159/medium.jpeg</t>
  </si>
  <si>
    <t>2022-09-10 10:51:27 UTC</t>
  </si>
  <si>
    <t>malikibio</t>
  </si>
  <si>
    <t>2022-09-25 19:43:25 UTC</t>
  </si>
  <si>
    <t>2022-09-26 05:16:05 UTC</t>
  </si>
  <si>
    <t>https://www.inaturalist.org/observations/136477221</t>
  </si>
  <si>
    <t>https://inaturalist-open-data.s3.amazonaws.com/photos/232926367/medium.jpeg</t>
  </si>
  <si>
    <t>Natitingou, BÃ©nin</t>
  </si>
  <si>
    <t>2022-09-26 07:20:00 UTC</t>
  </si>
  <si>
    <t>2022-09-26 07:43:05 UTC</t>
  </si>
  <si>
    <t>2022-09-27 15:33:52 UTC</t>
  </si>
  <si>
    <t>https://www.inaturalist.org/observations/136547148</t>
  </si>
  <si>
    <t>https://inaturalist-open-data.s3.amazonaws.com/photos/233062238/medium.jpeg</t>
  </si>
  <si>
    <t>2022-09-26 06:21:00 UTC</t>
  </si>
  <si>
    <t>kmarsh9</t>
  </si>
  <si>
    <t>2022-09-26 09:30:45 UTC</t>
  </si>
  <si>
    <t>https://www.inaturalist.org/observations/136551738</t>
  </si>
  <si>
    <t>https://inaturalist-open-data.s3.amazonaws.com/photos/233070331/medium.jpeg</t>
  </si>
  <si>
    <t>Mopani District Municipality, South Africa</t>
  </si>
  <si>
    <t>2022-09-27 13:51:00 UTC</t>
  </si>
  <si>
    <t>sokkie</t>
  </si>
  <si>
    <t>2022-09-27 14:51:42 UTC</t>
  </si>
  <si>
    <t>2022-10-27 08:57:26 UTC</t>
  </si>
  <si>
    <t>https://www.inaturalist.org/observations/136692797</t>
  </si>
  <si>
    <t>https://inaturalist-open-data.s3.amazonaws.com/photos/233332844/medium.jpeg</t>
  </si>
  <si>
    <t>2020-02-08 14:29:00 UTC</t>
  </si>
  <si>
    <t>highston</t>
  </si>
  <si>
    <t>BenoÃ®t Guillon</t>
  </si>
  <si>
    <t>2022-09-27 19:49:57 UTC</t>
  </si>
  <si>
    <t>2022-09-29 00:21:39 UTC</t>
  </si>
  <si>
    <t>https://www.inaturalist.org/observations/136727874</t>
  </si>
  <si>
    <t>https://inaturalist-open-data.s3.amazonaws.com/photos/233397049/medium.jpg</t>
  </si>
  <si>
    <t>Otjozondjupa, Namibie</t>
  </si>
  <si>
    <t>2022-09-28 13:16:33+02:00</t>
  </si>
  <si>
    <t>2022-09-28 11:16:33 UTC</t>
  </si>
  <si>
    <t>lynnth</t>
  </si>
  <si>
    <t>2022-09-28 11:19:40 UTC</t>
  </si>
  <si>
    <t>2022-09-29 00:20:34 UTC</t>
  </si>
  <si>
    <t>https://www.inaturalist.org/observations/136789708</t>
  </si>
  <si>
    <t>https://inaturalist-open-data.s3.amazonaws.com/photos/233515528/medium.jpg</t>
  </si>
  <si>
    <t>Mzimba, MW</t>
  </si>
  <si>
    <t>2022-09-28 07:43:00 UTC</t>
  </si>
  <si>
    <t>stevewoodhall</t>
  </si>
  <si>
    <t>Steve Woodhall</t>
  </si>
  <si>
    <t>2022-09-28 21:50:44 UTC</t>
  </si>
  <si>
    <t>2022-10-27 08:06:29 UTC</t>
  </si>
  <si>
    <t>https://www.inaturalist.org/observations/136852774</t>
  </si>
  <si>
    <t>https://static.inaturalist.org/photos/233628520/medium.jpg</t>
  </si>
  <si>
    <t>Hammarsdale - Sterkspruit, Mpumalanga, 3700, South Africa</t>
  </si>
  <si>
    <t>2017-07-06 12:08:00 UTC</t>
  </si>
  <si>
    <t>2022-09-29 06:59:56 UTC</t>
  </si>
  <si>
    <t>2022-10-27 08:01:02 UTC</t>
  </si>
  <si>
    <t>https://www.inaturalist.org/observations/136889785</t>
  </si>
  <si>
    <t>https://inaturalist-open-data.s3.amazonaws.com/photos/233699303/medium.jpeg</t>
  </si>
  <si>
    <t>2022-09-30 02:41:00 UTC</t>
  </si>
  <si>
    <t>2022-10-01 11:20:29 UTC</t>
  </si>
  <si>
    <t>2022-10-01 16:16:49 UTC</t>
  </si>
  <si>
    <t>https://www.inaturalist.org/observations/137130936</t>
  </si>
  <si>
    <t>https://static.inaturalist.org/photos/234147663/medium.jpeg</t>
  </si>
  <si>
    <t>Ankazobe, Madagascar</t>
  </si>
  <si>
    <t>2022-09-25 16:32:00 UTC</t>
  </si>
  <si>
    <t>2022-10-01 14:37:55 UTC</t>
  </si>
  <si>
    <t>https://www.inaturalist.org/observations/137147915</t>
  </si>
  <si>
    <t>https://inaturalist-open-data.s3.amazonaws.com/photos/234169256/medium.jpeg</t>
  </si>
  <si>
    <t>Hoima, Ouganda</t>
  </si>
  <si>
    <t>2022-10-02 11:08:56 UTC</t>
  </si>
  <si>
    <t>lorenz-wido</t>
  </si>
  <si>
    <t>Wido</t>
  </si>
  <si>
    <t>2022-10-02 10:59:30 UTC</t>
  </si>
  <si>
    <t>2022-10-03 02:22:51 UTC</t>
  </si>
  <si>
    <t>https://www.inaturalist.org/observations/137261471</t>
  </si>
  <si>
    <t>https://static.inaturalist.org/photos/234395150/medium.jpeg</t>
  </si>
  <si>
    <t>Kalambo Falls Lodge</t>
  </si>
  <si>
    <t>2022-09-24 22:07:00 UTC</t>
  </si>
  <si>
    <t>2022-10-03 03:46:16 UTC</t>
  </si>
  <si>
    <t>2022-10-03 14:45:59 UTC</t>
  </si>
  <si>
    <t>https://www.inaturalist.org/observations/137375032</t>
  </si>
  <si>
    <t>https://static.inaturalist.org/photos/234613567/medium.jpeg</t>
  </si>
  <si>
    <t>Entebbe, Uganda</t>
  </si>
  <si>
    <t>Interpretted as pre-emergence, as no sign of pupae caps broken</t>
  </si>
  <si>
    <t>2022-10-03 13:43:25+02:00</t>
  </si>
  <si>
    <t>2022-10-03 11:43:25 UTC</t>
  </si>
  <si>
    <t>cara8004</t>
  </si>
  <si>
    <t>2022-10-08 06:41:25 UTC</t>
  </si>
  <si>
    <t>2022-10-08 06:41:30 UTC</t>
  </si>
  <si>
    <t>https://www.inaturalist.org/observations/137946822</t>
  </si>
  <si>
    <t>https://inaturalist-open-data.s3.amazonaws.com/photos/235689428/medium.jpg</t>
  </si>
  <si>
    <t>2018-11-29 05:48:00 UTC</t>
  </si>
  <si>
    <t>Muscat</t>
  </si>
  <si>
    <t>2022-10-09 14:12:29 UTC</t>
  </si>
  <si>
    <t>2022-10-09 16:13:34 UTC</t>
  </si>
  <si>
    <t>https://www.inaturalist.org/observations/138116548</t>
  </si>
  <si>
    <t>https://inaturalist-open-data.s3.amazonaws.com/photos/236007849/medium.jpg</t>
  </si>
  <si>
    <t>Sink Hole, Oman</t>
  </si>
  <si>
    <t>bobcopeland</t>
  </si>
  <si>
    <t>Robert Copeland</t>
  </si>
  <si>
    <t>2022-10-10 03:04:58 UTC</t>
  </si>
  <si>
    <t>2022-10-11 02:28:21 UTC</t>
  </si>
  <si>
    <t>https://www.inaturalist.org/observations/138214553</t>
  </si>
  <si>
    <t>https://inaturalist-open-data.s3.amazonaws.com/photos/236194388/medium.jpg</t>
  </si>
  <si>
    <t>Rosslyn, Nairobi, Kenya</t>
  </si>
  <si>
    <t>2022-10-10 07:17:44+02:00</t>
  </si>
  <si>
    <t>2022-10-10 05:17:44 UTC</t>
  </si>
  <si>
    <t>2022-10-10 07:14:00 UTC</t>
  </si>
  <si>
    <t>2022-10-26 06:53:34 UTC</t>
  </si>
  <si>
    <t>https://www.inaturalist.org/observations/138229404</t>
  </si>
  <si>
    <t>https://inaturalist-open-data.s3.amazonaws.com/photos/236226084/medium.jpg</t>
  </si>
  <si>
    <t>These wasps love the scent of Gomphocarpus physocarpus flowers</t>
  </si>
  <si>
    <t>Elland Road, Berea, KZN, ZA</t>
  </si>
  <si>
    <t>2022-10-15 10:12:00 UTC</t>
  </si>
  <si>
    <t>nwatinyoka</t>
  </si>
  <si>
    <t>Malcolm Douglas</t>
  </si>
  <si>
    <t>2022-10-15 11:17:20 UTC</t>
  </si>
  <si>
    <t>2022-10-25 10:06:36 UTC</t>
  </si>
  <si>
    <t>https://www.inaturalist.org/observations/138820748</t>
  </si>
  <si>
    <t>https://inaturalist-open-data.s3.amazonaws.com/photos/237329517/medium.jpeg</t>
  </si>
  <si>
    <t>Bateleur West</t>
  </si>
  <si>
    <t>2022-10-15 16:51:00 UTC</t>
  </si>
  <si>
    <t>2022-10-16 11:27:42 UTC</t>
  </si>
  <si>
    <t>2022-10-17 16:01:20 UTC</t>
  </si>
  <si>
    <t>https://www.inaturalist.org/observations/138955675</t>
  </si>
  <si>
    <t>https://static.inaturalist.org/photos/237577332/medium.jpeg</t>
  </si>
  <si>
    <t>2021-11-13 10:14:00 UTC</t>
  </si>
  <si>
    <t>2022-10-16 12:48:18 UTC</t>
  </si>
  <si>
    <t>2022-10-16 22:53:14 UTC</t>
  </si>
  <si>
    <t>https://www.inaturalist.org/observations/138962377</t>
  </si>
  <si>
    <t>https://inaturalist-open-data.s3.amazonaws.com/photos/237587781/medium.jpeg</t>
  </si>
  <si>
    <t>Copargo, Benin</t>
  </si>
  <si>
    <t>2022-10-14 07:28:00 UTC</t>
  </si>
  <si>
    <t>richard_johnstone</t>
  </si>
  <si>
    <t>2022-10-16 18:35:01 UTC</t>
  </si>
  <si>
    <t>2022-10-25 09:05:02 UTC</t>
  </si>
  <si>
    <t>https://www.inaturalist.org/observations/139008295</t>
  </si>
  <si>
    <t>https://inaturalist-open-data.s3.amazonaws.com/photos/237672572/medium.jpeg</t>
  </si>
  <si>
    <t>Arboretum, Richards Bay, 3900, South Africa</t>
  </si>
  <si>
    <t>2022-07-25 08:09:00 UTC</t>
  </si>
  <si>
    <t>raptor_huss3</t>
  </si>
  <si>
    <t>Abdurrahman Farhan</t>
  </si>
  <si>
    <t>2022-10-17 05:48:57 UTC</t>
  </si>
  <si>
    <t>2022-10-17 15:57:08 UTC</t>
  </si>
  <si>
    <t>https://www.inaturalist.org/observations/139085466</t>
  </si>
  <si>
    <t>https://inaturalist-open-data.s3.amazonaws.com/photos/237822840/medium.jpeg</t>
  </si>
  <si>
    <t>Gacan Libaax, Somalia</t>
  </si>
  <si>
    <t>2022-01-18 10:44:00 UTC</t>
  </si>
  <si>
    <t>2022-10-19 05:36:15 UTC</t>
  </si>
  <si>
    <t>2022-10-20 08:59:11 UTC</t>
  </si>
  <si>
    <t>https://www.inaturalist.org/observations/139304207</t>
  </si>
  <si>
    <t>https://inaturalist-open-data.s3.amazonaws.com/photos/238236197/medium.jpeg</t>
  </si>
  <si>
    <t>Walter Sisulu National Botanical Garden, Roodepoort, City of Johannesburg, Gauteng, South Africa</t>
  </si>
  <si>
    <t>2022-10-19 14:55:00 UTC</t>
  </si>
  <si>
    <t>2022-10-20 05:14:44 UTC</t>
  </si>
  <si>
    <t>2022-11-01 06:54:33 UTC</t>
  </si>
  <si>
    <t>https://www.inaturalist.org/observations/139401344</t>
  </si>
  <si>
    <t>https://inaturalist-open-data.s3.amazonaws.com/photos/238423125/medium.jpeg</t>
  </si>
  <si>
    <t>&lt;h3&gt;Eve&lt;/h3&gt;</t>
  </si>
  <si>
    <t>2017-01-23 04:50:00 UTC</t>
  </si>
  <si>
    <t>2022-10-20 06:53:00 UTC</t>
  </si>
  <si>
    <t>2022-11-01 06:53:35 UTC</t>
  </si>
  <si>
    <t>https://www.inaturalist.org/observations/139404909</t>
  </si>
  <si>
    <t>https://inaturalist-open-data.s3.amazonaws.com/photos/238429802/medium.jpeg</t>
  </si>
  <si>
    <t>Africa/Conakry</t>
  </si>
  <si>
    <t>tdoreguineabiology</t>
  </si>
  <si>
    <t>2022-10-20 13:24:59 UTC</t>
  </si>
  <si>
    <t>2022-11-11 14:54:03 UTC</t>
  </si>
  <si>
    <t>https://www.inaturalist.org/observations/139424294</t>
  </si>
  <si>
    <t>https://inaturalist-open-data.s3.amazonaws.com/photos/238466096/medium.jpeg</t>
  </si>
  <si>
    <t>Boffa, BokÃ©, GN</t>
  </si>
  <si>
    <t>2022-10-12 09:43:00 UTC</t>
  </si>
  <si>
    <t>szucsich</t>
  </si>
  <si>
    <t>Nikola Szucsich</t>
  </si>
  <si>
    <t>2022-10-20 21:09:41 UTC</t>
  </si>
  <si>
    <t>https://www.inaturalist.org/observations/139466135</t>
  </si>
  <si>
    <t>https://inaturalist-open-data.s3.amazonaws.com/photos/238543619/medium.jpeg</t>
  </si>
  <si>
    <t>Munali, Lusaka, Sambia</t>
  </si>
  <si>
    <t>2022-10-18 06:50:00 UTC</t>
  </si>
  <si>
    <t>2022-10-23 07:28:40 UTC</t>
  </si>
  <si>
    <t>2022-11-03 06:49:50 UTC</t>
  </si>
  <si>
    <t>https://www.inaturalist.org/observations/139720444</t>
  </si>
  <si>
    <t>https://inaturalist-open-data.s3.amazonaws.com/photos/239032172/medium.jpg</t>
  </si>
  <si>
    <t xml:space="preserve"> Nkomba Reserve, Dolphin Dr, Pennington, 4184, South Africa</t>
  </si>
  <si>
    <t>2022-10-17 12:17:50 UTC</t>
  </si>
  <si>
    <t>renate_kenya</t>
  </si>
  <si>
    <t>2022-10-23 16:22:34 UTC</t>
  </si>
  <si>
    <t>2022-10-23 16:23:12 UTC</t>
  </si>
  <si>
    <t>https://www.inaturalist.org/observations/139762603</t>
  </si>
  <si>
    <t>https://inaturalist-open-data.s3.amazonaws.com/photos/239110820/medium.jpeg</t>
  </si>
  <si>
    <t>Bware, Kenya</t>
  </si>
  <si>
    <t>2010-12-07 22:16:00 UTC</t>
  </si>
  <si>
    <t>andrewins</t>
  </si>
  <si>
    <t>Andrey Vlasenko</t>
  </si>
  <si>
    <t>2022-10-26 22:36:23 UTC</t>
  </si>
  <si>
    <t>2022-10-27 09:40:15 UTC</t>
  </si>
  <si>
    <t>https://www.inaturalist.org/observations/140103479</t>
  </si>
  <si>
    <t>https://inaturalist-open-data.s3.amazonaws.com/photos/239758169/medium.jpg</t>
  </si>
  <si>
    <t>Ð¥Ð°Ñ€Ð´Ð°Ð¿, ÐÐ°Ð¼Ð¸Ð±Ð¸Ñ</t>
  </si>
  <si>
    <t>2022-10-26 22:36:24 UTC</t>
  </si>
  <si>
    <t>2022-11-02 15:58:09 UTC</t>
  </si>
  <si>
    <t>https://www.inaturalist.org/observations/140103480</t>
  </si>
  <si>
    <t>https://inaturalist-open-data.s3.amazonaws.com/photos/239758300/medium.jpg</t>
  </si>
  <si>
    <t>2022-10-27 13:13:46 UTC</t>
  </si>
  <si>
    <t>madalaleon</t>
  </si>
  <si>
    <t>Leon Du Plessis</t>
  </si>
  <si>
    <t>2022-10-27 17:34:03 UTC</t>
  </si>
  <si>
    <t>2022-10-28 12:43:49 UTC</t>
  </si>
  <si>
    <t>https://www.inaturalist.org/observations/140170149</t>
  </si>
  <si>
    <t>https://static.inaturalist.org/photos/239894795/medium.jpeg</t>
  </si>
  <si>
    <t>Pretoria Rural, South Africa</t>
  </si>
  <si>
    <t>2022-10-28 06:09:55 UTC</t>
  </si>
  <si>
    <t>2022-10-28 06:11:03 UTC</t>
  </si>
  <si>
    <t>2022-11-04 09:46:49 UTC</t>
  </si>
  <si>
    <t>https://www.inaturalist.org/observations/140227392</t>
  </si>
  <si>
    <t>https://static.inaturalist.org/photos/240006475/medium.jpeg</t>
  </si>
  <si>
    <t>2022-10-28 09:18:44 UTC</t>
  </si>
  <si>
    <t>shaun237</t>
  </si>
  <si>
    <t>Shaun Hope</t>
  </si>
  <si>
    <t>2022-10-28 20:32:26 UTC</t>
  </si>
  <si>
    <t>2022-11-07 10:32:25 UTC</t>
  </si>
  <si>
    <t>https://www.inaturalist.org/observations/140296109</t>
  </si>
  <si>
    <t>https://static.inaturalist.org/photos/240134518/medium.jpeg</t>
  </si>
  <si>
    <t>123 Block IA Soshanguve Tshwane, Soshanguve - IA, Soshanguve, 0152, South Africa</t>
  </si>
  <si>
    <t>2022-10-28 10:50:44 UTC</t>
  </si>
  <si>
    <t>2022-10-28 23:58:55 UTC</t>
  </si>
  <si>
    <t>2022-11-07 10:28:02 UTC</t>
  </si>
  <si>
    <t>https://www.inaturalist.org/observations/140314106</t>
  </si>
  <si>
    <t>https://static.inaturalist.org/photos/240168766/medium.jpeg</t>
  </si>
  <si>
    <t>Close-up of female on post-emergence nest</t>
  </si>
  <si>
    <t>2022-10-28 08:32:06 UTC</t>
  </si>
  <si>
    <t>2022-10-29 05:13:09 UTC</t>
  </si>
  <si>
    <t>2022-11-09 14:10:43 UTC</t>
  </si>
  <si>
    <t>https://www.inaturalist.org/observations/140337823</t>
  </si>
  <si>
    <t>https://static.inaturalist.org/photos/240215779/medium.jpeg</t>
  </si>
  <si>
    <t>2022-10-29 15:52:15+02:00</t>
  </si>
  <si>
    <t>2022-10-29 13:52:15 UTC</t>
  </si>
  <si>
    <t>paulinebullock</t>
  </si>
  <si>
    <t>2022-10-29 13:53:07 UTC</t>
  </si>
  <si>
    <t>2022-11-06 08:39:12 UTC</t>
  </si>
  <si>
    <t>https://www.inaturalist.org/observations/140376090</t>
  </si>
  <si>
    <t>https://inaturalist-open-data.s3.amazonaws.com/photos/240282676/medium.jpg</t>
  </si>
  <si>
    <t>Mount Michael, Hilton, KZN, ZA</t>
  </si>
  <si>
    <t>2022-10-28 14:59:15 UTC</t>
  </si>
  <si>
    <t>2022-10-29 14:41:47 UTC</t>
  </si>
  <si>
    <t>2022-11-07 07:49:55 UTC</t>
  </si>
  <si>
    <t>https://www.inaturalist.org/observations/140381783</t>
  </si>
  <si>
    <t>https://inaturalist-open-data.s3.amazonaws.com/photos/240292402/medium.jpeg</t>
  </si>
  <si>
    <t>2022-10-29 07:31:49 UTC</t>
  </si>
  <si>
    <t>mxolisi_n</t>
  </si>
  <si>
    <t>mxolisi ngongoma</t>
  </si>
  <si>
    <t>2022-10-29 17:07:01 UTC</t>
  </si>
  <si>
    <t>2022-11-11 14:05:00 UTC</t>
  </si>
  <si>
    <t>https://www.inaturalist.org/observations/140398463</t>
  </si>
  <si>
    <t>https://inaturalist-open-data.s3.amazonaws.com/photos/240332323/medium.jpeg</t>
  </si>
  <si>
    <t>Alfred Nzo, ZA-EC, ZA</t>
  </si>
  <si>
    <t>2022-10-28 06:56:00 UTC</t>
  </si>
  <si>
    <t>2022-10-29 17:37:57 UTC</t>
  </si>
  <si>
    <t>2022-11-03 12:45:07 UTC</t>
  </si>
  <si>
    <t>https://www.inaturalist.org/observations/140402018</t>
  </si>
  <si>
    <t>https://inaturalist-open-data.s3.amazonaws.com/photos/240328765/medium.jpeg</t>
  </si>
  <si>
    <t>2022-10-20 11:16:13 UTC</t>
  </si>
  <si>
    <t>earthtodave</t>
  </si>
  <si>
    <t>Dave</t>
  </si>
  <si>
    <t>2022-10-29 20:27:13 UTC</t>
  </si>
  <si>
    <t>2022-11-03 12:15:06 UTC</t>
  </si>
  <si>
    <t>https://www.inaturalist.org/observations/140423258</t>
  </si>
  <si>
    <t>https://inaturalist-open-data.s3.amazonaws.com/photos/240369743/medium.jpeg</t>
  </si>
  <si>
    <t>Virginia Bush Nature Reserve</t>
  </si>
  <si>
    <t>2022-10-30 07:48:00 UTC</t>
  </si>
  <si>
    <t>2022-10-30 11:35:29 UTC</t>
  </si>
  <si>
    <t>2022-11-02 14:35:13 UTC</t>
  </si>
  <si>
    <t>https://www.inaturalist.org/observations/140500934</t>
  </si>
  <si>
    <t>https://inaturalist-open-data.s3.amazonaws.com/photos/240510708/medium.jpg</t>
  </si>
  <si>
    <t>Sat Oct 29 2022 06:48:21 GMT+0200 (GMT+2)</t>
  </si>
  <si>
    <t>2022-10-29 04:48:21 UTC</t>
  </si>
  <si>
    <t>2022-10-30 17:56:43 UTC</t>
  </si>
  <si>
    <t>2022-11-04 13:37:53 UTC</t>
  </si>
  <si>
    <t>https://www.inaturalist.org/observations/140545467</t>
  </si>
  <si>
    <t>https://inaturalist-open-data.s3.amazonaws.com/photos/240594168/medium.jpg</t>
  </si>
  <si>
    <t>Bulawayo, Bulawayo, ZW</t>
  </si>
  <si>
    <t>2022-10-14 13:09:00 UTC</t>
  </si>
  <si>
    <t>nielspoul</t>
  </si>
  <si>
    <t>Niels Poul Dreyer</t>
  </si>
  <si>
    <t>2022-10-31 08:47:43 UTC</t>
  </si>
  <si>
    <t>2022-10-31 16:15:36 UTC</t>
  </si>
  <si>
    <t>https://www.inaturalist.org/observations/140631419</t>
  </si>
  <si>
    <t>https://inaturalist-open-data.s3.amazonaws.com/photos/240755065/medium.jpg</t>
  </si>
  <si>
    <t>2022-10-30 07:11:00 UTC</t>
  </si>
  <si>
    <t>2022-10-31 17:06:21 UTC</t>
  </si>
  <si>
    <t>2022-11-01 10:32:55 UTC</t>
  </si>
  <si>
    <t>https://www.inaturalist.org/observations/140674358</t>
  </si>
  <si>
    <t>https://static.inaturalist.org/photos/240834063/medium.jpeg</t>
  </si>
  <si>
    <t>Hammarsdale - Scott Bader under HO eaves</t>
  </si>
  <si>
    <t>2022-10-30 07:00:00 UTC</t>
  </si>
  <si>
    <t>2022-10-31 17:24:55 UTC</t>
  </si>
  <si>
    <t>2022-11-03 07:38:44 UTC</t>
  </si>
  <si>
    <t>https://www.inaturalist.org/observations/140676140</t>
  </si>
  <si>
    <t>https://inaturalist-open-data.s3.amazonaws.com/photos/240833105/medium.jpeg</t>
  </si>
  <si>
    <t>2022-10-31 22:01:53+02:00</t>
  </si>
  <si>
    <t>2022-10-31 20:01:53 UTC</t>
  </si>
  <si>
    <t>2022-10-31 20:08:11 UTC</t>
  </si>
  <si>
    <t>2022-11-01 09:17:50 UTC</t>
  </si>
  <si>
    <t>https://www.inaturalist.org/observations/140693794</t>
  </si>
  <si>
    <t>https://static.inaturalist.org/photos/240870824/medium.jpg</t>
  </si>
  <si>
    <t>Olifantshoek Road, Wilderness, WC, ZA</t>
  </si>
  <si>
    <t>2022-10-28 07:05:00 UTC</t>
  </si>
  <si>
    <t>2022-11-01 05:06:11 UTC</t>
  </si>
  <si>
    <t>2022-11-02 14:56:04 UTC</t>
  </si>
  <si>
    <t>https://www.inaturalist.org/observations/140742549</t>
  </si>
  <si>
    <t>https://inaturalist-open-data.s3.amazonaws.com/photos/240960207/medium.jpeg</t>
  </si>
  <si>
    <t>Waterberg District Municipality, South Africa</t>
  </si>
  <si>
    <t>2022-09-30 15:07:20 UTC</t>
  </si>
  <si>
    <t>stevenhenning1962</t>
  </si>
  <si>
    <t>Steven Henning</t>
  </si>
  <si>
    <t>2022-11-02 17:49:34 UTC</t>
  </si>
  <si>
    <t>2022-11-11 08:51:07 UTC</t>
  </si>
  <si>
    <t>https://www.inaturalist.org/observations/140895826</t>
  </si>
  <si>
    <t>https://static.inaturalist.org/photos/241254160/medium.jpeg</t>
  </si>
  <si>
    <t>ATKV Buffelspoort</t>
  </si>
  <si>
    <t>2022-10-31 11:40:00 UTC</t>
  </si>
  <si>
    <t>b-anette</t>
  </si>
  <si>
    <t>2022-11-02 22:56:15 UTC</t>
  </si>
  <si>
    <t>https://www.inaturalist.org/observations/140922696</t>
  </si>
  <si>
    <t>https://inaturalist-open-data.s3.amazonaws.com/photos/241287616/medium.jpeg</t>
  </si>
  <si>
    <t>FortÃ­n Palo Alto, Ver.</t>
  </si>
  <si>
    <t>2022-10-30 07:30:00 UTC</t>
  </si>
  <si>
    <t>2022-11-03 14:48:08 UTC</t>
  </si>
  <si>
    <t>2022-11-10 08:47:37 UTC</t>
  </si>
  <si>
    <t>https://www.inaturalist.org/observations/140981089</t>
  </si>
  <si>
    <t>https://inaturalist-open-data.s3.amazonaws.com/photos/241413420/medium.jpeg</t>
  </si>
  <si>
    <t>2022-10-26 04:35:55 UTC</t>
  </si>
  <si>
    <t>grisha59599</t>
  </si>
  <si>
    <t>Grigory Evtukh</t>
  </si>
  <si>
    <t>2022-11-03 20:13:32 UTC</t>
  </si>
  <si>
    <t>2022-11-05 13:20:03 UTC</t>
  </si>
  <si>
    <t>https://www.inaturalist.org/observations/141007845</t>
  </si>
  <si>
    <t>https://inaturalist-open-data.s3.amazonaws.com/photos/241463871/medium.jpeg</t>
  </si>
  <si>
    <t>Arusha, TZ-AS, TZ</t>
  </si>
  <si>
    <t>2022-11-04 12:50:10 UTC</t>
  </si>
  <si>
    <t>2022-11-04 14:51:28 UTC</t>
  </si>
  <si>
    <t>2022-11-09 13:35:54 UTC</t>
  </si>
  <si>
    <t>https://www.inaturalist.org/observations/141071351</t>
  </si>
  <si>
    <t>https://static.inaturalist.org/photos/241587559/medium.jpeg</t>
  </si>
  <si>
    <t>2022-11-05 07:31:00 UTC</t>
  </si>
  <si>
    <t>2022-11-05 08:45:53 UTC</t>
  </si>
  <si>
    <t>2022-11-09 10:59:44 UTC</t>
  </si>
  <si>
    <t>https://www.inaturalist.org/observations/141139437</t>
  </si>
  <si>
    <t>https://inaturalist-open-data.s3.amazonaws.com/photos/241720465/medium.jpeg</t>
  </si>
  <si>
    <t>2022-11-05 10:06:00 UTC</t>
  </si>
  <si>
    <t>Monrovia</t>
  </si>
  <si>
    <t>careljongkind</t>
  </si>
  <si>
    <t>Carel Jongkind</t>
  </si>
  <si>
    <t>2022-11-05 11:10:09 UTC</t>
  </si>
  <si>
    <t>2022-11-05 13:06:20 UTC</t>
  </si>
  <si>
    <t>https://www.inaturalist.org/observations/141146011</t>
  </si>
  <si>
    <t>https://inaturalist-open-data.s3.amazonaws.com/photos/241733408/medium.jpeg</t>
  </si>
  <si>
    <t>Mambah-Kaba, Liberia</t>
  </si>
  <si>
    <t>2006-05-05 19:45:00 UTC</t>
  </si>
  <si>
    <t>bssmnt52</t>
  </si>
  <si>
    <t>Mario Bassini</t>
  </si>
  <si>
    <t>2022-11-05 21:06:13 UTC</t>
  </si>
  <si>
    <t>2022-11-09 09:19:33 UTC</t>
  </si>
  <si>
    <t>https://www.inaturalist.org/observations/141196134</t>
  </si>
  <si>
    <t>https://inaturalist-open-data.s3.amazonaws.com/photos/241829848/medium.jpg</t>
  </si>
  <si>
    <t>MunicipalitÃ  distrettuale di Ehlanzeni, Sudafrica</t>
  </si>
  <si>
    <t>2022-10-31 07:51:00 UTC</t>
  </si>
  <si>
    <t>cathy565</t>
  </si>
  <si>
    <t>Cathy Sharp</t>
  </si>
  <si>
    <t>2022-11-06 08:10:16 UTC</t>
  </si>
  <si>
    <t>2022-11-06 17:19:55 UTC</t>
  </si>
  <si>
    <t>https://www.inaturalist.org/observations/141242882</t>
  </si>
  <si>
    <t>https://static.inaturalist.org/photos/241920882/medium.jpg</t>
  </si>
  <si>
    <t>Silwane Nature Reserve 2, Bulawayo, Zimbabwe</t>
  </si>
  <si>
    <t>2022-10-30 06:01:00 UTC</t>
  </si>
  <si>
    <t>2022-11-06 09:14:20 UTC</t>
  </si>
  <si>
    <t>2022-11-08 17:51:37 UTC</t>
  </si>
  <si>
    <t>https://www.inaturalist.org/observations/141245570</t>
  </si>
  <si>
    <t>https://static.inaturalist.org/photos/241924516/medium.jpeg</t>
  </si>
  <si>
    <t>Potchefstroom, South Africa</t>
  </si>
  <si>
    <t>2022-11-06 12:04:21+03:00</t>
  </si>
  <si>
    <t>2022-11-06 09:04:21 UTC</t>
  </si>
  <si>
    <t>rosshawkins</t>
  </si>
  <si>
    <t>2022-11-06 10:54:23 UTC</t>
  </si>
  <si>
    <t>2022-11-07 00:10:55 UTC</t>
  </si>
  <si>
    <t>https://www.inaturalist.org/observations/141250945</t>
  </si>
  <si>
    <t>https://static.inaturalist.org/photos/241940305/medium.jpg</t>
  </si>
  <si>
    <t>Narok West, Narok, Narok, KE</t>
  </si>
  <si>
    <t>2022-10-30 05:59:00 UTC</t>
  </si>
  <si>
    <t>2022-11-06 16:50:22 UTC</t>
  </si>
  <si>
    <t>2022-11-08 16:14:37 UTC</t>
  </si>
  <si>
    <t>https://www.inaturalist.org/observations/141279587</t>
  </si>
  <si>
    <t>https://inaturalist-open-data.s3.amazonaws.com/photos/241985732/medium.jpg</t>
  </si>
  <si>
    <t>2022-10-29 12:28:02+02:00</t>
  </si>
  <si>
    <t>2022-10-29 10:28:02 UTC</t>
  </si>
  <si>
    <t>2022-11-08 18:54:49 UTC</t>
  </si>
  <si>
    <t>2022-11-09 04:12:34 UTC</t>
  </si>
  <si>
    <t>https://www.inaturalist.org/observations/141474725</t>
  </si>
  <si>
    <t>https://inaturalist-open-data.s3.amazonaws.com/photos/242380976/medium.jpg</t>
  </si>
  <si>
    <t>Arnold Way, Bulawayo, Bulawayo, ZW</t>
  </si>
  <si>
    <t>2022-10-31 11:52:00 UTC</t>
  </si>
  <si>
    <t>gerritvede</t>
  </si>
  <si>
    <t>2022-11-10 00:11:26 UTC</t>
  </si>
  <si>
    <t>2022-11-17 09:37:58 UTC</t>
  </si>
  <si>
    <t>https://www.inaturalist.org/observations/141573834</t>
  </si>
  <si>
    <t>https://inaturalist-open-data.s3.amazonaws.com/photos/242571590/medium.jpg</t>
  </si>
  <si>
    <t>Bashewa AH, South Africa</t>
  </si>
  <si>
    <t>2022-11-09 09:14:00 UTC</t>
  </si>
  <si>
    <t>2022-11-10 10:40:08 UTC</t>
  </si>
  <si>
    <t>2022-11-17 09:22:34 UTC</t>
  </si>
  <si>
    <t>https://www.inaturalist.org/observations/141601664</t>
  </si>
  <si>
    <t>https://inaturalist-open-data.s3.amazonaws.com/photos/242623351/medium.jpeg</t>
  </si>
  <si>
    <t>2022-10-28 09:35:00 UTC</t>
  </si>
  <si>
    <t>2022-11-10 18:43:54 UTC</t>
  </si>
  <si>
    <t>2022-11-10 18:55:56 UTC</t>
  </si>
  <si>
    <t>https://www.inaturalist.org/observations/141629851</t>
  </si>
  <si>
    <t>https://inaturalist-open-data.s3.amazonaws.com/photos/242679361/medium.jpeg</t>
  </si>
  <si>
    <t>Kaalrug, Ehlanzeni District Municipality, South Africa</t>
  </si>
  <si>
    <t>2022-11-10 19:38:59 UTC</t>
  </si>
  <si>
    <t>swafford</t>
  </si>
  <si>
    <t>2022-11-10 20:46:11 UTC</t>
  </si>
  <si>
    <t>2022-11-17 07:50:46 UTC</t>
  </si>
  <si>
    <t>https://www.inaturalist.org/observations/141639185</t>
  </si>
  <si>
    <t>https://inaturalist-open-data.s3.amazonaws.com/photos/242698220/medium.jpeg</t>
  </si>
  <si>
    <t>Hluhluwe, South Africa</t>
  </si>
  <si>
    <t>2022-11-08 02:38:00 UTC</t>
  </si>
  <si>
    <t>2022-11-11 14:35:32 UTC</t>
  </si>
  <si>
    <t>2022-11-11 16:37:45 UTC</t>
  </si>
  <si>
    <t>https://www.inaturalist.org/observations/141696973</t>
  </si>
  <si>
    <t>https://static.inaturalist.org/photos/242808505/medium.jpeg</t>
  </si>
  <si>
    <t>2022-10-31 15:05:00 UTC</t>
  </si>
  <si>
    <t>2022-11-12 02:27:26 UTC</t>
  </si>
  <si>
    <t>2022-11-16 11:27:24 UTC</t>
  </si>
  <si>
    <t>https://www.inaturalist.org/observations/141747479</t>
  </si>
  <si>
    <t>https://inaturalist-open-data.s3.amazonaws.com/photos/242886590/medium.jpg</t>
  </si>
  <si>
    <t>2007-10-01 08:18:00 UTC</t>
  </si>
  <si>
    <t>2022-11-12 11:03:40 UTC</t>
  </si>
  <si>
    <t>2022-11-16 11:04:46 UTC</t>
  </si>
  <si>
    <t>https://www.inaturalist.org/observations/141772367</t>
  </si>
  <si>
    <t>https://inaturalist-open-data.s3.amazonaws.com/photos/242953415/medium.jpg</t>
  </si>
  <si>
    <t>2021-03-21 12:11:00+02:00</t>
  </si>
  <si>
    <t>2021-03-21 10:11:00 UTC</t>
  </si>
  <si>
    <t>angus_burns</t>
  </si>
  <si>
    <t>2022-11-13 10:12:19 UTC</t>
  </si>
  <si>
    <t>2022-11-16 09:45:59 UTC</t>
  </si>
  <si>
    <t>https://www.inaturalist.org/observations/141872665</t>
  </si>
  <si>
    <t>https://inaturalist-open-data.s3.amazonaws.com/photos/243143271/medium.jpg</t>
  </si>
  <si>
    <t>Aquamarine Drive, Newcastle, KZN, ZA</t>
  </si>
  <si>
    <t>2022-09-11 12:30:59+02:00</t>
  </si>
  <si>
    <t>2022-09-11 10:30:59 UTC</t>
  </si>
  <si>
    <t>ticoswildstudio</t>
  </si>
  <si>
    <t>TÃ­co Haroutiounian</t>
  </si>
  <si>
    <t>2022-11-13 21:31:40 UTC</t>
  </si>
  <si>
    <t>2022-11-16 06:17:02 UTC</t>
  </si>
  <si>
    <t>https://www.inaturalist.org/observations/141927926</t>
  </si>
  <si>
    <t>https://static.inaturalist.org/photos/243244988/medium.jpg</t>
  </si>
  <si>
    <t>For more follow me on www.instagram.com/ticoswildstudio</t>
  </si>
  <si>
    <t>iSimangaliso Wetland Park, Mtubatuba, KZN, ZA</t>
  </si>
  <si>
    <t>2022-08-17 07:06:00 UTC</t>
  </si>
  <si>
    <t>misumeta</t>
  </si>
  <si>
    <t>Stephan Pflume</t>
  </si>
  <si>
    <t>2022-11-14 21:24:34 UTC</t>
  </si>
  <si>
    <t>https://www.inaturalist.org/observations/142016785</t>
  </si>
  <si>
    <t>https://inaturalist-open-data.s3.amazonaws.com/photos/243411999/medium.jpeg</t>
  </si>
  <si>
    <t>Falls View, Livingstone, Sambia</t>
  </si>
  <si>
    <t>2022-11-12 19:36:00 UTC</t>
  </si>
  <si>
    <t>2022-11-15 18:59:38 UTC</t>
  </si>
  <si>
    <t>2022-11-21 09:41:03 UTC</t>
  </si>
  <si>
    <t>https://www.inaturalist.org/observations/142086150</t>
  </si>
  <si>
    <t>https://inaturalist-open-data.s3.amazonaws.com/photos/243541451/medium.jpg</t>
  </si>
  <si>
    <t>2022-10-02 08:35:00 UTC</t>
  </si>
  <si>
    <t>hannabauer</t>
  </si>
  <si>
    <t>Hanna Bauer</t>
  </si>
  <si>
    <t>2022-11-15 23:01:11 UTC</t>
  </si>
  <si>
    <t>2022-11-16 06:36:24 UTC</t>
  </si>
  <si>
    <t>https://www.inaturalist.org/observations/142102859</t>
  </si>
  <si>
    <t>https://static.inaturalist.org/photos/243573454/medium.jpeg</t>
  </si>
  <si>
    <t>2022-10-22 20:39:52+01:00</t>
  </si>
  <si>
    <t>2022-10-22 19:39:52 UTC</t>
  </si>
  <si>
    <t>mike_rochford</t>
  </si>
  <si>
    <t>2022-11-17 04:29:00 UTC</t>
  </si>
  <si>
    <t>2022-11-17 20:49:46 UTC</t>
  </si>
  <si>
    <t>https://www.inaturalist.org/observations/142195139</t>
  </si>
  <si>
    <t>https://static.inaturalist.org/photos/243749285/medium.jpg</t>
  </si>
  <si>
    <t>Crystal Mountains National Park, Estuaire, GA</t>
  </si>
  <si>
    <t>2022-10-11 13:06:00 UTC</t>
  </si>
  <si>
    <t>2022-11-17 05:09:56 UTC</t>
  </si>
  <si>
    <t>2022-11-17 18:23:31 UTC</t>
  </si>
  <si>
    <t>https://www.inaturalist.org/observations/142196775</t>
  </si>
  <si>
    <t>https://inaturalist-open-data.s3.amazonaws.com/photos/243752462/medium.jpeg</t>
  </si>
  <si>
    <t>2022-11-12 14:54:43Z</t>
  </si>
  <si>
    <t>2022-11-12 14:54:43 UTC</t>
  </si>
  <si>
    <t>mabelem</t>
  </si>
  <si>
    <t>2022-11-20 14:37:12 UTC</t>
  </si>
  <si>
    <t>2022-11-20 23:06:34 UTC</t>
  </si>
  <si>
    <t>https://www.inaturalist.org/observations/142453217</t>
  </si>
  <si>
    <t>https://inaturalist-open-data.s3.amazonaws.com/photos/244239717/medium.jpg</t>
  </si>
  <si>
    <t>Coyah, GN</t>
  </si>
  <si>
    <t>2022-11-15 18:36:00 UTC</t>
  </si>
  <si>
    <t>2022-11-22 08:49:56 UTC</t>
  </si>
  <si>
    <t>2022-11-22 22:52:09 UTC</t>
  </si>
  <si>
    <t>https://www.inaturalist.org/observations/142591111</t>
  </si>
  <si>
    <t>https://inaturalist-open-data.s3.amazonaws.com/photos/244486787/medium.jpeg</t>
  </si>
  <si>
    <t>Serrekunda, The Gambia</t>
  </si>
  <si>
    <t>2022-11-09 16:34:00 UTC</t>
  </si>
  <si>
    <t>2022-11-22 18:11:03 UTC</t>
  </si>
  <si>
    <t>2022-11-22 22:51:12 UTC</t>
  </si>
  <si>
    <t>https://www.inaturalist.org/observations/142614470</t>
  </si>
  <si>
    <t>https://inaturalist-open-data.s3.amazonaws.com/photos/244533095/medium.jpeg</t>
  </si>
  <si>
    <t>Road side near forest.</t>
  </si>
  <si>
    <t>Sanquin District 1, Liberia</t>
  </si>
  <si>
    <t>Observations from published papers (i.e., not iNaturalist observations)</t>
  </si>
  <si>
    <t>November-to-December 2014 (see note)</t>
  </si>
  <si>
    <t>Nest (foundress)</t>
  </si>
  <si>
    <t>Nest from Kelstrup et al. 2017. The paper says n=18 foundress nests were observed in November and December, but does not specify further. We have therefore split the nests 50:50 between November and December in this dataset.</t>
  </si>
  <si>
    <t>Nest from Kelstrup et al. 2017 (via Miller et al. 2018 WaspNEST dataset).</t>
  </si>
  <si>
    <t>Post-emergence</t>
  </si>
  <si>
    <t>n/a</t>
  </si>
  <si>
    <t>Nest CTB from Kelstrup et al. (2017), observed in March.</t>
  </si>
  <si>
    <t>Nest CTC from Kelstrup et al. (2017), observed in March.</t>
  </si>
  <si>
    <t>Nest CTD from Kelstrup et al. (2017), observed in March.</t>
  </si>
  <si>
    <t>Nest G1 from Kelstrup et al. (2017), observed in March.</t>
  </si>
  <si>
    <t>Nest G2 from Kelstrup et al. (2017), observed in March.</t>
  </si>
  <si>
    <t>Nest NB1A from Kelstrup et al. (2017), observed in March.</t>
  </si>
  <si>
    <t>Nest NB1C from Kelstrup et al. (2017), observed in March.</t>
  </si>
  <si>
    <t>Nest NB1D from Kelstrup et al. (2017), observed in March.</t>
  </si>
  <si>
    <t>Nest NB1F from Kelstrup et al. (2017), observed in March.</t>
  </si>
  <si>
    <t>Nest NB2A from Kelstrup et al. (2017), observed in March.</t>
  </si>
  <si>
    <t>Nest NB3B from Kelstrup et al. (2017), observed in March.</t>
  </si>
  <si>
    <t>Nest NB3C from Kelstrup et al. (2017), observed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</si>
</sst>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theme="1"/>
      <name val="Calibri"/>
      <family val="2"/>
      <scheme val="minor"/>
    </font>
    <font>
      <i/>
      <sz val="8"/>
      <color theme="1"/>
      <name val="Calibri"/>
      <family val="2"/>
      <scheme val="minor"/>
    </font>
    <font>
      <b/>
      <i/>
      <sz val="9"/>
      <color theme="1"/>
      <name val="Calibri"/>
      <family val="2"/>
      <scheme val="minor"/>
    </font>
    <font>
      <i/>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wrapText="1"/>
    </xf>
    <xf numFmtId="0" fontId="1" fillId="0" borderId="0" xfId="0" applyFont="1" applyAlignment="1">
      <alignment horizontal="center" wrapText="1"/>
    </xf>
    <xf numFmtId="0" fontId="1" fillId="2" borderId="0" xfId="0" applyFont="1" applyFill="1" applyAlignment="1">
      <alignment wrapText="1"/>
    </xf>
    <xf numFmtId="0" fontId="2"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3" fillId="7" borderId="0" xfId="0" applyFont="1" applyFill="1" applyAlignment="1">
      <alignment horizontal="center" vertical="center" textRotation="90"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wrapText="1"/>
    </xf>
    <xf numFmtId="14" fontId="0" fillId="0" borderId="0" xfId="0" applyNumberFormat="1"/>
    <xf numFmtId="14" fontId="0" fillId="0" borderId="0" xfId="0" applyNumberFormat="1" applyAlignment="1">
      <alignment horizontal="center"/>
    </xf>
    <xf numFmtId="0" fontId="0" fillId="0" borderId="0" xfId="0" applyAlignment="1">
      <alignment horizontal="center"/>
    </xf>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4" fillId="7" borderId="0" xfId="0" applyFont="1" applyFill="1"/>
    <xf numFmtId="0" fontId="0" fillId="8" borderId="0" xfId="0" applyFill="1" applyAlignment="1">
      <alignment horizontal="center"/>
    </xf>
    <xf numFmtId="0" fontId="0" fillId="9" borderId="0" xfId="0" applyFill="1" applyAlignment="1">
      <alignment horizontal="center"/>
    </xf>
    <xf numFmtId="22" fontId="0" fillId="0" borderId="0" xfId="0" applyNumberFormat="1"/>
    <xf numFmtId="0" fontId="0" fillId="0" borderId="0" xfId="0" applyAlignment="1">
      <alignment wrapText="1"/>
    </xf>
    <xf numFmtId="0" fontId="1" fillId="0" borderId="0" xfId="0" applyFont="1"/>
    <xf numFmtId="17" fontId="0" fillId="0" borderId="0" xfId="0" applyNumberFormat="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d0ce9a38c4d182a/1_All_MSCA_and_Simons_Fellowship_Work/1_Main_Paper/1_Nesting_cycle_across_Africa/iNaturalist%20data/observations-276632.xlsx" TargetMode="External"/><Relationship Id="rId1" Type="http://schemas.openxmlformats.org/officeDocument/2006/relationships/externalLinkPath" Target="https://d.docs.live.net/9d0ce9a38c4d182a/1_All_MSCA_and_Simons_Fellowship_Work/1_Main_Paper/1_Nesting_cycle_across_Africa/iNaturalist%20data/observations-2766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bservations-276632"/>
      <sheetName val="Sheet1"/>
      <sheetName val="Methods write-up"/>
      <sheetName val="Output"/>
      <sheetName val="Sheet2"/>
      <sheetName val="Sheet3"/>
    </sheetNames>
    <sheetDataSet>
      <sheetData sheetId="0">
        <row r="2">
          <cell r="W2">
            <v>6.4411579999999997</v>
          </cell>
          <cell r="X2">
            <v>3.417977</v>
          </cell>
        </row>
        <row r="3">
          <cell r="W3">
            <v>-18.045000000000002</v>
          </cell>
          <cell r="X3">
            <v>35.206000000000003</v>
          </cell>
        </row>
        <row r="4">
          <cell r="W4">
            <v>-9.4875559999999997</v>
          </cell>
          <cell r="X4">
            <v>34.02375</v>
          </cell>
        </row>
        <row r="5">
          <cell r="W5">
            <v>2.4541170000000001</v>
          </cell>
          <cell r="X5">
            <v>15.421167000000001</v>
          </cell>
        </row>
        <row r="6">
          <cell r="W6">
            <v>7.1335430000000004</v>
          </cell>
          <cell r="X6">
            <v>13.696059</v>
          </cell>
        </row>
        <row r="7">
          <cell r="W7">
            <v>-24.980592000000001</v>
          </cell>
          <cell r="X7">
            <v>31.486158</v>
          </cell>
        </row>
        <row r="8">
          <cell r="W8">
            <v>4.864325</v>
          </cell>
          <cell r="X8">
            <v>31.519582</v>
          </cell>
        </row>
        <row r="9">
          <cell r="W9">
            <v>-3.3723010000000002</v>
          </cell>
          <cell r="X9">
            <v>36.694414000000002</v>
          </cell>
        </row>
        <row r="10">
          <cell r="W10">
            <v>-2.9518309999999999</v>
          </cell>
          <cell r="X10">
            <v>25.926703</v>
          </cell>
        </row>
        <row r="11">
          <cell r="W11">
            <v>-25.506781</v>
          </cell>
          <cell r="X11">
            <v>31.102143999999999</v>
          </cell>
        </row>
        <row r="12">
          <cell r="W12">
            <v>-1.351944</v>
          </cell>
          <cell r="X12">
            <v>36.712499999999999</v>
          </cell>
        </row>
        <row r="13">
          <cell r="W13">
            <v>12.538501999999999</v>
          </cell>
          <cell r="X13">
            <v>53.911628999999998</v>
          </cell>
        </row>
        <row r="14">
          <cell r="W14">
            <v>12.538501999999999</v>
          </cell>
          <cell r="X14">
            <v>53.911628999999998</v>
          </cell>
        </row>
        <row r="15">
          <cell r="W15">
            <v>-17.811640000000001</v>
          </cell>
          <cell r="X15">
            <v>31.080963000000001</v>
          </cell>
        </row>
        <row r="16">
          <cell r="W16">
            <v>2.2106300000000001</v>
          </cell>
          <cell r="X16">
            <v>16.19275</v>
          </cell>
        </row>
        <row r="17">
          <cell r="W17">
            <v>-12.439175000000001</v>
          </cell>
          <cell r="X17">
            <v>49.246944999999997</v>
          </cell>
        </row>
        <row r="18">
          <cell r="W18">
            <v>-8.1823309999999996</v>
          </cell>
          <cell r="X18">
            <v>36.693547000000002</v>
          </cell>
        </row>
        <row r="19">
          <cell r="W19">
            <v>-7.8481670000000001</v>
          </cell>
          <cell r="X19">
            <v>36.890385999999999</v>
          </cell>
        </row>
        <row r="20">
          <cell r="W20">
            <v>-7.0150139999999999</v>
          </cell>
          <cell r="X20">
            <v>37.812480000000001</v>
          </cell>
        </row>
        <row r="21">
          <cell r="W21">
            <v>-7.011978</v>
          </cell>
          <cell r="X21">
            <v>37.806927000000002</v>
          </cell>
        </row>
        <row r="22">
          <cell r="W22">
            <v>11.181376</v>
          </cell>
          <cell r="X22">
            <v>-16.139654</v>
          </cell>
        </row>
        <row r="23">
          <cell r="W23">
            <v>-12.512778000000001</v>
          </cell>
          <cell r="X23">
            <v>49.140833000000001</v>
          </cell>
        </row>
        <row r="24">
          <cell r="W24">
            <v>3.3457031000000002</v>
          </cell>
          <cell r="X24">
            <v>8.6655592000000006</v>
          </cell>
        </row>
        <row r="25">
          <cell r="W25">
            <v>3.7548277780000001</v>
          </cell>
          <cell r="X25">
            <v>29.526516669999999</v>
          </cell>
        </row>
        <row r="26">
          <cell r="W26">
            <v>-6.6926110000000003</v>
          </cell>
          <cell r="X26">
            <v>39.201292000000002</v>
          </cell>
        </row>
        <row r="27">
          <cell r="W27">
            <v>6.2319444000000002E-2</v>
          </cell>
          <cell r="X27">
            <v>32.478244439999997</v>
          </cell>
        </row>
        <row r="28">
          <cell r="W28">
            <v>-0.19679033800000001</v>
          </cell>
          <cell r="X28">
            <v>29.90139529</v>
          </cell>
        </row>
        <row r="29">
          <cell r="W29">
            <v>-14.85116088</v>
          </cell>
          <cell r="X29">
            <v>35.294338170000003</v>
          </cell>
        </row>
        <row r="30">
          <cell r="W30">
            <v>-4.6989795660000002</v>
          </cell>
          <cell r="X30">
            <v>34.962401389999997</v>
          </cell>
        </row>
        <row r="31">
          <cell r="W31">
            <v>-17.799339</v>
          </cell>
          <cell r="X31">
            <v>31.053799000000001</v>
          </cell>
        </row>
        <row r="32">
          <cell r="W32">
            <v>-20.47631174</v>
          </cell>
          <cell r="X32">
            <v>28.524161200000002</v>
          </cell>
        </row>
        <row r="33">
          <cell r="W33">
            <v>6.9535380699999996</v>
          </cell>
          <cell r="X33">
            <v>2.3929595950000002</v>
          </cell>
        </row>
        <row r="34">
          <cell r="W34">
            <v>-15.7804453</v>
          </cell>
          <cell r="X34">
            <v>34.989184250000001</v>
          </cell>
        </row>
        <row r="35">
          <cell r="W35">
            <v>-4.900931667</v>
          </cell>
          <cell r="X35">
            <v>39.678428330000003</v>
          </cell>
        </row>
        <row r="36">
          <cell r="W36">
            <v>-8.4813497519999999</v>
          </cell>
          <cell r="X36">
            <v>30.451784119999999</v>
          </cell>
        </row>
        <row r="37">
          <cell r="W37">
            <v>-2.6520157000000002</v>
          </cell>
          <cell r="X37">
            <v>37.260767199999997</v>
          </cell>
        </row>
        <row r="38">
          <cell r="W38">
            <v>-1.5262880000000001</v>
          </cell>
          <cell r="X38">
            <v>29.721526000000001</v>
          </cell>
        </row>
        <row r="39">
          <cell r="W39">
            <v>-28.381281959999999</v>
          </cell>
          <cell r="X39">
            <v>32.418937679999999</v>
          </cell>
        </row>
        <row r="40">
          <cell r="W40">
            <v>-6.7316953000000002</v>
          </cell>
          <cell r="X40">
            <v>39.2378426</v>
          </cell>
        </row>
        <row r="41">
          <cell r="W41">
            <v>-3.31575</v>
          </cell>
          <cell r="X41">
            <v>37.316536669999998</v>
          </cell>
        </row>
        <row r="42">
          <cell r="W42">
            <v>-3.2189166669999998</v>
          </cell>
          <cell r="X42">
            <v>37.335288329999997</v>
          </cell>
        </row>
        <row r="43">
          <cell r="W43">
            <v>-6.4507916669999998</v>
          </cell>
          <cell r="X43">
            <v>38.920983329999999</v>
          </cell>
        </row>
        <row r="44">
          <cell r="W44">
            <v>-6.4508916669999996</v>
          </cell>
          <cell r="X44">
            <v>38.920945000000003</v>
          </cell>
        </row>
        <row r="45">
          <cell r="W45">
            <v>-25.488529639999999</v>
          </cell>
          <cell r="X45">
            <v>30.9380579</v>
          </cell>
        </row>
        <row r="46">
          <cell r="W46">
            <v>-14.850191669999999</v>
          </cell>
          <cell r="X46">
            <v>35.294238329999999</v>
          </cell>
        </row>
        <row r="47">
          <cell r="W47">
            <v>-4.6578999999999997</v>
          </cell>
          <cell r="X47">
            <v>39.369999999999997</v>
          </cell>
        </row>
        <row r="48">
          <cell r="W48">
            <v>-14.8515283</v>
          </cell>
          <cell r="X48">
            <v>35.29445887</v>
          </cell>
        </row>
        <row r="49">
          <cell r="W49">
            <v>-15.364585480000001</v>
          </cell>
          <cell r="X49">
            <v>35.304368289999999</v>
          </cell>
        </row>
        <row r="50">
          <cell r="W50">
            <v>-28.960037719999999</v>
          </cell>
          <cell r="X50">
            <v>31.756330129999998</v>
          </cell>
        </row>
        <row r="51">
          <cell r="W51">
            <v>-15.36514167</v>
          </cell>
          <cell r="X51">
            <v>35.310613889999999</v>
          </cell>
        </row>
        <row r="52">
          <cell r="W52">
            <v>-15.93186667</v>
          </cell>
          <cell r="X52">
            <v>35.052845480000002</v>
          </cell>
        </row>
        <row r="53">
          <cell r="W53">
            <v>-18.827492589999999</v>
          </cell>
          <cell r="X53">
            <v>48.460429900000001</v>
          </cell>
        </row>
        <row r="54">
          <cell r="W54">
            <v>-28.097499859999999</v>
          </cell>
          <cell r="X54">
            <v>25.249405159999998</v>
          </cell>
        </row>
        <row r="55">
          <cell r="W55">
            <v>-28.005531000000001</v>
          </cell>
          <cell r="X55">
            <v>31.2059204</v>
          </cell>
        </row>
        <row r="56">
          <cell r="W56">
            <v>-24.832613250000001</v>
          </cell>
          <cell r="X56">
            <v>28.081934449999999</v>
          </cell>
        </row>
        <row r="57">
          <cell r="W57">
            <v>-3.2965488870000001</v>
          </cell>
          <cell r="X57">
            <v>37.524173859999998</v>
          </cell>
        </row>
        <row r="58">
          <cell r="W58">
            <v>-28.25939473</v>
          </cell>
          <cell r="X58">
            <v>32.474069149999998</v>
          </cell>
        </row>
        <row r="59">
          <cell r="W59">
            <v>-29.761505110000002</v>
          </cell>
          <cell r="X59">
            <v>30.797147750000001</v>
          </cell>
        </row>
        <row r="60">
          <cell r="W60">
            <v>0.61484499999999997</v>
          </cell>
          <cell r="X60">
            <v>35.522523999999997</v>
          </cell>
        </row>
        <row r="61">
          <cell r="W61">
            <v>-29.81553925</v>
          </cell>
          <cell r="X61">
            <v>30.46180889</v>
          </cell>
        </row>
        <row r="62">
          <cell r="W62">
            <v>-29.689514079999999</v>
          </cell>
          <cell r="X62">
            <v>30.47053889</v>
          </cell>
        </row>
        <row r="63">
          <cell r="W63">
            <v>-27.544668380000001</v>
          </cell>
          <cell r="X63">
            <v>32.678698900000001</v>
          </cell>
        </row>
        <row r="64">
          <cell r="W64">
            <v>-15.379440929999999</v>
          </cell>
          <cell r="X64">
            <v>35.321875390000002</v>
          </cell>
        </row>
        <row r="65">
          <cell r="W65">
            <v>-22.53916667</v>
          </cell>
          <cell r="X65">
            <v>45.380029999999998</v>
          </cell>
        </row>
        <row r="66">
          <cell r="W66">
            <v>-22.53916667</v>
          </cell>
          <cell r="X66">
            <v>45.380029999999998</v>
          </cell>
        </row>
        <row r="67">
          <cell r="W67">
            <v>1.2739571750000001</v>
          </cell>
          <cell r="X67">
            <v>35.162979129999997</v>
          </cell>
        </row>
        <row r="68">
          <cell r="W68">
            <v>-21.26099722</v>
          </cell>
          <cell r="X68">
            <v>47.461372220000001</v>
          </cell>
        </row>
        <row r="69">
          <cell r="W69">
            <v>-22.88332222</v>
          </cell>
          <cell r="X69">
            <v>44.693913889999997</v>
          </cell>
        </row>
        <row r="70">
          <cell r="W70">
            <v>-12.940661110000001</v>
          </cell>
          <cell r="X70">
            <v>49.116005559999998</v>
          </cell>
        </row>
        <row r="71">
          <cell r="W71">
            <v>-1.3092798619999999</v>
          </cell>
          <cell r="X71">
            <v>36.71033138</v>
          </cell>
        </row>
        <row r="72">
          <cell r="W72">
            <v>-1.3092798619999999</v>
          </cell>
          <cell r="X72">
            <v>36.71033585</v>
          </cell>
        </row>
        <row r="73">
          <cell r="W73">
            <v>-1.3468483330000001</v>
          </cell>
          <cell r="X73">
            <v>36.764505</v>
          </cell>
        </row>
        <row r="74">
          <cell r="W74">
            <v>3.7567699999999999</v>
          </cell>
          <cell r="X74">
            <v>29.527758330000001</v>
          </cell>
        </row>
        <row r="75">
          <cell r="W75">
            <v>9.8855781559999993</v>
          </cell>
          <cell r="X75">
            <v>8.9612426759999995</v>
          </cell>
        </row>
        <row r="76">
          <cell r="W76">
            <v>-26.0869</v>
          </cell>
          <cell r="X76">
            <v>27.8399</v>
          </cell>
        </row>
        <row r="77">
          <cell r="W77">
            <v>-33.656779999999998</v>
          </cell>
          <cell r="X77">
            <v>24.401140000000002</v>
          </cell>
        </row>
        <row r="78">
          <cell r="W78">
            <v>-33.980800000000002</v>
          </cell>
          <cell r="X78">
            <v>23.549299999999999</v>
          </cell>
        </row>
        <row r="79">
          <cell r="W79">
            <v>-24.405000000000001</v>
          </cell>
          <cell r="X79">
            <v>30.814</v>
          </cell>
        </row>
        <row r="80">
          <cell r="W80">
            <v>-25.810416700000001</v>
          </cell>
          <cell r="X80">
            <v>27.910222000000001</v>
          </cell>
        </row>
        <row r="81">
          <cell r="W81">
            <v>-26.181239999999999</v>
          </cell>
          <cell r="X81">
            <v>28.026540000000001</v>
          </cell>
        </row>
        <row r="82">
          <cell r="W82">
            <v>-26.088797100000001</v>
          </cell>
          <cell r="X82">
            <v>27.842853099999999</v>
          </cell>
        </row>
        <row r="83">
          <cell r="W83">
            <v>-24.404961</v>
          </cell>
          <cell r="X83">
            <v>30.815405999999999</v>
          </cell>
        </row>
        <row r="84">
          <cell r="W84">
            <v>-24.48</v>
          </cell>
          <cell r="X84">
            <v>16.335999999999999</v>
          </cell>
        </row>
        <row r="85">
          <cell r="W85">
            <v>-24.48</v>
          </cell>
          <cell r="X85">
            <v>16.335999999999999</v>
          </cell>
        </row>
        <row r="86">
          <cell r="W86">
            <v>-24.405000000000001</v>
          </cell>
          <cell r="X86">
            <v>30.814</v>
          </cell>
        </row>
        <row r="87">
          <cell r="W87">
            <v>-34.001905309999998</v>
          </cell>
          <cell r="X87">
            <v>23.760144690000001</v>
          </cell>
        </row>
        <row r="88">
          <cell r="W88">
            <v>-28.078139</v>
          </cell>
          <cell r="X88">
            <v>32.041477</v>
          </cell>
        </row>
        <row r="89">
          <cell r="W89">
            <v>-33.97092</v>
          </cell>
          <cell r="X89">
            <v>18.449809999999999</v>
          </cell>
        </row>
        <row r="90">
          <cell r="W90">
            <v>-33.981961699999999</v>
          </cell>
          <cell r="X90">
            <v>18.436324599999999</v>
          </cell>
        </row>
        <row r="91">
          <cell r="W91">
            <v>-33.709099999999999</v>
          </cell>
          <cell r="X91">
            <v>23.83222</v>
          </cell>
        </row>
        <row r="92">
          <cell r="W92">
            <v>-25.775262000000001</v>
          </cell>
          <cell r="X92">
            <v>28.21435</v>
          </cell>
        </row>
        <row r="93">
          <cell r="W93">
            <v>-24.952999999999999</v>
          </cell>
          <cell r="X93">
            <v>16.338999999999999</v>
          </cell>
        </row>
        <row r="94">
          <cell r="W94">
            <v>-24.952999999999999</v>
          </cell>
          <cell r="X94">
            <v>16.338999999999999</v>
          </cell>
        </row>
        <row r="95">
          <cell r="W95">
            <v>-24.48</v>
          </cell>
          <cell r="X95">
            <v>16.335999999999999</v>
          </cell>
        </row>
        <row r="96">
          <cell r="W96">
            <v>-29.845143790000002</v>
          </cell>
          <cell r="X96">
            <v>30.919679080000002</v>
          </cell>
        </row>
        <row r="97">
          <cell r="W97">
            <v>-25.461771150000001</v>
          </cell>
          <cell r="X97">
            <v>30.01440212</v>
          </cell>
        </row>
        <row r="98">
          <cell r="W98">
            <v>-25.461771150000001</v>
          </cell>
          <cell r="X98">
            <v>30.01440212</v>
          </cell>
        </row>
        <row r="99">
          <cell r="W99">
            <v>-25.461771150000001</v>
          </cell>
          <cell r="X99">
            <v>30.01440212</v>
          </cell>
        </row>
        <row r="100">
          <cell r="W100">
            <v>-25.461771150000001</v>
          </cell>
          <cell r="X100">
            <v>30.01440212</v>
          </cell>
        </row>
        <row r="101">
          <cell r="W101">
            <v>-25.461771150000001</v>
          </cell>
          <cell r="X101">
            <v>30.01440212</v>
          </cell>
        </row>
        <row r="102">
          <cell r="W102">
            <v>-33.969410000000003</v>
          </cell>
          <cell r="X102">
            <v>22.087759999999999</v>
          </cell>
        </row>
        <row r="103">
          <cell r="W103">
            <v>-25.423380000000002</v>
          </cell>
          <cell r="X103">
            <v>30.106059999999999</v>
          </cell>
        </row>
        <row r="104">
          <cell r="W104">
            <v>-25.423380000000002</v>
          </cell>
          <cell r="X104">
            <v>30.106059999999999</v>
          </cell>
        </row>
        <row r="105">
          <cell r="W105">
            <v>-33.947299999999998</v>
          </cell>
          <cell r="X105">
            <v>22.463730000000002</v>
          </cell>
        </row>
        <row r="106">
          <cell r="W106">
            <v>-24.47926</v>
          </cell>
          <cell r="X106">
            <v>16.33558</v>
          </cell>
        </row>
        <row r="107">
          <cell r="W107">
            <v>-33.952599999999997</v>
          </cell>
          <cell r="X107">
            <v>22.530200000000001</v>
          </cell>
        </row>
        <row r="108">
          <cell r="W108">
            <v>-33.740400000000001</v>
          </cell>
          <cell r="X108">
            <v>24.6144</v>
          </cell>
        </row>
        <row r="109">
          <cell r="W109">
            <v>-33.995016999999997</v>
          </cell>
          <cell r="X109">
            <v>22.53312</v>
          </cell>
        </row>
        <row r="110">
          <cell r="W110">
            <v>-30.299479999999999</v>
          </cell>
          <cell r="X110">
            <v>30.742730000000002</v>
          </cell>
        </row>
        <row r="111">
          <cell r="W111">
            <v>-33.969880000000003</v>
          </cell>
          <cell r="X111">
            <v>22.09301</v>
          </cell>
        </row>
        <row r="112">
          <cell r="W112">
            <v>-28.376223</v>
          </cell>
          <cell r="X112">
            <v>32.417988000000001</v>
          </cell>
        </row>
        <row r="113">
          <cell r="W113">
            <v>-24.47926</v>
          </cell>
          <cell r="X113">
            <v>16.33558</v>
          </cell>
        </row>
        <row r="114">
          <cell r="W114">
            <v>-24.405000000000001</v>
          </cell>
          <cell r="X114">
            <v>30.814</v>
          </cell>
        </row>
        <row r="115">
          <cell r="W115">
            <v>-24.47926</v>
          </cell>
          <cell r="X115">
            <v>16.33558</v>
          </cell>
        </row>
        <row r="116">
          <cell r="W116">
            <v>-26.234999999999999</v>
          </cell>
          <cell r="X116">
            <v>31.178699999999999</v>
          </cell>
        </row>
        <row r="117">
          <cell r="W117">
            <v>-28.2605</v>
          </cell>
          <cell r="X117">
            <v>32.473599999999998</v>
          </cell>
        </row>
        <row r="118">
          <cell r="W118">
            <v>-22.691700000000001</v>
          </cell>
          <cell r="X118">
            <v>31.015000000000001</v>
          </cell>
        </row>
        <row r="119">
          <cell r="W119">
            <v>-26.235109999999999</v>
          </cell>
          <cell r="X119">
            <v>31.178336000000002</v>
          </cell>
        </row>
        <row r="120">
          <cell r="W120">
            <v>-24.4589231</v>
          </cell>
          <cell r="X120">
            <v>16.316739800000001</v>
          </cell>
        </row>
        <row r="121">
          <cell r="W121">
            <v>-33.939908000000003</v>
          </cell>
          <cell r="X121">
            <v>22.476879</v>
          </cell>
        </row>
        <row r="122">
          <cell r="W122">
            <v>-27.5442</v>
          </cell>
          <cell r="X122">
            <v>32.6768</v>
          </cell>
        </row>
        <row r="123">
          <cell r="W123">
            <v>-27.5442</v>
          </cell>
          <cell r="X123">
            <v>32.6768</v>
          </cell>
        </row>
        <row r="124">
          <cell r="W124">
            <v>-24.44405167</v>
          </cell>
          <cell r="X124">
            <v>16.170806670000001</v>
          </cell>
        </row>
        <row r="125">
          <cell r="W125">
            <v>-24.444115</v>
          </cell>
          <cell r="X125">
            <v>16.170743330000001</v>
          </cell>
        </row>
        <row r="126">
          <cell r="W126">
            <v>-24.47973833</v>
          </cell>
          <cell r="X126">
            <v>16.335674999999998</v>
          </cell>
        </row>
        <row r="127">
          <cell r="W127">
            <v>-24.262333330000001</v>
          </cell>
          <cell r="X127">
            <v>16.233219999999999</v>
          </cell>
        </row>
        <row r="128">
          <cell r="W128">
            <v>-24.556989999999999</v>
          </cell>
          <cell r="X128">
            <v>25.963709999999999</v>
          </cell>
        </row>
        <row r="129">
          <cell r="W129">
            <v>-25.828600000000002</v>
          </cell>
          <cell r="X129">
            <v>27.480039999999999</v>
          </cell>
        </row>
        <row r="130">
          <cell r="W130">
            <v>-24.263030000000001</v>
          </cell>
          <cell r="X130">
            <v>16.229189999999999</v>
          </cell>
        </row>
        <row r="131">
          <cell r="W131">
            <v>-33.947405000000003</v>
          </cell>
          <cell r="X131">
            <v>22.464017999999999</v>
          </cell>
        </row>
        <row r="132">
          <cell r="W132">
            <v>-33.939908000000003</v>
          </cell>
          <cell r="X132">
            <v>22.476879</v>
          </cell>
        </row>
        <row r="133">
          <cell r="W133">
            <v>-24.429043329999999</v>
          </cell>
          <cell r="X133">
            <v>16.354209999999998</v>
          </cell>
        </row>
        <row r="134">
          <cell r="W134">
            <v>-24.414145000000001</v>
          </cell>
          <cell r="X134">
            <v>16.336771670000001</v>
          </cell>
        </row>
        <row r="135">
          <cell r="W135">
            <v>-26.956795100000001</v>
          </cell>
          <cell r="X135">
            <v>32.831854399999997</v>
          </cell>
        </row>
        <row r="136">
          <cell r="W136">
            <v>-28.376201699999999</v>
          </cell>
          <cell r="X136">
            <v>32.417957399999999</v>
          </cell>
        </row>
        <row r="137">
          <cell r="W137">
            <v>-22.707529999999998</v>
          </cell>
          <cell r="X137">
            <v>30.794540000000001</v>
          </cell>
        </row>
        <row r="138">
          <cell r="W138">
            <v>-23.828402000000001</v>
          </cell>
          <cell r="X138">
            <v>30.219341</v>
          </cell>
        </row>
        <row r="139">
          <cell r="W139">
            <v>-24.412430000000001</v>
          </cell>
          <cell r="X139">
            <v>16.337003330000002</v>
          </cell>
        </row>
        <row r="140">
          <cell r="W140">
            <v>-24.4589231</v>
          </cell>
          <cell r="X140">
            <v>16.316739800000001</v>
          </cell>
        </row>
        <row r="141">
          <cell r="W141">
            <v>-25.229399999999998</v>
          </cell>
          <cell r="X141">
            <v>27.032299999999999</v>
          </cell>
        </row>
        <row r="142">
          <cell r="W142">
            <v>-25.719882250000001</v>
          </cell>
          <cell r="X142">
            <v>28.203710789999999</v>
          </cell>
        </row>
        <row r="143">
          <cell r="W143">
            <v>-30.032647999999998</v>
          </cell>
          <cell r="X143">
            <v>25.780453999999999</v>
          </cell>
        </row>
        <row r="144">
          <cell r="W144">
            <v>-33.943239800000001</v>
          </cell>
          <cell r="X144">
            <v>22.476061300000001</v>
          </cell>
        </row>
        <row r="145">
          <cell r="W145">
            <v>-33.966464000000002</v>
          </cell>
          <cell r="X145">
            <v>22.09085</v>
          </cell>
        </row>
        <row r="146">
          <cell r="W146">
            <v>-30.299479999999999</v>
          </cell>
          <cell r="X146">
            <v>30.742730000000002</v>
          </cell>
        </row>
        <row r="147">
          <cell r="W147">
            <v>-33.941865</v>
          </cell>
          <cell r="X147">
            <v>22.46170167</v>
          </cell>
        </row>
        <row r="148">
          <cell r="W148">
            <v>-24.479581</v>
          </cell>
          <cell r="X148">
            <v>16.3358639</v>
          </cell>
        </row>
        <row r="149">
          <cell r="W149">
            <v>-24.262540000000001</v>
          </cell>
          <cell r="X149">
            <v>16.232363329999998</v>
          </cell>
        </row>
        <row r="150">
          <cell r="W150">
            <v>-30.301184169999999</v>
          </cell>
          <cell r="X150">
            <v>30.742553090000001</v>
          </cell>
        </row>
        <row r="151">
          <cell r="W151">
            <v>-25.9481</v>
          </cell>
          <cell r="X151">
            <v>31.133800000000001</v>
          </cell>
        </row>
        <row r="152">
          <cell r="W152">
            <v>-26.180878</v>
          </cell>
          <cell r="X152">
            <v>31.997530000000001</v>
          </cell>
        </row>
        <row r="153">
          <cell r="W153">
            <v>-30.299479999999999</v>
          </cell>
          <cell r="X153">
            <v>30.742730000000002</v>
          </cell>
        </row>
        <row r="154">
          <cell r="W154">
            <v>-18.955403860000001</v>
          </cell>
          <cell r="X154">
            <v>32.684516989999999</v>
          </cell>
        </row>
        <row r="155">
          <cell r="W155">
            <v>-32.600200000000001</v>
          </cell>
          <cell r="X155">
            <v>26.91882</v>
          </cell>
        </row>
        <row r="156">
          <cell r="W156">
            <v>-28.960196</v>
          </cell>
          <cell r="X156">
            <v>31.756506000000002</v>
          </cell>
        </row>
        <row r="157">
          <cell r="W157">
            <v>-25.745000000000001</v>
          </cell>
          <cell r="X157">
            <v>28.248999999999999</v>
          </cell>
        </row>
        <row r="158">
          <cell r="W158">
            <v>-30.299479999999999</v>
          </cell>
          <cell r="X158">
            <v>30.742730000000002</v>
          </cell>
        </row>
        <row r="159">
          <cell r="W159">
            <v>-30.299479999999999</v>
          </cell>
          <cell r="X159">
            <v>30.742730000000002</v>
          </cell>
        </row>
        <row r="160">
          <cell r="W160">
            <v>-28.123049999999999</v>
          </cell>
          <cell r="X160">
            <v>16.890830000000001</v>
          </cell>
        </row>
        <row r="161">
          <cell r="W161">
            <v>-28.123049999999999</v>
          </cell>
          <cell r="X161">
            <v>16.890830000000001</v>
          </cell>
        </row>
        <row r="162">
          <cell r="W162">
            <v>-28.123049999999999</v>
          </cell>
          <cell r="X162">
            <v>16.890830000000001</v>
          </cell>
        </row>
        <row r="163">
          <cell r="W163">
            <v>-28.123049999999999</v>
          </cell>
          <cell r="X163">
            <v>16.890830000000001</v>
          </cell>
        </row>
        <row r="164">
          <cell r="W164">
            <v>-28.123049999999999</v>
          </cell>
          <cell r="X164">
            <v>16.890830000000001</v>
          </cell>
        </row>
        <row r="165">
          <cell r="W165">
            <v>-28.123049999999999</v>
          </cell>
          <cell r="X165">
            <v>16.890830000000001</v>
          </cell>
        </row>
        <row r="166">
          <cell r="W166">
            <v>-28.123049999999999</v>
          </cell>
          <cell r="X166">
            <v>16.890830000000001</v>
          </cell>
        </row>
        <row r="167">
          <cell r="W167">
            <v>-28.123049999999999</v>
          </cell>
          <cell r="X167">
            <v>16.890830000000001</v>
          </cell>
        </row>
        <row r="168">
          <cell r="W168">
            <v>-28.123049999999999</v>
          </cell>
          <cell r="X168">
            <v>16.890830000000001</v>
          </cell>
        </row>
        <row r="169">
          <cell r="W169">
            <v>-28.123049999999999</v>
          </cell>
          <cell r="X169">
            <v>16.890830000000001</v>
          </cell>
        </row>
        <row r="170">
          <cell r="W170">
            <v>-28.123049999999999</v>
          </cell>
          <cell r="X170">
            <v>16.890830000000001</v>
          </cell>
        </row>
        <row r="171">
          <cell r="W171">
            <v>-28.123049999999999</v>
          </cell>
          <cell r="X171">
            <v>16.890830000000001</v>
          </cell>
        </row>
        <row r="172">
          <cell r="W172">
            <v>-28.123049999999999</v>
          </cell>
          <cell r="X172">
            <v>16.890830000000001</v>
          </cell>
        </row>
        <row r="173">
          <cell r="W173">
            <v>-28.123049999999999</v>
          </cell>
          <cell r="X173">
            <v>16.890830000000001</v>
          </cell>
        </row>
        <row r="174">
          <cell r="W174">
            <v>-28.123049999999999</v>
          </cell>
          <cell r="X174">
            <v>16.890830000000001</v>
          </cell>
        </row>
        <row r="175">
          <cell r="W175">
            <v>-28.123049999999999</v>
          </cell>
          <cell r="X175">
            <v>16.890830000000001</v>
          </cell>
        </row>
        <row r="176">
          <cell r="W176">
            <v>-28.123049999999999</v>
          </cell>
          <cell r="X176">
            <v>16.890830000000001</v>
          </cell>
        </row>
        <row r="177">
          <cell r="W177">
            <v>-28.123049999999999</v>
          </cell>
          <cell r="X177">
            <v>16.890830000000001</v>
          </cell>
        </row>
        <row r="178">
          <cell r="W178">
            <v>-28.123049999999999</v>
          </cell>
          <cell r="X178">
            <v>16.890830000000001</v>
          </cell>
        </row>
        <row r="179">
          <cell r="W179">
            <v>-28.123049999999999</v>
          </cell>
          <cell r="X179">
            <v>16.890830000000001</v>
          </cell>
        </row>
        <row r="180">
          <cell r="W180">
            <v>-28.123049999999999</v>
          </cell>
          <cell r="X180">
            <v>16.890830000000001</v>
          </cell>
        </row>
        <row r="181">
          <cell r="W181">
            <v>-28.123049999999999</v>
          </cell>
          <cell r="X181">
            <v>16.890830000000001</v>
          </cell>
        </row>
        <row r="182">
          <cell r="W182">
            <v>-28.123049999999999</v>
          </cell>
          <cell r="X182">
            <v>16.890830000000001</v>
          </cell>
        </row>
        <row r="183">
          <cell r="W183">
            <v>-28.123049999999999</v>
          </cell>
          <cell r="X183">
            <v>16.890830000000001</v>
          </cell>
        </row>
        <row r="184">
          <cell r="W184">
            <v>-28.123049999999999</v>
          </cell>
          <cell r="X184">
            <v>16.890830000000001</v>
          </cell>
        </row>
        <row r="185">
          <cell r="W185">
            <v>-28.123049999999999</v>
          </cell>
          <cell r="X185">
            <v>16.890830000000001</v>
          </cell>
        </row>
        <row r="186">
          <cell r="W186">
            <v>-28.123049999999999</v>
          </cell>
          <cell r="X186">
            <v>16.890830000000001</v>
          </cell>
        </row>
        <row r="187">
          <cell r="W187">
            <v>-30.386358510000001</v>
          </cell>
          <cell r="X187">
            <v>30.78001446</v>
          </cell>
        </row>
        <row r="188">
          <cell r="W188">
            <v>-29.682435000000002</v>
          </cell>
          <cell r="X188">
            <v>31.024345</v>
          </cell>
        </row>
        <row r="189">
          <cell r="W189">
            <v>-25.738927199999999</v>
          </cell>
          <cell r="X189">
            <v>28.273716400000001</v>
          </cell>
        </row>
        <row r="190">
          <cell r="W190">
            <v>-21.261302799999999</v>
          </cell>
          <cell r="X190">
            <v>47.4557474</v>
          </cell>
        </row>
        <row r="191">
          <cell r="W191">
            <v>-11.660005529999999</v>
          </cell>
          <cell r="X191">
            <v>39.563331730000002</v>
          </cell>
        </row>
        <row r="192">
          <cell r="W192">
            <v>-29.895277020000002</v>
          </cell>
          <cell r="X192">
            <v>30.85611153</v>
          </cell>
        </row>
        <row r="193">
          <cell r="W193">
            <v>-14.848132</v>
          </cell>
          <cell r="X193">
            <v>35.294807599999999</v>
          </cell>
        </row>
        <row r="194">
          <cell r="W194">
            <v>-0.33152490800000001</v>
          </cell>
          <cell r="X194">
            <v>36.116695399999998</v>
          </cell>
        </row>
        <row r="195">
          <cell r="W195">
            <v>-29.475619600000002</v>
          </cell>
          <cell r="X195">
            <v>30.239374600000001</v>
          </cell>
        </row>
        <row r="196">
          <cell r="W196">
            <v>4.2826358830000002</v>
          </cell>
          <cell r="X196">
            <v>14.156132489999999</v>
          </cell>
        </row>
        <row r="197">
          <cell r="W197">
            <v>-32.701110839999998</v>
          </cell>
          <cell r="X197">
            <v>28.335556029999999</v>
          </cell>
        </row>
        <row r="198">
          <cell r="W198">
            <v>-1.333005199</v>
          </cell>
          <cell r="X198">
            <v>36.77004951</v>
          </cell>
        </row>
        <row r="199">
          <cell r="W199">
            <v>-30.301189730000001</v>
          </cell>
          <cell r="X199">
            <v>30.742393509999999</v>
          </cell>
        </row>
        <row r="200">
          <cell r="W200">
            <v>-7.3966416669999999</v>
          </cell>
          <cell r="X200">
            <v>37.001375000000003</v>
          </cell>
        </row>
        <row r="201">
          <cell r="W201">
            <v>-6.7816183329999999</v>
          </cell>
          <cell r="X201">
            <v>39.037406670000003</v>
          </cell>
        </row>
        <row r="202">
          <cell r="W202">
            <v>-5.550460159</v>
          </cell>
          <cell r="X202">
            <v>38.968405779999998</v>
          </cell>
        </row>
        <row r="203">
          <cell r="W203">
            <v>1.6782930069999999</v>
          </cell>
          <cell r="X203">
            <v>7.3802907209999997</v>
          </cell>
        </row>
        <row r="204">
          <cell r="W204">
            <v>-27.810924620000002</v>
          </cell>
          <cell r="X204">
            <v>32.230509130000002</v>
          </cell>
        </row>
        <row r="205">
          <cell r="W205">
            <v>-29.54727604</v>
          </cell>
          <cell r="X205">
            <v>31.203482300000001</v>
          </cell>
        </row>
        <row r="206">
          <cell r="W206">
            <v>-7.1393578949999998</v>
          </cell>
          <cell r="X206">
            <v>35.978169110000003</v>
          </cell>
        </row>
        <row r="207">
          <cell r="W207">
            <v>5.2870571899999996</v>
          </cell>
          <cell r="X207">
            <v>-3.9762720869999999</v>
          </cell>
        </row>
        <row r="208">
          <cell r="W208">
            <v>-6.8277555999999997</v>
          </cell>
          <cell r="X208">
            <v>37.6591144</v>
          </cell>
        </row>
        <row r="209">
          <cell r="W209">
            <v>-20.554650729999999</v>
          </cell>
          <cell r="X209">
            <v>28.402637110000001</v>
          </cell>
        </row>
        <row r="210">
          <cell r="W210">
            <v>-20.557222199999998</v>
          </cell>
          <cell r="X210">
            <v>28.410876460000001</v>
          </cell>
        </row>
        <row r="211">
          <cell r="W211">
            <v>-4.1924970000000004</v>
          </cell>
          <cell r="X211">
            <v>39.425484900000001</v>
          </cell>
        </row>
        <row r="212">
          <cell r="W212">
            <v>0.43932196899999998</v>
          </cell>
          <cell r="X212">
            <v>35.9156695</v>
          </cell>
        </row>
        <row r="213">
          <cell r="W213">
            <v>-15.71247206</v>
          </cell>
          <cell r="X213">
            <v>49.961948630000002</v>
          </cell>
        </row>
        <row r="214">
          <cell r="W214">
            <v>-15.71039139</v>
          </cell>
          <cell r="X214">
            <v>49.96420371</v>
          </cell>
        </row>
        <row r="215">
          <cell r="W215">
            <v>-28.139406040000001</v>
          </cell>
          <cell r="X215">
            <v>32.019119689999997</v>
          </cell>
        </row>
        <row r="216">
          <cell r="W216">
            <v>-0.97350613699999999</v>
          </cell>
          <cell r="X216">
            <v>29.688653779999999</v>
          </cell>
        </row>
        <row r="217">
          <cell r="W217">
            <v>-2.6212907470000002</v>
          </cell>
          <cell r="X217">
            <v>25.532500479999999</v>
          </cell>
        </row>
        <row r="218">
          <cell r="W218">
            <v>-30.301156559999999</v>
          </cell>
          <cell r="X218">
            <v>30.74246771</v>
          </cell>
        </row>
        <row r="219">
          <cell r="W219">
            <v>-30.301107940000001</v>
          </cell>
          <cell r="X219">
            <v>30.742402210000002</v>
          </cell>
        </row>
        <row r="220">
          <cell r="W220">
            <v>-28.383242450000001</v>
          </cell>
          <cell r="X220">
            <v>32.411679249999999</v>
          </cell>
        </row>
        <row r="221">
          <cell r="W221">
            <v>-25.95484849</v>
          </cell>
          <cell r="X221">
            <v>30.560478740000001</v>
          </cell>
        </row>
        <row r="222">
          <cell r="W222">
            <v>6.9316492930000004</v>
          </cell>
          <cell r="X222">
            <v>2.4075361169999998</v>
          </cell>
        </row>
        <row r="223">
          <cell r="W223">
            <v>6.4192956160000003</v>
          </cell>
          <cell r="X223">
            <v>2.3444159299999998</v>
          </cell>
        </row>
        <row r="224">
          <cell r="W224">
            <v>-12.18514031</v>
          </cell>
          <cell r="X224">
            <v>26.46745181</v>
          </cell>
        </row>
        <row r="225">
          <cell r="W225">
            <v>-20.073720810000001</v>
          </cell>
          <cell r="X225">
            <v>23.356708300000001</v>
          </cell>
        </row>
        <row r="226">
          <cell r="W226">
            <v>-30.301121680000001</v>
          </cell>
          <cell r="X226">
            <v>30.742403849999999</v>
          </cell>
        </row>
        <row r="227">
          <cell r="W227">
            <v>-30.301121680000001</v>
          </cell>
          <cell r="X227">
            <v>30.742403849999999</v>
          </cell>
        </row>
        <row r="228">
          <cell r="W228">
            <v>-28.89430179</v>
          </cell>
          <cell r="X228">
            <v>31.44949308</v>
          </cell>
        </row>
        <row r="229">
          <cell r="W229">
            <v>-6.232273674</v>
          </cell>
          <cell r="X229">
            <v>39.53169956</v>
          </cell>
        </row>
        <row r="230">
          <cell r="W230">
            <v>-30.301124139999999</v>
          </cell>
          <cell r="X230">
            <v>30.74240065</v>
          </cell>
        </row>
        <row r="231">
          <cell r="W231">
            <v>-22.526818070000001</v>
          </cell>
          <cell r="X231">
            <v>17.01557042</v>
          </cell>
        </row>
        <row r="232">
          <cell r="W232">
            <v>-1.0918300000000001</v>
          </cell>
          <cell r="X232">
            <v>35.856965000000002</v>
          </cell>
        </row>
        <row r="233">
          <cell r="W233">
            <v>13.48498526</v>
          </cell>
          <cell r="X233">
            <v>-16.664791009999998</v>
          </cell>
        </row>
        <row r="234">
          <cell r="W234">
            <v>-20.557222199999998</v>
          </cell>
          <cell r="X234">
            <v>28.397143549999999</v>
          </cell>
        </row>
        <row r="235">
          <cell r="W235">
            <v>17.052508320000001</v>
          </cell>
          <cell r="X235">
            <v>54.609345769999997</v>
          </cell>
        </row>
        <row r="236">
          <cell r="W236">
            <v>-32.991737389999997</v>
          </cell>
          <cell r="X236">
            <v>27.937688829999999</v>
          </cell>
        </row>
        <row r="237">
          <cell r="W237">
            <v>-24.479257</v>
          </cell>
          <cell r="X237">
            <v>16.335941999999999</v>
          </cell>
        </row>
        <row r="238">
          <cell r="W238">
            <v>16.89785101</v>
          </cell>
          <cell r="X238">
            <v>53.770467480000001</v>
          </cell>
        </row>
        <row r="239">
          <cell r="W239">
            <v>-4.229856732</v>
          </cell>
          <cell r="X239">
            <v>36.310911529999998</v>
          </cell>
        </row>
        <row r="240">
          <cell r="W240">
            <v>-24.479256719999999</v>
          </cell>
          <cell r="X240">
            <v>16.335942289999998</v>
          </cell>
        </row>
        <row r="241">
          <cell r="W241">
            <v>-26.0474</v>
          </cell>
          <cell r="X241">
            <v>28.080100000000002</v>
          </cell>
        </row>
        <row r="242">
          <cell r="W242">
            <v>-0.145487281</v>
          </cell>
          <cell r="X242">
            <v>34.73489859</v>
          </cell>
        </row>
        <row r="243">
          <cell r="W243">
            <v>6.448276667</v>
          </cell>
          <cell r="X243">
            <v>2.2593233330000002</v>
          </cell>
        </row>
        <row r="244">
          <cell r="W244">
            <v>-1.2654747589999999</v>
          </cell>
          <cell r="X244">
            <v>34.970985259999999</v>
          </cell>
        </row>
        <row r="245">
          <cell r="W245">
            <v>-28.96010506</v>
          </cell>
          <cell r="X245">
            <v>31.7565308</v>
          </cell>
        </row>
        <row r="246">
          <cell r="W246">
            <v>-30.301155659999999</v>
          </cell>
          <cell r="X246">
            <v>30.74229072</v>
          </cell>
        </row>
        <row r="247">
          <cell r="W247">
            <v>0.43220873799999998</v>
          </cell>
          <cell r="X247">
            <v>30.296991500000001</v>
          </cell>
        </row>
        <row r="248">
          <cell r="W248">
            <v>17.1116876</v>
          </cell>
          <cell r="X248">
            <v>54.7109059</v>
          </cell>
        </row>
        <row r="249">
          <cell r="W249">
            <v>-23.421931669999999</v>
          </cell>
          <cell r="X249">
            <v>17.897191670000002</v>
          </cell>
        </row>
        <row r="250">
          <cell r="W250">
            <v>6.6292223720000001</v>
          </cell>
          <cell r="X250">
            <v>3.3609160130000002</v>
          </cell>
        </row>
        <row r="251">
          <cell r="W251">
            <v>1.6780603220000001</v>
          </cell>
          <cell r="X251">
            <v>7.3830747130000001</v>
          </cell>
        </row>
        <row r="252">
          <cell r="W252">
            <v>-25.631973519999999</v>
          </cell>
          <cell r="X252">
            <v>28.359069099999999</v>
          </cell>
        </row>
        <row r="253">
          <cell r="W253">
            <v>5.3859239890000001</v>
          </cell>
          <cell r="X253">
            <v>-4.0520518330000002</v>
          </cell>
        </row>
        <row r="254">
          <cell r="W254">
            <v>-0.76909323600000001</v>
          </cell>
          <cell r="X254">
            <v>36.423931209999999</v>
          </cell>
        </row>
        <row r="255">
          <cell r="W255">
            <v>-5.2868814430000004</v>
          </cell>
          <cell r="X255">
            <v>39.066319729999996</v>
          </cell>
        </row>
        <row r="256">
          <cell r="W256">
            <v>-26.364999999999998</v>
          </cell>
          <cell r="X256">
            <v>27.389700000000001</v>
          </cell>
        </row>
        <row r="257">
          <cell r="W257">
            <v>0.50724444400000002</v>
          </cell>
          <cell r="X257">
            <v>34.433380560000003</v>
          </cell>
        </row>
        <row r="258">
          <cell r="W258">
            <v>-15.754270630000001</v>
          </cell>
          <cell r="X258">
            <v>34.996853620000003</v>
          </cell>
        </row>
        <row r="259">
          <cell r="W259">
            <v>-25.738662009999999</v>
          </cell>
          <cell r="X259">
            <v>28.271896049999999</v>
          </cell>
        </row>
        <row r="260">
          <cell r="W260">
            <v>-34.029389999999999</v>
          </cell>
          <cell r="X260">
            <v>18.43975833</v>
          </cell>
        </row>
        <row r="261">
          <cell r="W261">
            <v>-25.600149139999999</v>
          </cell>
          <cell r="X261">
            <v>28.278595620000001</v>
          </cell>
        </row>
        <row r="262">
          <cell r="W262">
            <v>-22.558508060000001</v>
          </cell>
          <cell r="X262">
            <v>17.102941390000002</v>
          </cell>
        </row>
        <row r="263">
          <cell r="W263">
            <v>2.2774606639999999</v>
          </cell>
          <cell r="X263">
            <v>31.564629270000001</v>
          </cell>
        </row>
        <row r="264">
          <cell r="W264">
            <v>-27.979199999999999</v>
          </cell>
          <cell r="X264">
            <v>32.351999999999997</v>
          </cell>
        </row>
        <row r="265">
          <cell r="W265">
            <v>9.0325945000000001</v>
          </cell>
          <cell r="X265">
            <v>38.781095000000001</v>
          </cell>
        </row>
        <row r="266">
          <cell r="W266">
            <v>11.690107510000001</v>
          </cell>
          <cell r="X266">
            <v>37.352148620000001</v>
          </cell>
        </row>
        <row r="267">
          <cell r="W267">
            <v>-25.444343709999998</v>
          </cell>
          <cell r="X267">
            <v>30.968055230000001</v>
          </cell>
        </row>
        <row r="268">
          <cell r="W268">
            <v>-32.992042750000003</v>
          </cell>
          <cell r="X268">
            <v>27.93796961</v>
          </cell>
        </row>
        <row r="269">
          <cell r="W269">
            <v>-25.443875009999999</v>
          </cell>
          <cell r="X269">
            <v>30.970799540000002</v>
          </cell>
        </row>
        <row r="270">
          <cell r="W270">
            <v>-26.50613688</v>
          </cell>
          <cell r="X270">
            <v>31.199254969999998</v>
          </cell>
        </row>
        <row r="271">
          <cell r="W271">
            <v>-26.50606144</v>
          </cell>
          <cell r="X271">
            <v>31.199254969999998</v>
          </cell>
        </row>
        <row r="272">
          <cell r="W272">
            <v>-26.50608064</v>
          </cell>
          <cell r="X272">
            <v>31.199491009999999</v>
          </cell>
        </row>
        <row r="273">
          <cell r="W273">
            <v>-29.54034261</v>
          </cell>
          <cell r="X273">
            <v>31.213626040000001</v>
          </cell>
        </row>
        <row r="274">
          <cell r="W274">
            <v>-33.749902779999999</v>
          </cell>
          <cell r="X274">
            <v>26.533502779999999</v>
          </cell>
        </row>
        <row r="275">
          <cell r="W275">
            <v>-26.66532737</v>
          </cell>
          <cell r="X275">
            <v>16.25971492</v>
          </cell>
        </row>
        <row r="276">
          <cell r="W276">
            <v>-25.89092565</v>
          </cell>
          <cell r="X276">
            <v>16.823096150000001</v>
          </cell>
        </row>
        <row r="277">
          <cell r="W277">
            <v>-30.9212147</v>
          </cell>
          <cell r="X277">
            <v>30.295232599999999</v>
          </cell>
        </row>
        <row r="278">
          <cell r="W278">
            <v>-30.301164010000001</v>
          </cell>
          <cell r="X278">
            <v>30.742528239999999</v>
          </cell>
        </row>
        <row r="279">
          <cell r="W279">
            <v>-11.8239851</v>
          </cell>
          <cell r="X279">
            <v>34.177458620000003</v>
          </cell>
        </row>
        <row r="280">
          <cell r="W280">
            <v>-25.889640050000001</v>
          </cell>
          <cell r="X280">
            <v>28.29904118</v>
          </cell>
        </row>
        <row r="281">
          <cell r="W281">
            <v>-28.296600000000002</v>
          </cell>
          <cell r="X281">
            <v>32.462600000000002</v>
          </cell>
        </row>
        <row r="282">
          <cell r="W282">
            <v>-1.33796</v>
          </cell>
          <cell r="X282">
            <v>36.772851000000003</v>
          </cell>
        </row>
        <row r="283">
          <cell r="W283">
            <v>-0.907026216</v>
          </cell>
          <cell r="X283">
            <v>10.177724570000001</v>
          </cell>
        </row>
        <row r="284">
          <cell r="W284">
            <v>-1.333814979</v>
          </cell>
          <cell r="X284">
            <v>36.757900239999998</v>
          </cell>
        </row>
        <row r="285">
          <cell r="W285">
            <v>-28.516667000000002</v>
          </cell>
          <cell r="X285">
            <v>28.616667</v>
          </cell>
        </row>
        <row r="286">
          <cell r="W286">
            <v>-1.3249799209999999</v>
          </cell>
          <cell r="X286">
            <v>36.702398539999997</v>
          </cell>
        </row>
        <row r="287">
          <cell r="W287">
            <v>-6.7758260000000003</v>
          </cell>
          <cell r="X287">
            <v>39.208968900000002</v>
          </cell>
        </row>
        <row r="288">
          <cell r="W288">
            <v>-21.264769000000001</v>
          </cell>
          <cell r="X288">
            <v>47.420178999999997</v>
          </cell>
        </row>
        <row r="289">
          <cell r="W289">
            <v>-24.674015279999999</v>
          </cell>
          <cell r="X289">
            <v>30.811312220000001</v>
          </cell>
        </row>
        <row r="290">
          <cell r="W290">
            <v>-25.334692140000001</v>
          </cell>
          <cell r="X290">
            <v>27.143990500000001</v>
          </cell>
        </row>
        <row r="291">
          <cell r="W291">
            <v>-24.518373560000001</v>
          </cell>
          <cell r="X291">
            <v>31.059780020000002</v>
          </cell>
        </row>
        <row r="292">
          <cell r="W292">
            <v>-30.301183099999999</v>
          </cell>
          <cell r="X292">
            <v>30.74244083</v>
          </cell>
        </row>
        <row r="293">
          <cell r="W293">
            <v>-12.463775</v>
          </cell>
          <cell r="X293">
            <v>33.531599999999997</v>
          </cell>
        </row>
        <row r="294">
          <cell r="W294">
            <v>-28.320499999999999</v>
          </cell>
          <cell r="X294">
            <v>32.362400000000001</v>
          </cell>
        </row>
        <row r="295">
          <cell r="W295">
            <v>-1.238489291</v>
          </cell>
          <cell r="X295">
            <v>36.830471799999998</v>
          </cell>
        </row>
        <row r="296">
          <cell r="W296">
            <v>-28.331199999999999</v>
          </cell>
          <cell r="X296">
            <v>32.3613</v>
          </cell>
        </row>
        <row r="297">
          <cell r="W297">
            <v>-13.364886569999999</v>
          </cell>
          <cell r="X297">
            <v>34.007113570000001</v>
          </cell>
        </row>
        <row r="298">
          <cell r="W298">
            <v>-29.544102460000001</v>
          </cell>
          <cell r="X298">
            <v>30.268761260000002</v>
          </cell>
        </row>
        <row r="299">
          <cell r="W299">
            <v>-29.544102460000001</v>
          </cell>
          <cell r="X299">
            <v>30.268761260000002</v>
          </cell>
        </row>
        <row r="300">
          <cell r="W300">
            <v>-0.42217932899999999</v>
          </cell>
          <cell r="X300">
            <v>36.129857989999998</v>
          </cell>
        </row>
        <row r="301">
          <cell r="W301">
            <v>-1.8403350000000001</v>
          </cell>
          <cell r="X301">
            <v>31.61741</v>
          </cell>
        </row>
        <row r="302">
          <cell r="W302">
            <v>0.51800000000000002</v>
          </cell>
          <cell r="X302">
            <v>35.27525</v>
          </cell>
        </row>
        <row r="303">
          <cell r="W303">
            <v>-1.3233983229999999</v>
          </cell>
          <cell r="X303">
            <v>36.688427410000003</v>
          </cell>
        </row>
        <row r="304">
          <cell r="W304">
            <v>-3.7720549999999999</v>
          </cell>
          <cell r="X304">
            <v>35.858233329999997</v>
          </cell>
        </row>
        <row r="305">
          <cell r="W305">
            <v>0.15804933900000001</v>
          </cell>
          <cell r="X305">
            <v>32.559862500000001</v>
          </cell>
        </row>
        <row r="306">
          <cell r="W306">
            <v>-17.795908350000001</v>
          </cell>
          <cell r="X306">
            <v>25.152691780000001</v>
          </cell>
        </row>
        <row r="307">
          <cell r="W307">
            <v>2.4628822000000001</v>
          </cell>
          <cell r="X307">
            <v>31.520826599999999</v>
          </cell>
        </row>
        <row r="308">
          <cell r="W308">
            <v>-14.443954099999999</v>
          </cell>
          <cell r="X308">
            <v>49.769985939999998</v>
          </cell>
        </row>
        <row r="309">
          <cell r="W309">
            <v>-15.78316517</v>
          </cell>
          <cell r="X309">
            <v>34.996262250000001</v>
          </cell>
        </row>
        <row r="310">
          <cell r="W310">
            <v>-1.3666514700000001</v>
          </cell>
          <cell r="X310">
            <v>36.766385649999997</v>
          </cell>
        </row>
        <row r="311">
          <cell r="W311">
            <v>-18.930841000000001</v>
          </cell>
          <cell r="X311">
            <v>47.525376999999999</v>
          </cell>
        </row>
        <row r="312">
          <cell r="W312">
            <v>-28.068564259999999</v>
          </cell>
          <cell r="X312">
            <v>32.141681429999998</v>
          </cell>
        </row>
        <row r="313">
          <cell r="W313">
            <v>8.2291691310000008</v>
          </cell>
          <cell r="X313">
            <v>37.578544819999998</v>
          </cell>
        </row>
        <row r="314">
          <cell r="W314">
            <v>-21.136388780000001</v>
          </cell>
          <cell r="X314">
            <v>27.505556110000001</v>
          </cell>
        </row>
        <row r="315">
          <cell r="W315">
            <v>-5.3657999999999997E-2</v>
          </cell>
          <cell r="X315">
            <v>30.013345999999999</v>
          </cell>
        </row>
        <row r="316">
          <cell r="W316">
            <v>-18.829049300000001</v>
          </cell>
          <cell r="X316">
            <v>48.46715949</v>
          </cell>
        </row>
        <row r="317">
          <cell r="W317">
            <v>-25.908282450000002</v>
          </cell>
          <cell r="X317">
            <v>27.932417990000001</v>
          </cell>
        </row>
        <row r="319">
          <cell r="W319">
            <v>-15.369832540000001</v>
          </cell>
          <cell r="X319">
            <v>28.315752029999999</v>
          </cell>
        </row>
        <row r="320">
          <cell r="W320">
            <v>-14.255723619999999</v>
          </cell>
          <cell r="X320">
            <v>12.368912659999999</v>
          </cell>
        </row>
        <row r="321">
          <cell r="W321">
            <v>-14.255723619999999</v>
          </cell>
          <cell r="X321">
            <v>12.368912659999999</v>
          </cell>
        </row>
        <row r="322">
          <cell r="W322">
            <v>0.38122200000000001</v>
          </cell>
          <cell r="X322">
            <v>33.017443</v>
          </cell>
        </row>
        <row r="323">
          <cell r="W323">
            <v>6.5003251940000002</v>
          </cell>
          <cell r="X323">
            <v>2.3493013330000001</v>
          </cell>
        </row>
        <row r="324">
          <cell r="W324">
            <v>-1.338333368</v>
          </cell>
          <cell r="X324">
            <v>36.697223659999999</v>
          </cell>
        </row>
        <row r="325">
          <cell r="W325">
            <v>3.7576366669999999</v>
          </cell>
          <cell r="X325">
            <v>29.52815</v>
          </cell>
        </row>
        <row r="326">
          <cell r="W326">
            <v>-24.366654700000002</v>
          </cell>
          <cell r="X326">
            <v>28.84437308</v>
          </cell>
        </row>
        <row r="327">
          <cell r="W327">
            <v>-25.968513510000001</v>
          </cell>
          <cell r="X327">
            <v>27.86104022</v>
          </cell>
        </row>
        <row r="328">
          <cell r="W328">
            <v>3.75715888</v>
          </cell>
          <cell r="X328">
            <v>29.528604609999999</v>
          </cell>
        </row>
        <row r="329">
          <cell r="W329">
            <v>-30.30115786</v>
          </cell>
          <cell r="X329">
            <v>30.742438150000002</v>
          </cell>
        </row>
        <row r="330">
          <cell r="W330">
            <v>-33.598480559999999</v>
          </cell>
          <cell r="X330">
            <v>26.71695278</v>
          </cell>
        </row>
        <row r="331">
          <cell r="W331">
            <v>-15.537190620000001</v>
          </cell>
          <cell r="X331">
            <v>28.48974638</v>
          </cell>
        </row>
        <row r="332">
          <cell r="W332">
            <v>-0.328484732</v>
          </cell>
          <cell r="X332">
            <v>36.904692990000001</v>
          </cell>
        </row>
        <row r="333">
          <cell r="W333">
            <v>-33.316509510000003</v>
          </cell>
          <cell r="X333">
            <v>26.520904229999999</v>
          </cell>
        </row>
        <row r="334">
          <cell r="W334">
            <v>-3.40038565</v>
          </cell>
          <cell r="X334">
            <v>38.364997099999997</v>
          </cell>
        </row>
        <row r="335">
          <cell r="W335">
            <v>12.39174942</v>
          </cell>
          <cell r="X335">
            <v>-15.20760711</v>
          </cell>
        </row>
        <row r="336">
          <cell r="W336">
            <v>3.7487666700000002</v>
          </cell>
          <cell r="X336">
            <v>29.52266667</v>
          </cell>
        </row>
        <row r="337">
          <cell r="W337">
            <v>14.7472894</v>
          </cell>
          <cell r="X337">
            <v>-17.523726029999999</v>
          </cell>
        </row>
        <row r="338">
          <cell r="W338">
            <v>-25.905251589999999</v>
          </cell>
          <cell r="X338">
            <v>28.306932320000001</v>
          </cell>
        </row>
        <row r="339">
          <cell r="W339">
            <v>-33.310628999999999</v>
          </cell>
          <cell r="X339">
            <v>26.525594999999999</v>
          </cell>
        </row>
        <row r="340">
          <cell r="W340">
            <v>-33.973217699999999</v>
          </cell>
          <cell r="X340">
            <v>23.474379089999999</v>
          </cell>
        </row>
        <row r="341">
          <cell r="W341">
            <v>-25.372618150000001</v>
          </cell>
          <cell r="X341">
            <v>31.861310629999998</v>
          </cell>
        </row>
        <row r="342">
          <cell r="W342">
            <v>-26.479126300000001</v>
          </cell>
          <cell r="X342">
            <v>27.497289500000001</v>
          </cell>
        </row>
        <row r="343">
          <cell r="W343">
            <v>-28.956238979999998</v>
          </cell>
          <cell r="X343">
            <v>31.761935139999999</v>
          </cell>
        </row>
        <row r="344">
          <cell r="W344">
            <v>-28.124312969999998</v>
          </cell>
          <cell r="X344">
            <v>16.893666029999999</v>
          </cell>
        </row>
        <row r="345">
          <cell r="W345">
            <v>-28.082707060000001</v>
          </cell>
          <cell r="X345">
            <v>32.302304739999997</v>
          </cell>
        </row>
        <row r="346">
          <cell r="W346">
            <v>-27.65442011</v>
          </cell>
          <cell r="X346">
            <v>32.290711659999999</v>
          </cell>
        </row>
        <row r="347">
          <cell r="W347">
            <v>-24.634434519999999</v>
          </cell>
          <cell r="X347">
            <v>28.68056039</v>
          </cell>
        </row>
        <row r="348">
          <cell r="W348">
            <v>-21.169185460000001</v>
          </cell>
          <cell r="X348">
            <v>45.599192420000001</v>
          </cell>
        </row>
        <row r="349">
          <cell r="W349">
            <v>-29.845376779999999</v>
          </cell>
          <cell r="X349">
            <v>30.919394019999999</v>
          </cell>
        </row>
        <row r="350">
          <cell r="W350">
            <v>-22.88530506</v>
          </cell>
          <cell r="X350">
            <v>44.688920969999998</v>
          </cell>
        </row>
        <row r="351">
          <cell r="W351">
            <v>-3.2927106089999998</v>
          </cell>
          <cell r="X351">
            <v>37.033735249999999</v>
          </cell>
        </row>
        <row r="352">
          <cell r="W352">
            <v>9.0632934130000002</v>
          </cell>
          <cell r="X352">
            <v>38.490248209999997</v>
          </cell>
        </row>
        <row r="353">
          <cell r="W353">
            <v>3.7517406430000002</v>
          </cell>
          <cell r="X353">
            <v>29.520535500000001</v>
          </cell>
        </row>
        <row r="354">
          <cell r="W354">
            <v>-32.992042750000003</v>
          </cell>
          <cell r="X354">
            <v>27.93796961</v>
          </cell>
        </row>
        <row r="355">
          <cell r="W355">
            <v>-29.543824220000001</v>
          </cell>
          <cell r="X355">
            <v>30.269066500000001</v>
          </cell>
        </row>
        <row r="356">
          <cell r="W356">
            <v>-3.3125154769999998</v>
          </cell>
          <cell r="X356">
            <v>36.87895511</v>
          </cell>
        </row>
        <row r="357">
          <cell r="W357">
            <v>-12.52114167</v>
          </cell>
          <cell r="X357">
            <v>49.172747219999998</v>
          </cell>
        </row>
        <row r="358">
          <cell r="W358">
            <v>0.81874854100000005</v>
          </cell>
          <cell r="X358">
            <v>14.907373079999999</v>
          </cell>
        </row>
        <row r="359">
          <cell r="W359">
            <v>-3.1424805</v>
          </cell>
          <cell r="X359">
            <v>35.686619999999998</v>
          </cell>
        </row>
        <row r="360">
          <cell r="W360">
            <v>-28.43402129</v>
          </cell>
          <cell r="X360">
            <v>21.29913028</v>
          </cell>
        </row>
        <row r="361">
          <cell r="W361">
            <v>-3.2927106089999998</v>
          </cell>
          <cell r="X361">
            <v>37.033735249999999</v>
          </cell>
        </row>
        <row r="362">
          <cell r="W362">
            <v>-33.527103330000003</v>
          </cell>
          <cell r="X362">
            <v>23.891813330000002</v>
          </cell>
        </row>
        <row r="363">
          <cell r="W363">
            <v>7.5022459030000004</v>
          </cell>
          <cell r="X363">
            <v>3.9095799919999998</v>
          </cell>
        </row>
        <row r="364">
          <cell r="W364">
            <v>-1.3244621999999999</v>
          </cell>
          <cell r="X364">
            <v>36.798518999999999</v>
          </cell>
        </row>
        <row r="365">
          <cell r="W365">
            <v>6.5646606419999998</v>
          </cell>
          <cell r="X365">
            <v>11.750165259999999</v>
          </cell>
        </row>
        <row r="366">
          <cell r="W366">
            <v>-18.980799690000001</v>
          </cell>
          <cell r="X366">
            <v>34.352106509999999</v>
          </cell>
        </row>
        <row r="367">
          <cell r="W367">
            <v>-18.980799690000001</v>
          </cell>
          <cell r="X367">
            <v>34.352106509999999</v>
          </cell>
        </row>
        <row r="368">
          <cell r="W368">
            <v>-18.891999999999999</v>
          </cell>
          <cell r="X368">
            <v>34.426270000000002</v>
          </cell>
        </row>
        <row r="369">
          <cell r="W369">
            <v>-12.6166667</v>
          </cell>
          <cell r="X369">
            <v>49.15</v>
          </cell>
        </row>
        <row r="370">
          <cell r="W370">
            <v>-3.4123659310000001</v>
          </cell>
          <cell r="X370">
            <v>36.665497160000001</v>
          </cell>
        </row>
        <row r="371">
          <cell r="W371">
            <v>-22.8417034</v>
          </cell>
          <cell r="X371">
            <v>44.681837700000003</v>
          </cell>
        </row>
        <row r="372">
          <cell r="W372">
            <v>-15.72848636</v>
          </cell>
          <cell r="X372">
            <v>34.982170150000002</v>
          </cell>
        </row>
        <row r="373">
          <cell r="W373">
            <v>-25.118167490000001</v>
          </cell>
          <cell r="X373">
            <v>27.61902671</v>
          </cell>
        </row>
        <row r="374">
          <cell r="W374">
            <v>-25.621875280000001</v>
          </cell>
          <cell r="X374">
            <v>28.342594210000001</v>
          </cell>
        </row>
        <row r="375">
          <cell r="W375">
            <v>-9.2917194369999994</v>
          </cell>
          <cell r="X375">
            <v>31.283439640000001</v>
          </cell>
        </row>
        <row r="376">
          <cell r="W376">
            <v>-25.751528329999999</v>
          </cell>
          <cell r="X376">
            <v>28.288105000000002</v>
          </cell>
        </row>
        <row r="377">
          <cell r="W377">
            <v>-25.751528329999999</v>
          </cell>
          <cell r="X377">
            <v>28.288105000000002</v>
          </cell>
        </row>
        <row r="378">
          <cell r="W378">
            <v>7.5543946210000001</v>
          </cell>
          <cell r="X378">
            <v>-11.35531306</v>
          </cell>
        </row>
        <row r="379">
          <cell r="W379">
            <v>-7.4382361699999997</v>
          </cell>
          <cell r="X379">
            <v>37.056398280000003</v>
          </cell>
        </row>
        <row r="380">
          <cell r="W380">
            <v>-7.4382361699999997</v>
          </cell>
          <cell r="X380">
            <v>37.056398280000003</v>
          </cell>
        </row>
        <row r="381">
          <cell r="W381">
            <v>-7.4382361699999997</v>
          </cell>
          <cell r="X381">
            <v>37.056398280000003</v>
          </cell>
        </row>
        <row r="382">
          <cell r="W382">
            <v>-7.8371810909999997</v>
          </cell>
          <cell r="X382">
            <v>36.895633699999998</v>
          </cell>
        </row>
        <row r="383">
          <cell r="W383">
            <v>-24.982235800000002</v>
          </cell>
          <cell r="X383">
            <v>31.585085190000001</v>
          </cell>
        </row>
        <row r="384">
          <cell r="W384">
            <v>-28.443741670000001</v>
          </cell>
          <cell r="X384">
            <v>21.275238330000001</v>
          </cell>
        </row>
        <row r="385">
          <cell r="W385">
            <v>16.023925999999999</v>
          </cell>
          <cell r="X385">
            <v>-16.489850000000001</v>
          </cell>
        </row>
        <row r="386">
          <cell r="W386">
            <v>-30.301277129999999</v>
          </cell>
          <cell r="X386">
            <v>30.742525319999999</v>
          </cell>
        </row>
        <row r="387">
          <cell r="W387">
            <v>-16.434525149999999</v>
          </cell>
          <cell r="X387">
            <v>45.355460579999999</v>
          </cell>
        </row>
        <row r="388">
          <cell r="W388">
            <v>-7.8474139919999999</v>
          </cell>
          <cell r="X388">
            <v>36.888860100000002</v>
          </cell>
        </row>
        <row r="389">
          <cell r="W389">
            <v>7.5486110999999996</v>
          </cell>
          <cell r="X389">
            <v>-11.3475</v>
          </cell>
        </row>
        <row r="390">
          <cell r="W390">
            <v>-29.801258740000002</v>
          </cell>
          <cell r="X390">
            <v>30.853518359999999</v>
          </cell>
        </row>
        <row r="391">
          <cell r="W391">
            <v>6.5028967780000002</v>
          </cell>
          <cell r="X391">
            <v>2.3463017779999999</v>
          </cell>
        </row>
        <row r="392">
          <cell r="W392">
            <v>-15.843022019999999</v>
          </cell>
          <cell r="X392">
            <v>35.060189749999999</v>
          </cell>
        </row>
        <row r="393">
          <cell r="W393">
            <v>-1.317973936</v>
          </cell>
          <cell r="X393">
            <v>36.755023479999998</v>
          </cell>
        </row>
        <row r="394">
          <cell r="W394">
            <v>-27.45191852</v>
          </cell>
          <cell r="X394">
            <v>17.299281149999999</v>
          </cell>
        </row>
        <row r="395">
          <cell r="W395">
            <v>-33.91661938</v>
          </cell>
          <cell r="X395">
            <v>22.999999970000001</v>
          </cell>
        </row>
        <row r="396">
          <cell r="W396">
            <v>-28.308299999999999</v>
          </cell>
          <cell r="X396">
            <v>32.449199999999998</v>
          </cell>
        </row>
        <row r="397">
          <cell r="W397">
            <v>0.482517998</v>
          </cell>
          <cell r="X397">
            <v>33.163920570000002</v>
          </cell>
        </row>
        <row r="398">
          <cell r="W398">
            <v>-1.9141766629999999</v>
          </cell>
          <cell r="X398">
            <v>30.056903349999999</v>
          </cell>
        </row>
        <row r="399">
          <cell r="W399">
            <v>-31.006878329999999</v>
          </cell>
          <cell r="X399">
            <v>30.17727167</v>
          </cell>
        </row>
        <row r="400">
          <cell r="W400">
            <v>-33.961944580000001</v>
          </cell>
          <cell r="X400">
            <v>22.086666109999999</v>
          </cell>
        </row>
        <row r="401">
          <cell r="W401">
            <v>-31.6287512</v>
          </cell>
          <cell r="X401">
            <v>29.5368709</v>
          </cell>
        </row>
        <row r="402">
          <cell r="W402">
            <v>12.59305</v>
          </cell>
          <cell r="X402">
            <v>37.446186670000003</v>
          </cell>
        </row>
        <row r="403">
          <cell r="W403">
            <v>-1.054396667</v>
          </cell>
          <cell r="X403">
            <v>35.230123329999998</v>
          </cell>
        </row>
        <row r="404">
          <cell r="W404">
            <v>-4.8246536259999999</v>
          </cell>
          <cell r="X404">
            <v>38.448432920000002</v>
          </cell>
        </row>
        <row r="405">
          <cell r="W405">
            <v>-20.20616137</v>
          </cell>
          <cell r="X405">
            <v>28.5929629</v>
          </cell>
        </row>
        <row r="406">
          <cell r="W406">
            <v>-33.94320183</v>
          </cell>
          <cell r="X406">
            <v>22.475736869999999</v>
          </cell>
        </row>
        <row r="407">
          <cell r="W407">
            <v>-6.260500167</v>
          </cell>
          <cell r="X407">
            <v>39.535009799999997</v>
          </cell>
        </row>
        <row r="408">
          <cell r="W408">
            <v>-2.4460883299999998</v>
          </cell>
          <cell r="X408">
            <v>34.818325000000002</v>
          </cell>
        </row>
        <row r="409">
          <cell r="W409">
            <v>-32.695609300000001</v>
          </cell>
          <cell r="X409">
            <v>28.33845767</v>
          </cell>
        </row>
        <row r="410">
          <cell r="W410">
            <v>-3.6644616700000001</v>
          </cell>
          <cell r="X410">
            <v>29.97948667</v>
          </cell>
        </row>
        <row r="411">
          <cell r="W411">
            <v>-24.709570880000001</v>
          </cell>
          <cell r="X411">
            <v>28.39878414</v>
          </cell>
        </row>
        <row r="412">
          <cell r="W412">
            <v>-3.1658861109999998</v>
          </cell>
          <cell r="X412">
            <v>39.867224999999998</v>
          </cell>
        </row>
        <row r="413">
          <cell r="W413">
            <v>-1.3342347999999999</v>
          </cell>
          <cell r="X413">
            <v>36.715376499999998</v>
          </cell>
        </row>
        <row r="414">
          <cell r="W414">
            <v>-20.557222199999998</v>
          </cell>
          <cell r="X414">
            <v>28.512499999999999</v>
          </cell>
        </row>
        <row r="415">
          <cell r="W415">
            <v>-12.834171420000001</v>
          </cell>
          <cell r="X415">
            <v>45.134578500000003</v>
          </cell>
        </row>
        <row r="416">
          <cell r="W416">
            <v>1.3561922500000001</v>
          </cell>
          <cell r="X416">
            <v>17.454769429999999</v>
          </cell>
        </row>
        <row r="417">
          <cell r="W417">
            <v>9.8184746000000001</v>
          </cell>
          <cell r="X417">
            <v>8.9053909000000004</v>
          </cell>
        </row>
        <row r="418">
          <cell r="W418">
            <v>6.7050307179999997</v>
          </cell>
          <cell r="X418">
            <v>-1.688848667</v>
          </cell>
        </row>
        <row r="419">
          <cell r="W419">
            <v>-24.269490829999999</v>
          </cell>
          <cell r="X419">
            <v>28.565303020000002</v>
          </cell>
        </row>
        <row r="420">
          <cell r="W420">
            <v>-33.977431090000003</v>
          </cell>
          <cell r="X420">
            <v>22.630385230000002</v>
          </cell>
        </row>
        <row r="421">
          <cell r="W421">
            <v>-23.63345202</v>
          </cell>
          <cell r="X421">
            <v>28.82577465</v>
          </cell>
        </row>
        <row r="422">
          <cell r="W422">
            <v>7.2476071940000004</v>
          </cell>
          <cell r="X422">
            <v>36.256597499999998</v>
          </cell>
        </row>
        <row r="423">
          <cell r="W423">
            <v>6.7050307179999997</v>
          </cell>
          <cell r="X423">
            <v>-1.688848667</v>
          </cell>
        </row>
        <row r="424">
          <cell r="W424">
            <v>-28.376200000000001</v>
          </cell>
          <cell r="X424">
            <v>32.418100000000003</v>
          </cell>
        </row>
        <row r="425">
          <cell r="W425">
            <v>7.5382793870000002</v>
          </cell>
          <cell r="X425">
            <v>-10.98658914</v>
          </cell>
        </row>
        <row r="426">
          <cell r="W426">
            <v>-25.833500000000001</v>
          </cell>
          <cell r="X426">
            <v>27.88974</v>
          </cell>
        </row>
        <row r="427">
          <cell r="W427">
            <v>3.7526995950000002</v>
          </cell>
          <cell r="X427">
            <v>29.523887210000002</v>
          </cell>
        </row>
        <row r="428">
          <cell r="W428">
            <v>-28.59328477</v>
          </cell>
          <cell r="X428">
            <v>20.339001570000001</v>
          </cell>
        </row>
        <row r="429">
          <cell r="W429">
            <v>-26.104266169999999</v>
          </cell>
          <cell r="X429">
            <v>27.83372018</v>
          </cell>
        </row>
        <row r="430">
          <cell r="W430">
            <v>-25.59401922</v>
          </cell>
          <cell r="X430">
            <v>28.326540510000001</v>
          </cell>
        </row>
        <row r="431">
          <cell r="W431">
            <v>-25.5941048</v>
          </cell>
          <cell r="X431">
            <v>28.32670178</v>
          </cell>
        </row>
        <row r="432">
          <cell r="W432">
            <v>-32.675428859999997</v>
          </cell>
          <cell r="X432">
            <v>28.371548829999998</v>
          </cell>
        </row>
        <row r="433">
          <cell r="W433">
            <v>-2.3333333000000001</v>
          </cell>
          <cell r="X433">
            <v>34.8333333</v>
          </cell>
        </row>
        <row r="434">
          <cell r="W434">
            <v>-29.801171499999999</v>
          </cell>
          <cell r="X434">
            <v>30.853323140000001</v>
          </cell>
        </row>
        <row r="435">
          <cell r="W435">
            <v>-34.003886629999997</v>
          </cell>
          <cell r="X435">
            <v>23.257243129999999</v>
          </cell>
        </row>
        <row r="436">
          <cell r="W436">
            <v>-25.732768050000001</v>
          </cell>
          <cell r="X436">
            <v>28.023296739999999</v>
          </cell>
        </row>
        <row r="437">
          <cell r="W437">
            <v>-34.053179200000002</v>
          </cell>
          <cell r="X437">
            <v>23.078847060000001</v>
          </cell>
        </row>
        <row r="438">
          <cell r="W438">
            <v>-29.845072179999999</v>
          </cell>
          <cell r="X438">
            <v>30.919723739999998</v>
          </cell>
        </row>
        <row r="439">
          <cell r="W439">
            <v>-30.301135089999999</v>
          </cell>
          <cell r="X439">
            <v>30.742451469999999</v>
          </cell>
        </row>
        <row r="440">
          <cell r="W440">
            <v>-34.043219999999998</v>
          </cell>
          <cell r="X440">
            <v>18.437760000000001</v>
          </cell>
        </row>
        <row r="441">
          <cell r="W441">
            <v>-19.118310000000001</v>
          </cell>
          <cell r="X441">
            <v>32.775309999999998</v>
          </cell>
        </row>
        <row r="442">
          <cell r="W442">
            <v>-22.560880699999998</v>
          </cell>
          <cell r="X442">
            <v>17.065754900000002</v>
          </cell>
        </row>
        <row r="443">
          <cell r="W443">
            <v>-29.77635506</v>
          </cell>
          <cell r="X443">
            <v>30.835600079999999</v>
          </cell>
        </row>
        <row r="444">
          <cell r="W444">
            <v>-29.77635506</v>
          </cell>
          <cell r="X444">
            <v>30.835600079999999</v>
          </cell>
        </row>
        <row r="445">
          <cell r="W445">
            <v>-26.546244919999999</v>
          </cell>
          <cell r="X445">
            <v>28.065333590000002</v>
          </cell>
        </row>
        <row r="446">
          <cell r="W446">
            <v>-25.73807339</v>
          </cell>
          <cell r="X446">
            <v>28.239923610000002</v>
          </cell>
        </row>
        <row r="447">
          <cell r="W447">
            <v>-29.55715528</v>
          </cell>
          <cell r="X447">
            <v>30.36202175</v>
          </cell>
        </row>
        <row r="448">
          <cell r="W448">
            <v>-34.077674999999999</v>
          </cell>
          <cell r="X448">
            <v>23.363708330000001</v>
          </cell>
        </row>
        <row r="449">
          <cell r="W449">
            <v>-29.55715528</v>
          </cell>
          <cell r="X449">
            <v>30.36202175</v>
          </cell>
        </row>
        <row r="450">
          <cell r="W450">
            <v>-34.076865390000002</v>
          </cell>
          <cell r="X450">
            <v>23.064608490000001</v>
          </cell>
        </row>
        <row r="451">
          <cell r="W451">
            <v>-34.045093369999996</v>
          </cell>
          <cell r="X451">
            <v>18.437226240000001</v>
          </cell>
        </row>
        <row r="452">
          <cell r="W452">
            <v>-34.043219999999998</v>
          </cell>
          <cell r="X452">
            <v>18.437760000000001</v>
          </cell>
        </row>
        <row r="453">
          <cell r="W453">
            <v>-5.291377013</v>
          </cell>
          <cell r="X453">
            <v>39.659398869999997</v>
          </cell>
        </row>
        <row r="454">
          <cell r="W454">
            <v>-29.83180333</v>
          </cell>
          <cell r="X454">
            <v>30.91788167</v>
          </cell>
        </row>
        <row r="455">
          <cell r="W455">
            <v>-25.631638330000001</v>
          </cell>
          <cell r="X455">
            <v>28.399728329999999</v>
          </cell>
        </row>
        <row r="456">
          <cell r="W456">
            <v>-29.831851149999999</v>
          </cell>
          <cell r="X456">
            <v>30.917911029999999</v>
          </cell>
        </row>
        <row r="457">
          <cell r="W457">
            <v>-29.831851149999999</v>
          </cell>
          <cell r="X457">
            <v>30.917911029999999</v>
          </cell>
        </row>
        <row r="458">
          <cell r="W458">
            <v>-29.831832540000001</v>
          </cell>
          <cell r="X458">
            <v>30.917932489999998</v>
          </cell>
        </row>
        <row r="459">
          <cell r="W459">
            <v>-29.831832540000001</v>
          </cell>
          <cell r="X459">
            <v>30.917943220000002</v>
          </cell>
        </row>
        <row r="460">
          <cell r="W460">
            <v>-30.30113326</v>
          </cell>
          <cell r="X460">
            <v>30.742490579999998</v>
          </cell>
        </row>
        <row r="461">
          <cell r="W461">
            <v>-33.9954471</v>
          </cell>
          <cell r="X461">
            <v>22.548424600000001</v>
          </cell>
        </row>
        <row r="462">
          <cell r="W462">
            <v>-30.678731809999999</v>
          </cell>
          <cell r="X462">
            <v>30.498427790000001</v>
          </cell>
        </row>
        <row r="463">
          <cell r="W463">
            <v>0.48175089999999998</v>
          </cell>
          <cell r="X463">
            <v>33.164240100000001</v>
          </cell>
        </row>
        <row r="464">
          <cell r="W464">
            <v>0.48175089999999998</v>
          </cell>
          <cell r="X464">
            <v>33.164240100000001</v>
          </cell>
        </row>
        <row r="465">
          <cell r="W465">
            <v>-29.808621670000001</v>
          </cell>
          <cell r="X465">
            <v>30.825376670000001</v>
          </cell>
        </row>
        <row r="466">
          <cell r="W466">
            <v>-29.89143464</v>
          </cell>
          <cell r="X466">
            <v>31.164893620000001</v>
          </cell>
        </row>
        <row r="467">
          <cell r="W467">
            <v>-27.276256530000001</v>
          </cell>
          <cell r="X467">
            <v>28.500710009999999</v>
          </cell>
        </row>
        <row r="468">
          <cell r="W468">
            <v>-2.486335446</v>
          </cell>
          <cell r="X468">
            <v>37.28328011</v>
          </cell>
        </row>
        <row r="469">
          <cell r="W469">
            <v>-29.801171499999999</v>
          </cell>
          <cell r="X469">
            <v>30.853323140000001</v>
          </cell>
        </row>
        <row r="470">
          <cell r="W470">
            <v>-29.80118633</v>
          </cell>
          <cell r="X470">
            <v>30.782404379999999</v>
          </cell>
        </row>
        <row r="471">
          <cell r="W471">
            <v>4.5527168820000004</v>
          </cell>
          <cell r="X471">
            <v>-7.0316528910000002</v>
          </cell>
        </row>
        <row r="472">
          <cell r="W472">
            <v>-29.55715528</v>
          </cell>
          <cell r="X472">
            <v>30.36202175</v>
          </cell>
        </row>
        <row r="473">
          <cell r="W473">
            <v>-29.55715528</v>
          </cell>
          <cell r="X473">
            <v>30.36202175</v>
          </cell>
        </row>
        <row r="474">
          <cell r="W474">
            <v>-3.3780822000000001</v>
          </cell>
          <cell r="X474">
            <v>39.988859699999999</v>
          </cell>
        </row>
        <row r="475">
          <cell r="W475">
            <v>-24.52075318</v>
          </cell>
          <cell r="X475">
            <v>25.939481499999999</v>
          </cell>
        </row>
        <row r="476">
          <cell r="W476">
            <v>-24.404820000000001</v>
          </cell>
          <cell r="X476">
            <v>30.814256669999999</v>
          </cell>
        </row>
        <row r="477">
          <cell r="W477">
            <v>-2.3559E-2</v>
          </cell>
          <cell r="X477">
            <v>37.906193000000002</v>
          </cell>
        </row>
        <row r="478">
          <cell r="W478">
            <v>-30.301219580000001</v>
          </cell>
          <cell r="X478">
            <v>30.742574940000001</v>
          </cell>
        </row>
        <row r="479">
          <cell r="W479">
            <v>-22.594631100000001</v>
          </cell>
          <cell r="X479">
            <v>17.084187979999999</v>
          </cell>
        </row>
        <row r="480">
          <cell r="W480">
            <v>-17.831638030000001</v>
          </cell>
          <cell r="X480">
            <v>31.15022943</v>
          </cell>
        </row>
        <row r="481">
          <cell r="W481">
            <v>-15.369739490000001</v>
          </cell>
          <cell r="X481">
            <v>28.315969930000001</v>
          </cell>
        </row>
        <row r="482">
          <cell r="W482">
            <v>-33.75</v>
          </cell>
          <cell r="X482">
            <v>26.529355559999999</v>
          </cell>
        </row>
        <row r="483">
          <cell r="W483">
            <v>-12.179593580000001</v>
          </cell>
          <cell r="X483">
            <v>26.46214865</v>
          </cell>
        </row>
        <row r="484">
          <cell r="W484">
            <v>-3.3780822000000001</v>
          </cell>
          <cell r="X484">
            <v>39.988859699999999</v>
          </cell>
        </row>
        <row r="485">
          <cell r="W485">
            <v>-8.7595644129999997</v>
          </cell>
          <cell r="X485">
            <v>31.11497013</v>
          </cell>
        </row>
        <row r="486">
          <cell r="W486">
            <v>-12.799614350000001</v>
          </cell>
          <cell r="X486">
            <v>34.186599940000001</v>
          </cell>
        </row>
        <row r="487">
          <cell r="W487">
            <v>-15.78316517</v>
          </cell>
          <cell r="X487">
            <v>34.996262250000001</v>
          </cell>
        </row>
        <row r="488">
          <cell r="W488">
            <v>-24.28593167</v>
          </cell>
          <cell r="X488">
            <v>28.09985167</v>
          </cell>
        </row>
        <row r="489">
          <cell r="W489">
            <v>-24.28546</v>
          </cell>
          <cell r="X489">
            <v>28.096953330000002</v>
          </cell>
        </row>
        <row r="490">
          <cell r="W490">
            <v>9.0304983300000004</v>
          </cell>
          <cell r="X490">
            <v>38.75440167</v>
          </cell>
        </row>
        <row r="491">
          <cell r="W491">
            <v>-29.55715528</v>
          </cell>
          <cell r="X491">
            <v>30.36202175</v>
          </cell>
        </row>
        <row r="492">
          <cell r="W492">
            <v>-19.592711779999998</v>
          </cell>
          <cell r="X492">
            <v>17.93367701</v>
          </cell>
        </row>
        <row r="493">
          <cell r="W493">
            <v>-24.527210159999999</v>
          </cell>
          <cell r="X493">
            <v>30.696192379999999</v>
          </cell>
        </row>
        <row r="494">
          <cell r="W494">
            <v>-25.972281649999999</v>
          </cell>
          <cell r="X494">
            <v>28.041510339999999</v>
          </cell>
        </row>
        <row r="495">
          <cell r="W495">
            <v>-0.41778865100000001</v>
          </cell>
          <cell r="X495">
            <v>35.310316540000002</v>
          </cell>
        </row>
        <row r="496">
          <cell r="W496">
            <v>-29.55715528</v>
          </cell>
          <cell r="X496">
            <v>30.36202175</v>
          </cell>
        </row>
        <row r="497">
          <cell r="W497">
            <v>3.7526799999999998</v>
          </cell>
          <cell r="X497">
            <v>29.52393</v>
          </cell>
        </row>
        <row r="498">
          <cell r="W498">
            <v>-22.902113069999999</v>
          </cell>
          <cell r="X498">
            <v>17.418490139999999</v>
          </cell>
        </row>
        <row r="499">
          <cell r="W499">
            <v>-26.028636930000001</v>
          </cell>
          <cell r="X499">
            <v>16.262804920000001</v>
          </cell>
        </row>
        <row r="500">
          <cell r="W500">
            <v>-4.6578999999999997</v>
          </cell>
          <cell r="X500">
            <v>39.369999999999997</v>
          </cell>
        </row>
        <row r="501">
          <cell r="W501">
            <v>-15.369635130000001</v>
          </cell>
          <cell r="X501">
            <v>28.316088860000001</v>
          </cell>
        </row>
        <row r="502">
          <cell r="W502">
            <v>-15.369635369999999</v>
          </cell>
          <cell r="X502">
            <v>28.316042110000001</v>
          </cell>
        </row>
        <row r="503">
          <cell r="W503">
            <v>5.274095</v>
          </cell>
          <cell r="X503">
            <v>-2.6450770000000001</v>
          </cell>
        </row>
        <row r="504">
          <cell r="W504">
            <v>9.7398605000000007</v>
          </cell>
          <cell r="X504">
            <v>-2.7829605000000002</v>
          </cell>
        </row>
        <row r="505">
          <cell r="W505">
            <v>7.959746</v>
          </cell>
          <cell r="X505">
            <v>-9.5408410000000003</v>
          </cell>
        </row>
        <row r="506">
          <cell r="W506">
            <v>7.9344899</v>
          </cell>
          <cell r="X506">
            <v>-9.6341350000000006</v>
          </cell>
        </row>
        <row r="507">
          <cell r="W507">
            <v>-7.0426150810000001</v>
          </cell>
          <cell r="X507">
            <v>37.286696450000001</v>
          </cell>
        </row>
        <row r="508">
          <cell r="W508">
            <v>-6.9852589949999997</v>
          </cell>
          <cell r="X508">
            <v>37.299155149999997</v>
          </cell>
        </row>
        <row r="509">
          <cell r="W509">
            <v>-12.83359441</v>
          </cell>
          <cell r="X509">
            <v>34.161906700000003</v>
          </cell>
        </row>
        <row r="510">
          <cell r="W510">
            <v>0.39477686299999998</v>
          </cell>
          <cell r="X510">
            <v>32.626985550000001</v>
          </cell>
        </row>
        <row r="511">
          <cell r="W511">
            <v>-27.553159999999998</v>
          </cell>
          <cell r="X511">
            <v>32.672081669999997</v>
          </cell>
        </row>
        <row r="512">
          <cell r="W512">
            <v>-3.200975965</v>
          </cell>
          <cell r="X512">
            <v>40.11800641</v>
          </cell>
        </row>
        <row r="513">
          <cell r="W513">
            <v>-1.2146551000000001</v>
          </cell>
          <cell r="X513">
            <v>35.165179799999997</v>
          </cell>
        </row>
        <row r="514">
          <cell r="W514">
            <v>-17.4953</v>
          </cell>
          <cell r="X514">
            <v>24.325199999999999</v>
          </cell>
        </row>
        <row r="515">
          <cell r="W515">
            <v>-3.3756760880000001</v>
          </cell>
          <cell r="X515">
            <v>36.654607059999996</v>
          </cell>
        </row>
        <row r="516">
          <cell r="W516">
            <v>-15.37007053</v>
          </cell>
          <cell r="X516">
            <v>28.31550859</v>
          </cell>
        </row>
        <row r="517">
          <cell r="W517">
            <v>-6.9196437389999996</v>
          </cell>
          <cell r="X517">
            <v>39.198174029999997</v>
          </cell>
        </row>
        <row r="518">
          <cell r="W518">
            <v>0.48396583100000001</v>
          </cell>
          <cell r="X518">
            <v>33.163713610000002</v>
          </cell>
        </row>
        <row r="519">
          <cell r="W519">
            <v>-1.9440728329999999</v>
          </cell>
          <cell r="X519">
            <v>30.061885159999999</v>
          </cell>
        </row>
        <row r="520">
          <cell r="W520">
            <v>-13.92388613</v>
          </cell>
          <cell r="X520">
            <v>33.758649689999999</v>
          </cell>
        </row>
        <row r="521">
          <cell r="W521">
            <v>-15.369810859999999</v>
          </cell>
          <cell r="X521">
            <v>28.31590263</v>
          </cell>
        </row>
        <row r="522">
          <cell r="W522">
            <v>-24.122023380000002</v>
          </cell>
          <cell r="X522">
            <v>30.183510729999998</v>
          </cell>
        </row>
        <row r="523">
          <cell r="W523">
            <v>-24.12231714</v>
          </cell>
          <cell r="X523">
            <v>30.18250222</v>
          </cell>
        </row>
        <row r="524">
          <cell r="W524">
            <v>-24.150478799999998</v>
          </cell>
          <cell r="X524">
            <v>30.20352097</v>
          </cell>
        </row>
        <row r="525">
          <cell r="W525">
            <v>-15.36985702</v>
          </cell>
          <cell r="X525">
            <v>28.315754519999999</v>
          </cell>
        </row>
        <row r="526">
          <cell r="W526">
            <v>-30.27390475</v>
          </cell>
          <cell r="X526">
            <v>30.735115310000001</v>
          </cell>
        </row>
        <row r="527">
          <cell r="W527">
            <v>-30.27390475</v>
          </cell>
          <cell r="X527">
            <v>30.735115310000001</v>
          </cell>
        </row>
        <row r="528">
          <cell r="W528">
            <v>-30.27390475</v>
          </cell>
          <cell r="X528">
            <v>30.735115310000001</v>
          </cell>
        </row>
        <row r="529">
          <cell r="W529">
            <v>-30.27390475</v>
          </cell>
          <cell r="X529">
            <v>30.735115310000001</v>
          </cell>
        </row>
        <row r="530">
          <cell r="W530">
            <v>-15.36985702</v>
          </cell>
          <cell r="X530">
            <v>28.315754519999999</v>
          </cell>
        </row>
        <row r="531">
          <cell r="W531">
            <v>-3.66623667</v>
          </cell>
          <cell r="X531">
            <v>29.98207167</v>
          </cell>
        </row>
        <row r="532">
          <cell r="W532">
            <v>-1.3235750740000001</v>
          </cell>
          <cell r="X532">
            <v>36.688441750000003</v>
          </cell>
        </row>
        <row r="533">
          <cell r="W533">
            <v>-22.301371169999999</v>
          </cell>
          <cell r="X533">
            <v>24.684866110000002</v>
          </cell>
        </row>
        <row r="534">
          <cell r="W534">
            <v>-22.301371169999999</v>
          </cell>
          <cell r="X534">
            <v>24.684866110000002</v>
          </cell>
        </row>
        <row r="535">
          <cell r="W535">
            <v>-28.109440630000002</v>
          </cell>
          <cell r="X535">
            <v>32.098987430000001</v>
          </cell>
        </row>
        <row r="536">
          <cell r="W536">
            <v>-26.10428302</v>
          </cell>
          <cell r="X536">
            <v>27.833716540000001</v>
          </cell>
        </row>
        <row r="537">
          <cell r="W537">
            <v>-32.992067499999997</v>
          </cell>
          <cell r="X537">
            <v>27.93795888</v>
          </cell>
        </row>
        <row r="538">
          <cell r="W538">
            <v>-1.5001041369999999</v>
          </cell>
          <cell r="X538">
            <v>29.630768280000002</v>
          </cell>
        </row>
        <row r="539">
          <cell r="W539">
            <v>-6.266667</v>
          </cell>
          <cell r="X539">
            <v>29.933332</v>
          </cell>
        </row>
        <row r="540">
          <cell r="W540">
            <v>-18.127614229999999</v>
          </cell>
          <cell r="X540">
            <v>30.182287339999998</v>
          </cell>
        </row>
        <row r="541">
          <cell r="W541">
            <v>-20.252458699999998</v>
          </cell>
          <cell r="X541">
            <v>28.780930860000002</v>
          </cell>
        </row>
        <row r="542">
          <cell r="W542">
            <v>-18.252695920000001</v>
          </cell>
          <cell r="X542">
            <v>32.01101895</v>
          </cell>
        </row>
        <row r="543">
          <cell r="W543">
            <v>-15.36985702</v>
          </cell>
          <cell r="X543">
            <v>28.315754519999999</v>
          </cell>
        </row>
        <row r="544">
          <cell r="W544">
            <v>-25.658535740000001</v>
          </cell>
          <cell r="X544">
            <v>27.943860229999999</v>
          </cell>
        </row>
        <row r="545">
          <cell r="W545">
            <v>-15.36985702</v>
          </cell>
          <cell r="X545">
            <v>28.315754519999999</v>
          </cell>
        </row>
        <row r="546">
          <cell r="W546">
            <v>-15.36985702</v>
          </cell>
          <cell r="X546">
            <v>28.315754519999999</v>
          </cell>
        </row>
        <row r="547">
          <cell r="W547">
            <v>-17.88233949</v>
          </cell>
          <cell r="X547">
            <v>30.845570299999999</v>
          </cell>
        </row>
        <row r="548">
          <cell r="W548">
            <v>-29.573166390000001</v>
          </cell>
          <cell r="X548">
            <v>30.326553059999998</v>
          </cell>
        </row>
        <row r="549">
          <cell r="W549">
            <v>5.8407549999999997</v>
          </cell>
          <cell r="X549">
            <v>-7.2229270000000003</v>
          </cell>
        </row>
        <row r="550">
          <cell r="W550">
            <v>5.8407549999999997</v>
          </cell>
          <cell r="X550">
            <v>-7.2229270000000003</v>
          </cell>
        </row>
        <row r="551">
          <cell r="W551">
            <v>-15.36985702</v>
          </cell>
          <cell r="X551">
            <v>28.315754519999999</v>
          </cell>
        </row>
        <row r="552">
          <cell r="W552">
            <v>-30.30120338</v>
          </cell>
          <cell r="X552">
            <v>30.742551450000001</v>
          </cell>
        </row>
        <row r="553">
          <cell r="W553">
            <v>-26.031769000000001</v>
          </cell>
          <cell r="X553">
            <v>28.0482184</v>
          </cell>
        </row>
        <row r="554">
          <cell r="W554">
            <v>-32.992042750000003</v>
          </cell>
          <cell r="X554">
            <v>27.93796961</v>
          </cell>
        </row>
        <row r="555">
          <cell r="W555">
            <v>9.5623888899999994</v>
          </cell>
          <cell r="X555">
            <v>44.077013319999999</v>
          </cell>
        </row>
        <row r="556">
          <cell r="W556">
            <v>-22.8849579</v>
          </cell>
          <cell r="X556">
            <v>44.688798540000001</v>
          </cell>
        </row>
        <row r="557">
          <cell r="W557">
            <v>-28.960102419999998</v>
          </cell>
          <cell r="X557">
            <v>31.75650448</v>
          </cell>
        </row>
        <row r="558">
          <cell r="W558">
            <v>-20.198640569999998</v>
          </cell>
          <cell r="X558">
            <v>28.616401809999999</v>
          </cell>
        </row>
        <row r="559">
          <cell r="W559">
            <v>-4.6578999999999997</v>
          </cell>
          <cell r="X559">
            <v>39.369999999999997</v>
          </cell>
        </row>
        <row r="560">
          <cell r="W560">
            <v>-20.252458600000001</v>
          </cell>
          <cell r="X560">
            <v>28.780930900000001</v>
          </cell>
        </row>
        <row r="561">
          <cell r="W561">
            <v>-18.25250329</v>
          </cell>
          <cell r="X561">
            <v>32.01092105</v>
          </cell>
        </row>
        <row r="562">
          <cell r="W562">
            <v>-20.210216519999999</v>
          </cell>
          <cell r="X562">
            <v>28.590017320000001</v>
          </cell>
        </row>
        <row r="563">
          <cell r="W563">
            <v>6.4166375599999999</v>
          </cell>
          <cell r="X563">
            <v>2.3385364499999999</v>
          </cell>
        </row>
        <row r="564">
          <cell r="W564">
            <v>-29.489597620000001</v>
          </cell>
          <cell r="X564">
            <v>31.238312759999999</v>
          </cell>
        </row>
        <row r="565">
          <cell r="W565">
            <v>-24.557182789999999</v>
          </cell>
          <cell r="X565">
            <v>25.963799349999999</v>
          </cell>
        </row>
        <row r="566">
          <cell r="W566">
            <v>1.356369401</v>
          </cell>
          <cell r="X566">
            <v>29.49429469</v>
          </cell>
        </row>
        <row r="567">
          <cell r="W567">
            <v>-26.05766479</v>
          </cell>
          <cell r="X567">
            <v>27.949254960000001</v>
          </cell>
        </row>
        <row r="568">
          <cell r="W568">
            <v>-29.884501929999999</v>
          </cell>
          <cell r="X568">
            <v>30.923898390000002</v>
          </cell>
        </row>
        <row r="569">
          <cell r="W569">
            <v>-13.95246751</v>
          </cell>
          <cell r="X569">
            <v>33.802541320000003</v>
          </cell>
        </row>
        <row r="570">
          <cell r="W570">
            <v>-24.802965</v>
          </cell>
          <cell r="X570">
            <v>47.163631000000002</v>
          </cell>
        </row>
        <row r="571">
          <cell r="W571">
            <v>-22.880178000000001</v>
          </cell>
          <cell r="X571">
            <v>44.689604000000003</v>
          </cell>
        </row>
        <row r="572">
          <cell r="W572">
            <v>-18.170808000000001</v>
          </cell>
          <cell r="X572">
            <v>47.280307000000001</v>
          </cell>
        </row>
        <row r="573">
          <cell r="W573">
            <v>-18.196719000000002</v>
          </cell>
          <cell r="X573">
            <v>47.287066000000003</v>
          </cell>
        </row>
        <row r="574">
          <cell r="W574">
            <v>-18.031016000000001</v>
          </cell>
          <cell r="X574">
            <v>44.495069000000001</v>
          </cell>
        </row>
        <row r="575">
          <cell r="W575">
            <v>-0.48964143399999999</v>
          </cell>
          <cell r="X575">
            <v>34.03401272</v>
          </cell>
        </row>
        <row r="576">
          <cell r="W576">
            <v>-25.818333330000002</v>
          </cell>
          <cell r="X576">
            <v>28.277222219999999</v>
          </cell>
        </row>
        <row r="577">
          <cell r="W577">
            <v>-33.9954386</v>
          </cell>
          <cell r="X577">
            <v>22.548434700000001</v>
          </cell>
        </row>
        <row r="578">
          <cell r="W578">
            <v>-12.18380043</v>
          </cell>
          <cell r="X578">
            <v>26.46830963</v>
          </cell>
        </row>
        <row r="579">
          <cell r="W579">
            <v>-22.88757</v>
          </cell>
          <cell r="X579">
            <v>44.692276999999997</v>
          </cell>
        </row>
        <row r="580">
          <cell r="W580">
            <v>-0.40589444400000002</v>
          </cell>
          <cell r="X580">
            <v>34.658169440000002</v>
          </cell>
        </row>
        <row r="581">
          <cell r="W581">
            <v>-21.264061099999999</v>
          </cell>
          <cell r="X581">
            <v>47.419291700000002</v>
          </cell>
        </row>
        <row r="582">
          <cell r="W582">
            <v>-19.87930025</v>
          </cell>
          <cell r="X582">
            <v>23.12434227</v>
          </cell>
        </row>
        <row r="583">
          <cell r="W583">
            <v>13.3958423</v>
          </cell>
          <cell r="X583">
            <v>-16.6455527</v>
          </cell>
        </row>
        <row r="584">
          <cell r="W584">
            <v>-19.926055359999999</v>
          </cell>
          <cell r="X584">
            <v>23.508980820000001</v>
          </cell>
        </row>
        <row r="585">
          <cell r="W585">
            <v>-21.41551333</v>
          </cell>
          <cell r="X585">
            <v>15.96017833</v>
          </cell>
        </row>
        <row r="586">
          <cell r="W586">
            <v>-17.775361440000001</v>
          </cell>
          <cell r="X586">
            <v>31.025565969999999</v>
          </cell>
        </row>
        <row r="587">
          <cell r="W587">
            <v>-18.96390517</v>
          </cell>
          <cell r="X587">
            <v>32.6763057</v>
          </cell>
        </row>
        <row r="588">
          <cell r="W588">
            <v>12.57499189</v>
          </cell>
          <cell r="X588">
            <v>-7.8076137230000002</v>
          </cell>
        </row>
        <row r="589">
          <cell r="W589">
            <v>7.406082262</v>
          </cell>
          <cell r="X589">
            <v>0.44991161499999999</v>
          </cell>
        </row>
        <row r="590">
          <cell r="W590">
            <v>-33.941914480000001</v>
          </cell>
          <cell r="X590">
            <v>22.461703880000002</v>
          </cell>
        </row>
        <row r="591">
          <cell r="W591">
            <v>-15.259285289999999</v>
          </cell>
          <cell r="X591">
            <v>28.47009856</v>
          </cell>
        </row>
        <row r="592">
          <cell r="W592">
            <v>12.574729120000001</v>
          </cell>
          <cell r="X592">
            <v>-7.8067567569999996</v>
          </cell>
        </row>
        <row r="593">
          <cell r="W593">
            <v>-26.091501409999999</v>
          </cell>
          <cell r="X593">
            <v>27.83763428</v>
          </cell>
        </row>
        <row r="594">
          <cell r="W594">
            <v>-28.373100699999998</v>
          </cell>
          <cell r="X594">
            <v>32.412219499999999</v>
          </cell>
        </row>
        <row r="595">
          <cell r="W595">
            <v>-32.115051999999999</v>
          </cell>
          <cell r="X595">
            <v>26.063728999999999</v>
          </cell>
        </row>
        <row r="596">
          <cell r="W596">
            <v>-1.274026667</v>
          </cell>
          <cell r="X596">
            <v>36.813944999999997</v>
          </cell>
        </row>
        <row r="597">
          <cell r="W597">
            <v>-15.74103667</v>
          </cell>
          <cell r="X597">
            <v>34.993083329999997</v>
          </cell>
        </row>
        <row r="598">
          <cell r="W598">
            <v>6.2772066320000004</v>
          </cell>
          <cell r="X598">
            <v>11.576103310000001</v>
          </cell>
        </row>
        <row r="599">
          <cell r="W599">
            <v>0.466093333</v>
          </cell>
          <cell r="X599">
            <v>35.693868330000001</v>
          </cell>
        </row>
        <row r="600">
          <cell r="W600">
            <v>-26.09408762</v>
          </cell>
          <cell r="X600">
            <v>27.986418499999999</v>
          </cell>
        </row>
        <row r="601">
          <cell r="W601">
            <v>-18.868596719999999</v>
          </cell>
          <cell r="X601">
            <v>47.519034840000003</v>
          </cell>
        </row>
        <row r="602">
          <cell r="W602">
            <v>-29.833366900000001</v>
          </cell>
          <cell r="X602">
            <v>30.929844899999999</v>
          </cell>
        </row>
        <row r="603">
          <cell r="W603">
            <v>11.325579279999999</v>
          </cell>
          <cell r="X603">
            <v>39.68811367</v>
          </cell>
        </row>
        <row r="604">
          <cell r="W604">
            <v>-12.18325027</v>
          </cell>
          <cell r="X604">
            <v>26.472779769999999</v>
          </cell>
        </row>
        <row r="605">
          <cell r="W605">
            <v>-24.268311000000001</v>
          </cell>
          <cell r="X605">
            <v>30.620902000000001</v>
          </cell>
        </row>
        <row r="607">
          <cell r="W607">
            <v>5.816294686</v>
          </cell>
          <cell r="X607">
            <v>-0.186832364</v>
          </cell>
        </row>
        <row r="608">
          <cell r="W608">
            <v>-30.28518128</v>
          </cell>
          <cell r="X608">
            <v>30.737158539999999</v>
          </cell>
        </row>
        <row r="609">
          <cell r="W609">
            <v>-15.755005000000001</v>
          </cell>
          <cell r="X609">
            <v>34.996063329999998</v>
          </cell>
        </row>
        <row r="610">
          <cell r="W610">
            <v>-33.532378229999999</v>
          </cell>
          <cell r="X610">
            <v>27.038165320000001</v>
          </cell>
        </row>
        <row r="611">
          <cell r="W611">
            <v>-32.953382089999998</v>
          </cell>
          <cell r="X611">
            <v>27.903947939999998</v>
          </cell>
        </row>
        <row r="612">
          <cell r="W612">
            <v>-0.29508305600000001</v>
          </cell>
          <cell r="X612">
            <v>36.951839999999997</v>
          </cell>
        </row>
        <row r="613">
          <cell r="W613">
            <v>2.2776696689999998</v>
          </cell>
          <cell r="X613">
            <v>31.687006960000001</v>
          </cell>
        </row>
        <row r="614">
          <cell r="W614">
            <v>-15.75514167</v>
          </cell>
          <cell r="X614">
            <v>34.996371670000002</v>
          </cell>
        </row>
        <row r="615">
          <cell r="W615">
            <v>-3.3944444439999999</v>
          </cell>
          <cell r="X615">
            <v>29.375833329999999</v>
          </cell>
        </row>
        <row r="616">
          <cell r="W616">
            <v>-3.2191863999999999</v>
          </cell>
          <cell r="X616">
            <v>40.116890599999998</v>
          </cell>
        </row>
        <row r="617">
          <cell r="W617">
            <v>-15.36985702</v>
          </cell>
          <cell r="X617">
            <v>28.315754519999999</v>
          </cell>
        </row>
        <row r="618">
          <cell r="W618">
            <v>-22.8417034</v>
          </cell>
          <cell r="X618">
            <v>44.681837700000003</v>
          </cell>
        </row>
        <row r="619">
          <cell r="W619">
            <v>-1.6015550000000001</v>
          </cell>
          <cell r="X619">
            <v>35.384888330000003</v>
          </cell>
        </row>
        <row r="620">
          <cell r="W620">
            <v>-29.845707999999998</v>
          </cell>
          <cell r="X620">
            <v>30.920462000000001</v>
          </cell>
        </row>
        <row r="621">
          <cell r="W621">
            <v>-18.868596719999999</v>
          </cell>
          <cell r="X621">
            <v>47.519034840000003</v>
          </cell>
        </row>
        <row r="622">
          <cell r="W622">
            <v>-15.75467956</v>
          </cell>
          <cell r="X622">
            <v>34.995825830000001</v>
          </cell>
        </row>
        <row r="623">
          <cell r="W623">
            <v>5.3472103989999997</v>
          </cell>
          <cell r="X623">
            <v>-1.3830372</v>
          </cell>
        </row>
        <row r="624">
          <cell r="W624">
            <v>-33.995424</v>
          </cell>
          <cell r="X624">
            <v>22.5484367</v>
          </cell>
        </row>
        <row r="625">
          <cell r="W625">
            <v>-30.301245860000002</v>
          </cell>
          <cell r="X625">
            <v>30.742667480000001</v>
          </cell>
        </row>
        <row r="626">
          <cell r="W626">
            <v>-15.75469644</v>
          </cell>
          <cell r="X626">
            <v>34.995833040000001</v>
          </cell>
        </row>
        <row r="627">
          <cell r="W627">
            <v>-15.75466333</v>
          </cell>
          <cell r="X627">
            <v>34.996761669999998</v>
          </cell>
        </row>
        <row r="628">
          <cell r="W628">
            <v>-15.741728330000001</v>
          </cell>
          <cell r="X628">
            <v>34.994055000000003</v>
          </cell>
        </row>
        <row r="629">
          <cell r="W629">
            <v>-17.71874167</v>
          </cell>
          <cell r="X629">
            <v>31.18558333</v>
          </cell>
        </row>
        <row r="630">
          <cell r="W630">
            <v>-18.252549779999999</v>
          </cell>
          <cell r="X630">
            <v>32.01092105</v>
          </cell>
        </row>
        <row r="631">
          <cell r="W631">
            <v>-17.790145729999999</v>
          </cell>
          <cell r="X631">
            <v>31.12182279</v>
          </cell>
        </row>
        <row r="632">
          <cell r="W632">
            <v>-25.745285299999999</v>
          </cell>
          <cell r="X632">
            <v>28.263921660000001</v>
          </cell>
        </row>
        <row r="634">
          <cell r="W634">
            <v>-24.872761390000001</v>
          </cell>
          <cell r="X634">
            <v>16.178176390000001</v>
          </cell>
        </row>
        <row r="635">
          <cell r="W635">
            <v>-33.866292649999998</v>
          </cell>
          <cell r="X635">
            <v>25.090592470000001</v>
          </cell>
        </row>
        <row r="636">
          <cell r="W636">
            <v>3.978036667</v>
          </cell>
          <cell r="X636">
            <v>11.604495</v>
          </cell>
        </row>
        <row r="637">
          <cell r="W637">
            <v>-3.241905649</v>
          </cell>
          <cell r="X637">
            <v>37.338424959999998</v>
          </cell>
        </row>
        <row r="638">
          <cell r="W638">
            <v>-4.7322840629999998</v>
          </cell>
          <cell r="X638">
            <v>14.88924613</v>
          </cell>
        </row>
        <row r="639">
          <cell r="W639">
            <v>-30.3025427</v>
          </cell>
          <cell r="X639">
            <v>30.74634434</v>
          </cell>
        </row>
        <row r="640">
          <cell r="W640">
            <v>-29.804444440000001</v>
          </cell>
          <cell r="X640">
            <v>31.016111110000001</v>
          </cell>
        </row>
        <row r="641">
          <cell r="W641">
            <v>-33.99541</v>
          </cell>
          <cell r="X641">
            <v>22.548545000000001</v>
          </cell>
        </row>
        <row r="642">
          <cell r="W642">
            <v>-21.258379290000001</v>
          </cell>
          <cell r="X642">
            <v>47.419136100000003</v>
          </cell>
        </row>
        <row r="643">
          <cell r="W643">
            <v>-21.258379290000001</v>
          </cell>
          <cell r="X643">
            <v>47.419136100000003</v>
          </cell>
        </row>
        <row r="644">
          <cell r="W644">
            <v>-12.52901228</v>
          </cell>
          <cell r="X644">
            <v>49.172184110000003</v>
          </cell>
        </row>
        <row r="645">
          <cell r="W645">
            <v>0.44202931099999998</v>
          </cell>
          <cell r="X645">
            <v>32.954705660000002</v>
          </cell>
        </row>
        <row r="646">
          <cell r="W646">
            <v>-24.19017024</v>
          </cell>
          <cell r="X646">
            <v>30.593342790000001</v>
          </cell>
        </row>
        <row r="647">
          <cell r="W647">
            <v>-24.19017024</v>
          </cell>
          <cell r="X647">
            <v>30.593342790000001</v>
          </cell>
        </row>
        <row r="648">
          <cell r="W648">
            <v>-11.5922415</v>
          </cell>
          <cell r="X648">
            <v>31.655112209999999</v>
          </cell>
        </row>
        <row r="649">
          <cell r="W649">
            <v>-24.7031934</v>
          </cell>
          <cell r="X649">
            <v>28.3870778</v>
          </cell>
        </row>
        <row r="650">
          <cell r="W650">
            <v>-17.790401930000002</v>
          </cell>
          <cell r="X650">
            <v>31.121023529999999</v>
          </cell>
        </row>
        <row r="651">
          <cell r="W651">
            <v>-1.3246892889999999</v>
          </cell>
          <cell r="X651">
            <v>36.771489819999999</v>
          </cell>
        </row>
        <row r="652">
          <cell r="W652">
            <v>10.84976378</v>
          </cell>
          <cell r="X652">
            <v>1.4635867789999999</v>
          </cell>
        </row>
        <row r="653">
          <cell r="W653">
            <v>10.8492</v>
          </cell>
          <cell r="X653">
            <v>1.460793056</v>
          </cell>
        </row>
        <row r="654">
          <cell r="W654">
            <v>-4.3385565039999996</v>
          </cell>
          <cell r="X654">
            <v>15.24184296</v>
          </cell>
        </row>
        <row r="655">
          <cell r="W655">
            <v>-20.66333333</v>
          </cell>
          <cell r="X655">
            <v>28.733333330000001</v>
          </cell>
        </row>
        <row r="656">
          <cell r="W656">
            <v>-25.539494399999999</v>
          </cell>
          <cell r="X656">
            <v>27.832358899999999</v>
          </cell>
        </row>
        <row r="657">
          <cell r="W657">
            <v>-34.020869689999998</v>
          </cell>
          <cell r="X657">
            <v>18.368263880000001</v>
          </cell>
        </row>
        <row r="658">
          <cell r="W658">
            <v>-25.79744492</v>
          </cell>
          <cell r="X658">
            <v>28.298322670000001</v>
          </cell>
        </row>
        <row r="659">
          <cell r="W659">
            <v>-6.4507980109999998</v>
          </cell>
          <cell r="X659">
            <v>38.920936269999999</v>
          </cell>
        </row>
        <row r="660">
          <cell r="W660">
            <v>-3.3800482129999998</v>
          </cell>
          <cell r="X660">
            <v>36.698151449999997</v>
          </cell>
        </row>
        <row r="661">
          <cell r="W661">
            <v>-7.6862197339999998</v>
          </cell>
          <cell r="X661">
            <v>34.651346050000001</v>
          </cell>
        </row>
        <row r="662">
          <cell r="W662">
            <v>-15.96032522</v>
          </cell>
          <cell r="X662">
            <v>35.652821279999998</v>
          </cell>
        </row>
        <row r="663">
          <cell r="W663">
            <v>3.976536667</v>
          </cell>
          <cell r="X663">
            <v>11.603991669999999</v>
          </cell>
        </row>
        <row r="664">
          <cell r="W664">
            <v>-34.117968500000003</v>
          </cell>
          <cell r="X664">
            <v>24.802904430000002</v>
          </cell>
        </row>
        <row r="665">
          <cell r="W665">
            <v>-4.2203787119999996</v>
          </cell>
          <cell r="X665">
            <v>33.199707289999999</v>
          </cell>
        </row>
        <row r="666">
          <cell r="W666">
            <v>-24.247706489999999</v>
          </cell>
          <cell r="X666">
            <v>30.631099649999999</v>
          </cell>
        </row>
        <row r="667">
          <cell r="W667">
            <v>-20.20826856</v>
          </cell>
          <cell r="X667">
            <v>28.577963860000001</v>
          </cell>
        </row>
        <row r="668">
          <cell r="W668">
            <v>-30.602804110000001</v>
          </cell>
          <cell r="X668">
            <v>22.126854380000001</v>
          </cell>
        </row>
        <row r="669">
          <cell r="W669">
            <v>-29.822272099999999</v>
          </cell>
          <cell r="X669">
            <v>30.930914210000001</v>
          </cell>
        </row>
        <row r="670">
          <cell r="W670">
            <v>-20.639586649999998</v>
          </cell>
          <cell r="X670">
            <v>32.023894230000003</v>
          </cell>
        </row>
        <row r="671">
          <cell r="W671">
            <v>-33.980990439999999</v>
          </cell>
          <cell r="X671">
            <v>23.549501790000001</v>
          </cell>
        </row>
        <row r="672">
          <cell r="W672">
            <v>-21.375011669999999</v>
          </cell>
          <cell r="X672">
            <v>47.446936669999999</v>
          </cell>
        </row>
        <row r="673">
          <cell r="W673">
            <v>-33.990900000000003</v>
          </cell>
          <cell r="X673">
            <v>22.578900000000001</v>
          </cell>
        </row>
        <row r="674">
          <cell r="W674">
            <v>-7.4031767999999998</v>
          </cell>
          <cell r="X674">
            <v>36.991712499999998</v>
          </cell>
        </row>
        <row r="675">
          <cell r="W675">
            <v>-28.758582329999999</v>
          </cell>
          <cell r="X675">
            <v>18.87554269</v>
          </cell>
        </row>
        <row r="676">
          <cell r="W676">
            <v>17.09732035</v>
          </cell>
          <cell r="X676">
            <v>54.280680060000002</v>
          </cell>
        </row>
        <row r="677">
          <cell r="W677">
            <v>-1.2671309980000001</v>
          </cell>
          <cell r="X677">
            <v>36.821008820000003</v>
          </cell>
        </row>
        <row r="678">
          <cell r="W678">
            <v>-20.20826856</v>
          </cell>
          <cell r="X678">
            <v>28.577963860000001</v>
          </cell>
        </row>
        <row r="679">
          <cell r="W679">
            <v>-8.7596615490000005</v>
          </cell>
          <cell r="X679">
            <v>31.11489263</v>
          </cell>
        </row>
        <row r="680">
          <cell r="W680">
            <v>-22.560106709999999</v>
          </cell>
          <cell r="X680">
            <v>17.062769339999999</v>
          </cell>
        </row>
        <row r="681">
          <cell r="W681">
            <v>-7.7460622490000004</v>
          </cell>
          <cell r="X681">
            <v>35.135410909999997</v>
          </cell>
        </row>
        <row r="682">
          <cell r="W682">
            <v>-25.84700522</v>
          </cell>
          <cell r="X682">
            <v>28.337170539999999</v>
          </cell>
        </row>
        <row r="683">
          <cell r="W683">
            <v>-24.7740261</v>
          </cell>
          <cell r="X683">
            <v>27.738803399999998</v>
          </cell>
        </row>
        <row r="684">
          <cell r="W684">
            <v>-18.040997999999998</v>
          </cell>
          <cell r="X684">
            <v>35.199607999999998</v>
          </cell>
        </row>
        <row r="685">
          <cell r="W685">
            <v>-33.968040000000002</v>
          </cell>
          <cell r="X685">
            <v>22.094280000000001</v>
          </cell>
        </row>
        <row r="686">
          <cell r="W686">
            <v>-17.811527000000002</v>
          </cell>
          <cell r="X686">
            <v>31.080939000000001</v>
          </cell>
        </row>
        <row r="687">
          <cell r="W687">
            <v>-29.804722219999999</v>
          </cell>
          <cell r="X687">
            <v>31.01277778</v>
          </cell>
        </row>
        <row r="688">
          <cell r="W688">
            <v>-1.6616107710000001</v>
          </cell>
          <cell r="X688">
            <v>37.580432180000003</v>
          </cell>
        </row>
        <row r="689">
          <cell r="W689">
            <v>-29.556250479999999</v>
          </cell>
          <cell r="X689">
            <v>30.344786790000001</v>
          </cell>
        </row>
        <row r="690">
          <cell r="W690">
            <v>-17.811527999999999</v>
          </cell>
          <cell r="X690">
            <v>31.080942</v>
          </cell>
        </row>
        <row r="691">
          <cell r="W691">
            <v>-29.804242550000001</v>
          </cell>
          <cell r="X691">
            <v>31.015777249999999</v>
          </cell>
        </row>
        <row r="692">
          <cell r="W692">
            <v>-27.995098519999999</v>
          </cell>
          <cell r="X692">
            <v>32.364909900000001</v>
          </cell>
        </row>
        <row r="693">
          <cell r="W693">
            <v>-24.98793336</v>
          </cell>
          <cell r="X693">
            <v>25.343020190000001</v>
          </cell>
        </row>
        <row r="694">
          <cell r="W694">
            <v>-25.39817828</v>
          </cell>
          <cell r="X694">
            <v>28.343791329999998</v>
          </cell>
        </row>
        <row r="695">
          <cell r="W695">
            <v>-15.69266036</v>
          </cell>
          <cell r="X695">
            <v>35.137628829999997</v>
          </cell>
        </row>
        <row r="696">
          <cell r="W696">
            <v>-12.08761883</v>
          </cell>
          <cell r="X696">
            <v>34.71755186</v>
          </cell>
        </row>
        <row r="697">
          <cell r="W697">
            <v>3.9767800000000002</v>
          </cell>
          <cell r="X697">
            <v>11.603194999999999</v>
          </cell>
        </row>
        <row r="698">
          <cell r="W698">
            <v>-20.176014899999998</v>
          </cell>
          <cell r="X698">
            <v>28.587092899999998</v>
          </cell>
        </row>
        <row r="699">
          <cell r="W699">
            <v>12.360967929999999</v>
          </cell>
          <cell r="X699">
            <v>-16.719379159999999</v>
          </cell>
        </row>
        <row r="700">
          <cell r="W700">
            <v>-1.2512658969999999</v>
          </cell>
          <cell r="X700">
            <v>29.715040129999998</v>
          </cell>
        </row>
        <row r="701">
          <cell r="W701">
            <v>-24.735671669999999</v>
          </cell>
          <cell r="X701">
            <v>27.691054999999999</v>
          </cell>
        </row>
        <row r="702">
          <cell r="W702">
            <v>-26.0585816</v>
          </cell>
          <cell r="X702">
            <v>27.975387999999999</v>
          </cell>
        </row>
        <row r="703">
          <cell r="W703">
            <v>-25.93609361</v>
          </cell>
          <cell r="X703">
            <v>28.115242469999998</v>
          </cell>
        </row>
        <row r="704">
          <cell r="W704">
            <v>3.8646583329999999</v>
          </cell>
          <cell r="X704">
            <v>11.601708329999999</v>
          </cell>
        </row>
        <row r="705">
          <cell r="W705">
            <v>-4.7986674010000003</v>
          </cell>
          <cell r="X705">
            <v>38.290218109999998</v>
          </cell>
        </row>
        <row r="706">
          <cell r="W706">
            <v>-29.804168140000002</v>
          </cell>
          <cell r="X706">
            <v>31.016621220000001</v>
          </cell>
        </row>
        <row r="707">
          <cell r="W707">
            <v>-29.628119999999999</v>
          </cell>
          <cell r="X707">
            <v>30.986899999999999</v>
          </cell>
        </row>
        <row r="708">
          <cell r="W708">
            <v>-24.318050029999998</v>
          </cell>
          <cell r="X708">
            <v>30.759579689999999</v>
          </cell>
        </row>
        <row r="709">
          <cell r="W709">
            <v>-25.942014560000001</v>
          </cell>
          <cell r="X709">
            <v>27.534791739999999</v>
          </cell>
        </row>
        <row r="710">
          <cell r="W710">
            <v>-24.417628959999998</v>
          </cell>
          <cell r="X710">
            <v>27.596540449999999</v>
          </cell>
        </row>
        <row r="711">
          <cell r="W711">
            <v>0.29234369999999998</v>
          </cell>
          <cell r="X711">
            <v>36.898464199999999</v>
          </cell>
        </row>
        <row r="712">
          <cell r="W712">
            <v>-25.661222349999999</v>
          </cell>
          <cell r="X712">
            <v>27.944755310000001</v>
          </cell>
        </row>
        <row r="713">
          <cell r="W713">
            <v>-30.20406088</v>
          </cell>
          <cell r="X713">
            <v>30.78187823</v>
          </cell>
        </row>
        <row r="714">
          <cell r="W714">
            <v>-30.2042359</v>
          </cell>
          <cell r="X714">
            <v>30.781885899999999</v>
          </cell>
        </row>
        <row r="715">
          <cell r="W715">
            <v>-29.658332399999999</v>
          </cell>
          <cell r="X715">
            <v>31.046881500000001</v>
          </cell>
        </row>
        <row r="716">
          <cell r="W716">
            <v>-33.947322819999997</v>
          </cell>
          <cell r="X716">
            <v>22.463584990000001</v>
          </cell>
        </row>
        <row r="717">
          <cell r="W717">
            <v>-29.83192</v>
          </cell>
          <cell r="X717">
            <v>30.91804333</v>
          </cell>
        </row>
        <row r="718">
          <cell r="W718">
            <v>-25.670774699999999</v>
          </cell>
          <cell r="X718">
            <v>28.523822689999999</v>
          </cell>
        </row>
        <row r="719">
          <cell r="W719">
            <v>-29.712604800000001</v>
          </cell>
          <cell r="X719">
            <v>31.094023320000002</v>
          </cell>
        </row>
        <row r="720">
          <cell r="W720">
            <v>-29.793547140000001</v>
          </cell>
          <cell r="X720">
            <v>31.03452489</v>
          </cell>
        </row>
        <row r="721">
          <cell r="W721">
            <v>-17.792942719999999</v>
          </cell>
          <cell r="X721">
            <v>25.204798929999999</v>
          </cell>
        </row>
        <row r="722">
          <cell r="W722">
            <v>-33.985808329999998</v>
          </cell>
          <cell r="X722">
            <v>18.43109917</v>
          </cell>
        </row>
        <row r="723">
          <cell r="W723">
            <v>5.4589388889999997</v>
          </cell>
          <cell r="X723">
            <v>10.059686109999999</v>
          </cell>
        </row>
        <row r="724">
          <cell r="W724">
            <v>-29.712845999999999</v>
          </cell>
          <cell r="X724">
            <v>31.092763000000001</v>
          </cell>
        </row>
        <row r="725">
          <cell r="W725">
            <v>-20.176014899999998</v>
          </cell>
          <cell r="X725">
            <v>28.587092899999998</v>
          </cell>
        </row>
        <row r="726">
          <cell r="W726">
            <v>4.9547027779999997</v>
          </cell>
          <cell r="X726">
            <v>11.38588889</v>
          </cell>
        </row>
        <row r="727">
          <cell r="W727">
            <v>-25.740425599999998</v>
          </cell>
          <cell r="X727">
            <v>28.2453529</v>
          </cell>
        </row>
        <row r="728">
          <cell r="W728">
            <v>-25.715449360000001</v>
          </cell>
          <cell r="X728">
            <v>28.95290374</v>
          </cell>
        </row>
        <row r="729">
          <cell r="W729">
            <v>-25.63551198</v>
          </cell>
          <cell r="X729">
            <v>28.349542499999998</v>
          </cell>
        </row>
        <row r="730">
          <cell r="W730">
            <v>-34.012649080000003</v>
          </cell>
          <cell r="X730">
            <v>18.420124049999998</v>
          </cell>
        </row>
        <row r="731">
          <cell r="W731">
            <v>-29.78346844</v>
          </cell>
          <cell r="X731">
            <v>30.72307451</v>
          </cell>
        </row>
        <row r="732">
          <cell r="W732">
            <v>-20.20826856</v>
          </cell>
          <cell r="X732">
            <v>28.577963860000001</v>
          </cell>
        </row>
        <row r="733">
          <cell r="W733">
            <v>-24.55686961</v>
          </cell>
          <cell r="X733">
            <v>25.96277473</v>
          </cell>
        </row>
        <row r="734">
          <cell r="W734">
            <v>-24.55686961</v>
          </cell>
          <cell r="X734">
            <v>25.96277473</v>
          </cell>
        </row>
        <row r="735">
          <cell r="W735">
            <v>-17.791942330000001</v>
          </cell>
          <cell r="X735">
            <v>36.787985589999998</v>
          </cell>
        </row>
        <row r="736">
          <cell r="W736">
            <v>-33.995452800000002</v>
          </cell>
          <cell r="X736">
            <v>22.548577600000002</v>
          </cell>
        </row>
        <row r="737">
          <cell r="W737">
            <v>-12.32568287</v>
          </cell>
          <cell r="X737">
            <v>49.337834460000003</v>
          </cell>
        </row>
        <row r="738">
          <cell r="W738">
            <v>-3.38230304</v>
          </cell>
          <cell r="X738">
            <v>36.790102079999997</v>
          </cell>
        </row>
        <row r="739">
          <cell r="W739">
            <v>-25.90950333</v>
          </cell>
          <cell r="X739">
            <v>28.173394999999999</v>
          </cell>
        </row>
        <row r="740">
          <cell r="W740">
            <v>-26.018712300000001</v>
          </cell>
          <cell r="X740">
            <v>28.028662690000001</v>
          </cell>
        </row>
        <row r="741">
          <cell r="W741">
            <v>-17.871897950000001</v>
          </cell>
          <cell r="X741">
            <v>25.817865770000001</v>
          </cell>
        </row>
        <row r="742">
          <cell r="W742">
            <v>-33.995336700000003</v>
          </cell>
          <cell r="X742">
            <v>22.548396799999999</v>
          </cell>
        </row>
        <row r="743">
          <cell r="W743">
            <v>-20.20826856</v>
          </cell>
          <cell r="X743">
            <v>28.577963860000001</v>
          </cell>
        </row>
        <row r="744">
          <cell r="W744">
            <v>-25.887014799999999</v>
          </cell>
          <cell r="X744">
            <v>27.7080248</v>
          </cell>
        </row>
        <row r="745">
          <cell r="W745">
            <v>-28.331199999999999</v>
          </cell>
          <cell r="X745">
            <v>32.3613</v>
          </cell>
        </row>
        <row r="746">
          <cell r="W746">
            <v>-28.057431170000001</v>
          </cell>
          <cell r="X746">
            <v>32.293926880000001</v>
          </cell>
        </row>
        <row r="747">
          <cell r="W747">
            <v>-24.245479459999999</v>
          </cell>
          <cell r="X747">
            <v>27.726180329999998</v>
          </cell>
        </row>
        <row r="748">
          <cell r="W748">
            <v>-24.245459589999999</v>
          </cell>
          <cell r="X748">
            <v>27.72621118</v>
          </cell>
        </row>
        <row r="749">
          <cell r="W749">
            <v>-25.11794484</v>
          </cell>
          <cell r="X749">
            <v>31.91518198</v>
          </cell>
        </row>
        <row r="750">
          <cell r="W750">
            <v>-21.058470410000002</v>
          </cell>
          <cell r="X750">
            <v>31.87711367</v>
          </cell>
        </row>
        <row r="751">
          <cell r="W751">
            <v>-15.74567727</v>
          </cell>
          <cell r="X751">
            <v>35.061834879999999</v>
          </cell>
        </row>
        <row r="752">
          <cell r="W752">
            <v>-1.179732939</v>
          </cell>
          <cell r="X752">
            <v>36.952562819999997</v>
          </cell>
        </row>
        <row r="753">
          <cell r="W753">
            <v>-24.841397390000001</v>
          </cell>
          <cell r="X753">
            <v>28.04859459</v>
          </cell>
        </row>
        <row r="754">
          <cell r="W754">
            <v>-25.570330999999999</v>
          </cell>
          <cell r="X754">
            <v>28.587242</v>
          </cell>
        </row>
        <row r="755">
          <cell r="W755">
            <v>-25.57589158</v>
          </cell>
          <cell r="X755">
            <v>28.58888846</v>
          </cell>
        </row>
        <row r="756">
          <cell r="W756">
            <v>-29.548718000000001</v>
          </cell>
          <cell r="X756">
            <v>31.205376000000001</v>
          </cell>
        </row>
        <row r="757">
          <cell r="W757">
            <v>3.1984783330000002</v>
          </cell>
          <cell r="X757">
            <v>12.821253329999999</v>
          </cell>
        </row>
        <row r="758">
          <cell r="W758">
            <v>3.172949746</v>
          </cell>
          <cell r="X758">
            <v>12.95118072</v>
          </cell>
        </row>
        <row r="759">
          <cell r="W759">
            <v>3.1608602189999999</v>
          </cell>
          <cell r="X759">
            <v>12.95371272</v>
          </cell>
        </row>
        <row r="760">
          <cell r="W760">
            <v>3.3765600029999998</v>
          </cell>
          <cell r="X760">
            <v>12.732740059999999</v>
          </cell>
        </row>
        <row r="761">
          <cell r="W761">
            <v>-15.3765924</v>
          </cell>
          <cell r="X761">
            <v>25.986644299999998</v>
          </cell>
        </row>
        <row r="762">
          <cell r="W762">
            <v>-21.255598060000001</v>
          </cell>
          <cell r="X762">
            <v>47.45284917</v>
          </cell>
        </row>
        <row r="763">
          <cell r="W763">
            <v>-23.31875823</v>
          </cell>
          <cell r="X763">
            <v>30.674472529999999</v>
          </cell>
        </row>
        <row r="764">
          <cell r="W764">
            <v>-27.995000000000001</v>
          </cell>
          <cell r="X764">
            <v>32.365299999999998</v>
          </cell>
        </row>
        <row r="765">
          <cell r="W765">
            <v>2.4798620800000002</v>
          </cell>
          <cell r="X765">
            <v>31.543489149999999</v>
          </cell>
        </row>
        <row r="766">
          <cell r="W766">
            <v>-20.20826856</v>
          </cell>
          <cell r="X766">
            <v>28.577963860000001</v>
          </cell>
        </row>
        <row r="767">
          <cell r="W767">
            <v>-3.1916970999999998</v>
          </cell>
          <cell r="X767">
            <v>37.237544499999998</v>
          </cell>
        </row>
        <row r="768">
          <cell r="W768">
            <v>-28.05735829</v>
          </cell>
          <cell r="X768">
            <v>32.293735210000001</v>
          </cell>
        </row>
        <row r="769">
          <cell r="W769">
            <v>-25.169549580000002</v>
          </cell>
          <cell r="X769">
            <v>31.268673</v>
          </cell>
        </row>
        <row r="770">
          <cell r="W770">
            <v>-15.496457299999999</v>
          </cell>
          <cell r="X770">
            <v>28.453424510000001</v>
          </cell>
        </row>
        <row r="771">
          <cell r="W771">
            <v>-28.0656</v>
          </cell>
          <cell r="X771">
            <v>32.308</v>
          </cell>
        </row>
        <row r="772">
          <cell r="W772">
            <v>-22.436862949999998</v>
          </cell>
          <cell r="X772">
            <v>17.100433349999999</v>
          </cell>
        </row>
        <row r="773">
          <cell r="W773">
            <v>2.4786272509999998</v>
          </cell>
          <cell r="X773">
            <v>31.543316870000002</v>
          </cell>
        </row>
        <row r="774">
          <cell r="W774">
            <v>-24.314396339999998</v>
          </cell>
          <cell r="X774">
            <v>31.333174979999999</v>
          </cell>
        </row>
        <row r="775">
          <cell r="W775">
            <v>-13.360761180000001</v>
          </cell>
          <cell r="X775">
            <v>34.012553500000003</v>
          </cell>
        </row>
        <row r="776">
          <cell r="W776">
            <v>-29.55423</v>
          </cell>
          <cell r="X776">
            <v>31.202536670000001</v>
          </cell>
        </row>
        <row r="777">
          <cell r="W777">
            <v>3.7126583329999998</v>
          </cell>
          <cell r="X777">
            <v>33.670935</v>
          </cell>
        </row>
        <row r="778">
          <cell r="W778">
            <v>-1.4047799999999999</v>
          </cell>
          <cell r="X778">
            <v>36.92642</v>
          </cell>
        </row>
        <row r="779">
          <cell r="W779">
            <v>-28.959131970000001</v>
          </cell>
          <cell r="X779">
            <v>31.779179450000001</v>
          </cell>
        </row>
        <row r="780">
          <cell r="W780">
            <v>-0.42865555599999999</v>
          </cell>
          <cell r="X780">
            <v>34.469013889999999</v>
          </cell>
        </row>
        <row r="781">
          <cell r="W781">
            <v>3.8045800000000001</v>
          </cell>
          <cell r="X781">
            <v>11.521461670000001</v>
          </cell>
        </row>
        <row r="782">
          <cell r="W782">
            <v>-15.496457299999999</v>
          </cell>
          <cell r="X782">
            <v>28.453424510000001</v>
          </cell>
        </row>
        <row r="783">
          <cell r="W783">
            <v>-28.382000000000001</v>
          </cell>
          <cell r="X783">
            <v>32.420999999999999</v>
          </cell>
        </row>
        <row r="784">
          <cell r="W784">
            <v>-1.3194979979999999</v>
          </cell>
          <cell r="X784">
            <v>36.837211850000003</v>
          </cell>
        </row>
        <row r="785">
          <cell r="W785">
            <v>-15.36985702</v>
          </cell>
          <cell r="X785">
            <v>28.315754519999999</v>
          </cell>
        </row>
        <row r="786">
          <cell r="W786">
            <v>-30.688006510000001</v>
          </cell>
          <cell r="X786">
            <v>30.4884725</v>
          </cell>
        </row>
        <row r="787">
          <cell r="W787">
            <v>0.157880616</v>
          </cell>
          <cell r="X787">
            <v>32.559824829999997</v>
          </cell>
        </row>
        <row r="788">
          <cell r="W788">
            <v>-27.51036994</v>
          </cell>
          <cell r="X788">
            <v>32.660310010000003</v>
          </cell>
        </row>
        <row r="789">
          <cell r="W789">
            <v>-15.366358330000001</v>
          </cell>
          <cell r="X789">
            <v>35.267416670000003</v>
          </cell>
        </row>
        <row r="790">
          <cell r="W790">
            <v>-15.496457299999999</v>
          </cell>
          <cell r="X790">
            <v>28.453424510000001</v>
          </cell>
        </row>
        <row r="791">
          <cell r="W791">
            <v>3.3815492919999999</v>
          </cell>
          <cell r="X791">
            <v>12.73252974</v>
          </cell>
        </row>
        <row r="792">
          <cell r="W792">
            <v>-29.776454659999999</v>
          </cell>
          <cell r="X792">
            <v>30.83586335</v>
          </cell>
        </row>
        <row r="793">
          <cell r="W793">
            <v>-15.36985702</v>
          </cell>
          <cell r="X793">
            <v>28.315754519999999</v>
          </cell>
        </row>
        <row r="794">
          <cell r="W794">
            <v>-15.36985702</v>
          </cell>
          <cell r="X794">
            <v>28.315754519999999</v>
          </cell>
        </row>
        <row r="795">
          <cell r="W795">
            <v>-1.22278493</v>
          </cell>
          <cell r="X795">
            <v>36.977454829999999</v>
          </cell>
        </row>
        <row r="796">
          <cell r="W796">
            <v>-3.6762800000000002</v>
          </cell>
          <cell r="X796">
            <v>39.864345</v>
          </cell>
        </row>
        <row r="797">
          <cell r="W797">
            <v>-19.132228999999999</v>
          </cell>
          <cell r="X797">
            <v>44.808821000000002</v>
          </cell>
        </row>
        <row r="798">
          <cell r="W798">
            <v>-14.2638851</v>
          </cell>
          <cell r="X798">
            <v>33.455827059999997</v>
          </cell>
        </row>
        <row r="799">
          <cell r="W799">
            <v>-21.656952860000001</v>
          </cell>
          <cell r="X799">
            <v>48.199070429999999</v>
          </cell>
        </row>
        <row r="800">
          <cell r="W800">
            <v>-6.8969230000000001</v>
          </cell>
          <cell r="X800">
            <v>31.186379970000001</v>
          </cell>
        </row>
        <row r="801">
          <cell r="W801">
            <v>-19.083575100000001</v>
          </cell>
          <cell r="X801">
            <v>33.461365809999997</v>
          </cell>
        </row>
        <row r="802">
          <cell r="W802">
            <v>-15.366925950000001</v>
          </cell>
          <cell r="X802">
            <v>35.266092880000002</v>
          </cell>
        </row>
        <row r="803">
          <cell r="W803">
            <v>-12.86497655</v>
          </cell>
          <cell r="X803">
            <v>34.132612180000002</v>
          </cell>
        </row>
        <row r="804">
          <cell r="W804">
            <v>-29.709162370000001</v>
          </cell>
          <cell r="X804">
            <v>31.089813599999999</v>
          </cell>
        </row>
        <row r="806">
          <cell r="W806">
            <v>3.9778633330000002</v>
          </cell>
          <cell r="X806">
            <v>11.602686670000001</v>
          </cell>
        </row>
        <row r="807">
          <cell r="W807">
            <v>-25.68806893</v>
          </cell>
          <cell r="X807">
            <v>28.220349850000002</v>
          </cell>
        </row>
        <row r="808">
          <cell r="W808">
            <v>-30.71279749</v>
          </cell>
          <cell r="X808">
            <v>30.447154980000001</v>
          </cell>
        </row>
        <row r="809">
          <cell r="W809">
            <v>-29.769629299999998</v>
          </cell>
          <cell r="X809">
            <v>30.781360400000001</v>
          </cell>
        </row>
        <row r="810">
          <cell r="W810">
            <v>-15.36985702</v>
          </cell>
          <cell r="X810">
            <v>28.315754519999999</v>
          </cell>
        </row>
        <row r="811">
          <cell r="W811">
            <v>-17.820852859999999</v>
          </cell>
          <cell r="X811">
            <v>31.015886949999999</v>
          </cell>
        </row>
        <row r="812">
          <cell r="W812">
            <v>10.822588059999999</v>
          </cell>
          <cell r="X812">
            <v>1.1413549999999999</v>
          </cell>
        </row>
        <row r="813">
          <cell r="W813">
            <v>11.5742086</v>
          </cell>
          <cell r="X813">
            <v>37.361353299999998</v>
          </cell>
        </row>
        <row r="814">
          <cell r="W814">
            <v>-25.572426270000001</v>
          </cell>
          <cell r="X814">
            <v>31.18108045</v>
          </cell>
        </row>
        <row r="815">
          <cell r="W815">
            <v>-26.050567699999998</v>
          </cell>
          <cell r="X815">
            <v>28.245038600000001</v>
          </cell>
        </row>
        <row r="816">
          <cell r="W816">
            <v>-26.050567699999998</v>
          </cell>
          <cell r="X816">
            <v>28.245038600000001</v>
          </cell>
        </row>
        <row r="817">
          <cell r="W817">
            <v>-15.345995</v>
          </cell>
          <cell r="X817">
            <v>35.300258329999998</v>
          </cell>
        </row>
        <row r="818">
          <cell r="W818">
            <v>-15.746446669999999</v>
          </cell>
          <cell r="X818">
            <v>34.995800000000003</v>
          </cell>
        </row>
        <row r="819">
          <cell r="W819">
            <v>-1.2840808610000001</v>
          </cell>
          <cell r="X819">
            <v>36.988955140000002</v>
          </cell>
        </row>
        <row r="820">
          <cell r="W820">
            <v>6.8744702499999999</v>
          </cell>
          <cell r="X820">
            <v>2.148099889</v>
          </cell>
        </row>
        <row r="821">
          <cell r="W821">
            <v>-29.768261670000001</v>
          </cell>
          <cell r="X821">
            <v>30.843125000000001</v>
          </cell>
        </row>
        <row r="822">
          <cell r="W822">
            <v>-29.771013329999999</v>
          </cell>
          <cell r="X822">
            <v>30.841275</v>
          </cell>
        </row>
        <row r="823">
          <cell r="W823">
            <v>-20.194604699999999</v>
          </cell>
          <cell r="X823">
            <v>28.6136284</v>
          </cell>
        </row>
        <row r="824">
          <cell r="W824">
            <v>-23.52222167</v>
          </cell>
          <cell r="X824">
            <v>31.395894999999999</v>
          </cell>
        </row>
        <row r="825">
          <cell r="W825">
            <v>-23.520959999999999</v>
          </cell>
          <cell r="X825">
            <v>31.395193330000001</v>
          </cell>
        </row>
        <row r="826">
          <cell r="W826">
            <v>-24.30907667</v>
          </cell>
          <cell r="X826">
            <v>28.121798330000001</v>
          </cell>
        </row>
        <row r="827">
          <cell r="W827">
            <v>-20.194604699999999</v>
          </cell>
          <cell r="X827">
            <v>28.6136284</v>
          </cell>
        </row>
        <row r="828">
          <cell r="W828">
            <v>-20.184534580000001</v>
          </cell>
          <cell r="X828">
            <v>28.603088</v>
          </cell>
        </row>
        <row r="829">
          <cell r="W829">
            <v>-29.917402299999999</v>
          </cell>
          <cell r="X829">
            <v>30.937253900000002</v>
          </cell>
        </row>
        <row r="830">
          <cell r="W830">
            <v>-3.377165083</v>
          </cell>
          <cell r="X830">
            <v>39.98862836</v>
          </cell>
        </row>
        <row r="831">
          <cell r="W831">
            <v>-29.913324710000001</v>
          </cell>
          <cell r="X831">
            <v>30.933539679999999</v>
          </cell>
        </row>
        <row r="832">
          <cell r="W832">
            <v>-20.209947379999999</v>
          </cell>
          <cell r="X832">
            <v>28.590183799999998</v>
          </cell>
        </row>
        <row r="833">
          <cell r="W833">
            <v>-17.807701529999999</v>
          </cell>
          <cell r="X833">
            <v>25.159022610000001</v>
          </cell>
        </row>
        <row r="834">
          <cell r="W834">
            <v>-25.72489436</v>
          </cell>
          <cell r="X834">
            <v>27.19690825</v>
          </cell>
        </row>
        <row r="835">
          <cell r="W835">
            <v>-29.752241389999998</v>
          </cell>
          <cell r="X835">
            <v>30.842356389999999</v>
          </cell>
        </row>
        <row r="836">
          <cell r="W836">
            <v>-15.22534608</v>
          </cell>
          <cell r="X836">
            <v>28.412493489999999</v>
          </cell>
        </row>
        <row r="837">
          <cell r="W837">
            <v>-15.22534608</v>
          </cell>
          <cell r="X837">
            <v>28.412493489999999</v>
          </cell>
        </row>
        <row r="838">
          <cell r="W838">
            <v>-15.36985702</v>
          </cell>
          <cell r="X838">
            <v>28.315754519999999</v>
          </cell>
        </row>
        <row r="839">
          <cell r="W839">
            <v>-30.4921501</v>
          </cell>
          <cell r="X839">
            <v>30.632623819999999</v>
          </cell>
        </row>
        <row r="840">
          <cell r="W840">
            <v>-23.907996000000001</v>
          </cell>
          <cell r="X840">
            <v>28.276302000000001</v>
          </cell>
        </row>
        <row r="841">
          <cell r="W841">
            <v>-22.885290609999998</v>
          </cell>
          <cell r="X841">
            <v>44.692787709999998</v>
          </cell>
        </row>
        <row r="842">
          <cell r="W842">
            <v>-28.959670370000001</v>
          </cell>
          <cell r="X842">
            <v>31.750077569999998</v>
          </cell>
        </row>
        <row r="843">
          <cell r="W843">
            <v>-2.0789777659999999</v>
          </cell>
          <cell r="X843">
            <v>9.4402598490000003</v>
          </cell>
        </row>
        <row r="844">
          <cell r="W844">
            <v>-28.959670370000001</v>
          </cell>
          <cell r="X844">
            <v>31.750077569999998</v>
          </cell>
        </row>
        <row r="846">
          <cell r="W846">
            <v>-25.744077319999999</v>
          </cell>
          <cell r="X846">
            <v>28.288353910000001</v>
          </cell>
        </row>
        <row r="847">
          <cell r="W847">
            <v>-3.3610500000000001</v>
          </cell>
          <cell r="X847">
            <v>36.715538330000001</v>
          </cell>
        </row>
        <row r="848">
          <cell r="W848">
            <v>-12.80049167</v>
          </cell>
          <cell r="X848">
            <v>34.189011669999999</v>
          </cell>
        </row>
        <row r="849">
          <cell r="W849">
            <v>-3.3782716399999999</v>
          </cell>
          <cell r="X849">
            <v>39.98891003</v>
          </cell>
        </row>
        <row r="850">
          <cell r="W850">
            <v>-26.0585816</v>
          </cell>
          <cell r="X850">
            <v>27.975387999999999</v>
          </cell>
        </row>
        <row r="851">
          <cell r="W851">
            <v>-29.84552394</v>
          </cell>
          <cell r="X851">
            <v>31.007049070000001</v>
          </cell>
        </row>
        <row r="852">
          <cell r="W852">
            <v>-31.062416580000001</v>
          </cell>
          <cell r="X852">
            <v>30.173555539999999</v>
          </cell>
        </row>
        <row r="853">
          <cell r="W853">
            <v>-29.831835000000002</v>
          </cell>
          <cell r="X853">
            <v>30.918131670000001</v>
          </cell>
        </row>
        <row r="854">
          <cell r="W854">
            <v>-29.457134960000001</v>
          </cell>
          <cell r="X854">
            <v>30.344733040000001</v>
          </cell>
        </row>
        <row r="855">
          <cell r="W855">
            <v>-1.215083202</v>
          </cell>
          <cell r="X855">
            <v>36.648259160000002</v>
          </cell>
        </row>
        <row r="856">
          <cell r="W856">
            <v>-33.962656750000001</v>
          </cell>
          <cell r="X856">
            <v>22.086049259999999</v>
          </cell>
        </row>
        <row r="857">
          <cell r="W857">
            <v>-29.51124703</v>
          </cell>
          <cell r="X857">
            <v>30.339071700000002</v>
          </cell>
        </row>
        <row r="858">
          <cell r="W858">
            <v>-29.831871029999999</v>
          </cell>
          <cell r="X858">
            <v>30.917970660000002</v>
          </cell>
        </row>
        <row r="859">
          <cell r="W859">
            <v>-24.51733333</v>
          </cell>
          <cell r="X859">
            <v>31.164008330000001</v>
          </cell>
        </row>
        <row r="860">
          <cell r="W860">
            <v>-33.52083571</v>
          </cell>
          <cell r="X860">
            <v>26.248017740000002</v>
          </cell>
        </row>
        <row r="861">
          <cell r="W861">
            <v>-29.630753429999999</v>
          </cell>
          <cell r="X861">
            <v>30.99172823</v>
          </cell>
        </row>
        <row r="862">
          <cell r="W862">
            <v>-10.58583</v>
          </cell>
          <cell r="X862">
            <v>34.133861170000003</v>
          </cell>
        </row>
        <row r="863">
          <cell r="W863">
            <v>-26.0585816</v>
          </cell>
          <cell r="X863">
            <v>27.975387999999999</v>
          </cell>
        </row>
        <row r="864">
          <cell r="W864">
            <v>-1.798209924</v>
          </cell>
          <cell r="X864">
            <v>13.01852502</v>
          </cell>
        </row>
        <row r="865">
          <cell r="W865">
            <v>-20.228011970000001</v>
          </cell>
          <cell r="X865">
            <v>28.636640849999999</v>
          </cell>
        </row>
        <row r="866">
          <cell r="W866">
            <v>-1.2632471000000001</v>
          </cell>
          <cell r="X866">
            <v>36.785148599999999</v>
          </cell>
        </row>
        <row r="867">
          <cell r="W867">
            <v>-15.36985702</v>
          </cell>
          <cell r="X867">
            <v>28.315754519999999</v>
          </cell>
        </row>
        <row r="868">
          <cell r="W868">
            <v>-33.98886547</v>
          </cell>
          <cell r="X868">
            <v>18.429727620000001</v>
          </cell>
        </row>
        <row r="869">
          <cell r="W869">
            <v>-20.639586649999998</v>
          </cell>
          <cell r="X869">
            <v>32.023894230000003</v>
          </cell>
        </row>
        <row r="870">
          <cell r="W870">
            <v>-30.688038079999998</v>
          </cell>
          <cell r="X870">
            <v>30.488514739999999</v>
          </cell>
        </row>
        <row r="871">
          <cell r="W871">
            <v>-25.92971039</v>
          </cell>
          <cell r="X871">
            <v>27.537133409999999</v>
          </cell>
        </row>
        <row r="872">
          <cell r="W872">
            <v>-27.968900000000001</v>
          </cell>
          <cell r="X872">
            <v>32.4482</v>
          </cell>
        </row>
        <row r="873">
          <cell r="W873">
            <v>-15.537877780000001</v>
          </cell>
          <cell r="X873">
            <v>28.3351428</v>
          </cell>
        </row>
        <row r="874">
          <cell r="W874">
            <v>-18.801046670000002</v>
          </cell>
          <cell r="X874">
            <v>22.652470000000001</v>
          </cell>
        </row>
        <row r="875">
          <cell r="W875">
            <v>-4.7446409999999997</v>
          </cell>
          <cell r="X875">
            <v>38.284475999999998</v>
          </cell>
        </row>
        <row r="876">
          <cell r="W876">
            <v>-25.846473</v>
          </cell>
          <cell r="X876">
            <v>27.39140497</v>
          </cell>
        </row>
        <row r="877">
          <cell r="W877">
            <v>-25.572415759999998</v>
          </cell>
          <cell r="X877">
            <v>28.574102140000001</v>
          </cell>
        </row>
        <row r="878">
          <cell r="W878">
            <v>-25.732863559999998</v>
          </cell>
          <cell r="X878">
            <v>28.023298449999999</v>
          </cell>
        </row>
        <row r="879">
          <cell r="W879">
            <v>6.852145481</v>
          </cell>
          <cell r="X879">
            <v>0.41906454799999998</v>
          </cell>
        </row>
        <row r="880">
          <cell r="W880">
            <v>-25.161080590000001</v>
          </cell>
          <cell r="X880">
            <v>27.787454499999999</v>
          </cell>
        </row>
        <row r="881">
          <cell r="W881">
            <v>6.8508810750000002</v>
          </cell>
          <cell r="X881">
            <v>0.42009697000000001</v>
          </cell>
        </row>
        <row r="882">
          <cell r="W882">
            <v>-24.31845856</v>
          </cell>
          <cell r="X882">
            <v>30.759256359999998</v>
          </cell>
        </row>
        <row r="883">
          <cell r="W883">
            <v>-1.2250978079999999</v>
          </cell>
          <cell r="X883">
            <v>36.801394629999997</v>
          </cell>
        </row>
        <row r="884">
          <cell r="W884">
            <v>-15.36985702</v>
          </cell>
          <cell r="X884">
            <v>28.315754519999999</v>
          </cell>
        </row>
        <row r="885">
          <cell r="W885">
            <v>6.853391115</v>
          </cell>
          <cell r="X885">
            <v>0.41917580199999999</v>
          </cell>
        </row>
        <row r="886">
          <cell r="W886">
            <v>-24.920036</v>
          </cell>
          <cell r="X886">
            <v>27.6322507</v>
          </cell>
        </row>
        <row r="887">
          <cell r="W887">
            <v>-29.04868506</v>
          </cell>
          <cell r="X887">
            <v>29.40635108</v>
          </cell>
        </row>
        <row r="888">
          <cell r="W888">
            <v>6.840796997</v>
          </cell>
          <cell r="X888">
            <v>0.43794243199999999</v>
          </cell>
        </row>
        <row r="889">
          <cell r="W889">
            <v>-32.605402779999999</v>
          </cell>
          <cell r="X889">
            <v>26.961925000000001</v>
          </cell>
        </row>
        <row r="890">
          <cell r="W890">
            <v>-4.7445690000000003</v>
          </cell>
          <cell r="X890">
            <v>38.284807999999998</v>
          </cell>
        </row>
        <row r="891">
          <cell r="W891">
            <v>-5.6759329999999997</v>
          </cell>
          <cell r="X891">
            <v>38.89227382</v>
          </cell>
        </row>
        <row r="892">
          <cell r="W892">
            <v>-32.763333330000002</v>
          </cell>
          <cell r="X892">
            <v>28.24583333</v>
          </cell>
        </row>
        <row r="893">
          <cell r="W893">
            <v>-1.1299283689999999</v>
          </cell>
          <cell r="X893">
            <v>35.19338467</v>
          </cell>
        </row>
        <row r="894">
          <cell r="W894">
            <v>16.061951000000001</v>
          </cell>
          <cell r="X894">
            <v>-16.454944000000001</v>
          </cell>
        </row>
        <row r="895">
          <cell r="W895">
            <v>-3.3654323000000002</v>
          </cell>
          <cell r="X895">
            <v>36.703727399999998</v>
          </cell>
        </row>
        <row r="896">
          <cell r="W896">
            <v>-3.40032362</v>
          </cell>
          <cell r="X896">
            <v>36.878433639999997</v>
          </cell>
        </row>
        <row r="897">
          <cell r="W897">
            <v>5.1798419999999998</v>
          </cell>
          <cell r="X897">
            <v>-1.309392965</v>
          </cell>
        </row>
        <row r="898">
          <cell r="W898">
            <v>5.3491215749999999</v>
          </cell>
          <cell r="X898">
            <v>-1.383809678</v>
          </cell>
        </row>
        <row r="899">
          <cell r="W899">
            <v>13.460836390000001</v>
          </cell>
          <cell r="X899">
            <v>-16.707884719999999</v>
          </cell>
        </row>
        <row r="900">
          <cell r="W900">
            <v>-33.984179060000002</v>
          </cell>
          <cell r="X900">
            <v>22.609283000000001</v>
          </cell>
        </row>
        <row r="901">
          <cell r="W901">
            <v>-29.822893400000002</v>
          </cell>
          <cell r="X901">
            <v>31.01901814</v>
          </cell>
        </row>
        <row r="902">
          <cell r="W902">
            <v>-24.55716395</v>
          </cell>
          <cell r="X902">
            <v>25.963788610000002</v>
          </cell>
        </row>
        <row r="903">
          <cell r="W903">
            <v>5.5588682739999999</v>
          </cell>
          <cell r="X903">
            <v>-0.29696077100000001</v>
          </cell>
        </row>
        <row r="904">
          <cell r="W904">
            <v>-25.4958946</v>
          </cell>
          <cell r="X904">
            <v>30.948908400000001</v>
          </cell>
        </row>
        <row r="905">
          <cell r="W905">
            <v>-0.228405</v>
          </cell>
          <cell r="X905">
            <v>37.099430499999997</v>
          </cell>
        </row>
        <row r="906">
          <cell r="W906">
            <v>-30.972483010000001</v>
          </cell>
          <cell r="X906">
            <v>30.28097739</v>
          </cell>
        </row>
        <row r="907">
          <cell r="W907">
            <v>0.41500041999999998</v>
          </cell>
          <cell r="X907">
            <v>32.805970440000003</v>
          </cell>
        </row>
        <row r="908">
          <cell r="W908">
            <v>-25.864464259999998</v>
          </cell>
          <cell r="X908">
            <v>29.237463099999999</v>
          </cell>
        </row>
        <row r="909">
          <cell r="W909">
            <v>-23.831528479999999</v>
          </cell>
          <cell r="X909">
            <v>27.953765199999999</v>
          </cell>
        </row>
        <row r="910">
          <cell r="W910">
            <v>-10.585808330000001</v>
          </cell>
          <cell r="X910">
            <v>34.133869500000003</v>
          </cell>
        </row>
        <row r="911">
          <cell r="W911">
            <v>-25.49491184</v>
          </cell>
          <cell r="X911">
            <v>30.962773370000001</v>
          </cell>
        </row>
        <row r="912">
          <cell r="W912">
            <v>-26.0585816</v>
          </cell>
          <cell r="X912">
            <v>27.975387999999999</v>
          </cell>
        </row>
        <row r="913">
          <cell r="W913">
            <v>-25.79744492</v>
          </cell>
          <cell r="X913">
            <v>28.298322670000001</v>
          </cell>
        </row>
        <row r="914">
          <cell r="W914">
            <v>0.35288839500000002</v>
          </cell>
          <cell r="X914">
            <v>34.863991800000001</v>
          </cell>
        </row>
        <row r="915">
          <cell r="W915">
            <v>1.0942254769999999</v>
          </cell>
          <cell r="X915">
            <v>35.118182609999998</v>
          </cell>
        </row>
        <row r="916">
          <cell r="W916">
            <v>-22.57264047</v>
          </cell>
          <cell r="X916">
            <v>17.128385990000002</v>
          </cell>
        </row>
        <row r="917">
          <cell r="W917">
            <v>5.5344154999999997</v>
          </cell>
          <cell r="X917">
            <v>-0.42527369999999998</v>
          </cell>
        </row>
        <row r="918">
          <cell r="W918">
            <v>-18.003957310000001</v>
          </cell>
          <cell r="X918">
            <v>31.879240679999999</v>
          </cell>
        </row>
        <row r="919">
          <cell r="W919">
            <v>-25.79744492</v>
          </cell>
          <cell r="X919">
            <v>28.298322670000001</v>
          </cell>
        </row>
        <row r="920">
          <cell r="W920">
            <v>-22.050592590000001</v>
          </cell>
          <cell r="X920">
            <v>17.36542021</v>
          </cell>
        </row>
        <row r="921">
          <cell r="W921">
            <v>-24.801777779999998</v>
          </cell>
          <cell r="X921">
            <v>47.163600000000002</v>
          </cell>
        </row>
        <row r="922">
          <cell r="W922">
            <v>-29.485327909999999</v>
          </cell>
          <cell r="X922">
            <v>31.234259269999999</v>
          </cell>
        </row>
        <row r="923">
          <cell r="W923">
            <v>7.4955611109999998</v>
          </cell>
          <cell r="X923">
            <v>5.248208333</v>
          </cell>
        </row>
        <row r="924">
          <cell r="W924">
            <v>-24.802286110000001</v>
          </cell>
          <cell r="X924">
            <v>47.16369444</v>
          </cell>
        </row>
        <row r="925">
          <cell r="W925">
            <v>-25.259198349999998</v>
          </cell>
          <cell r="X925">
            <v>27.081393340000002</v>
          </cell>
        </row>
        <row r="926">
          <cell r="W926">
            <v>12.61036279</v>
          </cell>
          <cell r="X926">
            <v>53.401652859999999</v>
          </cell>
        </row>
        <row r="927">
          <cell r="W927">
            <v>-33.962656750000001</v>
          </cell>
          <cell r="X927">
            <v>22.086049259999999</v>
          </cell>
        </row>
        <row r="928">
          <cell r="W928">
            <v>-29.7117504</v>
          </cell>
          <cell r="X928">
            <v>31.09308064</v>
          </cell>
        </row>
        <row r="929">
          <cell r="W929">
            <v>-4.3194876200000003</v>
          </cell>
          <cell r="X929">
            <v>15.2679163</v>
          </cell>
        </row>
        <row r="930">
          <cell r="W930">
            <v>-5.0926185449999997</v>
          </cell>
          <cell r="X930">
            <v>38.638969500000002</v>
          </cell>
        </row>
        <row r="931">
          <cell r="W931">
            <v>-22.609917450000001</v>
          </cell>
          <cell r="X931">
            <v>17.085494959999998</v>
          </cell>
        </row>
        <row r="932">
          <cell r="W932">
            <v>-23.908537240000001</v>
          </cell>
          <cell r="X932">
            <v>28.276353310000001</v>
          </cell>
        </row>
        <row r="933">
          <cell r="W933">
            <v>-22.882974999999998</v>
          </cell>
          <cell r="X933">
            <v>44.694786110000003</v>
          </cell>
        </row>
        <row r="934">
          <cell r="W934">
            <v>-25.79744492</v>
          </cell>
          <cell r="X934">
            <v>28.298322670000001</v>
          </cell>
        </row>
        <row r="935">
          <cell r="W935">
            <v>-25.79744492</v>
          </cell>
          <cell r="X935">
            <v>28.298322670000001</v>
          </cell>
        </row>
        <row r="936">
          <cell r="W936">
            <v>-19.105322210000001</v>
          </cell>
          <cell r="X936">
            <v>32.750936449999998</v>
          </cell>
        </row>
        <row r="937">
          <cell r="W937">
            <v>-26.05833054</v>
          </cell>
          <cell r="X937">
            <v>28.240064619999998</v>
          </cell>
        </row>
        <row r="938">
          <cell r="W938">
            <v>-25.72015167</v>
          </cell>
          <cell r="X938">
            <v>27.168606669999999</v>
          </cell>
        </row>
        <row r="939">
          <cell r="W939">
            <v>13.420802950000001</v>
          </cell>
          <cell r="X939">
            <v>-16.736829019999998</v>
          </cell>
        </row>
        <row r="940">
          <cell r="W940">
            <v>-25.74915742</v>
          </cell>
          <cell r="X940">
            <v>28.100163429999998</v>
          </cell>
        </row>
        <row r="941">
          <cell r="W941">
            <v>-17.837537189999999</v>
          </cell>
          <cell r="X941">
            <v>31.088837120000001</v>
          </cell>
        </row>
        <row r="942">
          <cell r="W942">
            <v>-28.383296340000001</v>
          </cell>
          <cell r="X942">
            <v>32.411597819999997</v>
          </cell>
        </row>
        <row r="943">
          <cell r="W943">
            <v>-33.970266279999997</v>
          </cell>
          <cell r="X943">
            <v>18.449469140000001</v>
          </cell>
        </row>
        <row r="944">
          <cell r="W944">
            <v>-1.93234646</v>
          </cell>
          <cell r="X944">
            <v>30.05130278</v>
          </cell>
        </row>
        <row r="945">
          <cell r="W945">
            <v>0.29359039100000001</v>
          </cell>
          <cell r="X945">
            <v>36.90001883</v>
          </cell>
        </row>
        <row r="946">
          <cell r="W946">
            <v>0.29236600000000001</v>
          </cell>
          <cell r="X946">
            <v>36.898460399999998</v>
          </cell>
        </row>
        <row r="947">
          <cell r="W947">
            <v>-25.775581320000001</v>
          </cell>
          <cell r="X947">
            <v>28.33106304</v>
          </cell>
        </row>
        <row r="948">
          <cell r="W948">
            <v>0.29236600000000001</v>
          </cell>
          <cell r="X948">
            <v>36.898460399999998</v>
          </cell>
        </row>
        <row r="949">
          <cell r="W949">
            <v>-20.20008245</v>
          </cell>
          <cell r="X949">
            <v>28.619178430000002</v>
          </cell>
        </row>
        <row r="950">
          <cell r="W950">
            <v>-19.105414</v>
          </cell>
          <cell r="X950">
            <v>32.752172690000002</v>
          </cell>
        </row>
        <row r="951">
          <cell r="W951">
            <v>-19.105468810000001</v>
          </cell>
          <cell r="X951">
            <v>32.752312719999999</v>
          </cell>
        </row>
        <row r="952">
          <cell r="W952">
            <v>-7.4113833000000004E-2</v>
          </cell>
          <cell r="X952">
            <v>30.037875</v>
          </cell>
        </row>
        <row r="953">
          <cell r="W953">
            <v>5.4243449999999998</v>
          </cell>
          <cell r="X953">
            <v>10.431786669999999</v>
          </cell>
        </row>
        <row r="954">
          <cell r="W954">
            <v>-1.3531239719999999</v>
          </cell>
          <cell r="X954">
            <v>36.750238000000003</v>
          </cell>
        </row>
        <row r="955">
          <cell r="W955">
            <v>-1.312485774</v>
          </cell>
          <cell r="X955">
            <v>35.037188059999998</v>
          </cell>
        </row>
        <row r="956">
          <cell r="W956">
            <v>-8.9300484000000004</v>
          </cell>
          <cell r="X956">
            <v>27.20645472</v>
          </cell>
        </row>
        <row r="957">
          <cell r="W957">
            <v>-1.5061416670000001</v>
          </cell>
          <cell r="X957">
            <v>30.680083329999999</v>
          </cell>
        </row>
        <row r="958">
          <cell r="W958">
            <v>-28.883762999999998</v>
          </cell>
          <cell r="X958">
            <v>31.458362999999999</v>
          </cell>
        </row>
        <row r="959">
          <cell r="W959">
            <v>0.31928015199999998</v>
          </cell>
          <cell r="X959">
            <v>32.660975219999997</v>
          </cell>
        </row>
        <row r="960">
          <cell r="W960">
            <v>-28.258880399999999</v>
          </cell>
          <cell r="X960">
            <v>32.4740617</v>
          </cell>
        </row>
        <row r="961">
          <cell r="W961">
            <v>-28.00536228</v>
          </cell>
          <cell r="X961">
            <v>31.20588485</v>
          </cell>
        </row>
        <row r="962">
          <cell r="W962">
            <v>-29.718347219999998</v>
          </cell>
          <cell r="X962">
            <v>31.049483330000001</v>
          </cell>
        </row>
        <row r="963">
          <cell r="W963">
            <v>12.468038330000001</v>
          </cell>
          <cell r="X963">
            <v>-16.647731669999999</v>
          </cell>
        </row>
        <row r="964">
          <cell r="W964">
            <v>-1.5924878220000001</v>
          </cell>
          <cell r="X964">
            <v>35.390482689999999</v>
          </cell>
        </row>
        <row r="965">
          <cell r="W965">
            <v>0.51826746300000004</v>
          </cell>
          <cell r="X965">
            <v>32.626443100000003</v>
          </cell>
        </row>
        <row r="966">
          <cell r="W966">
            <v>0.23165142499999999</v>
          </cell>
          <cell r="X966">
            <v>32.562423989999999</v>
          </cell>
        </row>
        <row r="967">
          <cell r="W967">
            <v>0.231458307</v>
          </cell>
          <cell r="X967">
            <v>32.562187960000003</v>
          </cell>
        </row>
        <row r="968">
          <cell r="W968">
            <v>-26.573631200000001</v>
          </cell>
          <cell r="X968">
            <v>27.105008300000001</v>
          </cell>
        </row>
        <row r="969">
          <cell r="W969">
            <v>-1.9499200000000001</v>
          </cell>
          <cell r="X969">
            <v>30.082789999999999</v>
          </cell>
        </row>
        <row r="970">
          <cell r="W970">
            <v>9.2914480810000004</v>
          </cell>
          <cell r="X970">
            <v>-1.7785022939999999</v>
          </cell>
        </row>
        <row r="971">
          <cell r="W971">
            <v>-26.691046910000001</v>
          </cell>
          <cell r="X971">
            <v>27.104151860000002</v>
          </cell>
        </row>
        <row r="972">
          <cell r="W972">
            <v>-29.824340329999998</v>
          </cell>
          <cell r="X972">
            <v>30.925882139999999</v>
          </cell>
        </row>
        <row r="973">
          <cell r="W973">
            <v>-27.524278630000001</v>
          </cell>
          <cell r="X973">
            <v>17.814786689999998</v>
          </cell>
        </row>
        <row r="974">
          <cell r="W974">
            <v>-33.988864339999999</v>
          </cell>
          <cell r="X974">
            <v>18.429634929999999</v>
          </cell>
        </row>
        <row r="975">
          <cell r="W975">
            <v>-25.651339799999999</v>
          </cell>
          <cell r="X975">
            <v>28.094710599999999</v>
          </cell>
        </row>
        <row r="977">
          <cell r="W977">
            <v>-1.239021267</v>
          </cell>
          <cell r="X977">
            <v>36.798782070000001</v>
          </cell>
        </row>
        <row r="978">
          <cell r="W978">
            <v>6.6409804000000003E-2</v>
          </cell>
          <cell r="X978">
            <v>32.476288009999998</v>
          </cell>
        </row>
        <row r="979">
          <cell r="W979">
            <v>-25.708465499999999</v>
          </cell>
          <cell r="X979">
            <v>28.294205699999999</v>
          </cell>
        </row>
        <row r="980">
          <cell r="W980">
            <v>-32.1584699</v>
          </cell>
          <cell r="X980">
            <v>25.626634410000001</v>
          </cell>
        </row>
        <row r="981">
          <cell r="W981">
            <v>-25.455787409999999</v>
          </cell>
          <cell r="X981">
            <v>29.43125152</v>
          </cell>
        </row>
        <row r="982">
          <cell r="W982">
            <v>-12.918843000000001</v>
          </cell>
          <cell r="X982">
            <v>45.083652000000001</v>
          </cell>
        </row>
        <row r="983">
          <cell r="W983">
            <v>-19.733594</v>
          </cell>
          <cell r="X983">
            <v>33.337716</v>
          </cell>
        </row>
        <row r="984">
          <cell r="W984">
            <v>-26.132953100000002</v>
          </cell>
          <cell r="X984">
            <v>27.983066600000001</v>
          </cell>
        </row>
        <row r="985">
          <cell r="W985">
            <v>-25.806763889999999</v>
          </cell>
          <cell r="X985">
            <v>28.014111110000002</v>
          </cell>
        </row>
        <row r="986">
          <cell r="W986">
            <v>-25.855401390000001</v>
          </cell>
          <cell r="X986">
            <v>28.16710878</v>
          </cell>
        </row>
        <row r="987">
          <cell r="W987">
            <v>-25.740006609999998</v>
          </cell>
          <cell r="X987">
            <v>28.2864325</v>
          </cell>
        </row>
        <row r="988">
          <cell r="W988">
            <v>-0.40750409999999998</v>
          </cell>
          <cell r="X988">
            <v>31.1567203</v>
          </cell>
        </row>
        <row r="989">
          <cell r="W989">
            <v>-29.77651603</v>
          </cell>
          <cell r="X989">
            <v>30.835816869999999</v>
          </cell>
        </row>
        <row r="990">
          <cell r="W990">
            <v>-6.8881138890000004</v>
          </cell>
          <cell r="X990">
            <v>37.671163890000003</v>
          </cell>
        </row>
        <row r="991">
          <cell r="W991">
            <v>-25.904699999999998</v>
          </cell>
          <cell r="X991">
            <v>28.310199999999998</v>
          </cell>
        </row>
        <row r="992">
          <cell r="W992">
            <v>-26.682494999999999</v>
          </cell>
          <cell r="X992">
            <v>27.09556667</v>
          </cell>
        </row>
        <row r="993">
          <cell r="W993">
            <v>-30.389541349999998</v>
          </cell>
          <cell r="X993">
            <v>30.681554479999999</v>
          </cell>
        </row>
        <row r="994">
          <cell r="W994">
            <v>-29.801284930000001</v>
          </cell>
          <cell r="X994">
            <v>30.853398250000001</v>
          </cell>
        </row>
        <row r="995">
          <cell r="W995">
            <v>4.8161067810000002</v>
          </cell>
          <cell r="X995">
            <v>6.9451811819999998</v>
          </cell>
        </row>
        <row r="996">
          <cell r="W996">
            <v>-29.84356369</v>
          </cell>
          <cell r="X996">
            <v>30.995394730000001</v>
          </cell>
        </row>
        <row r="997">
          <cell r="W997">
            <v>3.4000533329999998</v>
          </cell>
          <cell r="X997">
            <v>11.467955</v>
          </cell>
        </row>
        <row r="998">
          <cell r="W998">
            <v>-30.238650249999999</v>
          </cell>
          <cell r="X998">
            <v>30.764119999999998</v>
          </cell>
        </row>
        <row r="999">
          <cell r="W999">
            <v>-20.58487701</v>
          </cell>
          <cell r="X999">
            <v>28.600761859999999</v>
          </cell>
        </row>
        <row r="1000">
          <cell r="W1000">
            <v>-29.757011670000001</v>
          </cell>
          <cell r="X1000">
            <v>31.061379169999999</v>
          </cell>
        </row>
        <row r="1001">
          <cell r="W1001">
            <v>-30.227664109999999</v>
          </cell>
          <cell r="X1001">
            <v>30.76947603</v>
          </cell>
        </row>
        <row r="1002">
          <cell r="W1002">
            <v>-30.227664109999999</v>
          </cell>
          <cell r="X1002">
            <v>30.76947603</v>
          </cell>
        </row>
        <row r="1003">
          <cell r="W1003">
            <v>-29.92676616</v>
          </cell>
          <cell r="X1003">
            <v>31.01135429</v>
          </cell>
        </row>
        <row r="1004">
          <cell r="W1004">
            <v>-29.658217199999999</v>
          </cell>
          <cell r="X1004">
            <v>31.046948199999999</v>
          </cell>
        </row>
        <row r="1005">
          <cell r="W1005">
            <v>-29.012441859999999</v>
          </cell>
          <cell r="X1005">
            <v>30.41326175</v>
          </cell>
        </row>
        <row r="1006">
          <cell r="W1006">
            <v>-30.242266669999999</v>
          </cell>
          <cell r="X1006">
            <v>30.770454999999998</v>
          </cell>
        </row>
        <row r="1007">
          <cell r="W1007">
            <v>-20.535348599999999</v>
          </cell>
          <cell r="X1007">
            <v>28.474802969999999</v>
          </cell>
        </row>
        <row r="1008">
          <cell r="W1008">
            <v>-34.000488820000001</v>
          </cell>
          <cell r="X1008">
            <v>18.433640839999999</v>
          </cell>
        </row>
        <row r="1009">
          <cell r="W1009">
            <v>-19.944154999999999</v>
          </cell>
          <cell r="X1009">
            <v>23.490580000000001</v>
          </cell>
        </row>
        <row r="1010">
          <cell r="W1010">
            <v>-25.091630179999999</v>
          </cell>
          <cell r="X1010">
            <v>30.773986839999999</v>
          </cell>
        </row>
        <row r="1011">
          <cell r="W1011">
            <v>-25.910705</v>
          </cell>
          <cell r="X1011">
            <v>28.447900000000001</v>
          </cell>
        </row>
        <row r="1012">
          <cell r="W1012">
            <v>-20.149874000000001</v>
          </cell>
          <cell r="X1012">
            <v>28.623838240000001</v>
          </cell>
        </row>
        <row r="1013">
          <cell r="W1013">
            <v>-29.864944560000001</v>
          </cell>
          <cell r="X1013">
            <v>30.987780600000001</v>
          </cell>
        </row>
        <row r="1014">
          <cell r="W1014">
            <v>-29.913632</v>
          </cell>
          <cell r="X1014">
            <v>30.938427000000001</v>
          </cell>
        </row>
        <row r="1015">
          <cell r="W1015">
            <v>-25.83023</v>
          </cell>
          <cell r="X1015">
            <v>28.25023667</v>
          </cell>
        </row>
        <row r="1016">
          <cell r="W1016">
            <v>-29.658190999999999</v>
          </cell>
          <cell r="X1016">
            <v>31.0471124</v>
          </cell>
        </row>
        <row r="1017">
          <cell r="W1017">
            <v>-11.39653188</v>
          </cell>
          <cell r="X1017">
            <v>34.006716300000001</v>
          </cell>
        </row>
        <row r="1018">
          <cell r="W1018">
            <v>-30.63914587</v>
          </cell>
          <cell r="X1018">
            <v>30.529820319999999</v>
          </cell>
        </row>
        <row r="1019">
          <cell r="W1019">
            <v>-7.8345435119999998</v>
          </cell>
          <cell r="X1019">
            <v>36.889018380000003</v>
          </cell>
        </row>
        <row r="1020">
          <cell r="W1020">
            <v>-27.771012079999998</v>
          </cell>
          <cell r="X1020">
            <v>32.053467820000002</v>
          </cell>
        </row>
        <row r="1021">
          <cell r="W1021">
            <v>-29.911392509999999</v>
          </cell>
          <cell r="X1021">
            <v>30.931807620000001</v>
          </cell>
        </row>
        <row r="1022">
          <cell r="W1022">
            <v>-29.900635000000001</v>
          </cell>
          <cell r="X1022">
            <v>30.971868000000001</v>
          </cell>
        </row>
        <row r="1023">
          <cell r="W1023">
            <v>-29.770862080000001</v>
          </cell>
          <cell r="X1023">
            <v>30.851424890000001</v>
          </cell>
        </row>
        <row r="1024">
          <cell r="W1024">
            <v>-29.769834889999998</v>
          </cell>
          <cell r="X1024">
            <v>31.04669809</v>
          </cell>
        </row>
        <row r="1025">
          <cell r="W1025">
            <v>-33.988831580000003</v>
          </cell>
          <cell r="X1025">
            <v>18.429645820000001</v>
          </cell>
        </row>
        <row r="1026">
          <cell r="W1026">
            <v>-30.611225000000001</v>
          </cell>
          <cell r="X1026">
            <v>22.47118</v>
          </cell>
        </row>
        <row r="1027">
          <cell r="W1027">
            <v>-29.807846900000001</v>
          </cell>
          <cell r="X1027">
            <v>31.038375599999998</v>
          </cell>
        </row>
        <row r="1028">
          <cell r="W1028">
            <v>-25.661957019999999</v>
          </cell>
          <cell r="X1028">
            <v>27.945741640000001</v>
          </cell>
        </row>
        <row r="1029">
          <cell r="W1029">
            <v>-18.11757222</v>
          </cell>
          <cell r="X1029">
            <v>47.194511110000001</v>
          </cell>
        </row>
        <row r="1030">
          <cell r="W1030">
            <v>-29.783200000000001</v>
          </cell>
          <cell r="X1030">
            <v>30.722678330000001</v>
          </cell>
        </row>
        <row r="1031">
          <cell r="W1031">
            <v>-19.709193750000001</v>
          </cell>
          <cell r="X1031">
            <v>29.32129364</v>
          </cell>
        </row>
        <row r="1032">
          <cell r="W1032">
            <v>-1.093321972</v>
          </cell>
          <cell r="X1032">
            <v>35.857056</v>
          </cell>
        </row>
        <row r="1033">
          <cell r="W1033">
            <v>-24.7031934</v>
          </cell>
          <cell r="X1033">
            <v>28.3870778</v>
          </cell>
        </row>
        <row r="1034">
          <cell r="W1034">
            <v>-17.930305480000001</v>
          </cell>
          <cell r="X1034">
            <v>25.842185969999999</v>
          </cell>
        </row>
        <row r="1035">
          <cell r="W1035">
            <v>-16.31159894</v>
          </cell>
          <cell r="X1035">
            <v>46.814673800000001</v>
          </cell>
        </row>
        <row r="1036">
          <cell r="W1036">
            <v>-16.311826020000002</v>
          </cell>
          <cell r="X1036">
            <v>46.8134218</v>
          </cell>
        </row>
        <row r="1037">
          <cell r="W1037">
            <v>-6.1303890000000001</v>
          </cell>
          <cell r="X1037">
            <v>35.954771000000001</v>
          </cell>
        </row>
        <row r="1038">
          <cell r="W1038">
            <v>-15.71865919</v>
          </cell>
          <cell r="X1038">
            <v>34.985025829999998</v>
          </cell>
        </row>
        <row r="1039">
          <cell r="W1039">
            <v>-28.28471059</v>
          </cell>
          <cell r="X1039">
            <v>31.982556540000001</v>
          </cell>
        </row>
        <row r="1040">
          <cell r="W1040">
            <v>-29.091069999999998</v>
          </cell>
          <cell r="X1040">
            <v>31.631482999999999</v>
          </cell>
        </row>
        <row r="1041">
          <cell r="W1041">
            <v>-30.274979559999998</v>
          </cell>
          <cell r="X1041">
            <v>30.737250329999998</v>
          </cell>
        </row>
        <row r="1042">
          <cell r="W1042">
            <v>-33.946018619999997</v>
          </cell>
          <cell r="X1042">
            <v>22.064809029999999</v>
          </cell>
        </row>
        <row r="1043">
          <cell r="W1043">
            <v>-30.274979559999998</v>
          </cell>
          <cell r="X1043">
            <v>30.737250329999998</v>
          </cell>
        </row>
        <row r="1044">
          <cell r="W1044">
            <v>-1.2744018109999999</v>
          </cell>
          <cell r="X1044">
            <v>36.81454523</v>
          </cell>
        </row>
        <row r="1045">
          <cell r="W1045">
            <v>-28.23001695</v>
          </cell>
          <cell r="X1045">
            <v>31.845050350000001</v>
          </cell>
        </row>
        <row r="1046">
          <cell r="W1046">
            <v>-28.383751069999999</v>
          </cell>
          <cell r="X1046">
            <v>32.412658380000003</v>
          </cell>
        </row>
        <row r="1047">
          <cell r="W1047">
            <v>-28.250343640000001</v>
          </cell>
          <cell r="X1047">
            <v>32.409177229999997</v>
          </cell>
        </row>
        <row r="1048">
          <cell r="W1048">
            <v>6.9180900000000003</v>
          </cell>
          <cell r="X1048">
            <v>2.401535</v>
          </cell>
        </row>
        <row r="1049">
          <cell r="W1049">
            <v>6.9074368000000002</v>
          </cell>
          <cell r="X1049">
            <v>2.451298</v>
          </cell>
        </row>
        <row r="1050">
          <cell r="W1050">
            <v>7.6339670990000004</v>
          </cell>
          <cell r="X1050">
            <v>5.2010621129999999</v>
          </cell>
        </row>
        <row r="1051">
          <cell r="W1051">
            <v>-2.0182311149999999</v>
          </cell>
          <cell r="X1051">
            <v>29.30637527</v>
          </cell>
        </row>
        <row r="1052">
          <cell r="W1052">
            <v>-2.0174999960000002</v>
          </cell>
          <cell r="X1052">
            <v>29.307557460000002</v>
          </cell>
        </row>
        <row r="1053">
          <cell r="W1053">
            <v>-15.49255</v>
          </cell>
          <cell r="X1053">
            <v>46.695341669999998</v>
          </cell>
        </row>
        <row r="1054">
          <cell r="W1054">
            <v>-2.0050861169999998</v>
          </cell>
          <cell r="X1054">
            <v>29.32821667</v>
          </cell>
        </row>
        <row r="1055">
          <cell r="W1055">
            <v>-2.2287290999999998</v>
          </cell>
          <cell r="X1055">
            <v>29.2366186</v>
          </cell>
        </row>
        <row r="1056">
          <cell r="W1056">
            <v>-2.2244967999999998</v>
          </cell>
          <cell r="X1056">
            <v>29.23724</v>
          </cell>
        </row>
        <row r="1057">
          <cell r="W1057">
            <v>-24.8184814</v>
          </cell>
          <cell r="X1057">
            <v>28.063588599999999</v>
          </cell>
        </row>
        <row r="1058">
          <cell r="W1058">
            <v>-2.01722</v>
          </cell>
          <cell r="X1058">
            <v>29.305231670000001</v>
          </cell>
        </row>
        <row r="1061">
          <cell r="W1061">
            <v>-14.25485802</v>
          </cell>
          <cell r="X1061">
            <v>33.449291010000003</v>
          </cell>
        </row>
        <row r="1062">
          <cell r="W1062">
            <v>-2.0172520450000002</v>
          </cell>
          <cell r="X1062">
            <v>29.30764396</v>
          </cell>
        </row>
        <row r="1063">
          <cell r="W1063">
            <v>-29.550715440000001</v>
          </cell>
          <cell r="X1063">
            <v>31.20660771</v>
          </cell>
        </row>
        <row r="1064">
          <cell r="W1064">
            <v>-1.2437153519999999</v>
          </cell>
          <cell r="X1064">
            <v>36.819402410000002</v>
          </cell>
        </row>
        <row r="1065">
          <cell r="W1065">
            <v>-1.273086221</v>
          </cell>
          <cell r="X1065">
            <v>36.814975269999998</v>
          </cell>
        </row>
        <row r="1066">
          <cell r="W1066">
            <v>-17.898744440000002</v>
          </cell>
          <cell r="X1066">
            <v>24.72813889</v>
          </cell>
        </row>
        <row r="1067">
          <cell r="W1067">
            <v>-17.898669439999999</v>
          </cell>
          <cell r="X1067">
            <v>24.728036110000001</v>
          </cell>
        </row>
        <row r="1068">
          <cell r="W1068">
            <v>-26.0585816</v>
          </cell>
          <cell r="X1068">
            <v>27.975387999999999</v>
          </cell>
        </row>
        <row r="1069">
          <cell r="W1069">
            <v>-25.79744492</v>
          </cell>
          <cell r="X1069">
            <v>28.298322670000001</v>
          </cell>
        </row>
        <row r="1070">
          <cell r="W1070">
            <v>-30.389525859999999</v>
          </cell>
          <cell r="X1070">
            <v>30.681522489999999</v>
          </cell>
        </row>
        <row r="1071">
          <cell r="W1071">
            <v>-29.5353335</v>
          </cell>
          <cell r="X1071">
            <v>30.225283749999999</v>
          </cell>
        </row>
        <row r="1072">
          <cell r="W1072">
            <v>-26.090940929999999</v>
          </cell>
          <cell r="X1072">
            <v>27.842643240000001</v>
          </cell>
        </row>
        <row r="1073">
          <cell r="W1073">
            <v>0.41624799400000001</v>
          </cell>
          <cell r="X1073">
            <v>30.39689636</v>
          </cell>
        </row>
        <row r="1074">
          <cell r="W1074">
            <v>-20.250950960000001</v>
          </cell>
          <cell r="X1074">
            <v>31.002210349999999</v>
          </cell>
        </row>
        <row r="1075">
          <cell r="W1075">
            <v>-28.95958353</v>
          </cell>
          <cell r="X1075">
            <v>31.750077569999998</v>
          </cell>
        </row>
        <row r="1076">
          <cell r="W1076">
            <v>-26.088002599999999</v>
          </cell>
          <cell r="X1076">
            <v>28.1444516</v>
          </cell>
        </row>
        <row r="1077">
          <cell r="W1077">
            <v>13.39584237</v>
          </cell>
          <cell r="X1077">
            <v>-16.645552779999999</v>
          </cell>
        </row>
        <row r="1078">
          <cell r="W1078">
            <v>-25.55037965</v>
          </cell>
          <cell r="X1078">
            <v>31.112967659999999</v>
          </cell>
        </row>
        <row r="1079">
          <cell r="W1079">
            <v>0.46810333300000001</v>
          </cell>
          <cell r="X1079">
            <v>30.32158167</v>
          </cell>
        </row>
        <row r="1080">
          <cell r="W1080">
            <v>-1.6893135669999999</v>
          </cell>
          <cell r="X1080">
            <v>12.93391662</v>
          </cell>
        </row>
        <row r="1081">
          <cell r="W1081">
            <v>-28.455310000000001</v>
          </cell>
          <cell r="X1081">
            <v>17.123522999999999</v>
          </cell>
        </row>
        <row r="1082">
          <cell r="W1082">
            <v>-26.157256530000002</v>
          </cell>
          <cell r="X1082">
            <v>27.902056859999998</v>
          </cell>
        </row>
        <row r="1083">
          <cell r="W1083">
            <v>-1.273263982</v>
          </cell>
          <cell r="X1083">
            <v>36.814956049999999</v>
          </cell>
        </row>
        <row r="1084">
          <cell r="W1084">
            <v>-1.273263982</v>
          </cell>
          <cell r="X1084">
            <v>36.814956049999999</v>
          </cell>
        </row>
        <row r="1085">
          <cell r="W1085">
            <v>-1.273263982</v>
          </cell>
          <cell r="X1085">
            <v>36.814956049999999</v>
          </cell>
        </row>
        <row r="1086">
          <cell r="W1086">
            <v>-1.273263982</v>
          </cell>
          <cell r="X1086">
            <v>36.814956049999999</v>
          </cell>
        </row>
        <row r="1087">
          <cell r="W1087">
            <v>-2.5256254770000002</v>
          </cell>
          <cell r="X1087">
            <v>29.41393674</v>
          </cell>
        </row>
        <row r="1088">
          <cell r="W1088">
            <v>-1.2578588399999999</v>
          </cell>
          <cell r="X1088">
            <v>36.78760389</v>
          </cell>
        </row>
        <row r="1089">
          <cell r="W1089">
            <v>0.34200785099999997</v>
          </cell>
          <cell r="X1089">
            <v>34.865733499999997</v>
          </cell>
        </row>
        <row r="1090">
          <cell r="W1090">
            <v>-29.76390997</v>
          </cell>
          <cell r="X1090">
            <v>30.77199397</v>
          </cell>
        </row>
        <row r="1091">
          <cell r="W1091">
            <v>-17.924875</v>
          </cell>
          <cell r="X1091">
            <v>25.84712</v>
          </cell>
        </row>
        <row r="1092">
          <cell r="W1092">
            <v>-2.0549070829999998</v>
          </cell>
          <cell r="X1092">
            <v>29.411357859999999</v>
          </cell>
        </row>
        <row r="1093">
          <cell r="W1093">
            <v>-11.34345441</v>
          </cell>
          <cell r="X1093">
            <v>33.889318520000003</v>
          </cell>
        </row>
        <row r="1094">
          <cell r="W1094">
            <v>-13.407102200000001</v>
          </cell>
          <cell r="X1094">
            <v>48.319719569999997</v>
          </cell>
        </row>
        <row r="1095">
          <cell r="W1095">
            <v>-1.3160325289999999</v>
          </cell>
          <cell r="X1095">
            <v>36.693710330000002</v>
          </cell>
        </row>
        <row r="1096">
          <cell r="W1096">
            <v>-1.2243093899999999</v>
          </cell>
          <cell r="X1096">
            <v>36.82411664</v>
          </cell>
        </row>
        <row r="1097">
          <cell r="W1097">
            <v>-1.260136667</v>
          </cell>
          <cell r="X1097">
            <v>29.994671669999999</v>
          </cell>
        </row>
        <row r="1098">
          <cell r="W1098">
            <v>-1.2244590900000001</v>
          </cell>
          <cell r="X1098">
            <v>36.824011900000002</v>
          </cell>
        </row>
        <row r="1099">
          <cell r="W1099">
            <v>-1.225621963</v>
          </cell>
          <cell r="X1099">
            <v>36.823197270000001</v>
          </cell>
        </row>
        <row r="1100">
          <cell r="W1100">
            <v>-26.166145799999999</v>
          </cell>
          <cell r="X1100">
            <v>28.03426408</v>
          </cell>
        </row>
        <row r="1101">
          <cell r="W1101">
            <v>-3.3690383330000002</v>
          </cell>
          <cell r="X1101">
            <v>36.862695000000002</v>
          </cell>
        </row>
        <row r="1103">
          <cell r="W1103">
            <v>-26.44188084</v>
          </cell>
          <cell r="X1103">
            <v>31.18155342</v>
          </cell>
        </row>
        <row r="1104">
          <cell r="W1104">
            <v>-34.348866749999999</v>
          </cell>
          <cell r="X1104">
            <v>18.926153079999999</v>
          </cell>
        </row>
        <row r="1105">
          <cell r="W1105">
            <v>-25.595833330000001</v>
          </cell>
          <cell r="X1105">
            <v>30.44388889</v>
          </cell>
        </row>
        <row r="1106">
          <cell r="W1106">
            <v>-26.441802890000002</v>
          </cell>
          <cell r="X1106">
            <v>31.180141079999999</v>
          </cell>
        </row>
        <row r="1107">
          <cell r="W1107">
            <v>-26.44150058</v>
          </cell>
          <cell r="X1107">
            <v>31.180505190000002</v>
          </cell>
        </row>
        <row r="1108">
          <cell r="W1108">
            <v>-20.548219320000001</v>
          </cell>
          <cell r="X1108">
            <v>28.507007829999999</v>
          </cell>
        </row>
        <row r="1109">
          <cell r="W1109">
            <v>-30.77063257</v>
          </cell>
          <cell r="X1109">
            <v>30.187951819999999</v>
          </cell>
        </row>
        <row r="1110">
          <cell r="W1110">
            <v>-15.71865919</v>
          </cell>
          <cell r="X1110">
            <v>34.985025829999998</v>
          </cell>
        </row>
        <row r="1111">
          <cell r="W1111">
            <v>-25.79744492</v>
          </cell>
          <cell r="X1111">
            <v>28.298322670000001</v>
          </cell>
        </row>
        <row r="1112">
          <cell r="W1112">
            <v>-27.596800000000002</v>
          </cell>
          <cell r="X1112">
            <v>32.218699999999998</v>
          </cell>
        </row>
        <row r="1113">
          <cell r="W1113">
            <v>-20.2098467</v>
          </cell>
          <cell r="X1113">
            <v>28.590092599999998</v>
          </cell>
        </row>
        <row r="1114">
          <cell r="W1114">
            <v>-25.79744492</v>
          </cell>
          <cell r="X1114">
            <v>28.298322670000001</v>
          </cell>
        </row>
        <row r="1116">
          <cell r="W1116">
            <v>1.448154926</v>
          </cell>
          <cell r="X1116">
            <v>32.0777626</v>
          </cell>
        </row>
        <row r="1117">
          <cell r="W1117">
            <v>21.929353280000001</v>
          </cell>
          <cell r="X1117">
            <v>101.25551129999999</v>
          </cell>
        </row>
        <row r="1118">
          <cell r="W1118">
            <v>-1.224234901</v>
          </cell>
          <cell r="X1118">
            <v>36.896926950000001</v>
          </cell>
        </row>
        <row r="1119">
          <cell r="W1119">
            <v>-25.98445431</v>
          </cell>
          <cell r="X1119">
            <v>27.783399559999999</v>
          </cell>
        </row>
        <row r="1120">
          <cell r="W1120">
            <v>-3.3617192029999998</v>
          </cell>
          <cell r="X1120">
            <v>29.353437079999999</v>
          </cell>
        </row>
        <row r="1121">
          <cell r="W1121">
            <v>-15.469121400000001</v>
          </cell>
          <cell r="X1121">
            <v>28.162462959999999</v>
          </cell>
        </row>
        <row r="1122">
          <cell r="W1122">
            <v>-22.943041669999999</v>
          </cell>
          <cell r="X1122">
            <v>29.464553330000001</v>
          </cell>
        </row>
        <row r="1123">
          <cell r="W1123">
            <v>-26.0585816</v>
          </cell>
          <cell r="X1123">
            <v>27.975387999999999</v>
          </cell>
        </row>
        <row r="1124">
          <cell r="W1124">
            <v>-23.051449999999999</v>
          </cell>
          <cell r="X1124">
            <v>30.097547169999999</v>
          </cell>
        </row>
        <row r="1125">
          <cell r="W1125">
            <v>-1.273352034</v>
          </cell>
          <cell r="X1125">
            <v>36.814861499999999</v>
          </cell>
        </row>
        <row r="1126">
          <cell r="W1126">
            <v>6.8453543569999997</v>
          </cell>
          <cell r="X1126">
            <v>0.43615870200000001</v>
          </cell>
        </row>
        <row r="1127">
          <cell r="W1127">
            <v>-30.27390475</v>
          </cell>
          <cell r="X1127">
            <v>30.735115310000001</v>
          </cell>
        </row>
        <row r="1128">
          <cell r="W1128">
            <v>-25.736732480000001</v>
          </cell>
          <cell r="X1128">
            <v>28.272763640000001</v>
          </cell>
        </row>
        <row r="1129">
          <cell r="W1129">
            <v>-30.273213519999999</v>
          </cell>
          <cell r="X1129">
            <v>30.73803362</v>
          </cell>
        </row>
        <row r="1130">
          <cell r="W1130">
            <v>-17.979988330000001</v>
          </cell>
          <cell r="X1130">
            <v>25.80621167</v>
          </cell>
        </row>
        <row r="1131">
          <cell r="W1131">
            <v>-12.3835333</v>
          </cell>
          <cell r="X1131">
            <v>35.335266699999998</v>
          </cell>
        </row>
        <row r="1132">
          <cell r="W1132">
            <v>-12.8324333</v>
          </cell>
          <cell r="X1132">
            <v>35.186666700000004</v>
          </cell>
        </row>
        <row r="1133">
          <cell r="W1133">
            <v>-17.793418460000002</v>
          </cell>
          <cell r="X1133">
            <v>25.155002029999999</v>
          </cell>
        </row>
        <row r="1134">
          <cell r="W1134">
            <v>-25.386578329999999</v>
          </cell>
          <cell r="X1134">
            <v>28.310116669999999</v>
          </cell>
        </row>
        <row r="1135">
          <cell r="W1135">
            <v>-1.4432472869999999</v>
          </cell>
          <cell r="X1135">
            <v>35.20809878</v>
          </cell>
        </row>
        <row r="1136">
          <cell r="W1136">
            <v>-26.36810097</v>
          </cell>
          <cell r="X1136">
            <v>27.40924897</v>
          </cell>
        </row>
        <row r="1137">
          <cell r="W1137">
            <v>-1.402661581</v>
          </cell>
          <cell r="X1137">
            <v>36.79137841</v>
          </cell>
        </row>
        <row r="1138">
          <cell r="W1138">
            <v>4.1708510150000002</v>
          </cell>
          <cell r="X1138">
            <v>9.5912618859999998</v>
          </cell>
        </row>
        <row r="1139">
          <cell r="W1139">
            <v>-14.06473883</v>
          </cell>
          <cell r="X1139">
            <v>33.466628329999999</v>
          </cell>
        </row>
        <row r="1140">
          <cell r="W1140">
            <v>6.9220350000000002</v>
          </cell>
          <cell r="X1140">
            <v>2.4151950000000002</v>
          </cell>
        </row>
        <row r="1141">
          <cell r="W1141">
            <v>-7.8515166670000003</v>
          </cell>
          <cell r="X1141">
            <v>36.886678330000002</v>
          </cell>
        </row>
        <row r="1142">
          <cell r="W1142">
            <v>6.5823679999999998</v>
          </cell>
          <cell r="X1142">
            <v>2.5563799999999999</v>
          </cell>
        </row>
        <row r="1143">
          <cell r="W1143">
            <v>-26.0585816</v>
          </cell>
          <cell r="X1143">
            <v>27.975387999999999</v>
          </cell>
        </row>
        <row r="1144">
          <cell r="W1144">
            <v>-20.14977</v>
          </cell>
          <cell r="X1144">
            <v>28.623950000000001</v>
          </cell>
        </row>
        <row r="1145">
          <cell r="W1145">
            <v>-33.986350000000002</v>
          </cell>
          <cell r="X1145">
            <v>18.437386109999998</v>
          </cell>
        </row>
        <row r="1146">
          <cell r="W1146">
            <v>3.7283499999999998</v>
          </cell>
          <cell r="X1146">
            <v>33.710380559999997</v>
          </cell>
        </row>
        <row r="1147">
          <cell r="W1147">
            <v>-25.79744492</v>
          </cell>
          <cell r="X1147">
            <v>28.298322670000001</v>
          </cell>
        </row>
        <row r="1148">
          <cell r="W1148">
            <v>-30.246787990000001</v>
          </cell>
          <cell r="X1148">
            <v>30.752444990000001</v>
          </cell>
        </row>
        <row r="1149">
          <cell r="W1149">
            <v>-34.006819530000001</v>
          </cell>
          <cell r="X1149">
            <v>25.53670425</v>
          </cell>
        </row>
        <row r="1150">
          <cell r="W1150">
            <v>-27.726315889999999</v>
          </cell>
          <cell r="X1150">
            <v>17.577094800000001</v>
          </cell>
        </row>
        <row r="1151">
          <cell r="W1151">
            <v>-27.741788280000002</v>
          </cell>
          <cell r="X1151">
            <v>17.573287149999999</v>
          </cell>
        </row>
        <row r="1152">
          <cell r="W1152">
            <v>-28.383099999999999</v>
          </cell>
          <cell r="X1152">
            <v>32.419199999999996</v>
          </cell>
        </row>
        <row r="1153">
          <cell r="W1153">
            <v>-28.385000000000002</v>
          </cell>
          <cell r="X1153">
            <v>32.415399999999998</v>
          </cell>
        </row>
        <row r="1154">
          <cell r="W1154">
            <v>-15.36985702</v>
          </cell>
          <cell r="X1154">
            <v>28.315754519999999</v>
          </cell>
        </row>
        <row r="1155">
          <cell r="W1155">
            <v>-15.36985702</v>
          </cell>
          <cell r="X1155">
            <v>28.315754519999999</v>
          </cell>
        </row>
        <row r="1156">
          <cell r="W1156">
            <v>1.2946548040000001</v>
          </cell>
          <cell r="X1156">
            <v>30.997671</v>
          </cell>
        </row>
        <row r="1157">
          <cell r="W1157">
            <v>1.294665865</v>
          </cell>
          <cell r="X1157">
            <v>30.997716929999999</v>
          </cell>
        </row>
        <row r="1158">
          <cell r="W1158">
            <v>-26.05687447</v>
          </cell>
          <cell r="X1158">
            <v>28.237693199999999</v>
          </cell>
        </row>
        <row r="1159">
          <cell r="W1159">
            <v>-3.2569430000000001</v>
          </cell>
          <cell r="X1159">
            <v>37.396042000000001</v>
          </cell>
        </row>
        <row r="1160">
          <cell r="W1160">
            <v>-15.36675917</v>
          </cell>
          <cell r="X1160">
            <v>35.267471950000001</v>
          </cell>
        </row>
        <row r="1161">
          <cell r="W1161">
            <v>-15.36985702</v>
          </cell>
          <cell r="X1161">
            <v>28.315754519999999</v>
          </cell>
        </row>
        <row r="1162">
          <cell r="W1162">
            <v>2.9959209740000001</v>
          </cell>
          <cell r="X1162">
            <v>30.90051703</v>
          </cell>
        </row>
        <row r="1163">
          <cell r="W1163">
            <v>-18.118588970000001</v>
          </cell>
          <cell r="X1163">
            <v>21.67172347</v>
          </cell>
        </row>
        <row r="1164">
          <cell r="W1164">
            <v>-15.36985702</v>
          </cell>
          <cell r="X1164">
            <v>28.315754519999999</v>
          </cell>
        </row>
        <row r="1165">
          <cell r="W1165">
            <v>-20.202777780000002</v>
          </cell>
          <cell r="X1165">
            <v>28.641666669999999</v>
          </cell>
        </row>
        <row r="1166">
          <cell r="W1166">
            <v>-2.6203664209999999</v>
          </cell>
          <cell r="X1166">
            <v>29.741437680000001</v>
          </cell>
        </row>
        <row r="1167">
          <cell r="W1167">
            <v>1.2946679999999999</v>
          </cell>
          <cell r="X1167">
            <v>30.99766</v>
          </cell>
        </row>
        <row r="1168">
          <cell r="W1168">
            <v>-19.705440599999999</v>
          </cell>
          <cell r="X1168">
            <v>28.354162980000002</v>
          </cell>
        </row>
        <row r="1169">
          <cell r="W1169">
            <v>-34.061352829999997</v>
          </cell>
          <cell r="X1169">
            <v>23.078516669999999</v>
          </cell>
        </row>
        <row r="1170">
          <cell r="W1170">
            <v>-13.72132167</v>
          </cell>
          <cell r="X1170">
            <v>29.157180499999999</v>
          </cell>
        </row>
        <row r="1171">
          <cell r="W1171">
            <v>-17.918119999999998</v>
          </cell>
          <cell r="X1171">
            <v>25.818491999999999</v>
          </cell>
        </row>
        <row r="1172">
          <cell r="W1172">
            <v>-1.2246167960000001</v>
          </cell>
          <cell r="X1172">
            <v>36.803503190000001</v>
          </cell>
        </row>
        <row r="1173">
          <cell r="W1173">
            <v>-22.488991200000001</v>
          </cell>
          <cell r="X1173">
            <v>17.46125653</v>
          </cell>
        </row>
        <row r="1174">
          <cell r="W1174">
            <v>-29.826571860000001</v>
          </cell>
          <cell r="X1174">
            <v>30.900245559999998</v>
          </cell>
        </row>
        <row r="1175">
          <cell r="W1175">
            <v>-4.3370580670000001</v>
          </cell>
          <cell r="X1175">
            <v>39.569091800000002</v>
          </cell>
        </row>
        <row r="1176">
          <cell r="W1176">
            <v>-28.95958353</v>
          </cell>
          <cell r="X1176">
            <v>31.750077569999998</v>
          </cell>
        </row>
        <row r="1177">
          <cell r="W1177">
            <v>10.29377472</v>
          </cell>
          <cell r="X1177">
            <v>1.327026389</v>
          </cell>
        </row>
        <row r="1178">
          <cell r="W1178">
            <v>-1.222697004</v>
          </cell>
          <cell r="X1178">
            <v>36.897291729999999</v>
          </cell>
        </row>
        <row r="1179">
          <cell r="W1179">
            <v>-24.20502342</v>
          </cell>
          <cell r="X1179">
            <v>30.543583120000001</v>
          </cell>
        </row>
        <row r="1180">
          <cell r="W1180">
            <v>-30.273830929999999</v>
          </cell>
          <cell r="X1180">
            <v>30.739269950000001</v>
          </cell>
        </row>
        <row r="1181">
          <cell r="W1181">
            <v>-20.508208329999999</v>
          </cell>
          <cell r="X1181">
            <v>17.241634999999999</v>
          </cell>
        </row>
        <row r="1182">
          <cell r="W1182">
            <v>-11.13467136</v>
          </cell>
          <cell r="X1182">
            <v>33.65448198</v>
          </cell>
        </row>
        <row r="1183">
          <cell r="W1183">
            <v>-29.80545021</v>
          </cell>
          <cell r="X1183">
            <v>30.656939300000001</v>
          </cell>
        </row>
        <row r="1184">
          <cell r="W1184">
            <v>-26.088610849999998</v>
          </cell>
          <cell r="X1184">
            <v>27.843463060000001</v>
          </cell>
        </row>
        <row r="1185">
          <cell r="W1185">
            <v>-18.192463650000001</v>
          </cell>
          <cell r="X1185">
            <v>47.289512809999998</v>
          </cell>
        </row>
        <row r="1186">
          <cell r="W1186">
            <v>1.293789171</v>
          </cell>
          <cell r="X1186">
            <v>30.997738510000001</v>
          </cell>
        </row>
        <row r="1187">
          <cell r="W1187">
            <v>-8.6240378619999998</v>
          </cell>
          <cell r="X1187">
            <v>31.200818160000001</v>
          </cell>
        </row>
        <row r="1188">
          <cell r="W1188">
            <v>5.1183899999999997E-2</v>
          </cell>
          <cell r="X1188">
            <v>32.463707999999997</v>
          </cell>
        </row>
        <row r="1189">
          <cell r="W1189">
            <v>-24.840096639999999</v>
          </cell>
          <cell r="X1189">
            <v>28.109058749999999</v>
          </cell>
        </row>
        <row r="1190">
          <cell r="W1190">
            <v>17.113182999999999</v>
          </cell>
          <cell r="X1190">
            <v>54.560330499999999</v>
          </cell>
        </row>
        <row r="1191">
          <cell r="W1191">
            <v>-1.225079276</v>
          </cell>
          <cell r="X1191">
            <v>36.803015690000002</v>
          </cell>
        </row>
        <row r="1192">
          <cell r="W1192">
            <v>-29.859294999999999</v>
          </cell>
          <cell r="X1192">
            <v>30.981024999999999</v>
          </cell>
        </row>
        <row r="1193">
          <cell r="W1193">
            <v>-24.690309859999999</v>
          </cell>
          <cell r="X1193">
            <v>28.195101180000002</v>
          </cell>
        </row>
        <row r="1194">
          <cell r="W1194">
            <v>-13.361789829999999</v>
          </cell>
          <cell r="X1194">
            <v>34.012852459999998</v>
          </cell>
        </row>
        <row r="1195">
          <cell r="W1195">
            <v>9.9101335240000008</v>
          </cell>
          <cell r="X1195">
            <v>1.5467706990000001</v>
          </cell>
        </row>
        <row r="1196">
          <cell r="W1196">
            <v>-28.757367500000001</v>
          </cell>
          <cell r="X1196">
            <v>32.0630904</v>
          </cell>
        </row>
        <row r="1197">
          <cell r="W1197">
            <v>9.9716667000000001</v>
          </cell>
          <cell r="X1197">
            <v>45.020277800000002</v>
          </cell>
        </row>
        <row r="1198">
          <cell r="W1198">
            <v>-26.089368579999999</v>
          </cell>
          <cell r="X1198">
            <v>27.84313242</v>
          </cell>
        </row>
        <row r="1199">
          <cell r="W1199">
            <v>-30.638987369999999</v>
          </cell>
          <cell r="X1199">
            <v>30.529617810000001</v>
          </cell>
        </row>
        <row r="1200">
          <cell r="W1200">
            <v>-26.166044769999999</v>
          </cell>
          <cell r="X1200">
            <v>28.034424040000001</v>
          </cell>
        </row>
        <row r="1201">
          <cell r="W1201">
            <v>10.08952536</v>
          </cell>
          <cell r="X1201">
            <v>-14.033347170000001</v>
          </cell>
        </row>
        <row r="1202">
          <cell r="W1202">
            <v>-15.39535036</v>
          </cell>
          <cell r="X1202">
            <v>28.335586939999999</v>
          </cell>
        </row>
        <row r="1203">
          <cell r="W1203">
            <v>-30.3739755</v>
          </cell>
          <cell r="X1203">
            <v>30.6989178</v>
          </cell>
        </row>
        <row r="1204">
          <cell r="W1204">
            <v>-1.021745101</v>
          </cell>
          <cell r="X1204">
            <v>34.525301570000003</v>
          </cell>
        </row>
        <row r="1205">
          <cell r="W1205">
            <v>-23.322701559999999</v>
          </cell>
          <cell r="X1205">
            <v>17.016930259999999</v>
          </cell>
        </row>
        <row r="1206">
          <cell r="W1206">
            <v>-23.32072325</v>
          </cell>
          <cell r="X1206">
            <v>17.01857408</v>
          </cell>
        </row>
        <row r="1207">
          <cell r="W1207">
            <v>-25.596228679999999</v>
          </cell>
          <cell r="X1207">
            <v>28.263717140000001</v>
          </cell>
        </row>
        <row r="1208">
          <cell r="W1208">
            <v>-25.79744492</v>
          </cell>
          <cell r="X1208">
            <v>28.298322670000001</v>
          </cell>
        </row>
        <row r="1209">
          <cell r="W1209">
            <v>-25.477046170000001</v>
          </cell>
          <cell r="X1209">
            <v>28.092643840000001</v>
          </cell>
        </row>
        <row r="1210">
          <cell r="W1210">
            <v>-25.73291888</v>
          </cell>
          <cell r="X1210">
            <v>28.023179320000001</v>
          </cell>
        </row>
        <row r="1211">
          <cell r="W1211">
            <v>-25.47700682</v>
          </cell>
          <cell r="X1211">
            <v>28.09268441</v>
          </cell>
        </row>
        <row r="1212">
          <cell r="W1212">
            <v>-29.569470119999998</v>
          </cell>
          <cell r="X1212">
            <v>30.283892680000001</v>
          </cell>
        </row>
        <row r="1213">
          <cell r="W1213">
            <v>-29.658326599999999</v>
          </cell>
          <cell r="X1213">
            <v>31.046896499999999</v>
          </cell>
        </row>
        <row r="1214">
          <cell r="W1214">
            <v>-31.197797820000002</v>
          </cell>
          <cell r="X1214">
            <v>29.97198075</v>
          </cell>
        </row>
        <row r="1215">
          <cell r="W1215">
            <v>-33.995443000000002</v>
          </cell>
          <cell r="X1215">
            <v>22.548403480000001</v>
          </cell>
        </row>
        <row r="1216">
          <cell r="W1216">
            <v>-29.769834020000001</v>
          </cell>
          <cell r="X1216">
            <v>31.046717869999998</v>
          </cell>
        </row>
        <row r="1217">
          <cell r="W1217">
            <v>-33.946018619999997</v>
          </cell>
          <cell r="X1217">
            <v>22.064809029999999</v>
          </cell>
        </row>
        <row r="1218">
          <cell r="W1218">
            <v>-20.211933389999999</v>
          </cell>
          <cell r="X1218">
            <v>28.59743383</v>
          </cell>
        </row>
        <row r="1219">
          <cell r="W1219">
            <v>-4.991240865</v>
          </cell>
          <cell r="X1219">
            <v>38.657705780000001</v>
          </cell>
        </row>
        <row r="1220">
          <cell r="W1220">
            <v>-29.806059990000001</v>
          </cell>
          <cell r="X1220">
            <v>30.657797599999999</v>
          </cell>
        </row>
        <row r="1221">
          <cell r="W1221">
            <v>-29.804348610000002</v>
          </cell>
          <cell r="X1221">
            <v>31.015507540000002</v>
          </cell>
        </row>
        <row r="1222">
          <cell r="W1222">
            <v>-33.97753771</v>
          </cell>
          <cell r="X1222">
            <v>22.630314720000001</v>
          </cell>
        </row>
        <row r="1223">
          <cell r="W1223">
            <v>-24.106858039999999</v>
          </cell>
          <cell r="X1223">
            <v>28.01594253</v>
          </cell>
        </row>
        <row r="1224">
          <cell r="W1224">
            <v>-25.757836439999998</v>
          </cell>
          <cell r="X1224">
            <v>27.487806719999998</v>
          </cell>
        </row>
        <row r="1226">
          <cell r="W1226">
            <v>-33.988941779999998</v>
          </cell>
          <cell r="X1226">
            <v>18.42908589</v>
          </cell>
        </row>
        <row r="1227">
          <cell r="W1227">
            <v>-3.3492489299999999</v>
          </cell>
          <cell r="X1227">
            <v>36.730778440000002</v>
          </cell>
        </row>
        <row r="1228">
          <cell r="W1228">
            <v>-25.79744492</v>
          </cell>
          <cell r="X1228">
            <v>28.298322670000001</v>
          </cell>
        </row>
        <row r="1229">
          <cell r="W1229">
            <v>-26.0585816</v>
          </cell>
          <cell r="X1229">
            <v>27.975387999999999</v>
          </cell>
        </row>
        <row r="1230">
          <cell r="W1230">
            <v>6.1770259620000001</v>
          </cell>
          <cell r="X1230">
            <v>-10.483947499999999</v>
          </cell>
        </row>
        <row r="1231">
          <cell r="W1231">
            <v>-24.676707</v>
          </cell>
          <cell r="X1231">
            <v>30.80601944</v>
          </cell>
        </row>
        <row r="1232">
          <cell r="W1232">
            <v>-20.042810830000001</v>
          </cell>
          <cell r="X1232">
            <v>28.534355430000002</v>
          </cell>
        </row>
        <row r="1233">
          <cell r="W1233">
            <v>-26.573740000000001</v>
          </cell>
          <cell r="X1233">
            <v>27.102978329999999</v>
          </cell>
        </row>
        <row r="1234">
          <cell r="W1234">
            <v>-1.0563054999999999</v>
          </cell>
          <cell r="X1234">
            <v>35.234058330000003</v>
          </cell>
        </row>
        <row r="1235">
          <cell r="W1235">
            <v>-26.57365085</v>
          </cell>
          <cell r="X1235">
            <v>27.103039249999998</v>
          </cell>
        </row>
        <row r="1236">
          <cell r="W1236">
            <v>-20.221482170000002</v>
          </cell>
          <cell r="X1236">
            <v>28.600886509999999</v>
          </cell>
        </row>
        <row r="1237">
          <cell r="W1237">
            <v>-25.911938039999999</v>
          </cell>
          <cell r="X1237">
            <v>28.419732329999999</v>
          </cell>
        </row>
        <row r="1238">
          <cell r="W1238">
            <v>-25.73897809</v>
          </cell>
          <cell r="X1238">
            <v>28.25457974</v>
          </cell>
        </row>
        <row r="1239">
          <cell r="W1239">
            <v>-25.595779610000001</v>
          </cell>
          <cell r="X1239">
            <v>31.481022660000001</v>
          </cell>
        </row>
        <row r="1240">
          <cell r="W1240">
            <v>-28.057777779999999</v>
          </cell>
          <cell r="X1240">
            <v>32.294166670000003</v>
          </cell>
        </row>
        <row r="1241">
          <cell r="W1241">
            <v>-18.196477139999999</v>
          </cell>
          <cell r="X1241">
            <v>47.28635173</v>
          </cell>
        </row>
        <row r="1242">
          <cell r="W1242">
            <v>-26.67075543</v>
          </cell>
          <cell r="X1242">
            <v>27.089371530000001</v>
          </cell>
        </row>
        <row r="1243">
          <cell r="W1243">
            <v>-23.831770339999998</v>
          </cell>
          <cell r="X1243">
            <v>27.95378255</v>
          </cell>
        </row>
        <row r="1244">
          <cell r="W1244">
            <v>-27.722547420000001</v>
          </cell>
          <cell r="X1244">
            <v>29.955967210000001</v>
          </cell>
        </row>
        <row r="1245">
          <cell r="W1245">
            <v>-28.259508329999999</v>
          </cell>
          <cell r="X1245">
            <v>32.473950000000002</v>
          </cell>
        </row>
        <row r="1246">
          <cell r="W1246">
            <v>-17.847881139999998</v>
          </cell>
          <cell r="X1246">
            <v>25.853742570000001</v>
          </cell>
        </row>
        <row r="1247">
          <cell r="W1247">
            <v>-25.720105</v>
          </cell>
          <cell r="X1247">
            <v>27.190725</v>
          </cell>
        </row>
        <row r="1248">
          <cell r="W1248">
            <v>-8.6230037409999998</v>
          </cell>
          <cell r="X1248">
            <v>31.20153088</v>
          </cell>
        </row>
        <row r="1249">
          <cell r="W1249">
            <v>0.46406999999999998</v>
          </cell>
          <cell r="X1249">
            <v>10.27877833</v>
          </cell>
        </row>
        <row r="1250">
          <cell r="W1250">
            <v>-15.36985702</v>
          </cell>
          <cell r="X1250">
            <v>28.315754519999999</v>
          </cell>
        </row>
        <row r="1251">
          <cell r="W1251">
            <v>9.7864492589999994</v>
          </cell>
          <cell r="X1251">
            <v>-13.51526365</v>
          </cell>
        </row>
        <row r="1252">
          <cell r="W1252">
            <v>13.435565</v>
          </cell>
          <cell r="X1252">
            <v>-16.72328667</v>
          </cell>
        </row>
        <row r="1253">
          <cell r="W1253">
            <v>5.5325145689999999</v>
          </cell>
          <cell r="X1253">
            <v>-9.2609716609999992</v>
          </cell>
        </row>
      </sheetData>
      <sheetData sheetId="1"/>
      <sheetData sheetId="2">
        <row r="16">
          <cell r="Q16">
            <v>-20</v>
          </cell>
          <cell r="R16">
            <v>12</v>
          </cell>
          <cell r="S16">
            <v>-20</v>
          </cell>
          <cell r="T16">
            <v>31</v>
          </cell>
        </row>
        <row r="18">
          <cell r="Q18">
            <v>7</v>
          </cell>
          <cell r="R18">
            <v>15</v>
          </cell>
          <cell r="S18">
            <v>35</v>
          </cell>
          <cell r="T18">
            <v>53</v>
          </cell>
        </row>
        <row r="19">
          <cell r="Q19">
            <v>-10</v>
          </cell>
          <cell r="R19">
            <v>5</v>
          </cell>
          <cell r="S19">
            <v>32</v>
          </cell>
          <cell r="T19">
            <v>43</v>
          </cell>
        </row>
        <row r="20">
          <cell r="Q20">
            <v>-35</v>
          </cell>
          <cell r="R20">
            <v>-25</v>
          </cell>
          <cell r="S20">
            <v>27</v>
          </cell>
          <cell r="T20">
            <v>38</v>
          </cell>
        </row>
        <row r="21">
          <cell r="Q21">
            <v>-30</v>
          </cell>
          <cell r="R21">
            <v>-18</v>
          </cell>
          <cell r="S21">
            <v>11</v>
          </cell>
          <cell r="T21">
            <v>22</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8D11-8A98-924D-9303-B1793A0AE614}">
  <dimension ref="A1:BJ1291"/>
  <sheetViews>
    <sheetView tabSelected="1" workbookViewId="0">
      <selection sqref="A1:XFD1048576"/>
    </sheetView>
  </sheetViews>
  <sheetFormatPr baseColWidth="10" defaultColWidth="8.83203125" defaultRowHeight="16" x14ac:dyDescent="0.2"/>
  <cols>
    <col min="1" max="1" width="9.33203125" customWidth="1"/>
    <col min="2" max="2" width="1.1640625" customWidth="1"/>
    <col min="3" max="3" width="22.5" style="15" customWidth="1"/>
    <col min="4" max="12" width="0.5" customWidth="1"/>
    <col min="13" max="13" width="24.5" customWidth="1"/>
    <col min="14" max="22" width="0.5" customWidth="1"/>
    <col min="23" max="24" width="23.5" style="15" customWidth="1"/>
    <col min="25" max="40" width="0.5" customWidth="1"/>
    <col min="41" max="41" width="29.33203125" style="16" customWidth="1"/>
    <col min="42" max="42" width="19" style="17" customWidth="1"/>
    <col min="43" max="45" width="8.83203125" style="18"/>
    <col min="46" max="46" width="8.83203125" style="19"/>
    <col min="47" max="47" width="8.83203125" style="20"/>
    <col min="48" max="48" width="11.33203125" style="21" customWidth="1"/>
    <col min="49" max="49" width="1.83203125" customWidth="1"/>
    <col min="50" max="55" width="5.6640625" style="22" customWidth="1"/>
    <col min="56" max="56" width="26.5" style="23" customWidth="1"/>
    <col min="57" max="57" width="26.5" style="24" customWidth="1"/>
    <col min="58" max="58" width="15" style="24" customWidth="1"/>
    <col min="59" max="59" width="20.6640625" style="15" customWidth="1"/>
    <col min="60" max="75" width="20.6640625" customWidth="1"/>
  </cols>
  <sheetData>
    <row r="1" spans="1:62" s="1" customFormat="1" ht="56.5" customHeight="1"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O1" s="3" t="s">
        <v>39</v>
      </c>
      <c r="AP1" s="4" t="s">
        <v>40</v>
      </c>
      <c r="AQ1" s="5" t="s">
        <v>41</v>
      </c>
      <c r="AR1" s="5" t="s">
        <v>42</v>
      </c>
      <c r="AS1" s="5" t="s">
        <v>43</v>
      </c>
      <c r="AT1" s="6" t="s">
        <v>44</v>
      </c>
      <c r="AU1" s="7" t="s">
        <v>45</v>
      </c>
      <c r="AV1" s="8" t="s">
        <v>46</v>
      </c>
      <c r="AX1" s="9" t="s">
        <v>47</v>
      </c>
      <c r="AY1" s="9" t="s">
        <v>48</v>
      </c>
      <c r="AZ1" s="9" t="s">
        <v>49</v>
      </c>
      <c r="BA1" s="9" t="s">
        <v>50</v>
      </c>
      <c r="BB1" s="9" t="s">
        <v>51</v>
      </c>
      <c r="BC1" s="9" t="s">
        <v>52</v>
      </c>
      <c r="BD1" s="10" t="s">
        <v>53</v>
      </c>
      <c r="BE1" s="11" t="s">
        <v>54</v>
      </c>
      <c r="BF1" s="12" t="s">
        <v>55</v>
      </c>
      <c r="BG1" s="2"/>
      <c r="BJ1" s="1" t="s">
        <v>56</v>
      </c>
    </row>
    <row r="2" spans="1:62" ht="16.25" customHeight="1" x14ac:dyDescent="0.2">
      <c r="A2">
        <v>562621</v>
      </c>
      <c r="B2" s="13">
        <v>41672</v>
      </c>
      <c r="C2" s="14">
        <v>41672</v>
      </c>
      <c r="E2" t="s">
        <v>57</v>
      </c>
      <c r="F2">
        <v>18245</v>
      </c>
      <c r="G2" t="s">
        <v>58</v>
      </c>
      <c r="H2" t="s">
        <v>59</v>
      </c>
      <c r="I2" t="s">
        <v>60</v>
      </c>
      <c r="J2" t="s">
        <v>61</v>
      </c>
      <c r="K2" t="s">
        <v>62</v>
      </c>
      <c r="L2" t="s">
        <v>63</v>
      </c>
      <c r="M2" t="s">
        <v>64</v>
      </c>
      <c r="N2" t="s">
        <v>65</v>
      </c>
      <c r="P2" t="s">
        <v>66</v>
      </c>
      <c r="Q2" t="s">
        <v>67</v>
      </c>
      <c r="R2">
        <v>4</v>
      </c>
      <c r="S2">
        <v>0</v>
      </c>
      <c r="T2" t="b">
        <v>0</v>
      </c>
      <c r="V2" t="s">
        <v>68</v>
      </c>
      <c r="W2" s="15">
        <v>6.4411579999999997</v>
      </c>
      <c r="X2" s="15">
        <v>3.417977</v>
      </c>
      <c r="Y2">
        <v>42362</v>
      </c>
      <c r="AC2">
        <v>42362</v>
      </c>
      <c r="AF2" t="b">
        <v>0</v>
      </c>
      <c r="AI2" t="s">
        <v>69</v>
      </c>
      <c r="AJ2" t="s">
        <v>70</v>
      </c>
      <c r="AK2" t="s">
        <v>71</v>
      </c>
      <c r="AL2" t="s">
        <v>72</v>
      </c>
      <c r="AM2">
        <v>346053</v>
      </c>
      <c r="AO2" s="16" t="s">
        <v>73</v>
      </c>
      <c r="AP2" s="17" t="str">
        <f t="shared" ref="AP2:AP65" si="0">IF(COUNTIF(AO2,"*foundress*"),"Nest (foundress)",AO2)</f>
        <v>Off-nest female</v>
      </c>
      <c r="AX2" s="22" t="str">
        <f>IF(AND('[1]observations-276632'!W2&gt;'[1]Methods write-up'!$Q$16,'[1]observations-276632'!W2&lt;'[1]Methods write-up'!$R$16,'[1]observations-276632'!X2&gt;'[1]Methods write-up'!$S$16,'[1]observations-276632'!X2&lt;'[1]Methods write-up'!$T$16),"West and Central Africa","")</f>
        <v>West and Central Africa</v>
      </c>
      <c r="AY2" s="22" t="str">
        <f>IF(AND('[1]observations-276632'!W2&gt;'[1]Methods write-up'!$Q$17,'[1]observations-276632'!W2&lt;'[1]Methods write-up'!$R$17,'[1]observations-276632'!X2&gt;'[1]Methods write-up'!$S$17,'[1]observations-276632'!X2&lt;'[1]Methods write-up'!$T$17),"Equatorial tropical forest","")</f>
        <v/>
      </c>
      <c r="AZ2" s="22" t="str">
        <f>IF(AND('[1]observations-276632'!W2&gt;'[1]Methods write-up'!$Q$18,'[1]observations-276632'!W2&lt;'[1]Methods write-up'!$R$18,'[1]observations-276632'!X2&gt;'[1]Methods write-up'!$S$18,'[1]observations-276632'!X2&lt;'[1]Methods write-up'!$T$18),"Somali peninsula","")</f>
        <v/>
      </c>
      <c r="BA2" s="22" t="str">
        <f>IF(AND('[1]observations-276632'!W2&gt;'[1]Methods write-up'!$Q$19,'[1]observations-276632'!W2&lt;'[1]Methods write-up'!$R$19,'[1]observations-276632'!X2&gt;'[1]Methods write-up'!$S$19,'[1]observations-276632'!X2&lt;'[1]Methods write-up'!$T$19),"East Africa","")</f>
        <v/>
      </c>
      <c r="BB2" s="22" t="str">
        <f>IF(AND('[1]observations-276632'!W2&gt;'[1]Methods write-up'!$Q$20,'[1]observations-276632'!W2&lt;'[1]Methods write-up'!$R$20,'[1]observations-276632'!X2&gt;'[1]Methods write-up'!$S$20,'[1]observations-276632'!X2&lt;'[1]Methods write-up'!$T$20),"Temperate seasonal","")</f>
        <v/>
      </c>
      <c r="BC2" s="22" t="str">
        <f>IF(AND('[1]observations-276632'!W2&gt;'[1]Methods write-up'!$Q$21,'[1]observations-276632'!W2&lt;'[1]Methods write-up'!$R$21,'[1]observations-276632'!X2&gt;'[1]Methods write-up'!$S$21,'[1]observations-276632'!X2&lt;'[1]Methods write-up'!$T$21),"Desert and high aridity","")</f>
        <v/>
      </c>
      <c r="BD2" s="23" t="str">
        <f>AX2&amp;AY2&amp;AZ2&amp;BA2&amp;BB2&amp;BC2</f>
        <v>West and Central Africa</v>
      </c>
      <c r="BE2" s="24">
        <f t="shared" ref="BE2:BE65" si="1">DAY(C2)</f>
        <v>2</v>
      </c>
      <c r="BF2" s="24">
        <f t="shared" ref="BF2:BF65" si="2">MONTH(C2)</f>
        <v>2</v>
      </c>
    </row>
    <row r="3" spans="1:62" ht="16.25" customHeight="1" x14ac:dyDescent="0.2">
      <c r="A3">
        <v>566113</v>
      </c>
      <c r="B3" s="13">
        <v>41514</v>
      </c>
      <c r="C3" s="14">
        <v>41514</v>
      </c>
      <c r="E3" t="s">
        <v>74</v>
      </c>
      <c r="F3">
        <v>28253</v>
      </c>
      <c r="G3" t="s">
        <v>75</v>
      </c>
      <c r="H3" t="s">
        <v>76</v>
      </c>
      <c r="I3" t="s">
        <v>77</v>
      </c>
      <c r="J3" t="s">
        <v>78</v>
      </c>
      <c r="K3" t="s">
        <v>62</v>
      </c>
      <c r="L3" t="s">
        <v>63</v>
      </c>
      <c r="M3" t="s">
        <v>79</v>
      </c>
      <c r="N3" t="s">
        <v>80</v>
      </c>
      <c r="P3" t="s">
        <v>81</v>
      </c>
      <c r="R3">
        <v>4</v>
      </c>
      <c r="S3">
        <v>0</v>
      </c>
      <c r="T3" t="b">
        <v>0</v>
      </c>
      <c r="V3" t="s">
        <v>82</v>
      </c>
      <c r="W3" s="15">
        <v>-18.045000000000002</v>
      </c>
      <c r="X3" s="15">
        <v>35.206000000000003</v>
      </c>
      <c r="AF3" t="b">
        <v>0</v>
      </c>
      <c r="AI3" t="s">
        <v>70</v>
      </c>
      <c r="AJ3" t="s">
        <v>70</v>
      </c>
      <c r="AK3" t="s">
        <v>71</v>
      </c>
      <c r="AL3" t="s">
        <v>72</v>
      </c>
      <c r="AM3">
        <v>346053</v>
      </c>
      <c r="AO3" s="16" t="s">
        <v>73</v>
      </c>
      <c r="AP3" s="17" t="str">
        <f t="shared" si="0"/>
        <v>Off-nest female</v>
      </c>
      <c r="AX3" s="22" t="str">
        <f>IF(AND('[1]observations-276632'!W3&gt;'[1]Methods write-up'!$Q$16,'[1]observations-276632'!W3&lt;'[1]Methods write-up'!$R$16,'[1]observations-276632'!X3&gt;'[1]Methods write-up'!$S$16,'[1]observations-276632'!X3&lt;'[1]Methods write-up'!$T$16),"West and Central Africa","")</f>
        <v/>
      </c>
      <c r="AY3" s="22" t="str">
        <f>IF(AND('[1]observations-276632'!W3&gt;'[1]Methods write-up'!$Q$17,'[1]observations-276632'!W3&lt;'[1]Methods write-up'!$R$17,'[1]observations-276632'!X3&gt;'[1]Methods write-up'!$S$17,'[1]observations-276632'!X3&lt;'[1]Methods write-up'!$T$17),"Equatorial tropical forest","")</f>
        <v/>
      </c>
      <c r="AZ3" s="22" t="str">
        <f>IF(AND('[1]observations-276632'!W3&gt;'[1]Methods write-up'!$Q$18,'[1]observations-276632'!W3&lt;'[1]Methods write-up'!$R$18,'[1]observations-276632'!X3&gt;'[1]Methods write-up'!$S$18,'[1]observations-276632'!X3&lt;'[1]Methods write-up'!$T$18),"Somali peninsula","")</f>
        <v/>
      </c>
      <c r="BA3" s="22" t="str">
        <f>IF(AND('[1]observations-276632'!W3&gt;'[1]Methods write-up'!$Q$19,'[1]observations-276632'!W3&lt;'[1]Methods write-up'!$R$19,'[1]observations-276632'!X3&gt;'[1]Methods write-up'!$S$19,'[1]observations-276632'!X3&lt;'[1]Methods write-up'!$T$19),"East Africa","")</f>
        <v/>
      </c>
      <c r="BB3" s="22" t="str">
        <f>IF(AND('[1]observations-276632'!W3&gt;'[1]Methods write-up'!$Q$20,'[1]observations-276632'!W3&lt;'[1]Methods write-up'!$R$20,'[1]observations-276632'!X3&gt;'[1]Methods write-up'!$S$20,'[1]observations-276632'!X3&lt;'[1]Methods write-up'!$T$20),"Temperate seasonal","")</f>
        <v/>
      </c>
      <c r="BC3" s="22" t="str">
        <f>IF(AND('[1]observations-276632'!W3&gt;'[1]Methods write-up'!$Q$21,'[1]observations-276632'!W3&lt;'[1]Methods write-up'!$R$21,'[1]observations-276632'!X3&gt;'[1]Methods write-up'!$S$21,'[1]observations-276632'!X3&lt;'[1]Methods write-up'!$T$21),"Desert and high aridity","")</f>
        <v/>
      </c>
      <c r="BD3" s="23" t="str">
        <f t="shared" ref="BD3:BD66" si="3">AX3&amp;AY3&amp;AZ3&amp;BA3&amp;BB3&amp;BC3</f>
        <v/>
      </c>
      <c r="BE3" s="24">
        <f t="shared" si="1"/>
        <v>28</v>
      </c>
      <c r="BF3" s="24">
        <f t="shared" si="2"/>
        <v>8</v>
      </c>
    </row>
    <row r="4" spans="1:62" ht="16.25" customHeight="1" x14ac:dyDescent="0.2">
      <c r="A4">
        <v>622255</v>
      </c>
      <c r="B4" s="25">
        <v>41741.625</v>
      </c>
      <c r="C4" s="14">
        <v>41741</v>
      </c>
      <c r="D4" t="s">
        <v>83</v>
      </c>
      <c r="E4" t="s">
        <v>84</v>
      </c>
      <c r="F4">
        <v>32124</v>
      </c>
      <c r="G4" t="s">
        <v>85</v>
      </c>
      <c r="H4" t="s">
        <v>86</v>
      </c>
      <c r="I4" t="s">
        <v>87</v>
      </c>
      <c r="J4" t="s">
        <v>88</v>
      </c>
      <c r="K4" t="s">
        <v>62</v>
      </c>
      <c r="L4" t="s">
        <v>63</v>
      </c>
      <c r="M4" t="s">
        <v>89</v>
      </c>
      <c r="N4" t="s">
        <v>90</v>
      </c>
      <c r="R4">
        <v>2</v>
      </c>
      <c r="S4">
        <v>0</v>
      </c>
      <c r="T4" t="b">
        <v>0</v>
      </c>
      <c r="V4" t="s">
        <v>91</v>
      </c>
      <c r="W4" s="15">
        <v>-9.4875559999999997</v>
      </c>
      <c r="X4" s="15">
        <v>34.02375</v>
      </c>
      <c r="Y4">
        <v>17122</v>
      </c>
      <c r="AC4">
        <v>17122</v>
      </c>
      <c r="AF4" t="b">
        <v>0</v>
      </c>
      <c r="AH4" t="s">
        <v>92</v>
      </c>
      <c r="AI4" t="s">
        <v>70</v>
      </c>
      <c r="AJ4" t="s">
        <v>70</v>
      </c>
      <c r="AK4" t="s">
        <v>71</v>
      </c>
      <c r="AL4" t="s">
        <v>72</v>
      </c>
      <c r="AM4">
        <v>346053</v>
      </c>
      <c r="AO4" s="16" t="s">
        <v>73</v>
      </c>
      <c r="AP4" s="17" t="str">
        <f t="shared" si="0"/>
        <v>Off-nest female</v>
      </c>
      <c r="AX4" s="22" t="str">
        <f>IF(AND('[1]observations-276632'!W4&gt;'[1]Methods write-up'!$Q$16,'[1]observations-276632'!W4&lt;'[1]Methods write-up'!$R$16,'[1]observations-276632'!X4&gt;'[1]Methods write-up'!$S$16,'[1]observations-276632'!X4&lt;'[1]Methods write-up'!$T$16),"West and Central Africa","")</f>
        <v/>
      </c>
      <c r="AY4" s="22" t="str">
        <f>IF(AND('[1]observations-276632'!W4&gt;'[1]Methods write-up'!$Q$17,'[1]observations-276632'!W4&lt;'[1]Methods write-up'!$R$17,'[1]observations-276632'!X4&gt;'[1]Methods write-up'!$S$17,'[1]observations-276632'!X4&lt;'[1]Methods write-up'!$T$17),"Equatorial tropical forest","")</f>
        <v/>
      </c>
      <c r="AZ4" s="22" t="str">
        <f>IF(AND('[1]observations-276632'!W4&gt;'[1]Methods write-up'!$Q$18,'[1]observations-276632'!W4&lt;'[1]Methods write-up'!$R$18,'[1]observations-276632'!X4&gt;'[1]Methods write-up'!$S$18,'[1]observations-276632'!X4&lt;'[1]Methods write-up'!$T$18),"Somali peninsula","")</f>
        <v/>
      </c>
      <c r="BA4" s="22" t="str">
        <f>IF(AND('[1]observations-276632'!W4&gt;'[1]Methods write-up'!$Q$19,'[1]observations-276632'!W4&lt;'[1]Methods write-up'!$R$19,'[1]observations-276632'!X4&gt;'[1]Methods write-up'!$S$19,'[1]observations-276632'!X4&lt;'[1]Methods write-up'!$T$19),"East Africa","")</f>
        <v>East Africa</v>
      </c>
      <c r="BB4" s="22" t="str">
        <f>IF(AND('[1]observations-276632'!W4&gt;'[1]Methods write-up'!$Q$20,'[1]observations-276632'!W4&lt;'[1]Methods write-up'!$R$20,'[1]observations-276632'!X4&gt;'[1]Methods write-up'!$S$20,'[1]observations-276632'!X4&lt;'[1]Methods write-up'!$T$20),"Temperate seasonal","")</f>
        <v/>
      </c>
      <c r="BC4" s="22" t="str">
        <f>IF(AND('[1]observations-276632'!W4&gt;'[1]Methods write-up'!$Q$21,'[1]observations-276632'!W4&lt;'[1]Methods write-up'!$R$21,'[1]observations-276632'!X4&gt;'[1]Methods write-up'!$S$21,'[1]observations-276632'!X4&lt;'[1]Methods write-up'!$T$21),"Desert and high aridity","")</f>
        <v/>
      </c>
      <c r="BD4" s="23" t="str">
        <f t="shared" si="3"/>
        <v>East Africa</v>
      </c>
      <c r="BE4" s="24">
        <f t="shared" si="1"/>
        <v>12</v>
      </c>
      <c r="BF4" s="24">
        <f t="shared" si="2"/>
        <v>4</v>
      </c>
    </row>
    <row r="5" spans="1:62" ht="16.25" customHeight="1" x14ac:dyDescent="0.2">
      <c r="A5">
        <v>714543</v>
      </c>
      <c r="B5" s="13">
        <v>41759</v>
      </c>
      <c r="C5" s="14">
        <v>41759</v>
      </c>
      <c r="E5" t="s">
        <v>93</v>
      </c>
      <c r="F5">
        <v>5643</v>
      </c>
      <c r="G5" t="s">
        <v>94</v>
      </c>
      <c r="H5" t="s">
        <v>95</v>
      </c>
      <c r="I5" t="s">
        <v>96</v>
      </c>
      <c r="J5" t="s">
        <v>97</v>
      </c>
      <c r="K5" t="s">
        <v>62</v>
      </c>
      <c r="L5" t="s">
        <v>98</v>
      </c>
      <c r="M5" t="s">
        <v>99</v>
      </c>
      <c r="N5" t="s">
        <v>100</v>
      </c>
      <c r="R5">
        <v>1</v>
      </c>
      <c r="S5">
        <v>0</v>
      </c>
      <c r="T5" t="b">
        <v>0</v>
      </c>
      <c r="V5" t="s">
        <v>101</v>
      </c>
      <c r="W5" s="15">
        <v>2.4541170000000001</v>
      </c>
      <c r="X5" s="15">
        <v>15.421167000000001</v>
      </c>
      <c r="Y5">
        <v>50</v>
      </c>
      <c r="AC5">
        <v>50</v>
      </c>
      <c r="AF5" t="b">
        <v>0</v>
      </c>
      <c r="AI5" t="s">
        <v>102</v>
      </c>
      <c r="AJ5" t="s">
        <v>70</v>
      </c>
      <c r="AK5" t="s">
        <v>71</v>
      </c>
      <c r="AL5" t="s">
        <v>72</v>
      </c>
      <c r="AM5">
        <v>346053</v>
      </c>
      <c r="AO5" s="16" t="s">
        <v>103</v>
      </c>
      <c r="AP5" s="17" t="str">
        <f t="shared" si="0"/>
        <v>Nest (unclear stage)</v>
      </c>
      <c r="AQ5" s="18">
        <v>1</v>
      </c>
      <c r="AT5" s="19" t="s">
        <v>104</v>
      </c>
      <c r="AX5" s="22" t="str">
        <f>IF(AND('[1]observations-276632'!W5&gt;'[1]Methods write-up'!$Q$16,'[1]observations-276632'!W5&lt;'[1]Methods write-up'!$R$16,'[1]observations-276632'!X5&gt;'[1]Methods write-up'!$S$16,'[1]observations-276632'!X5&lt;'[1]Methods write-up'!$T$16),"West and Central Africa","")</f>
        <v>West and Central Africa</v>
      </c>
      <c r="AY5" s="22" t="str">
        <f>IF(AND('[1]observations-276632'!W5&gt;'[1]Methods write-up'!$Q$17,'[1]observations-276632'!W5&lt;'[1]Methods write-up'!$R$17,'[1]observations-276632'!X5&gt;'[1]Methods write-up'!$S$17,'[1]observations-276632'!X5&lt;'[1]Methods write-up'!$T$17),"Equatorial tropical forest","")</f>
        <v/>
      </c>
      <c r="AZ5" s="22" t="str">
        <f>IF(AND('[1]observations-276632'!W5&gt;'[1]Methods write-up'!$Q$18,'[1]observations-276632'!W5&lt;'[1]Methods write-up'!$R$18,'[1]observations-276632'!X5&gt;'[1]Methods write-up'!$S$18,'[1]observations-276632'!X5&lt;'[1]Methods write-up'!$T$18),"Somali peninsula","")</f>
        <v/>
      </c>
      <c r="BA5" s="22" t="str">
        <f>IF(AND('[1]observations-276632'!W5&gt;'[1]Methods write-up'!$Q$19,'[1]observations-276632'!W5&lt;'[1]Methods write-up'!$R$19,'[1]observations-276632'!X5&gt;'[1]Methods write-up'!$S$19,'[1]observations-276632'!X5&lt;'[1]Methods write-up'!$T$19),"East Africa","")</f>
        <v/>
      </c>
      <c r="BB5" s="22" t="str">
        <f>IF(AND('[1]observations-276632'!W5&gt;'[1]Methods write-up'!$Q$20,'[1]observations-276632'!W5&lt;'[1]Methods write-up'!$R$20,'[1]observations-276632'!X5&gt;'[1]Methods write-up'!$S$20,'[1]observations-276632'!X5&lt;'[1]Methods write-up'!$T$20),"Temperate seasonal","")</f>
        <v/>
      </c>
      <c r="BC5" s="22" t="str">
        <f>IF(AND('[1]observations-276632'!W5&gt;'[1]Methods write-up'!$Q$21,'[1]observations-276632'!W5&lt;'[1]Methods write-up'!$R$21,'[1]observations-276632'!X5&gt;'[1]Methods write-up'!$S$21,'[1]observations-276632'!X5&lt;'[1]Methods write-up'!$T$21),"Desert and high aridity","")</f>
        <v/>
      </c>
      <c r="BD5" s="23" t="str">
        <f t="shared" si="3"/>
        <v>West and Central Africa</v>
      </c>
      <c r="BE5" s="24">
        <f t="shared" si="1"/>
        <v>30</v>
      </c>
      <c r="BF5" s="24">
        <f t="shared" si="2"/>
        <v>4</v>
      </c>
    </row>
    <row r="6" spans="1:62" ht="16.25" customHeight="1" x14ac:dyDescent="0.2">
      <c r="A6">
        <v>715213</v>
      </c>
      <c r="B6" s="13">
        <v>41768</v>
      </c>
      <c r="C6" s="14">
        <v>41768</v>
      </c>
      <c r="E6" t="s">
        <v>93</v>
      </c>
      <c r="F6">
        <v>5643</v>
      </c>
      <c r="G6" t="s">
        <v>94</v>
      </c>
      <c r="H6" t="s">
        <v>95</v>
      </c>
      <c r="I6" t="s">
        <v>105</v>
      </c>
      <c r="J6" t="s">
        <v>106</v>
      </c>
      <c r="K6" t="s">
        <v>62</v>
      </c>
      <c r="L6" t="s">
        <v>98</v>
      </c>
      <c r="M6" t="s">
        <v>107</v>
      </c>
      <c r="N6" t="s">
        <v>108</v>
      </c>
      <c r="R6">
        <v>5</v>
      </c>
      <c r="S6">
        <v>0</v>
      </c>
      <c r="T6" t="b">
        <v>0</v>
      </c>
      <c r="V6" t="s">
        <v>109</v>
      </c>
      <c r="W6" s="15">
        <v>7.1335430000000004</v>
      </c>
      <c r="X6" s="15">
        <v>13.696059</v>
      </c>
      <c r="Y6">
        <v>28</v>
      </c>
      <c r="AC6">
        <v>28</v>
      </c>
      <c r="AF6" t="b">
        <v>0</v>
      </c>
      <c r="AI6" t="s">
        <v>70</v>
      </c>
      <c r="AJ6" t="s">
        <v>70</v>
      </c>
      <c r="AK6" t="s">
        <v>71</v>
      </c>
      <c r="AL6" t="s">
        <v>72</v>
      </c>
      <c r="AM6">
        <v>346053</v>
      </c>
      <c r="AO6" s="16" t="s">
        <v>110</v>
      </c>
      <c r="AP6" s="17" t="str">
        <f t="shared" si="0"/>
        <v>Nest (foundress)</v>
      </c>
      <c r="AQ6" s="18">
        <v>1</v>
      </c>
      <c r="AT6" s="19" t="s">
        <v>104</v>
      </c>
      <c r="AX6" s="22" t="str">
        <f>IF(AND('[1]observations-276632'!W6&gt;'[1]Methods write-up'!$Q$16,'[1]observations-276632'!W6&lt;'[1]Methods write-up'!$R$16,'[1]observations-276632'!X6&gt;'[1]Methods write-up'!$S$16,'[1]observations-276632'!X6&lt;'[1]Methods write-up'!$T$16),"West and Central Africa","")</f>
        <v>West and Central Africa</v>
      </c>
      <c r="AY6" s="22" t="str">
        <f>IF(AND('[1]observations-276632'!W6&gt;'[1]Methods write-up'!$Q$17,'[1]observations-276632'!W6&lt;'[1]Methods write-up'!$R$17,'[1]observations-276632'!X6&gt;'[1]Methods write-up'!$S$17,'[1]observations-276632'!X6&lt;'[1]Methods write-up'!$T$17),"Equatorial tropical forest","")</f>
        <v/>
      </c>
      <c r="AZ6" s="22" t="str">
        <f>IF(AND('[1]observations-276632'!W6&gt;'[1]Methods write-up'!$Q$18,'[1]observations-276632'!W6&lt;'[1]Methods write-up'!$R$18,'[1]observations-276632'!X6&gt;'[1]Methods write-up'!$S$18,'[1]observations-276632'!X6&lt;'[1]Methods write-up'!$T$18),"Somali peninsula","")</f>
        <v/>
      </c>
      <c r="BA6" s="22" t="str">
        <f>IF(AND('[1]observations-276632'!W6&gt;'[1]Methods write-up'!$Q$19,'[1]observations-276632'!W6&lt;'[1]Methods write-up'!$R$19,'[1]observations-276632'!X6&gt;'[1]Methods write-up'!$S$19,'[1]observations-276632'!X6&lt;'[1]Methods write-up'!$T$19),"East Africa","")</f>
        <v/>
      </c>
      <c r="BB6" s="22" t="str">
        <f>IF(AND('[1]observations-276632'!W6&gt;'[1]Methods write-up'!$Q$20,'[1]observations-276632'!W6&lt;'[1]Methods write-up'!$R$20,'[1]observations-276632'!X6&gt;'[1]Methods write-up'!$S$20,'[1]observations-276632'!X6&lt;'[1]Methods write-up'!$T$20),"Temperate seasonal","")</f>
        <v/>
      </c>
      <c r="BC6" s="22" t="str">
        <f>IF(AND('[1]observations-276632'!W6&gt;'[1]Methods write-up'!$Q$21,'[1]observations-276632'!W6&lt;'[1]Methods write-up'!$R$21,'[1]observations-276632'!X6&gt;'[1]Methods write-up'!$S$21,'[1]observations-276632'!X6&lt;'[1]Methods write-up'!$T$21),"Desert and high aridity","")</f>
        <v/>
      </c>
      <c r="BD6" s="23" t="str">
        <f t="shared" si="3"/>
        <v>West and Central Africa</v>
      </c>
      <c r="BE6" s="24">
        <f t="shared" si="1"/>
        <v>9</v>
      </c>
      <c r="BF6" s="24">
        <f t="shared" si="2"/>
        <v>5</v>
      </c>
    </row>
    <row r="7" spans="1:62" ht="16.25" customHeight="1" x14ac:dyDescent="0.2">
      <c r="A7">
        <v>845695</v>
      </c>
      <c r="B7" t="s">
        <v>111</v>
      </c>
      <c r="C7" s="14">
        <v>41865</v>
      </c>
      <c r="D7" t="s">
        <v>112</v>
      </c>
      <c r="E7" t="s">
        <v>113</v>
      </c>
      <c r="F7">
        <v>1000</v>
      </c>
      <c r="G7" t="s">
        <v>114</v>
      </c>
      <c r="H7" t="s">
        <v>115</v>
      </c>
      <c r="I7" t="s">
        <v>116</v>
      </c>
      <c r="J7" t="s">
        <v>117</v>
      </c>
      <c r="K7" t="s">
        <v>62</v>
      </c>
      <c r="L7" t="s">
        <v>118</v>
      </c>
      <c r="M7" t="s">
        <v>119</v>
      </c>
      <c r="N7" t="s">
        <v>120</v>
      </c>
      <c r="R7">
        <v>3</v>
      </c>
      <c r="S7">
        <v>0</v>
      </c>
      <c r="T7" t="b">
        <v>0</v>
      </c>
      <c r="V7" t="s">
        <v>121</v>
      </c>
      <c r="W7" s="15">
        <v>-24.980592000000001</v>
      </c>
      <c r="X7" s="15">
        <v>31.486158</v>
      </c>
      <c r="Y7">
        <v>50</v>
      </c>
      <c r="AC7">
        <v>50</v>
      </c>
      <c r="AF7" t="b">
        <v>0</v>
      </c>
      <c r="AI7" t="s">
        <v>71</v>
      </c>
      <c r="AJ7" t="s">
        <v>70</v>
      </c>
      <c r="AK7" t="s">
        <v>71</v>
      </c>
      <c r="AL7" t="s">
        <v>72</v>
      </c>
      <c r="AM7">
        <v>346053</v>
      </c>
      <c r="AO7" s="16" t="s">
        <v>73</v>
      </c>
      <c r="AP7" s="17" t="str">
        <f t="shared" si="0"/>
        <v>Off-nest female</v>
      </c>
      <c r="AX7" s="22" t="str">
        <f>IF(AND('[1]observations-276632'!W7&gt;'[1]Methods write-up'!$Q$16,'[1]observations-276632'!W7&lt;'[1]Methods write-up'!$R$16,'[1]observations-276632'!X7&gt;'[1]Methods write-up'!$S$16,'[1]observations-276632'!X7&lt;'[1]Methods write-up'!$T$16),"West and Central Africa","")</f>
        <v/>
      </c>
      <c r="AY7" s="22" t="str">
        <f>IF(AND('[1]observations-276632'!W7&gt;'[1]Methods write-up'!$Q$17,'[1]observations-276632'!W7&lt;'[1]Methods write-up'!$R$17,'[1]observations-276632'!X7&gt;'[1]Methods write-up'!$S$17,'[1]observations-276632'!X7&lt;'[1]Methods write-up'!$T$17),"Equatorial tropical forest","")</f>
        <v/>
      </c>
      <c r="AZ7" s="22" t="str">
        <f>IF(AND('[1]observations-276632'!W7&gt;'[1]Methods write-up'!$Q$18,'[1]observations-276632'!W7&lt;'[1]Methods write-up'!$R$18,'[1]observations-276632'!X7&gt;'[1]Methods write-up'!$S$18,'[1]observations-276632'!X7&lt;'[1]Methods write-up'!$T$18),"Somali peninsula","")</f>
        <v/>
      </c>
      <c r="BA7" s="22" t="str">
        <f>IF(AND('[1]observations-276632'!W7&gt;'[1]Methods write-up'!$Q$19,'[1]observations-276632'!W7&lt;'[1]Methods write-up'!$R$19,'[1]observations-276632'!X7&gt;'[1]Methods write-up'!$S$19,'[1]observations-276632'!X7&lt;'[1]Methods write-up'!$T$19),"East Africa","")</f>
        <v/>
      </c>
      <c r="BB7" s="22" t="str">
        <f>IF(AND('[1]observations-276632'!W7&gt;'[1]Methods write-up'!$Q$20,'[1]observations-276632'!W7&lt;'[1]Methods write-up'!$R$20,'[1]observations-276632'!X7&gt;'[1]Methods write-up'!$S$20,'[1]observations-276632'!X7&lt;'[1]Methods write-up'!$T$20),"Temperate seasonal","")</f>
        <v/>
      </c>
      <c r="BC7" s="22" t="str">
        <f>IF(AND('[1]observations-276632'!W7&gt;'[1]Methods write-up'!$Q$21,'[1]observations-276632'!W7&lt;'[1]Methods write-up'!$R$21,'[1]observations-276632'!X7&gt;'[1]Methods write-up'!$S$21,'[1]observations-276632'!X7&lt;'[1]Methods write-up'!$T$21),"Desert and high aridity","")</f>
        <v/>
      </c>
      <c r="BD7" s="23" t="str">
        <f t="shared" si="3"/>
        <v/>
      </c>
      <c r="BE7" s="24">
        <f t="shared" si="1"/>
        <v>14</v>
      </c>
      <c r="BF7" s="24">
        <f t="shared" si="2"/>
        <v>8</v>
      </c>
    </row>
    <row r="8" spans="1:62" ht="16.25" customHeight="1" x14ac:dyDescent="0.2">
      <c r="A8">
        <v>867500</v>
      </c>
      <c r="B8" s="13">
        <v>41889</v>
      </c>
      <c r="C8" s="14">
        <v>41889</v>
      </c>
      <c r="E8" t="s">
        <v>122</v>
      </c>
      <c r="F8">
        <v>4358</v>
      </c>
      <c r="G8" t="s">
        <v>123</v>
      </c>
      <c r="H8" t="s">
        <v>124</v>
      </c>
      <c r="I8" t="s">
        <v>125</v>
      </c>
      <c r="J8" t="s">
        <v>126</v>
      </c>
      <c r="K8" t="s">
        <v>62</v>
      </c>
      <c r="L8" t="s">
        <v>127</v>
      </c>
      <c r="M8" t="s">
        <v>128</v>
      </c>
      <c r="N8" t="s">
        <v>129</v>
      </c>
      <c r="P8" t="s">
        <v>130</v>
      </c>
      <c r="Q8" t="s">
        <v>131</v>
      </c>
      <c r="R8">
        <v>3</v>
      </c>
      <c r="S8">
        <v>0</v>
      </c>
      <c r="T8" t="b">
        <v>0</v>
      </c>
      <c r="V8" t="s">
        <v>132</v>
      </c>
      <c r="W8" s="15">
        <v>4.864325</v>
      </c>
      <c r="X8" s="15">
        <v>31.519582</v>
      </c>
      <c r="Y8">
        <v>66</v>
      </c>
      <c r="AC8">
        <v>66</v>
      </c>
      <c r="AF8" t="b">
        <v>0</v>
      </c>
      <c r="AI8" t="s">
        <v>71</v>
      </c>
      <c r="AJ8" t="s">
        <v>70</v>
      </c>
      <c r="AK8" t="s">
        <v>71</v>
      </c>
      <c r="AL8" t="s">
        <v>72</v>
      </c>
      <c r="AM8">
        <v>346053</v>
      </c>
      <c r="AO8" s="16" t="s">
        <v>73</v>
      </c>
      <c r="AP8" s="17" t="str">
        <f t="shared" si="0"/>
        <v>Off-nest female</v>
      </c>
      <c r="AX8" s="22" t="str">
        <f>IF(AND('[1]observations-276632'!W8&gt;'[1]Methods write-up'!$Q$16,'[1]observations-276632'!W8&lt;'[1]Methods write-up'!$R$16,'[1]observations-276632'!X8&gt;'[1]Methods write-up'!$S$16,'[1]observations-276632'!X8&lt;'[1]Methods write-up'!$T$16),"West and Central Africa","")</f>
        <v/>
      </c>
      <c r="AY8" s="22" t="str">
        <f>IF(AND('[1]observations-276632'!W8&gt;'[1]Methods write-up'!$Q$17,'[1]observations-276632'!W8&lt;'[1]Methods write-up'!$R$17,'[1]observations-276632'!X8&gt;'[1]Methods write-up'!$S$17,'[1]observations-276632'!X8&lt;'[1]Methods write-up'!$T$17),"Equatorial tropical forest","")</f>
        <v/>
      </c>
      <c r="AZ8" s="22" t="str">
        <f>IF(AND('[1]observations-276632'!W8&gt;'[1]Methods write-up'!$Q$18,'[1]observations-276632'!W8&lt;'[1]Methods write-up'!$R$18,'[1]observations-276632'!X8&gt;'[1]Methods write-up'!$S$18,'[1]observations-276632'!X8&lt;'[1]Methods write-up'!$T$18),"Somali peninsula","")</f>
        <v/>
      </c>
      <c r="BA8" s="22" t="str">
        <f>IF(AND('[1]observations-276632'!W8&gt;'[1]Methods write-up'!$Q$19,'[1]observations-276632'!W8&lt;'[1]Methods write-up'!$R$19,'[1]observations-276632'!X8&gt;'[1]Methods write-up'!$S$19,'[1]observations-276632'!X8&lt;'[1]Methods write-up'!$T$19),"East Africa","")</f>
        <v/>
      </c>
      <c r="BB8" s="22" t="str">
        <f>IF(AND('[1]observations-276632'!W8&gt;'[1]Methods write-up'!$Q$20,'[1]observations-276632'!W8&lt;'[1]Methods write-up'!$R$20,'[1]observations-276632'!X8&gt;'[1]Methods write-up'!$S$20,'[1]observations-276632'!X8&lt;'[1]Methods write-up'!$T$20),"Temperate seasonal","")</f>
        <v/>
      </c>
      <c r="BC8" s="22" t="str">
        <f>IF(AND('[1]observations-276632'!W8&gt;'[1]Methods write-up'!$Q$21,'[1]observations-276632'!W8&lt;'[1]Methods write-up'!$R$21,'[1]observations-276632'!X8&gt;'[1]Methods write-up'!$S$21,'[1]observations-276632'!X8&lt;'[1]Methods write-up'!$T$21),"Desert and high aridity","")</f>
        <v/>
      </c>
      <c r="BD8" s="23" t="str">
        <f t="shared" si="3"/>
        <v/>
      </c>
      <c r="BE8" s="24">
        <f t="shared" si="1"/>
        <v>7</v>
      </c>
      <c r="BF8" s="24">
        <f t="shared" si="2"/>
        <v>9</v>
      </c>
    </row>
    <row r="9" spans="1:62" ht="16.25" customHeight="1" x14ac:dyDescent="0.2">
      <c r="A9">
        <v>1048278</v>
      </c>
      <c r="B9" s="25">
        <v>41886.363194444442</v>
      </c>
      <c r="C9" s="14">
        <v>41886</v>
      </c>
      <c r="D9" t="s">
        <v>133</v>
      </c>
      <c r="E9" t="s">
        <v>122</v>
      </c>
      <c r="F9">
        <v>40726</v>
      </c>
      <c r="G9" t="s">
        <v>134</v>
      </c>
      <c r="I9" t="s">
        <v>135</v>
      </c>
      <c r="J9" t="s">
        <v>136</v>
      </c>
      <c r="K9" t="s">
        <v>62</v>
      </c>
      <c r="L9" t="s">
        <v>63</v>
      </c>
      <c r="M9" t="s">
        <v>137</v>
      </c>
      <c r="N9" t="s">
        <v>138</v>
      </c>
      <c r="R9">
        <v>2</v>
      </c>
      <c r="S9">
        <v>0</v>
      </c>
      <c r="T9" t="b">
        <v>0</v>
      </c>
      <c r="V9" t="s">
        <v>139</v>
      </c>
      <c r="W9" s="15">
        <v>-3.3723010000000002</v>
      </c>
      <c r="X9" s="15">
        <v>36.694414000000002</v>
      </c>
      <c r="Y9">
        <v>13658</v>
      </c>
      <c r="AC9">
        <v>13658</v>
      </c>
      <c r="AF9" t="b">
        <v>0</v>
      </c>
      <c r="AI9" t="s">
        <v>71</v>
      </c>
      <c r="AJ9" t="s">
        <v>70</v>
      </c>
      <c r="AK9" t="s">
        <v>71</v>
      </c>
      <c r="AL9" t="s">
        <v>72</v>
      </c>
      <c r="AM9">
        <v>346053</v>
      </c>
      <c r="AO9" s="16" t="s">
        <v>140</v>
      </c>
      <c r="AP9" s="17" t="str">
        <f t="shared" si="0"/>
        <v>Post-emergence nest</v>
      </c>
      <c r="AQ9" s="18">
        <v>8</v>
      </c>
      <c r="AT9" s="19" t="s">
        <v>141</v>
      </c>
      <c r="AU9" s="20" t="s">
        <v>104</v>
      </c>
      <c r="AX9" s="22" t="str">
        <f>IF(AND('[1]observations-276632'!W9&gt;'[1]Methods write-up'!$Q$16,'[1]observations-276632'!W9&lt;'[1]Methods write-up'!$R$16,'[1]observations-276632'!X9&gt;'[1]Methods write-up'!$S$16,'[1]observations-276632'!X9&lt;'[1]Methods write-up'!$T$16),"West and Central Africa","")</f>
        <v/>
      </c>
      <c r="AY9" s="22" t="str">
        <f>IF(AND('[1]observations-276632'!W9&gt;'[1]Methods write-up'!$Q$17,'[1]observations-276632'!W9&lt;'[1]Methods write-up'!$R$17,'[1]observations-276632'!X9&gt;'[1]Methods write-up'!$S$17,'[1]observations-276632'!X9&lt;'[1]Methods write-up'!$T$17),"Equatorial tropical forest","")</f>
        <v/>
      </c>
      <c r="AZ9" s="22" t="str">
        <f>IF(AND('[1]observations-276632'!W9&gt;'[1]Methods write-up'!$Q$18,'[1]observations-276632'!W9&lt;'[1]Methods write-up'!$R$18,'[1]observations-276632'!X9&gt;'[1]Methods write-up'!$S$18,'[1]observations-276632'!X9&lt;'[1]Methods write-up'!$T$18),"Somali peninsula","")</f>
        <v/>
      </c>
      <c r="BA9" s="22" t="str">
        <f>IF(AND('[1]observations-276632'!W9&gt;'[1]Methods write-up'!$Q$19,'[1]observations-276632'!W9&lt;'[1]Methods write-up'!$R$19,'[1]observations-276632'!X9&gt;'[1]Methods write-up'!$S$19,'[1]observations-276632'!X9&lt;'[1]Methods write-up'!$T$19),"East Africa","")</f>
        <v>East Africa</v>
      </c>
      <c r="BB9" s="22" t="str">
        <f>IF(AND('[1]observations-276632'!W9&gt;'[1]Methods write-up'!$Q$20,'[1]observations-276632'!W9&lt;'[1]Methods write-up'!$R$20,'[1]observations-276632'!X9&gt;'[1]Methods write-up'!$S$20,'[1]observations-276632'!X9&lt;'[1]Methods write-up'!$T$20),"Temperate seasonal","")</f>
        <v/>
      </c>
      <c r="BC9" s="22" t="str">
        <f>IF(AND('[1]observations-276632'!W9&gt;'[1]Methods write-up'!$Q$21,'[1]observations-276632'!W9&lt;'[1]Methods write-up'!$R$21,'[1]observations-276632'!X9&gt;'[1]Methods write-up'!$S$21,'[1]observations-276632'!X9&lt;'[1]Methods write-up'!$T$21),"Desert and high aridity","")</f>
        <v/>
      </c>
      <c r="BD9" s="23" t="str">
        <f t="shared" si="3"/>
        <v>East Africa</v>
      </c>
      <c r="BE9" s="24">
        <f t="shared" si="1"/>
        <v>4</v>
      </c>
      <c r="BF9" s="24">
        <f t="shared" si="2"/>
        <v>9</v>
      </c>
    </row>
    <row r="10" spans="1:62" ht="16.25" customHeight="1" x14ac:dyDescent="0.2">
      <c r="A10">
        <v>1138814</v>
      </c>
      <c r="B10" t="s">
        <v>142</v>
      </c>
      <c r="C10" s="14">
        <v>41975</v>
      </c>
      <c r="D10" t="s">
        <v>143</v>
      </c>
      <c r="E10" t="s">
        <v>122</v>
      </c>
      <c r="F10">
        <v>1000</v>
      </c>
      <c r="G10" t="s">
        <v>114</v>
      </c>
      <c r="H10" t="s">
        <v>115</v>
      </c>
      <c r="I10" t="s">
        <v>144</v>
      </c>
      <c r="J10" t="s">
        <v>145</v>
      </c>
      <c r="K10" t="s">
        <v>62</v>
      </c>
      <c r="L10" t="s">
        <v>118</v>
      </c>
      <c r="M10" t="s">
        <v>146</v>
      </c>
      <c r="N10" t="s">
        <v>147</v>
      </c>
      <c r="R10">
        <v>2</v>
      </c>
      <c r="S10">
        <v>0</v>
      </c>
      <c r="T10" t="b">
        <v>0</v>
      </c>
      <c r="V10" t="s">
        <v>148</v>
      </c>
      <c r="W10" s="15">
        <v>-2.9518309999999999</v>
      </c>
      <c r="X10" s="15">
        <v>25.926703</v>
      </c>
      <c r="Y10">
        <v>15</v>
      </c>
      <c r="AC10">
        <v>15</v>
      </c>
      <c r="AF10" t="b">
        <v>0</v>
      </c>
      <c r="AH10" t="s">
        <v>149</v>
      </c>
      <c r="AI10" t="s">
        <v>71</v>
      </c>
      <c r="AJ10" t="s">
        <v>70</v>
      </c>
      <c r="AK10" t="s">
        <v>71</v>
      </c>
      <c r="AL10" t="s">
        <v>72</v>
      </c>
      <c r="AM10">
        <v>346053</v>
      </c>
      <c r="AO10" s="16" t="s">
        <v>150</v>
      </c>
      <c r="AP10" s="17" t="str">
        <f t="shared" si="0"/>
        <v>Male (off nest)</v>
      </c>
      <c r="AX10" s="22" t="str">
        <f>IF(AND('[1]observations-276632'!W10&gt;'[1]Methods write-up'!$Q$16,'[1]observations-276632'!W10&lt;'[1]Methods write-up'!$R$16,'[1]observations-276632'!X10&gt;'[1]Methods write-up'!$S$16,'[1]observations-276632'!X10&lt;'[1]Methods write-up'!$T$16),"West and Central Africa","")</f>
        <v>West and Central Africa</v>
      </c>
      <c r="AY10" s="22" t="str">
        <f>IF(AND('[1]observations-276632'!W10&gt;'[1]Methods write-up'!$Q$17,'[1]observations-276632'!W10&lt;'[1]Methods write-up'!$R$17,'[1]observations-276632'!X10&gt;'[1]Methods write-up'!$S$17,'[1]observations-276632'!X10&lt;'[1]Methods write-up'!$T$17),"Equatorial tropical forest","")</f>
        <v/>
      </c>
      <c r="AZ10" s="22" t="str">
        <f>IF(AND('[1]observations-276632'!W10&gt;'[1]Methods write-up'!$Q$18,'[1]observations-276632'!W10&lt;'[1]Methods write-up'!$R$18,'[1]observations-276632'!X10&gt;'[1]Methods write-up'!$S$18,'[1]observations-276632'!X10&lt;'[1]Methods write-up'!$T$18),"Somali peninsula","")</f>
        <v/>
      </c>
      <c r="BA10" s="22" t="str">
        <f>IF(AND('[1]observations-276632'!W10&gt;'[1]Methods write-up'!$Q$19,'[1]observations-276632'!W10&lt;'[1]Methods write-up'!$R$19,'[1]observations-276632'!X10&gt;'[1]Methods write-up'!$S$19,'[1]observations-276632'!X10&lt;'[1]Methods write-up'!$T$19),"East Africa","")</f>
        <v/>
      </c>
      <c r="BB10" s="22" t="str">
        <f>IF(AND('[1]observations-276632'!W10&gt;'[1]Methods write-up'!$Q$20,'[1]observations-276632'!W10&lt;'[1]Methods write-up'!$R$20,'[1]observations-276632'!X10&gt;'[1]Methods write-up'!$S$20,'[1]observations-276632'!X10&lt;'[1]Methods write-up'!$T$20),"Temperate seasonal","")</f>
        <v/>
      </c>
      <c r="BC10" s="22" t="str">
        <f>IF(AND('[1]observations-276632'!W10&gt;'[1]Methods write-up'!$Q$21,'[1]observations-276632'!W10&lt;'[1]Methods write-up'!$R$21,'[1]observations-276632'!X10&gt;'[1]Methods write-up'!$S$21,'[1]observations-276632'!X10&lt;'[1]Methods write-up'!$T$21),"Desert and high aridity","")</f>
        <v/>
      </c>
      <c r="BD10" s="23" t="str">
        <f t="shared" si="3"/>
        <v>West and Central Africa</v>
      </c>
      <c r="BE10" s="24">
        <f t="shared" si="1"/>
        <v>2</v>
      </c>
      <c r="BF10" s="24">
        <f t="shared" si="2"/>
        <v>12</v>
      </c>
    </row>
    <row r="11" spans="1:62" ht="16.25" customHeight="1" x14ac:dyDescent="0.2">
      <c r="A11">
        <v>1297338</v>
      </c>
      <c r="B11" t="s">
        <v>151</v>
      </c>
      <c r="C11" s="14">
        <v>42061</v>
      </c>
      <c r="D11" t="s">
        <v>152</v>
      </c>
      <c r="E11" t="s">
        <v>113</v>
      </c>
      <c r="F11">
        <v>520</v>
      </c>
      <c r="G11" t="s">
        <v>153</v>
      </c>
      <c r="H11" t="s">
        <v>154</v>
      </c>
      <c r="I11" t="s">
        <v>155</v>
      </c>
      <c r="J11" t="s">
        <v>156</v>
      </c>
      <c r="K11" t="s">
        <v>157</v>
      </c>
      <c r="L11" t="s">
        <v>63</v>
      </c>
      <c r="M11" t="s">
        <v>158</v>
      </c>
      <c r="N11" t="s">
        <v>159</v>
      </c>
      <c r="R11">
        <v>2</v>
      </c>
      <c r="S11">
        <v>0</v>
      </c>
      <c r="T11" t="b">
        <v>0</v>
      </c>
      <c r="U11">
        <v>3</v>
      </c>
      <c r="V11" t="s">
        <v>160</v>
      </c>
      <c r="W11" s="15">
        <v>-25.506781</v>
      </c>
      <c r="X11" s="15">
        <v>31.102143999999999</v>
      </c>
      <c r="Y11">
        <v>10</v>
      </c>
      <c r="AC11">
        <v>10</v>
      </c>
      <c r="AF11" t="b">
        <v>0</v>
      </c>
      <c r="AI11" t="s">
        <v>161</v>
      </c>
      <c r="AJ11" t="s">
        <v>161</v>
      </c>
      <c r="AL11" t="s">
        <v>72</v>
      </c>
      <c r="AM11">
        <v>366867</v>
      </c>
      <c r="AO11" s="16" t="s">
        <v>150</v>
      </c>
      <c r="AP11" s="17" t="str">
        <f t="shared" si="0"/>
        <v>Male (off nest)</v>
      </c>
      <c r="AV11" s="21" t="s">
        <v>162</v>
      </c>
      <c r="AX11" s="22" t="str">
        <f>IF(AND('[1]observations-276632'!W11&gt;'[1]Methods write-up'!$Q$16,'[1]observations-276632'!W11&lt;'[1]Methods write-up'!$R$16,'[1]observations-276632'!X11&gt;'[1]Methods write-up'!$S$16,'[1]observations-276632'!X11&lt;'[1]Methods write-up'!$T$16),"West and Central Africa","")</f>
        <v/>
      </c>
      <c r="AY11" s="22" t="str">
        <f>IF(AND('[1]observations-276632'!W11&gt;'[1]Methods write-up'!$Q$17,'[1]observations-276632'!W11&lt;'[1]Methods write-up'!$R$17,'[1]observations-276632'!X11&gt;'[1]Methods write-up'!$S$17,'[1]observations-276632'!X11&lt;'[1]Methods write-up'!$T$17),"Equatorial tropical forest","")</f>
        <v/>
      </c>
      <c r="AZ11" s="22" t="str">
        <f>IF(AND('[1]observations-276632'!W11&gt;'[1]Methods write-up'!$Q$18,'[1]observations-276632'!W11&lt;'[1]Methods write-up'!$R$18,'[1]observations-276632'!X11&gt;'[1]Methods write-up'!$S$18,'[1]observations-276632'!X11&lt;'[1]Methods write-up'!$T$18),"Somali peninsula","")</f>
        <v/>
      </c>
      <c r="BA11" s="22" t="str">
        <f>IF(AND('[1]observations-276632'!W11&gt;'[1]Methods write-up'!$Q$19,'[1]observations-276632'!W11&lt;'[1]Methods write-up'!$R$19,'[1]observations-276632'!X11&gt;'[1]Methods write-up'!$S$19,'[1]observations-276632'!X11&lt;'[1]Methods write-up'!$T$19),"East Africa","")</f>
        <v/>
      </c>
      <c r="BB11" s="22" t="str">
        <f>IF(AND('[1]observations-276632'!W11&gt;'[1]Methods write-up'!$Q$20,'[1]observations-276632'!W11&lt;'[1]Methods write-up'!$R$20,'[1]observations-276632'!X11&gt;'[1]Methods write-up'!$S$20,'[1]observations-276632'!X11&lt;'[1]Methods write-up'!$T$20),"Temperate seasonal","")</f>
        <v>Temperate seasonal</v>
      </c>
      <c r="BC11" s="22" t="str">
        <f>IF(AND('[1]observations-276632'!W11&gt;'[1]Methods write-up'!$Q$21,'[1]observations-276632'!W11&lt;'[1]Methods write-up'!$R$21,'[1]observations-276632'!X11&gt;'[1]Methods write-up'!$S$21,'[1]observations-276632'!X11&lt;'[1]Methods write-up'!$T$21),"Desert and high aridity","")</f>
        <v/>
      </c>
      <c r="BD11" s="23" t="str">
        <f t="shared" si="3"/>
        <v>Temperate seasonal</v>
      </c>
      <c r="BE11" s="24">
        <f t="shared" si="1"/>
        <v>26</v>
      </c>
      <c r="BF11" s="24">
        <f t="shared" si="2"/>
        <v>2</v>
      </c>
    </row>
    <row r="12" spans="1:62" ht="16.25" customHeight="1" x14ac:dyDescent="0.2">
      <c r="A12">
        <v>1446007</v>
      </c>
      <c r="B12" s="25">
        <v>38366.411805555559</v>
      </c>
      <c r="C12" s="14">
        <v>38366</v>
      </c>
      <c r="D12" t="s">
        <v>163</v>
      </c>
      <c r="E12" t="s">
        <v>164</v>
      </c>
      <c r="F12">
        <v>29474</v>
      </c>
      <c r="G12" t="s">
        <v>165</v>
      </c>
      <c r="H12" t="s">
        <v>166</v>
      </c>
      <c r="I12" t="s">
        <v>167</v>
      </c>
      <c r="J12" t="s">
        <v>168</v>
      </c>
      <c r="K12" t="s">
        <v>62</v>
      </c>
      <c r="L12" t="s">
        <v>127</v>
      </c>
      <c r="M12" t="s">
        <v>169</v>
      </c>
      <c r="N12" t="s">
        <v>170</v>
      </c>
      <c r="R12">
        <v>3</v>
      </c>
      <c r="S12">
        <v>0</v>
      </c>
      <c r="T12" t="b">
        <v>0</v>
      </c>
      <c r="V12" t="s">
        <v>171</v>
      </c>
      <c r="W12" s="15">
        <v>-1.351944</v>
      </c>
      <c r="X12" s="15">
        <v>36.712499999999999</v>
      </c>
      <c r="Y12">
        <v>500</v>
      </c>
      <c r="AC12">
        <v>500</v>
      </c>
      <c r="AF12" t="b">
        <v>0</v>
      </c>
      <c r="AI12" t="s">
        <v>70</v>
      </c>
      <c r="AJ12" t="s">
        <v>70</v>
      </c>
      <c r="AK12" t="s">
        <v>71</v>
      </c>
      <c r="AL12" t="s">
        <v>72</v>
      </c>
      <c r="AM12">
        <v>346053</v>
      </c>
      <c r="AO12" s="16" t="s">
        <v>172</v>
      </c>
      <c r="AP12" s="17" t="str">
        <f t="shared" si="0"/>
        <v>Nest (foundress)</v>
      </c>
      <c r="AQ12" s="18">
        <v>1</v>
      </c>
      <c r="AT12" s="19" t="s">
        <v>104</v>
      </c>
      <c r="AV12" s="21" t="s">
        <v>173</v>
      </c>
      <c r="AX12" s="22" t="str">
        <f>IF(AND('[1]observations-276632'!W12&gt;'[1]Methods write-up'!$Q$16,'[1]observations-276632'!W12&lt;'[1]Methods write-up'!$R$16,'[1]observations-276632'!X12&gt;'[1]Methods write-up'!$S$16,'[1]observations-276632'!X12&lt;'[1]Methods write-up'!$T$16),"West and Central Africa","")</f>
        <v/>
      </c>
      <c r="AY12" s="22" t="str">
        <f>IF(AND('[1]observations-276632'!W12&gt;'[1]Methods write-up'!$Q$17,'[1]observations-276632'!W12&lt;'[1]Methods write-up'!$R$17,'[1]observations-276632'!X12&gt;'[1]Methods write-up'!$S$17,'[1]observations-276632'!X12&lt;'[1]Methods write-up'!$T$17),"Equatorial tropical forest","")</f>
        <v/>
      </c>
      <c r="AZ12" s="22" t="str">
        <f>IF(AND('[1]observations-276632'!W12&gt;'[1]Methods write-up'!$Q$18,'[1]observations-276632'!W12&lt;'[1]Methods write-up'!$R$18,'[1]observations-276632'!X12&gt;'[1]Methods write-up'!$S$18,'[1]observations-276632'!X12&lt;'[1]Methods write-up'!$T$18),"Somali peninsula","")</f>
        <v/>
      </c>
      <c r="BA12" s="22" t="str">
        <f>IF(AND('[1]observations-276632'!W12&gt;'[1]Methods write-up'!$Q$19,'[1]observations-276632'!W12&lt;'[1]Methods write-up'!$R$19,'[1]observations-276632'!X12&gt;'[1]Methods write-up'!$S$19,'[1]observations-276632'!X12&lt;'[1]Methods write-up'!$T$19),"East Africa","")</f>
        <v>East Africa</v>
      </c>
      <c r="BB12" s="22" t="str">
        <f>IF(AND('[1]observations-276632'!W12&gt;'[1]Methods write-up'!$Q$20,'[1]observations-276632'!W12&lt;'[1]Methods write-up'!$R$20,'[1]observations-276632'!X12&gt;'[1]Methods write-up'!$S$20,'[1]observations-276632'!X12&lt;'[1]Methods write-up'!$T$20),"Temperate seasonal","")</f>
        <v/>
      </c>
      <c r="BC12" s="22" t="str">
        <f>IF(AND('[1]observations-276632'!W12&gt;'[1]Methods write-up'!$Q$21,'[1]observations-276632'!W12&lt;'[1]Methods write-up'!$R$21,'[1]observations-276632'!X12&gt;'[1]Methods write-up'!$S$21,'[1]observations-276632'!X12&lt;'[1]Methods write-up'!$T$21),"Desert and high aridity","")</f>
        <v/>
      </c>
      <c r="BD12" s="23" t="str">
        <f t="shared" si="3"/>
        <v>East Africa</v>
      </c>
      <c r="BE12" s="24">
        <f t="shared" si="1"/>
        <v>14</v>
      </c>
      <c r="BF12" s="24">
        <f t="shared" si="2"/>
        <v>1</v>
      </c>
    </row>
    <row r="13" spans="1:62" ht="16.25" customHeight="1" x14ac:dyDescent="0.2">
      <c r="A13">
        <v>1454705</v>
      </c>
      <c r="B13" s="25">
        <v>39804.28402777778</v>
      </c>
      <c r="C13" s="14">
        <v>39804</v>
      </c>
      <c r="D13" t="s">
        <v>174</v>
      </c>
      <c r="E13" t="s">
        <v>164</v>
      </c>
      <c r="F13">
        <v>29474</v>
      </c>
      <c r="G13" t="s">
        <v>165</v>
      </c>
      <c r="H13" t="s">
        <v>166</v>
      </c>
      <c r="I13" t="s">
        <v>175</v>
      </c>
      <c r="J13" t="s">
        <v>176</v>
      </c>
      <c r="K13" t="s">
        <v>157</v>
      </c>
      <c r="L13" t="s">
        <v>127</v>
      </c>
      <c r="M13" t="s">
        <v>177</v>
      </c>
      <c r="N13" t="s">
        <v>178</v>
      </c>
      <c r="R13">
        <v>3</v>
      </c>
      <c r="S13">
        <v>0</v>
      </c>
      <c r="T13" t="b">
        <v>0</v>
      </c>
      <c r="V13" t="s">
        <v>179</v>
      </c>
      <c r="W13" s="15">
        <v>12.538501999999999</v>
      </c>
      <c r="X13" s="15">
        <v>53.911628999999998</v>
      </c>
      <c r="Y13">
        <v>70000</v>
      </c>
      <c r="AC13">
        <v>70000</v>
      </c>
      <c r="AF13" t="b">
        <v>0</v>
      </c>
      <c r="AI13" t="s">
        <v>180</v>
      </c>
      <c r="AJ13" t="s">
        <v>180</v>
      </c>
      <c r="AL13" t="s">
        <v>72</v>
      </c>
      <c r="AM13">
        <v>461987</v>
      </c>
      <c r="AO13" s="16" t="s">
        <v>140</v>
      </c>
      <c r="AP13" s="17" t="str">
        <f t="shared" si="0"/>
        <v>Post-emergence nest</v>
      </c>
      <c r="AQ13" s="18">
        <v>1</v>
      </c>
      <c r="AT13" s="19" t="s">
        <v>104</v>
      </c>
      <c r="AU13" s="20" t="s">
        <v>104</v>
      </c>
      <c r="AV13" s="21" t="s">
        <v>181</v>
      </c>
      <c r="AX13" s="22" t="str">
        <f>IF(AND('[1]observations-276632'!W13&gt;'[1]Methods write-up'!$Q$16,'[1]observations-276632'!W13&lt;'[1]Methods write-up'!$R$16,'[1]observations-276632'!X13&gt;'[1]Methods write-up'!$S$16,'[1]observations-276632'!X13&lt;'[1]Methods write-up'!$T$16),"West and Central Africa","")</f>
        <v/>
      </c>
      <c r="AY13" s="22" t="str">
        <f>IF(AND('[1]observations-276632'!W13&gt;'[1]Methods write-up'!$Q$17,'[1]observations-276632'!W13&lt;'[1]Methods write-up'!$R$17,'[1]observations-276632'!X13&gt;'[1]Methods write-up'!$S$17,'[1]observations-276632'!X13&lt;'[1]Methods write-up'!$T$17),"Equatorial tropical forest","")</f>
        <v/>
      </c>
      <c r="AZ13" s="22" t="str">
        <f>IF(AND('[1]observations-276632'!W13&gt;'[1]Methods write-up'!$Q$18,'[1]observations-276632'!W13&lt;'[1]Methods write-up'!$R$18,'[1]observations-276632'!X13&gt;'[1]Methods write-up'!$S$18,'[1]observations-276632'!X13&lt;'[1]Methods write-up'!$T$18),"Somali peninsula","")</f>
        <v/>
      </c>
      <c r="BA13" s="22" t="str">
        <f>IF(AND('[1]observations-276632'!W13&gt;'[1]Methods write-up'!$Q$19,'[1]observations-276632'!W13&lt;'[1]Methods write-up'!$R$19,'[1]observations-276632'!X13&gt;'[1]Methods write-up'!$S$19,'[1]observations-276632'!X13&lt;'[1]Methods write-up'!$T$19),"East Africa","")</f>
        <v/>
      </c>
      <c r="BB13" s="22" t="str">
        <f>IF(AND('[1]observations-276632'!W13&gt;'[1]Methods write-up'!$Q$20,'[1]observations-276632'!W13&lt;'[1]Methods write-up'!$R$20,'[1]observations-276632'!X13&gt;'[1]Methods write-up'!$S$20,'[1]observations-276632'!X13&lt;'[1]Methods write-up'!$T$20),"Temperate seasonal","")</f>
        <v/>
      </c>
      <c r="BC13" s="22" t="str">
        <f>IF(AND('[1]observations-276632'!W13&gt;'[1]Methods write-up'!$Q$21,'[1]observations-276632'!W13&lt;'[1]Methods write-up'!$R$21,'[1]observations-276632'!X13&gt;'[1]Methods write-up'!$S$21,'[1]observations-276632'!X13&lt;'[1]Methods write-up'!$T$21),"Desert and high aridity","")</f>
        <v/>
      </c>
      <c r="BD13" s="23" t="str">
        <f t="shared" si="3"/>
        <v/>
      </c>
      <c r="BE13" s="24">
        <f t="shared" si="1"/>
        <v>22</v>
      </c>
      <c r="BF13" s="24">
        <f t="shared" si="2"/>
        <v>12</v>
      </c>
    </row>
    <row r="14" spans="1:62" ht="16.25" customHeight="1" x14ac:dyDescent="0.2">
      <c r="C14" s="14">
        <v>39804</v>
      </c>
      <c r="M14" t="s">
        <v>182</v>
      </c>
      <c r="W14" s="15">
        <v>12.538501999999999</v>
      </c>
      <c r="X14" s="15">
        <v>53.911628999999998</v>
      </c>
      <c r="AO14" s="16" t="s">
        <v>140</v>
      </c>
      <c r="AP14" s="17" t="str">
        <f t="shared" si="0"/>
        <v>Post-emergence nest</v>
      </c>
      <c r="AQ14" s="18">
        <v>14</v>
      </c>
      <c r="AT14" s="19" t="s">
        <v>141</v>
      </c>
      <c r="AU14" s="20" t="s">
        <v>104</v>
      </c>
      <c r="AX14" s="22" t="str">
        <f>IF(AND('[1]observations-276632'!W14&gt;'[1]Methods write-up'!$Q$16,'[1]observations-276632'!W14&lt;'[1]Methods write-up'!$R$16,'[1]observations-276632'!X14&gt;'[1]Methods write-up'!$S$16,'[1]observations-276632'!X14&lt;'[1]Methods write-up'!$T$16),"West and Central Africa","")</f>
        <v/>
      </c>
      <c r="AY14" s="22" t="str">
        <f>IF(AND('[1]observations-276632'!W14&gt;'[1]Methods write-up'!$Q$17,'[1]observations-276632'!W14&lt;'[1]Methods write-up'!$R$17,'[1]observations-276632'!X14&gt;'[1]Methods write-up'!$S$17,'[1]observations-276632'!X14&lt;'[1]Methods write-up'!$T$17),"Equatorial tropical forest","")</f>
        <v/>
      </c>
      <c r="AZ14" s="22" t="str">
        <f>IF(AND('[1]observations-276632'!W14&gt;'[1]Methods write-up'!$Q$18,'[1]observations-276632'!W14&lt;'[1]Methods write-up'!$R$18,'[1]observations-276632'!X14&gt;'[1]Methods write-up'!$S$18,'[1]observations-276632'!X14&lt;'[1]Methods write-up'!$T$18),"Somali peninsula","")</f>
        <v/>
      </c>
      <c r="BA14" s="22" t="str">
        <f>IF(AND('[1]observations-276632'!W14&gt;'[1]Methods write-up'!$Q$19,'[1]observations-276632'!W14&lt;'[1]Methods write-up'!$R$19,'[1]observations-276632'!X14&gt;'[1]Methods write-up'!$S$19,'[1]observations-276632'!X14&lt;'[1]Methods write-up'!$T$19),"East Africa","")</f>
        <v/>
      </c>
      <c r="BB14" s="22" t="str">
        <f>IF(AND('[1]observations-276632'!W14&gt;'[1]Methods write-up'!$Q$20,'[1]observations-276632'!W14&lt;'[1]Methods write-up'!$R$20,'[1]observations-276632'!X14&gt;'[1]Methods write-up'!$S$20,'[1]observations-276632'!X14&lt;'[1]Methods write-up'!$T$20),"Temperate seasonal","")</f>
        <v/>
      </c>
      <c r="BC14" s="22" t="str">
        <f>IF(AND('[1]observations-276632'!W14&gt;'[1]Methods write-up'!$Q$21,'[1]observations-276632'!W14&lt;'[1]Methods write-up'!$R$21,'[1]observations-276632'!X14&gt;'[1]Methods write-up'!$S$21,'[1]observations-276632'!X14&lt;'[1]Methods write-up'!$T$21),"Desert and high aridity","")</f>
        <v/>
      </c>
      <c r="BD14" s="23" t="str">
        <f t="shared" si="3"/>
        <v/>
      </c>
      <c r="BE14" s="24">
        <f t="shared" si="1"/>
        <v>22</v>
      </c>
      <c r="BF14" s="24">
        <f t="shared" si="2"/>
        <v>12</v>
      </c>
    </row>
    <row r="15" spans="1:62" ht="16.25" customHeight="1" x14ac:dyDescent="0.2">
      <c r="A15">
        <v>1496891</v>
      </c>
      <c r="B15" s="25">
        <v>42131.443749999999</v>
      </c>
      <c r="C15" s="14">
        <v>42131</v>
      </c>
      <c r="D15" t="s">
        <v>183</v>
      </c>
      <c r="E15" t="s">
        <v>74</v>
      </c>
      <c r="F15">
        <v>23072</v>
      </c>
      <c r="G15" t="s">
        <v>184</v>
      </c>
      <c r="I15" t="s">
        <v>185</v>
      </c>
      <c r="J15" t="s">
        <v>186</v>
      </c>
      <c r="K15" t="s">
        <v>62</v>
      </c>
      <c r="L15" t="s">
        <v>98</v>
      </c>
      <c r="M15" t="s">
        <v>187</v>
      </c>
      <c r="N15" t="s">
        <v>188</v>
      </c>
      <c r="Q15" t="s">
        <v>70</v>
      </c>
      <c r="R15">
        <v>3</v>
      </c>
      <c r="S15">
        <v>0</v>
      </c>
      <c r="T15" t="b">
        <v>0</v>
      </c>
      <c r="V15" t="s">
        <v>189</v>
      </c>
      <c r="W15" s="15">
        <v>-17.811640000000001</v>
      </c>
      <c r="X15" s="15">
        <v>31.080963000000001</v>
      </c>
      <c r="AF15" t="b">
        <v>0</v>
      </c>
      <c r="AI15" t="s">
        <v>71</v>
      </c>
      <c r="AJ15" t="s">
        <v>70</v>
      </c>
      <c r="AK15" t="s">
        <v>71</v>
      </c>
      <c r="AL15" t="s">
        <v>72</v>
      </c>
      <c r="AM15">
        <v>346053</v>
      </c>
      <c r="AO15" s="16" t="s">
        <v>140</v>
      </c>
      <c r="AP15" s="17" t="str">
        <f t="shared" si="0"/>
        <v>Post-emergence nest</v>
      </c>
      <c r="AQ15" s="18">
        <v>22</v>
      </c>
      <c r="AT15" s="19" t="s">
        <v>141</v>
      </c>
      <c r="AU15" s="20" t="s">
        <v>141</v>
      </c>
      <c r="AV15" s="21" t="s">
        <v>190</v>
      </c>
      <c r="AX15" s="22" t="str">
        <f>IF(AND('[1]observations-276632'!W15&gt;'[1]Methods write-up'!$Q$16,'[1]observations-276632'!W15&lt;'[1]Methods write-up'!$R$16,'[1]observations-276632'!X15&gt;'[1]Methods write-up'!$S$16,'[1]observations-276632'!X15&lt;'[1]Methods write-up'!$T$16),"West and Central Africa","")</f>
        <v/>
      </c>
      <c r="AY15" s="22" t="str">
        <f>IF(AND('[1]observations-276632'!W15&gt;'[1]Methods write-up'!$Q$17,'[1]observations-276632'!W15&lt;'[1]Methods write-up'!$R$17,'[1]observations-276632'!X15&gt;'[1]Methods write-up'!$S$17,'[1]observations-276632'!X15&lt;'[1]Methods write-up'!$T$17),"Equatorial tropical forest","")</f>
        <v/>
      </c>
      <c r="AZ15" s="22" t="str">
        <f>IF(AND('[1]observations-276632'!W15&gt;'[1]Methods write-up'!$Q$18,'[1]observations-276632'!W15&lt;'[1]Methods write-up'!$R$18,'[1]observations-276632'!X15&gt;'[1]Methods write-up'!$S$18,'[1]observations-276632'!X15&lt;'[1]Methods write-up'!$T$18),"Somali peninsula","")</f>
        <v/>
      </c>
      <c r="BA15" s="22" t="str">
        <f>IF(AND('[1]observations-276632'!W15&gt;'[1]Methods write-up'!$Q$19,'[1]observations-276632'!W15&lt;'[1]Methods write-up'!$R$19,'[1]observations-276632'!X15&gt;'[1]Methods write-up'!$S$19,'[1]observations-276632'!X15&lt;'[1]Methods write-up'!$T$19),"East Africa","")</f>
        <v/>
      </c>
      <c r="BB15" s="22" t="str">
        <f>IF(AND('[1]observations-276632'!W15&gt;'[1]Methods write-up'!$Q$20,'[1]observations-276632'!W15&lt;'[1]Methods write-up'!$R$20,'[1]observations-276632'!X15&gt;'[1]Methods write-up'!$S$20,'[1]observations-276632'!X15&lt;'[1]Methods write-up'!$T$20),"Temperate seasonal","")</f>
        <v/>
      </c>
      <c r="BC15" s="22" t="str">
        <f>IF(AND('[1]observations-276632'!W15&gt;'[1]Methods write-up'!$Q$21,'[1]observations-276632'!W15&lt;'[1]Methods write-up'!$R$21,'[1]observations-276632'!X15&gt;'[1]Methods write-up'!$S$21,'[1]observations-276632'!X15&lt;'[1]Methods write-up'!$T$21),"Desert and high aridity","")</f>
        <v/>
      </c>
      <c r="BD15" s="23" t="str">
        <f t="shared" si="3"/>
        <v/>
      </c>
      <c r="BE15" s="24">
        <f t="shared" si="1"/>
        <v>7</v>
      </c>
      <c r="BF15" s="24">
        <f t="shared" si="2"/>
        <v>5</v>
      </c>
    </row>
    <row r="16" spans="1:62" ht="16.25" customHeight="1" x14ac:dyDescent="0.2">
      <c r="A16">
        <v>1571659</v>
      </c>
      <c r="B16" t="s">
        <v>191</v>
      </c>
      <c r="C16" s="14">
        <v>42155</v>
      </c>
      <c r="D16" t="s">
        <v>192</v>
      </c>
      <c r="E16" t="s">
        <v>193</v>
      </c>
      <c r="F16">
        <v>50393</v>
      </c>
      <c r="G16" t="s">
        <v>194</v>
      </c>
      <c r="I16" t="s">
        <v>195</v>
      </c>
      <c r="J16" t="s">
        <v>196</v>
      </c>
      <c r="K16" t="s">
        <v>62</v>
      </c>
      <c r="L16" t="s">
        <v>63</v>
      </c>
      <c r="M16" t="s">
        <v>197</v>
      </c>
      <c r="N16" t="s">
        <v>198</v>
      </c>
      <c r="Q16" t="s">
        <v>199</v>
      </c>
      <c r="R16">
        <v>5</v>
      </c>
      <c r="S16">
        <v>0</v>
      </c>
      <c r="T16" t="b">
        <v>0</v>
      </c>
      <c r="U16">
        <v>3</v>
      </c>
      <c r="V16" t="s">
        <v>200</v>
      </c>
      <c r="W16" s="15">
        <v>2.2106300000000001</v>
      </c>
      <c r="X16" s="15">
        <v>16.19275</v>
      </c>
      <c r="AF16" t="b">
        <v>0</v>
      </c>
      <c r="AI16" t="s">
        <v>71</v>
      </c>
      <c r="AJ16" t="s">
        <v>70</v>
      </c>
      <c r="AK16" t="s">
        <v>71</v>
      </c>
      <c r="AL16" t="s">
        <v>72</v>
      </c>
      <c r="AM16">
        <v>346053</v>
      </c>
      <c r="AO16" s="16" t="s">
        <v>140</v>
      </c>
      <c r="AP16" s="17" t="str">
        <f t="shared" si="0"/>
        <v>Post-emergence nest</v>
      </c>
      <c r="AQ16" s="18">
        <v>4</v>
      </c>
      <c r="AT16" s="19" t="s">
        <v>141</v>
      </c>
      <c r="AU16" s="20" t="s">
        <v>104</v>
      </c>
      <c r="AX16" s="22" t="str">
        <f>IF(AND('[1]observations-276632'!W16&gt;'[1]Methods write-up'!$Q$16,'[1]observations-276632'!W16&lt;'[1]Methods write-up'!$R$16,'[1]observations-276632'!X16&gt;'[1]Methods write-up'!$S$16,'[1]observations-276632'!X16&lt;'[1]Methods write-up'!$T$16),"West and Central Africa","")</f>
        <v>West and Central Africa</v>
      </c>
      <c r="AY16" s="22" t="str">
        <f>IF(AND('[1]observations-276632'!W16&gt;'[1]Methods write-up'!$Q$17,'[1]observations-276632'!W16&lt;'[1]Methods write-up'!$R$17,'[1]observations-276632'!X16&gt;'[1]Methods write-up'!$S$17,'[1]observations-276632'!X16&lt;'[1]Methods write-up'!$T$17),"Equatorial tropical forest","")</f>
        <v/>
      </c>
      <c r="AZ16" s="22" t="str">
        <f>IF(AND('[1]observations-276632'!W16&gt;'[1]Methods write-up'!$Q$18,'[1]observations-276632'!W16&lt;'[1]Methods write-up'!$R$18,'[1]observations-276632'!X16&gt;'[1]Methods write-up'!$S$18,'[1]observations-276632'!X16&lt;'[1]Methods write-up'!$T$18),"Somali peninsula","")</f>
        <v/>
      </c>
      <c r="BA16" s="22" t="str">
        <f>IF(AND('[1]observations-276632'!W16&gt;'[1]Methods write-up'!$Q$19,'[1]observations-276632'!W16&lt;'[1]Methods write-up'!$R$19,'[1]observations-276632'!X16&gt;'[1]Methods write-up'!$S$19,'[1]observations-276632'!X16&lt;'[1]Methods write-up'!$T$19),"East Africa","")</f>
        <v/>
      </c>
      <c r="BB16" s="22" t="str">
        <f>IF(AND('[1]observations-276632'!W16&gt;'[1]Methods write-up'!$Q$20,'[1]observations-276632'!W16&lt;'[1]Methods write-up'!$R$20,'[1]observations-276632'!X16&gt;'[1]Methods write-up'!$S$20,'[1]observations-276632'!X16&lt;'[1]Methods write-up'!$T$20),"Temperate seasonal","")</f>
        <v/>
      </c>
      <c r="BC16" s="22" t="str">
        <f>IF(AND('[1]observations-276632'!W16&gt;'[1]Methods write-up'!$Q$21,'[1]observations-276632'!W16&lt;'[1]Methods write-up'!$R$21,'[1]observations-276632'!X16&gt;'[1]Methods write-up'!$S$21,'[1]observations-276632'!X16&lt;'[1]Methods write-up'!$T$21),"Desert and high aridity","")</f>
        <v/>
      </c>
      <c r="BD16" s="23" t="str">
        <f t="shared" si="3"/>
        <v>West and Central Africa</v>
      </c>
      <c r="BE16" s="24">
        <f t="shared" si="1"/>
        <v>31</v>
      </c>
      <c r="BF16" s="24">
        <f t="shared" si="2"/>
        <v>5</v>
      </c>
    </row>
    <row r="17" spans="1:58" ht="16.25" customHeight="1" x14ac:dyDescent="0.2">
      <c r="A17">
        <v>2201130</v>
      </c>
      <c r="B17" s="13">
        <v>42065</v>
      </c>
      <c r="C17" s="14">
        <v>42065</v>
      </c>
      <c r="E17" t="s">
        <v>201</v>
      </c>
      <c r="F17">
        <v>47054</v>
      </c>
      <c r="G17" t="s">
        <v>202</v>
      </c>
      <c r="H17" t="s">
        <v>203</v>
      </c>
      <c r="I17" t="s">
        <v>204</v>
      </c>
      <c r="J17" t="s">
        <v>205</v>
      </c>
      <c r="K17" t="s">
        <v>157</v>
      </c>
      <c r="L17" t="s">
        <v>63</v>
      </c>
      <c r="M17" t="s">
        <v>206</v>
      </c>
      <c r="N17" t="s">
        <v>207</v>
      </c>
      <c r="R17">
        <v>3</v>
      </c>
      <c r="S17">
        <v>0</v>
      </c>
      <c r="T17" t="b">
        <v>0</v>
      </c>
      <c r="V17" t="s">
        <v>208</v>
      </c>
      <c r="W17" s="15">
        <v>-12.439175000000001</v>
      </c>
      <c r="X17" s="15">
        <v>49.246944999999997</v>
      </c>
      <c r="Y17">
        <v>416</v>
      </c>
      <c r="AC17">
        <v>416</v>
      </c>
      <c r="AF17" t="b">
        <v>0</v>
      </c>
      <c r="AI17" t="s">
        <v>209</v>
      </c>
      <c r="AJ17" t="s">
        <v>209</v>
      </c>
      <c r="AL17" t="s">
        <v>72</v>
      </c>
      <c r="AM17">
        <v>856341</v>
      </c>
      <c r="AO17" s="16" t="s">
        <v>140</v>
      </c>
      <c r="AP17" s="17" t="str">
        <f t="shared" si="0"/>
        <v>Post-emergence nest</v>
      </c>
      <c r="AQ17" s="18">
        <v>5</v>
      </c>
      <c r="AT17" s="19" t="s">
        <v>141</v>
      </c>
      <c r="AU17" s="20" t="s">
        <v>104</v>
      </c>
      <c r="AV17" s="21" t="s">
        <v>210</v>
      </c>
      <c r="AX17" s="22" t="str">
        <f>IF(AND('[1]observations-276632'!W17&gt;'[1]Methods write-up'!$Q$16,'[1]observations-276632'!W17&lt;'[1]Methods write-up'!$R$16,'[1]observations-276632'!X17&gt;'[1]Methods write-up'!$S$16,'[1]observations-276632'!X17&lt;'[1]Methods write-up'!$T$16),"West and Central Africa","")</f>
        <v/>
      </c>
      <c r="AY17" s="22" t="str">
        <f>IF(AND('[1]observations-276632'!W17&gt;'[1]Methods write-up'!$Q$17,'[1]observations-276632'!W17&lt;'[1]Methods write-up'!$R$17,'[1]observations-276632'!X17&gt;'[1]Methods write-up'!$S$17,'[1]observations-276632'!X17&lt;'[1]Methods write-up'!$T$17),"Equatorial tropical forest","")</f>
        <v/>
      </c>
      <c r="AZ17" s="22" t="str">
        <f>IF(AND('[1]observations-276632'!W17&gt;'[1]Methods write-up'!$Q$18,'[1]observations-276632'!W17&lt;'[1]Methods write-up'!$R$18,'[1]observations-276632'!X17&gt;'[1]Methods write-up'!$S$18,'[1]observations-276632'!X17&lt;'[1]Methods write-up'!$T$18),"Somali peninsula","")</f>
        <v/>
      </c>
      <c r="BA17" s="22" t="str">
        <f>IF(AND('[1]observations-276632'!W17&gt;'[1]Methods write-up'!$Q$19,'[1]observations-276632'!W17&lt;'[1]Methods write-up'!$R$19,'[1]observations-276632'!X17&gt;'[1]Methods write-up'!$S$19,'[1]observations-276632'!X17&lt;'[1]Methods write-up'!$T$19),"East Africa","")</f>
        <v/>
      </c>
      <c r="BB17" s="22" t="str">
        <f>IF(AND('[1]observations-276632'!W17&gt;'[1]Methods write-up'!$Q$20,'[1]observations-276632'!W17&lt;'[1]Methods write-up'!$R$20,'[1]observations-276632'!X17&gt;'[1]Methods write-up'!$S$20,'[1]observations-276632'!X17&lt;'[1]Methods write-up'!$T$20),"Temperate seasonal","")</f>
        <v/>
      </c>
      <c r="BC17" s="22" t="str">
        <f>IF(AND('[1]observations-276632'!W17&gt;'[1]Methods write-up'!$Q$21,'[1]observations-276632'!W17&lt;'[1]Methods write-up'!$R$21,'[1]observations-276632'!X17&gt;'[1]Methods write-up'!$S$21,'[1]observations-276632'!X17&lt;'[1]Methods write-up'!$T$21),"Desert and high aridity","")</f>
        <v/>
      </c>
      <c r="BD17" s="23" t="str">
        <f t="shared" si="3"/>
        <v/>
      </c>
      <c r="BE17" s="24">
        <f t="shared" si="1"/>
        <v>2</v>
      </c>
      <c r="BF17" s="24">
        <f t="shared" si="2"/>
        <v>3</v>
      </c>
    </row>
    <row r="18" spans="1:58" ht="16.25" customHeight="1" x14ac:dyDescent="0.2">
      <c r="A18">
        <v>2205764</v>
      </c>
      <c r="B18" s="25">
        <v>42289.400694444441</v>
      </c>
      <c r="C18" s="14">
        <v>42289</v>
      </c>
      <c r="D18" t="s">
        <v>211</v>
      </c>
      <c r="E18" t="s">
        <v>93</v>
      </c>
      <c r="F18">
        <v>32124</v>
      </c>
      <c r="G18" t="s">
        <v>85</v>
      </c>
      <c r="H18" t="s">
        <v>86</v>
      </c>
      <c r="I18" t="s">
        <v>212</v>
      </c>
      <c r="J18" t="s">
        <v>213</v>
      </c>
      <c r="K18" t="s">
        <v>62</v>
      </c>
      <c r="L18" t="s">
        <v>63</v>
      </c>
      <c r="M18" t="s">
        <v>214</v>
      </c>
      <c r="N18" t="s">
        <v>215</v>
      </c>
      <c r="R18">
        <v>1</v>
      </c>
      <c r="S18">
        <v>0</v>
      </c>
      <c r="T18" t="b">
        <v>0</v>
      </c>
      <c r="V18" t="s">
        <v>216</v>
      </c>
      <c r="W18" s="15">
        <v>-8.1823309999999996</v>
      </c>
      <c r="X18" s="15">
        <v>36.693547000000002</v>
      </c>
      <c r="AF18" t="b">
        <v>0</v>
      </c>
      <c r="AI18" t="s">
        <v>71</v>
      </c>
      <c r="AJ18" t="s">
        <v>70</v>
      </c>
      <c r="AK18" t="s">
        <v>71</v>
      </c>
      <c r="AL18" t="s">
        <v>72</v>
      </c>
      <c r="AM18">
        <v>346053</v>
      </c>
      <c r="AO18" s="16" t="s">
        <v>140</v>
      </c>
      <c r="AP18" s="17" t="str">
        <f t="shared" si="0"/>
        <v>Post-emergence nest</v>
      </c>
      <c r="AQ18" s="18">
        <v>9</v>
      </c>
      <c r="AT18" s="19" t="s">
        <v>141</v>
      </c>
      <c r="AU18" s="20" t="s">
        <v>141</v>
      </c>
      <c r="AX18" s="22" t="str">
        <f>IF(AND('[1]observations-276632'!W18&gt;'[1]Methods write-up'!$Q$16,'[1]observations-276632'!W18&lt;'[1]Methods write-up'!$R$16,'[1]observations-276632'!X18&gt;'[1]Methods write-up'!$S$16,'[1]observations-276632'!X18&lt;'[1]Methods write-up'!$T$16),"West and Central Africa","")</f>
        <v/>
      </c>
      <c r="AY18" s="22" t="str">
        <f>IF(AND('[1]observations-276632'!W18&gt;'[1]Methods write-up'!$Q$17,'[1]observations-276632'!W18&lt;'[1]Methods write-up'!$R$17,'[1]observations-276632'!X18&gt;'[1]Methods write-up'!$S$17,'[1]observations-276632'!X18&lt;'[1]Methods write-up'!$T$17),"Equatorial tropical forest","")</f>
        <v/>
      </c>
      <c r="AZ18" s="22" t="str">
        <f>IF(AND('[1]observations-276632'!W18&gt;'[1]Methods write-up'!$Q$18,'[1]observations-276632'!W18&lt;'[1]Methods write-up'!$R$18,'[1]observations-276632'!X18&gt;'[1]Methods write-up'!$S$18,'[1]observations-276632'!X18&lt;'[1]Methods write-up'!$T$18),"Somali peninsula","")</f>
        <v/>
      </c>
      <c r="BA18" s="22" t="str">
        <f>IF(AND('[1]observations-276632'!W18&gt;'[1]Methods write-up'!$Q$19,'[1]observations-276632'!W18&lt;'[1]Methods write-up'!$R$19,'[1]observations-276632'!X18&gt;'[1]Methods write-up'!$S$19,'[1]observations-276632'!X18&lt;'[1]Methods write-up'!$T$19),"East Africa","")</f>
        <v>East Africa</v>
      </c>
      <c r="BB18" s="22" t="str">
        <f>IF(AND('[1]observations-276632'!W18&gt;'[1]Methods write-up'!$Q$20,'[1]observations-276632'!W18&lt;'[1]Methods write-up'!$R$20,'[1]observations-276632'!X18&gt;'[1]Methods write-up'!$S$20,'[1]observations-276632'!X18&lt;'[1]Methods write-up'!$T$20),"Temperate seasonal","")</f>
        <v/>
      </c>
      <c r="BC18" s="22" t="str">
        <f>IF(AND('[1]observations-276632'!W18&gt;'[1]Methods write-up'!$Q$21,'[1]observations-276632'!W18&lt;'[1]Methods write-up'!$R$21,'[1]observations-276632'!X18&gt;'[1]Methods write-up'!$S$21,'[1]observations-276632'!X18&lt;'[1]Methods write-up'!$T$21),"Desert and high aridity","")</f>
        <v/>
      </c>
      <c r="BD18" s="23" t="str">
        <f t="shared" si="3"/>
        <v>East Africa</v>
      </c>
      <c r="BE18" s="24">
        <f t="shared" si="1"/>
        <v>12</v>
      </c>
      <c r="BF18" s="24">
        <f t="shared" si="2"/>
        <v>10</v>
      </c>
    </row>
    <row r="19" spans="1:58" ht="16.25" customHeight="1" x14ac:dyDescent="0.2">
      <c r="A19">
        <v>2211188</v>
      </c>
      <c r="B19" s="25">
        <v>42289.844444444447</v>
      </c>
      <c r="C19" s="14">
        <v>42289</v>
      </c>
      <c r="D19" t="s">
        <v>217</v>
      </c>
      <c r="E19" t="s">
        <v>93</v>
      </c>
      <c r="F19">
        <v>32124</v>
      </c>
      <c r="G19" t="s">
        <v>85</v>
      </c>
      <c r="H19" t="s">
        <v>86</v>
      </c>
      <c r="I19" t="s">
        <v>218</v>
      </c>
      <c r="J19" t="s">
        <v>219</v>
      </c>
      <c r="K19" t="s">
        <v>62</v>
      </c>
      <c r="L19" t="s">
        <v>63</v>
      </c>
      <c r="M19" t="s">
        <v>220</v>
      </c>
      <c r="N19" t="s">
        <v>221</v>
      </c>
      <c r="R19">
        <v>2</v>
      </c>
      <c r="S19">
        <v>0</v>
      </c>
      <c r="T19" t="b">
        <v>0</v>
      </c>
      <c r="V19" t="s">
        <v>222</v>
      </c>
      <c r="W19" s="15">
        <v>-7.8481670000000001</v>
      </c>
      <c r="X19" s="15">
        <v>36.890385999999999</v>
      </c>
      <c r="AF19" t="b">
        <v>0</v>
      </c>
      <c r="AI19" t="s">
        <v>71</v>
      </c>
      <c r="AJ19" t="s">
        <v>70</v>
      </c>
      <c r="AK19" t="s">
        <v>71</v>
      </c>
      <c r="AL19" t="s">
        <v>72</v>
      </c>
      <c r="AM19">
        <v>346053</v>
      </c>
      <c r="AO19" s="16" t="s">
        <v>150</v>
      </c>
      <c r="AP19" s="17" t="str">
        <f t="shared" si="0"/>
        <v>Male (off nest)</v>
      </c>
      <c r="AX19" s="22" t="str">
        <f>IF(AND('[1]observations-276632'!W19&gt;'[1]Methods write-up'!$Q$16,'[1]observations-276632'!W19&lt;'[1]Methods write-up'!$R$16,'[1]observations-276632'!X19&gt;'[1]Methods write-up'!$S$16,'[1]observations-276632'!X19&lt;'[1]Methods write-up'!$T$16),"West and Central Africa","")</f>
        <v/>
      </c>
      <c r="AY19" s="22" t="str">
        <f>IF(AND('[1]observations-276632'!W19&gt;'[1]Methods write-up'!$Q$17,'[1]observations-276632'!W19&lt;'[1]Methods write-up'!$R$17,'[1]observations-276632'!X19&gt;'[1]Methods write-up'!$S$17,'[1]observations-276632'!X19&lt;'[1]Methods write-up'!$T$17),"Equatorial tropical forest","")</f>
        <v/>
      </c>
      <c r="AZ19" s="22" t="str">
        <f>IF(AND('[1]observations-276632'!W19&gt;'[1]Methods write-up'!$Q$18,'[1]observations-276632'!W19&lt;'[1]Methods write-up'!$R$18,'[1]observations-276632'!X19&gt;'[1]Methods write-up'!$S$18,'[1]observations-276632'!X19&lt;'[1]Methods write-up'!$T$18),"Somali peninsula","")</f>
        <v/>
      </c>
      <c r="BA19" s="22" t="str">
        <f>IF(AND('[1]observations-276632'!W19&gt;'[1]Methods write-up'!$Q$19,'[1]observations-276632'!W19&lt;'[1]Methods write-up'!$R$19,'[1]observations-276632'!X19&gt;'[1]Methods write-up'!$S$19,'[1]observations-276632'!X19&lt;'[1]Methods write-up'!$T$19),"East Africa","")</f>
        <v>East Africa</v>
      </c>
      <c r="BB19" s="22" t="str">
        <f>IF(AND('[1]observations-276632'!W19&gt;'[1]Methods write-up'!$Q$20,'[1]observations-276632'!W19&lt;'[1]Methods write-up'!$R$20,'[1]observations-276632'!X19&gt;'[1]Methods write-up'!$S$20,'[1]observations-276632'!X19&lt;'[1]Methods write-up'!$T$20),"Temperate seasonal","")</f>
        <v/>
      </c>
      <c r="BC19" s="22" t="str">
        <f>IF(AND('[1]observations-276632'!W19&gt;'[1]Methods write-up'!$Q$21,'[1]observations-276632'!W19&lt;'[1]Methods write-up'!$R$21,'[1]observations-276632'!X19&gt;'[1]Methods write-up'!$S$21,'[1]observations-276632'!X19&lt;'[1]Methods write-up'!$T$21),"Desert and high aridity","")</f>
        <v/>
      </c>
      <c r="BD19" s="23" t="str">
        <f t="shared" si="3"/>
        <v>East Africa</v>
      </c>
      <c r="BE19" s="24">
        <f t="shared" si="1"/>
        <v>12</v>
      </c>
      <c r="BF19" s="24">
        <f t="shared" si="2"/>
        <v>10</v>
      </c>
    </row>
    <row r="20" spans="1:58" ht="16.25" customHeight="1" x14ac:dyDescent="0.2">
      <c r="A20">
        <v>2253381</v>
      </c>
      <c r="B20" s="25">
        <v>42292.685416666667</v>
      </c>
      <c r="C20" s="14">
        <v>42292</v>
      </c>
      <c r="D20" t="s">
        <v>223</v>
      </c>
      <c r="E20" t="s">
        <v>93</v>
      </c>
      <c r="F20">
        <v>32124</v>
      </c>
      <c r="G20" t="s">
        <v>85</v>
      </c>
      <c r="H20" t="s">
        <v>86</v>
      </c>
      <c r="I20" t="s">
        <v>224</v>
      </c>
      <c r="J20" t="s">
        <v>225</v>
      </c>
      <c r="K20" t="s">
        <v>62</v>
      </c>
      <c r="L20" t="s">
        <v>63</v>
      </c>
      <c r="M20" t="s">
        <v>226</v>
      </c>
      <c r="N20" t="s">
        <v>227</v>
      </c>
      <c r="R20">
        <v>3</v>
      </c>
      <c r="S20">
        <v>1</v>
      </c>
      <c r="T20" t="b">
        <v>0</v>
      </c>
      <c r="V20" t="s">
        <v>228</v>
      </c>
      <c r="W20" s="15">
        <v>-7.0150139999999999</v>
      </c>
      <c r="X20" s="15">
        <v>37.812480000000001</v>
      </c>
      <c r="AF20" t="b">
        <v>0</v>
      </c>
      <c r="AI20" t="s">
        <v>71</v>
      </c>
      <c r="AJ20" t="s">
        <v>70</v>
      </c>
      <c r="AK20" t="s">
        <v>71</v>
      </c>
      <c r="AL20" t="s">
        <v>72</v>
      </c>
      <c r="AM20">
        <v>346053</v>
      </c>
      <c r="AO20" s="16" t="s">
        <v>150</v>
      </c>
      <c r="AP20" s="17" t="str">
        <f t="shared" si="0"/>
        <v>Male (off nest)</v>
      </c>
      <c r="AX20" s="22" t="str">
        <f>IF(AND('[1]observations-276632'!W20&gt;'[1]Methods write-up'!$Q$16,'[1]observations-276632'!W20&lt;'[1]Methods write-up'!$R$16,'[1]observations-276632'!X20&gt;'[1]Methods write-up'!$S$16,'[1]observations-276632'!X20&lt;'[1]Methods write-up'!$T$16),"West and Central Africa","")</f>
        <v/>
      </c>
      <c r="AY20" s="22" t="str">
        <f>IF(AND('[1]observations-276632'!W20&gt;'[1]Methods write-up'!$Q$17,'[1]observations-276632'!W20&lt;'[1]Methods write-up'!$R$17,'[1]observations-276632'!X20&gt;'[1]Methods write-up'!$S$17,'[1]observations-276632'!X20&lt;'[1]Methods write-up'!$T$17),"Equatorial tropical forest","")</f>
        <v/>
      </c>
      <c r="AZ20" s="22" t="str">
        <f>IF(AND('[1]observations-276632'!W20&gt;'[1]Methods write-up'!$Q$18,'[1]observations-276632'!W20&lt;'[1]Methods write-up'!$R$18,'[1]observations-276632'!X20&gt;'[1]Methods write-up'!$S$18,'[1]observations-276632'!X20&lt;'[1]Methods write-up'!$T$18),"Somali peninsula","")</f>
        <v/>
      </c>
      <c r="BA20" s="22" t="str">
        <f>IF(AND('[1]observations-276632'!W20&gt;'[1]Methods write-up'!$Q$19,'[1]observations-276632'!W20&lt;'[1]Methods write-up'!$R$19,'[1]observations-276632'!X20&gt;'[1]Methods write-up'!$S$19,'[1]observations-276632'!X20&lt;'[1]Methods write-up'!$T$19),"East Africa","")</f>
        <v>East Africa</v>
      </c>
      <c r="BB20" s="22" t="str">
        <f>IF(AND('[1]observations-276632'!W20&gt;'[1]Methods write-up'!$Q$20,'[1]observations-276632'!W20&lt;'[1]Methods write-up'!$R$20,'[1]observations-276632'!X20&gt;'[1]Methods write-up'!$S$20,'[1]observations-276632'!X20&lt;'[1]Methods write-up'!$T$20),"Temperate seasonal","")</f>
        <v/>
      </c>
      <c r="BC20" s="22" t="str">
        <f>IF(AND('[1]observations-276632'!W20&gt;'[1]Methods write-up'!$Q$21,'[1]observations-276632'!W20&lt;'[1]Methods write-up'!$R$21,'[1]observations-276632'!X20&gt;'[1]Methods write-up'!$S$21,'[1]observations-276632'!X20&lt;'[1]Methods write-up'!$T$21),"Desert and high aridity","")</f>
        <v/>
      </c>
      <c r="BD20" s="23" t="str">
        <f t="shared" si="3"/>
        <v>East Africa</v>
      </c>
      <c r="BE20" s="24">
        <f t="shared" si="1"/>
        <v>15</v>
      </c>
      <c r="BF20" s="24">
        <f t="shared" si="2"/>
        <v>10</v>
      </c>
    </row>
    <row r="21" spans="1:58" ht="16.25" customHeight="1" x14ac:dyDescent="0.2">
      <c r="A21">
        <v>2262720</v>
      </c>
      <c r="B21" s="25">
        <v>42293.676388888889</v>
      </c>
      <c r="C21" s="14">
        <v>42293</v>
      </c>
      <c r="D21" t="s">
        <v>229</v>
      </c>
      <c r="E21" t="s">
        <v>93</v>
      </c>
      <c r="F21">
        <v>32124</v>
      </c>
      <c r="G21" t="s">
        <v>85</v>
      </c>
      <c r="H21" t="s">
        <v>86</v>
      </c>
      <c r="I21" t="s">
        <v>230</v>
      </c>
      <c r="J21" t="s">
        <v>231</v>
      </c>
      <c r="K21" t="s">
        <v>62</v>
      </c>
      <c r="L21" t="s">
        <v>63</v>
      </c>
      <c r="M21" t="s">
        <v>232</v>
      </c>
      <c r="N21" t="s">
        <v>233</v>
      </c>
      <c r="R21">
        <v>2</v>
      </c>
      <c r="S21">
        <v>0</v>
      </c>
      <c r="T21" t="b">
        <v>0</v>
      </c>
      <c r="V21" t="s">
        <v>228</v>
      </c>
      <c r="W21" s="15">
        <v>-7.011978</v>
      </c>
      <c r="X21" s="15">
        <v>37.806927000000002</v>
      </c>
      <c r="AF21" t="b">
        <v>0</v>
      </c>
      <c r="AI21" t="s">
        <v>71</v>
      </c>
      <c r="AJ21" t="s">
        <v>70</v>
      </c>
      <c r="AK21" t="s">
        <v>71</v>
      </c>
      <c r="AL21" t="s">
        <v>72</v>
      </c>
      <c r="AM21">
        <v>346053</v>
      </c>
      <c r="AO21" s="16" t="s">
        <v>110</v>
      </c>
      <c r="AP21" s="17" t="str">
        <f t="shared" si="0"/>
        <v>Nest (foundress)</v>
      </c>
      <c r="AQ21" s="18">
        <v>1</v>
      </c>
      <c r="AT21" s="19" t="s">
        <v>104</v>
      </c>
      <c r="AX21" s="22" t="str">
        <f>IF(AND('[1]observations-276632'!W21&gt;'[1]Methods write-up'!$Q$16,'[1]observations-276632'!W21&lt;'[1]Methods write-up'!$R$16,'[1]observations-276632'!X21&gt;'[1]Methods write-up'!$S$16,'[1]observations-276632'!X21&lt;'[1]Methods write-up'!$T$16),"West and Central Africa","")</f>
        <v/>
      </c>
      <c r="AY21" s="22" t="str">
        <f>IF(AND('[1]observations-276632'!W21&gt;'[1]Methods write-up'!$Q$17,'[1]observations-276632'!W21&lt;'[1]Methods write-up'!$R$17,'[1]observations-276632'!X21&gt;'[1]Methods write-up'!$S$17,'[1]observations-276632'!X21&lt;'[1]Methods write-up'!$T$17),"Equatorial tropical forest","")</f>
        <v/>
      </c>
      <c r="AZ21" s="22" t="str">
        <f>IF(AND('[1]observations-276632'!W21&gt;'[1]Methods write-up'!$Q$18,'[1]observations-276632'!W21&lt;'[1]Methods write-up'!$R$18,'[1]observations-276632'!X21&gt;'[1]Methods write-up'!$S$18,'[1]observations-276632'!X21&lt;'[1]Methods write-up'!$T$18),"Somali peninsula","")</f>
        <v/>
      </c>
      <c r="BA21" s="22" t="str">
        <f>IF(AND('[1]observations-276632'!W21&gt;'[1]Methods write-up'!$Q$19,'[1]observations-276632'!W21&lt;'[1]Methods write-up'!$R$19,'[1]observations-276632'!X21&gt;'[1]Methods write-up'!$S$19,'[1]observations-276632'!X21&lt;'[1]Methods write-up'!$T$19),"East Africa","")</f>
        <v>East Africa</v>
      </c>
      <c r="BB21" s="22" t="str">
        <f>IF(AND('[1]observations-276632'!W21&gt;'[1]Methods write-up'!$Q$20,'[1]observations-276632'!W21&lt;'[1]Methods write-up'!$R$20,'[1]observations-276632'!X21&gt;'[1]Methods write-up'!$S$20,'[1]observations-276632'!X21&lt;'[1]Methods write-up'!$T$20),"Temperate seasonal","")</f>
        <v/>
      </c>
      <c r="BC21" s="22" t="str">
        <f>IF(AND('[1]observations-276632'!W21&gt;'[1]Methods write-up'!$Q$21,'[1]observations-276632'!W21&lt;'[1]Methods write-up'!$R$21,'[1]observations-276632'!X21&gt;'[1]Methods write-up'!$S$21,'[1]observations-276632'!X21&lt;'[1]Methods write-up'!$T$21),"Desert and high aridity","")</f>
        <v/>
      </c>
      <c r="BD21" s="23" t="str">
        <f t="shared" si="3"/>
        <v>East Africa</v>
      </c>
      <c r="BE21" s="24">
        <f t="shared" si="1"/>
        <v>16</v>
      </c>
      <c r="BF21" s="24">
        <f t="shared" si="2"/>
        <v>10</v>
      </c>
    </row>
    <row r="22" spans="1:58" ht="16.25" customHeight="1" x14ac:dyDescent="0.2">
      <c r="A22">
        <v>2518080</v>
      </c>
      <c r="B22" s="13">
        <v>40101</v>
      </c>
      <c r="C22" s="14">
        <v>40101</v>
      </c>
      <c r="E22" t="s">
        <v>234</v>
      </c>
      <c r="F22">
        <v>63086</v>
      </c>
      <c r="G22" t="s">
        <v>235</v>
      </c>
      <c r="H22" t="s">
        <v>236</v>
      </c>
      <c r="I22" t="s">
        <v>237</v>
      </c>
      <c r="J22" t="s">
        <v>238</v>
      </c>
      <c r="K22" t="s">
        <v>62</v>
      </c>
      <c r="L22" t="s">
        <v>63</v>
      </c>
      <c r="M22" t="s">
        <v>239</v>
      </c>
      <c r="N22" t="s">
        <v>240</v>
      </c>
      <c r="P22" t="s">
        <v>241</v>
      </c>
      <c r="R22">
        <v>3</v>
      </c>
      <c r="S22">
        <v>0</v>
      </c>
      <c r="T22" t="b">
        <v>0</v>
      </c>
      <c r="V22" t="s">
        <v>242</v>
      </c>
      <c r="W22" s="15">
        <v>11.181376</v>
      </c>
      <c r="X22" s="15">
        <v>-16.139654</v>
      </c>
      <c r="AF22" t="b">
        <v>0</v>
      </c>
      <c r="AI22" t="s">
        <v>70</v>
      </c>
      <c r="AJ22" t="s">
        <v>70</v>
      </c>
      <c r="AK22" t="s">
        <v>71</v>
      </c>
      <c r="AL22" t="s">
        <v>72</v>
      </c>
      <c r="AM22">
        <v>346053</v>
      </c>
      <c r="AO22" s="16" t="s">
        <v>140</v>
      </c>
      <c r="AP22" s="17" t="str">
        <f t="shared" si="0"/>
        <v>Post-emergence nest</v>
      </c>
      <c r="AQ22" s="18">
        <v>7</v>
      </c>
      <c r="AT22" s="19" t="s">
        <v>141</v>
      </c>
      <c r="AU22" s="20" t="s">
        <v>104</v>
      </c>
      <c r="AX22" s="22" t="str">
        <f>IF(AND('[1]observations-276632'!W22&gt;'[1]Methods write-up'!$Q$16,'[1]observations-276632'!W22&lt;'[1]Methods write-up'!$R$16,'[1]observations-276632'!X22&gt;'[1]Methods write-up'!$S$16,'[1]observations-276632'!X22&lt;'[1]Methods write-up'!$T$16),"West and Central Africa","")</f>
        <v>West and Central Africa</v>
      </c>
      <c r="AY22" s="22" t="str">
        <f>IF(AND('[1]observations-276632'!W22&gt;'[1]Methods write-up'!$Q$17,'[1]observations-276632'!W22&lt;'[1]Methods write-up'!$R$17,'[1]observations-276632'!X22&gt;'[1]Methods write-up'!$S$17,'[1]observations-276632'!X22&lt;'[1]Methods write-up'!$T$17),"Equatorial tropical forest","")</f>
        <v/>
      </c>
      <c r="AZ22" s="22" t="str">
        <f>IF(AND('[1]observations-276632'!W22&gt;'[1]Methods write-up'!$Q$18,'[1]observations-276632'!W22&lt;'[1]Methods write-up'!$R$18,'[1]observations-276632'!X22&gt;'[1]Methods write-up'!$S$18,'[1]observations-276632'!X22&lt;'[1]Methods write-up'!$T$18),"Somali peninsula","")</f>
        <v/>
      </c>
      <c r="BA22" s="22" t="str">
        <f>IF(AND('[1]observations-276632'!W22&gt;'[1]Methods write-up'!$Q$19,'[1]observations-276632'!W22&lt;'[1]Methods write-up'!$R$19,'[1]observations-276632'!X22&gt;'[1]Methods write-up'!$S$19,'[1]observations-276632'!X22&lt;'[1]Methods write-up'!$T$19),"East Africa","")</f>
        <v/>
      </c>
      <c r="BB22" s="22" t="str">
        <f>IF(AND('[1]observations-276632'!W22&gt;'[1]Methods write-up'!$Q$20,'[1]observations-276632'!W22&lt;'[1]Methods write-up'!$R$20,'[1]observations-276632'!X22&gt;'[1]Methods write-up'!$S$20,'[1]observations-276632'!X22&lt;'[1]Methods write-up'!$T$20),"Temperate seasonal","")</f>
        <v/>
      </c>
      <c r="BC22" s="22" t="str">
        <f>IF(AND('[1]observations-276632'!W22&gt;'[1]Methods write-up'!$Q$21,'[1]observations-276632'!W22&lt;'[1]Methods write-up'!$R$21,'[1]observations-276632'!X22&gt;'[1]Methods write-up'!$S$21,'[1]observations-276632'!X22&lt;'[1]Methods write-up'!$T$21),"Desert and high aridity","")</f>
        <v/>
      </c>
      <c r="BD22" s="23" t="str">
        <f t="shared" si="3"/>
        <v>West and Central Africa</v>
      </c>
      <c r="BE22" s="24">
        <f t="shared" si="1"/>
        <v>15</v>
      </c>
      <c r="BF22" s="24">
        <f t="shared" si="2"/>
        <v>10</v>
      </c>
    </row>
    <row r="23" spans="1:58" ht="16.25" customHeight="1" x14ac:dyDescent="0.2">
      <c r="A23">
        <v>2895637</v>
      </c>
      <c r="B23" s="13">
        <v>38930</v>
      </c>
      <c r="C23" s="14">
        <v>38930</v>
      </c>
      <c r="E23" t="s">
        <v>243</v>
      </c>
      <c r="F23">
        <v>173306</v>
      </c>
      <c r="G23" t="s">
        <v>244</v>
      </c>
      <c r="H23" t="s">
        <v>245</v>
      </c>
      <c r="I23" t="s">
        <v>246</v>
      </c>
      <c r="J23" t="s">
        <v>247</v>
      </c>
      <c r="K23" t="s">
        <v>157</v>
      </c>
      <c r="L23" t="s">
        <v>63</v>
      </c>
      <c r="M23" t="s">
        <v>248</v>
      </c>
      <c r="N23" t="s">
        <v>249</v>
      </c>
      <c r="Q23" t="s">
        <v>250</v>
      </c>
      <c r="R23">
        <v>2</v>
      </c>
      <c r="S23">
        <v>0</v>
      </c>
      <c r="T23" t="b">
        <v>0</v>
      </c>
      <c r="V23" t="s">
        <v>251</v>
      </c>
      <c r="W23" s="15">
        <v>-12.512778000000001</v>
      </c>
      <c r="X23" s="15">
        <v>49.140833000000001</v>
      </c>
      <c r="AF23" t="b">
        <v>0</v>
      </c>
      <c r="AI23" t="s">
        <v>252</v>
      </c>
      <c r="AJ23" t="s">
        <v>252</v>
      </c>
      <c r="AL23" t="s">
        <v>72</v>
      </c>
      <c r="AM23">
        <v>491507</v>
      </c>
      <c r="AO23" s="16" t="s">
        <v>253</v>
      </c>
      <c r="AP23" s="17" t="str">
        <f t="shared" si="0"/>
        <v>Aggregation of females off-nest</v>
      </c>
      <c r="AQ23" s="18">
        <v>12</v>
      </c>
      <c r="AX23" s="22" t="str">
        <f>IF(AND('[1]observations-276632'!W23&gt;'[1]Methods write-up'!$Q$16,'[1]observations-276632'!W23&lt;'[1]Methods write-up'!$R$16,'[1]observations-276632'!X23&gt;'[1]Methods write-up'!$S$16,'[1]observations-276632'!X23&lt;'[1]Methods write-up'!$T$16),"West and Central Africa","")</f>
        <v/>
      </c>
      <c r="AY23" s="22" t="str">
        <f>IF(AND('[1]observations-276632'!W23&gt;'[1]Methods write-up'!$Q$17,'[1]observations-276632'!W23&lt;'[1]Methods write-up'!$R$17,'[1]observations-276632'!X23&gt;'[1]Methods write-up'!$S$17,'[1]observations-276632'!X23&lt;'[1]Methods write-up'!$T$17),"Equatorial tropical forest","")</f>
        <v/>
      </c>
      <c r="AZ23" s="22" t="str">
        <f>IF(AND('[1]observations-276632'!W23&gt;'[1]Methods write-up'!$Q$18,'[1]observations-276632'!W23&lt;'[1]Methods write-up'!$R$18,'[1]observations-276632'!X23&gt;'[1]Methods write-up'!$S$18,'[1]observations-276632'!X23&lt;'[1]Methods write-up'!$T$18),"Somali peninsula","")</f>
        <v/>
      </c>
      <c r="BA23" s="22" t="str">
        <f>IF(AND('[1]observations-276632'!W23&gt;'[1]Methods write-up'!$Q$19,'[1]observations-276632'!W23&lt;'[1]Methods write-up'!$R$19,'[1]observations-276632'!X23&gt;'[1]Methods write-up'!$S$19,'[1]observations-276632'!X23&lt;'[1]Methods write-up'!$T$19),"East Africa","")</f>
        <v/>
      </c>
      <c r="BB23" s="22" t="str">
        <f>IF(AND('[1]observations-276632'!W23&gt;'[1]Methods write-up'!$Q$20,'[1]observations-276632'!W23&lt;'[1]Methods write-up'!$R$20,'[1]observations-276632'!X23&gt;'[1]Methods write-up'!$S$20,'[1]observations-276632'!X23&lt;'[1]Methods write-up'!$T$20),"Temperate seasonal","")</f>
        <v/>
      </c>
      <c r="BC23" s="22" t="str">
        <f>IF(AND('[1]observations-276632'!W23&gt;'[1]Methods write-up'!$Q$21,'[1]observations-276632'!W23&lt;'[1]Methods write-up'!$R$21,'[1]observations-276632'!X23&gt;'[1]Methods write-up'!$S$21,'[1]observations-276632'!X23&lt;'[1]Methods write-up'!$T$21),"Desert and high aridity","")</f>
        <v/>
      </c>
      <c r="BD23" s="23" t="str">
        <f t="shared" si="3"/>
        <v/>
      </c>
      <c r="BE23" s="24">
        <f t="shared" si="1"/>
        <v>1</v>
      </c>
      <c r="BF23" s="24">
        <f t="shared" si="2"/>
        <v>8</v>
      </c>
    </row>
    <row r="24" spans="1:58" ht="16.25" customHeight="1" x14ac:dyDescent="0.2">
      <c r="A24">
        <v>3987163</v>
      </c>
      <c r="B24" t="s">
        <v>254</v>
      </c>
      <c r="C24" s="14">
        <v>42389</v>
      </c>
      <c r="D24" t="s">
        <v>255</v>
      </c>
      <c r="E24" t="s">
        <v>256</v>
      </c>
      <c r="F24">
        <v>19563</v>
      </c>
      <c r="G24" t="s">
        <v>257</v>
      </c>
      <c r="H24" t="s">
        <v>258</v>
      </c>
      <c r="I24" t="s">
        <v>259</v>
      </c>
      <c r="J24" t="s">
        <v>260</v>
      </c>
      <c r="K24" t="s">
        <v>62</v>
      </c>
      <c r="L24" t="s">
        <v>261</v>
      </c>
      <c r="M24" t="s">
        <v>262</v>
      </c>
      <c r="N24" t="s">
        <v>263</v>
      </c>
      <c r="R24">
        <v>3</v>
      </c>
      <c r="S24">
        <v>0</v>
      </c>
      <c r="T24" t="b">
        <v>0</v>
      </c>
      <c r="V24" t="s">
        <v>264</v>
      </c>
      <c r="W24" s="15">
        <v>3.3457031000000002</v>
      </c>
      <c r="X24" s="15">
        <v>8.6655592000000006</v>
      </c>
      <c r="Y24">
        <v>2827</v>
      </c>
      <c r="AC24">
        <v>2827</v>
      </c>
      <c r="AF24" t="b">
        <v>0</v>
      </c>
      <c r="AI24" t="s">
        <v>71</v>
      </c>
      <c r="AJ24" t="s">
        <v>70</v>
      </c>
      <c r="AK24" t="s">
        <v>71</v>
      </c>
      <c r="AL24" t="s">
        <v>72</v>
      </c>
      <c r="AM24">
        <v>346053</v>
      </c>
      <c r="AO24" s="16" t="s">
        <v>172</v>
      </c>
      <c r="AP24" s="17" t="str">
        <f t="shared" si="0"/>
        <v>Nest (foundress)</v>
      </c>
      <c r="AQ24" s="18">
        <v>1</v>
      </c>
      <c r="AT24" s="19" t="s">
        <v>141</v>
      </c>
      <c r="AX24" s="22" t="str">
        <f>IF(AND('[1]observations-276632'!W24&gt;'[1]Methods write-up'!$Q$16,'[1]observations-276632'!W24&lt;'[1]Methods write-up'!$R$16,'[1]observations-276632'!X24&gt;'[1]Methods write-up'!$S$16,'[1]observations-276632'!X24&lt;'[1]Methods write-up'!$T$16),"West and Central Africa","")</f>
        <v>West and Central Africa</v>
      </c>
      <c r="AY24" s="22" t="str">
        <f>IF(AND('[1]observations-276632'!W24&gt;'[1]Methods write-up'!$Q$17,'[1]observations-276632'!W24&lt;'[1]Methods write-up'!$R$17,'[1]observations-276632'!X24&gt;'[1]Methods write-up'!$S$17,'[1]observations-276632'!X24&lt;'[1]Methods write-up'!$T$17),"Equatorial tropical forest","")</f>
        <v/>
      </c>
      <c r="AZ24" s="22" t="str">
        <f>IF(AND('[1]observations-276632'!W24&gt;'[1]Methods write-up'!$Q$18,'[1]observations-276632'!W24&lt;'[1]Methods write-up'!$R$18,'[1]observations-276632'!X24&gt;'[1]Methods write-up'!$S$18,'[1]observations-276632'!X24&lt;'[1]Methods write-up'!$T$18),"Somali peninsula","")</f>
        <v/>
      </c>
      <c r="BA24" s="22" t="str">
        <f>IF(AND('[1]observations-276632'!W24&gt;'[1]Methods write-up'!$Q$19,'[1]observations-276632'!W24&lt;'[1]Methods write-up'!$R$19,'[1]observations-276632'!X24&gt;'[1]Methods write-up'!$S$19,'[1]observations-276632'!X24&lt;'[1]Methods write-up'!$T$19),"East Africa","")</f>
        <v/>
      </c>
      <c r="BB24" s="22" t="str">
        <f>IF(AND('[1]observations-276632'!W24&gt;'[1]Methods write-up'!$Q$20,'[1]observations-276632'!W24&lt;'[1]Methods write-up'!$R$20,'[1]observations-276632'!X24&gt;'[1]Methods write-up'!$S$20,'[1]observations-276632'!X24&lt;'[1]Methods write-up'!$T$20),"Temperate seasonal","")</f>
        <v/>
      </c>
      <c r="BC24" s="22" t="str">
        <f>IF(AND('[1]observations-276632'!W24&gt;'[1]Methods write-up'!$Q$21,'[1]observations-276632'!W24&lt;'[1]Methods write-up'!$R$21,'[1]observations-276632'!X24&gt;'[1]Methods write-up'!$S$21,'[1]observations-276632'!X24&lt;'[1]Methods write-up'!$T$21),"Desert and high aridity","")</f>
        <v/>
      </c>
      <c r="BD24" s="23" t="str">
        <f t="shared" si="3"/>
        <v>West and Central Africa</v>
      </c>
      <c r="BE24" s="24">
        <f t="shared" si="1"/>
        <v>20</v>
      </c>
      <c r="BF24" s="24">
        <f t="shared" si="2"/>
        <v>1</v>
      </c>
    </row>
    <row r="25" spans="1:58" ht="16.25" customHeight="1" x14ac:dyDescent="0.2">
      <c r="A25">
        <v>3996348</v>
      </c>
      <c r="B25" t="s">
        <v>265</v>
      </c>
      <c r="C25" s="14">
        <v>42609</v>
      </c>
      <c r="D25" t="s">
        <v>266</v>
      </c>
      <c r="E25" t="s">
        <v>122</v>
      </c>
      <c r="F25">
        <v>1000</v>
      </c>
      <c r="G25" t="s">
        <v>114</v>
      </c>
      <c r="H25" t="s">
        <v>115</v>
      </c>
      <c r="I25" t="s">
        <v>267</v>
      </c>
      <c r="J25" t="s">
        <v>268</v>
      </c>
      <c r="K25" t="s">
        <v>62</v>
      </c>
      <c r="L25" t="s">
        <v>118</v>
      </c>
      <c r="M25" t="s">
        <v>269</v>
      </c>
      <c r="N25" t="s">
        <v>270</v>
      </c>
      <c r="R25">
        <v>3</v>
      </c>
      <c r="S25">
        <v>0</v>
      </c>
      <c r="T25" t="b">
        <v>0</v>
      </c>
      <c r="V25" t="s">
        <v>271</v>
      </c>
      <c r="W25" s="15">
        <v>3.7548277780000001</v>
      </c>
      <c r="X25" s="15">
        <v>29.526516669999999</v>
      </c>
      <c r="Y25">
        <v>20</v>
      </c>
      <c r="AC25">
        <v>20</v>
      </c>
      <c r="AF25" t="b">
        <v>0</v>
      </c>
      <c r="AI25" t="s">
        <v>71</v>
      </c>
      <c r="AJ25" t="s">
        <v>70</v>
      </c>
      <c r="AK25" t="s">
        <v>71</v>
      </c>
      <c r="AL25" t="s">
        <v>72</v>
      </c>
      <c r="AM25">
        <v>346053</v>
      </c>
      <c r="AO25" s="16" t="s">
        <v>73</v>
      </c>
      <c r="AP25" s="17" t="str">
        <f t="shared" si="0"/>
        <v>Off-nest female</v>
      </c>
      <c r="AX25" s="22" t="str">
        <f>IF(AND('[1]observations-276632'!W25&gt;'[1]Methods write-up'!$Q$16,'[1]observations-276632'!W25&lt;'[1]Methods write-up'!$R$16,'[1]observations-276632'!X25&gt;'[1]Methods write-up'!$S$16,'[1]observations-276632'!X25&lt;'[1]Methods write-up'!$T$16),"West and Central Africa","")</f>
        <v>West and Central Africa</v>
      </c>
      <c r="AY25" s="22" t="str">
        <f>IF(AND('[1]observations-276632'!W25&gt;'[1]Methods write-up'!$Q$17,'[1]observations-276632'!W25&lt;'[1]Methods write-up'!$R$17,'[1]observations-276632'!X25&gt;'[1]Methods write-up'!$S$17,'[1]observations-276632'!X25&lt;'[1]Methods write-up'!$T$17),"Equatorial tropical forest","")</f>
        <v/>
      </c>
      <c r="AZ25" s="22" t="str">
        <f>IF(AND('[1]observations-276632'!W25&gt;'[1]Methods write-up'!$Q$18,'[1]observations-276632'!W25&lt;'[1]Methods write-up'!$R$18,'[1]observations-276632'!X25&gt;'[1]Methods write-up'!$S$18,'[1]observations-276632'!X25&lt;'[1]Methods write-up'!$T$18),"Somali peninsula","")</f>
        <v/>
      </c>
      <c r="BA25" s="22" t="str">
        <f>IF(AND('[1]observations-276632'!W25&gt;'[1]Methods write-up'!$Q$19,'[1]observations-276632'!W25&lt;'[1]Methods write-up'!$R$19,'[1]observations-276632'!X25&gt;'[1]Methods write-up'!$S$19,'[1]observations-276632'!X25&lt;'[1]Methods write-up'!$T$19),"East Africa","")</f>
        <v/>
      </c>
      <c r="BB25" s="22" t="str">
        <f>IF(AND('[1]observations-276632'!W25&gt;'[1]Methods write-up'!$Q$20,'[1]observations-276632'!W25&lt;'[1]Methods write-up'!$R$20,'[1]observations-276632'!X25&gt;'[1]Methods write-up'!$S$20,'[1]observations-276632'!X25&lt;'[1]Methods write-up'!$T$20),"Temperate seasonal","")</f>
        <v/>
      </c>
      <c r="BC25" s="22" t="str">
        <f>IF(AND('[1]observations-276632'!W25&gt;'[1]Methods write-up'!$Q$21,'[1]observations-276632'!W25&lt;'[1]Methods write-up'!$R$21,'[1]observations-276632'!X25&gt;'[1]Methods write-up'!$S$21,'[1]observations-276632'!X25&lt;'[1]Methods write-up'!$T$21),"Desert and high aridity","")</f>
        <v/>
      </c>
      <c r="BD25" s="23" t="str">
        <f t="shared" si="3"/>
        <v>West and Central Africa</v>
      </c>
      <c r="BE25" s="24">
        <f t="shared" si="1"/>
        <v>27</v>
      </c>
      <c r="BF25" s="24">
        <f t="shared" si="2"/>
        <v>8</v>
      </c>
    </row>
    <row r="26" spans="1:58" ht="16.25" customHeight="1" x14ac:dyDescent="0.2">
      <c r="A26">
        <v>4665708</v>
      </c>
      <c r="B26" s="25">
        <v>41352.336805555555</v>
      </c>
      <c r="C26" s="14">
        <v>41352</v>
      </c>
      <c r="D26" t="s">
        <v>272</v>
      </c>
      <c r="E26" t="s">
        <v>57</v>
      </c>
      <c r="F26">
        <v>371420</v>
      </c>
      <c r="G26" t="s">
        <v>273</v>
      </c>
      <c r="H26" t="s">
        <v>274</v>
      </c>
      <c r="I26" t="s">
        <v>275</v>
      </c>
      <c r="J26" t="s">
        <v>276</v>
      </c>
      <c r="K26" t="s">
        <v>62</v>
      </c>
      <c r="L26" t="s">
        <v>63</v>
      </c>
      <c r="M26" t="s">
        <v>277</v>
      </c>
      <c r="N26" t="s">
        <v>278</v>
      </c>
      <c r="Q26" t="s">
        <v>279</v>
      </c>
      <c r="R26">
        <v>3</v>
      </c>
      <c r="S26">
        <v>0</v>
      </c>
      <c r="T26" t="b">
        <v>0</v>
      </c>
      <c r="V26" t="s">
        <v>280</v>
      </c>
      <c r="W26" s="15">
        <v>-6.6926110000000003</v>
      </c>
      <c r="X26" s="15">
        <v>39.201292000000002</v>
      </c>
      <c r="AF26" t="b">
        <v>0</v>
      </c>
      <c r="AI26" t="s">
        <v>70</v>
      </c>
      <c r="AJ26" t="s">
        <v>70</v>
      </c>
      <c r="AK26" t="s">
        <v>71</v>
      </c>
      <c r="AL26" t="s">
        <v>72</v>
      </c>
      <c r="AM26">
        <v>346053</v>
      </c>
      <c r="AO26" s="16" t="s">
        <v>73</v>
      </c>
      <c r="AP26" s="17" t="str">
        <f t="shared" si="0"/>
        <v>Off-nest female</v>
      </c>
      <c r="AX26" s="22" t="str">
        <f>IF(AND('[1]observations-276632'!W26&gt;'[1]Methods write-up'!$Q$16,'[1]observations-276632'!W26&lt;'[1]Methods write-up'!$R$16,'[1]observations-276632'!X26&gt;'[1]Methods write-up'!$S$16,'[1]observations-276632'!X26&lt;'[1]Methods write-up'!$T$16),"West and Central Africa","")</f>
        <v/>
      </c>
      <c r="AY26" s="22" t="str">
        <f>IF(AND('[1]observations-276632'!W26&gt;'[1]Methods write-up'!$Q$17,'[1]observations-276632'!W26&lt;'[1]Methods write-up'!$R$17,'[1]observations-276632'!X26&gt;'[1]Methods write-up'!$S$17,'[1]observations-276632'!X26&lt;'[1]Methods write-up'!$T$17),"Equatorial tropical forest","")</f>
        <v/>
      </c>
      <c r="AZ26" s="22" t="str">
        <f>IF(AND('[1]observations-276632'!W26&gt;'[1]Methods write-up'!$Q$18,'[1]observations-276632'!W26&lt;'[1]Methods write-up'!$R$18,'[1]observations-276632'!X26&gt;'[1]Methods write-up'!$S$18,'[1]observations-276632'!X26&lt;'[1]Methods write-up'!$T$18),"Somali peninsula","")</f>
        <v/>
      </c>
      <c r="BA26" s="22" t="str">
        <f>IF(AND('[1]observations-276632'!W26&gt;'[1]Methods write-up'!$Q$19,'[1]observations-276632'!W26&lt;'[1]Methods write-up'!$R$19,'[1]observations-276632'!X26&gt;'[1]Methods write-up'!$S$19,'[1]observations-276632'!X26&lt;'[1]Methods write-up'!$T$19),"East Africa","")</f>
        <v>East Africa</v>
      </c>
      <c r="BB26" s="22" t="str">
        <f>IF(AND('[1]observations-276632'!W26&gt;'[1]Methods write-up'!$Q$20,'[1]observations-276632'!W26&lt;'[1]Methods write-up'!$R$20,'[1]observations-276632'!X26&gt;'[1]Methods write-up'!$S$20,'[1]observations-276632'!X26&lt;'[1]Methods write-up'!$T$20),"Temperate seasonal","")</f>
        <v/>
      </c>
      <c r="BC26" s="22" t="str">
        <f>IF(AND('[1]observations-276632'!W26&gt;'[1]Methods write-up'!$Q$21,'[1]observations-276632'!W26&lt;'[1]Methods write-up'!$R$21,'[1]observations-276632'!X26&gt;'[1]Methods write-up'!$S$21,'[1]observations-276632'!X26&lt;'[1]Methods write-up'!$T$21),"Desert and high aridity","")</f>
        <v/>
      </c>
      <c r="BD26" s="23" t="str">
        <f t="shared" si="3"/>
        <v>East Africa</v>
      </c>
      <c r="BE26" s="24">
        <f t="shared" si="1"/>
        <v>19</v>
      </c>
      <c r="BF26" s="24">
        <f t="shared" si="2"/>
        <v>3</v>
      </c>
    </row>
    <row r="27" spans="1:58" ht="16.25" customHeight="1" x14ac:dyDescent="0.2">
      <c r="A27">
        <v>4679450</v>
      </c>
      <c r="B27" t="s">
        <v>281</v>
      </c>
      <c r="C27" s="14">
        <v>42695</v>
      </c>
      <c r="D27" t="s">
        <v>282</v>
      </c>
      <c r="E27" t="s">
        <v>84</v>
      </c>
      <c r="F27">
        <v>1000</v>
      </c>
      <c r="G27" t="s">
        <v>114</v>
      </c>
      <c r="H27" t="s">
        <v>115</v>
      </c>
      <c r="I27" t="s">
        <v>283</v>
      </c>
      <c r="J27" t="s">
        <v>284</v>
      </c>
      <c r="K27" t="s">
        <v>62</v>
      </c>
      <c r="L27" t="s">
        <v>118</v>
      </c>
      <c r="M27" t="s">
        <v>285</v>
      </c>
      <c r="N27" t="s">
        <v>286</v>
      </c>
      <c r="R27">
        <v>1</v>
      </c>
      <c r="S27">
        <v>0</v>
      </c>
      <c r="T27" t="b">
        <v>0</v>
      </c>
      <c r="V27" t="s">
        <v>287</v>
      </c>
      <c r="W27" s="15">
        <v>6.2319444000000002E-2</v>
      </c>
      <c r="X27" s="15">
        <v>32.478244439999997</v>
      </c>
      <c r="Y27">
        <v>25</v>
      </c>
      <c r="AC27">
        <v>25</v>
      </c>
      <c r="AF27" t="b">
        <v>0</v>
      </c>
      <c r="AI27" t="s">
        <v>288</v>
      </c>
      <c r="AJ27" t="s">
        <v>70</v>
      </c>
      <c r="AK27" t="s">
        <v>71</v>
      </c>
      <c r="AL27" t="s">
        <v>72</v>
      </c>
      <c r="AM27">
        <v>346053</v>
      </c>
      <c r="AO27" s="16" t="s">
        <v>73</v>
      </c>
      <c r="AP27" s="17" t="str">
        <f t="shared" si="0"/>
        <v>Off-nest female</v>
      </c>
      <c r="AX27" s="22" t="str">
        <f>IF(AND('[1]observations-276632'!W27&gt;'[1]Methods write-up'!$Q$16,'[1]observations-276632'!W27&lt;'[1]Methods write-up'!$R$16,'[1]observations-276632'!X27&gt;'[1]Methods write-up'!$S$16,'[1]observations-276632'!X27&lt;'[1]Methods write-up'!$T$16),"West and Central Africa","")</f>
        <v/>
      </c>
      <c r="AY27" s="22" t="str">
        <f>IF(AND('[1]observations-276632'!W27&gt;'[1]Methods write-up'!$Q$17,'[1]observations-276632'!W27&lt;'[1]Methods write-up'!$R$17,'[1]observations-276632'!X27&gt;'[1]Methods write-up'!$S$17,'[1]observations-276632'!X27&lt;'[1]Methods write-up'!$T$17),"Equatorial tropical forest","")</f>
        <v/>
      </c>
      <c r="AZ27" s="22" t="str">
        <f>IF(AND('[1]observations-276632'!W27&gt;'[1]Methods write-up'!$Q$18,'[1]observations-276632'!W27&lt;'[1]Methods write-up'!$R$18,'[1]observations-276632'!X27&gt;'[1]Methods write-up'!$S$18,'[1]observations-276632'!X27&lt;'[1]Methods write-up'!$T$18),"Somali peninsula","")</f>
        <v/>
      </c>
      <c r="BA27" s="22" t="str">
        <f>IF(AND('[1]observations-276632'!W27&gt;'[1]Methods write-up'!$Q$19,'[1]observations-276632'!W27&lt;'[1]Methods write-up'!$R$19,'[1]observations-276632'!X27&gt;'[1]Methods write-up'!$S$19,'[1]observations-276632'!X27&lt;'[1]Methods write-up'!$T$19),"East Africa","")</f>
        <v>East Africa</v>
      </c>
      <c r="BB27" s="22" t="str">
        <f>IF(AND('[1]observations-276632'!W27&gt;'[1]Methods write-up'!$Q$20,'[1]observations-276632'!W27&lt;'[1]Methods write-up'!$R$20,'[1]observations-276632'!X27&gt;'[1]Methods write-up'!$S$20,'[1]observations-276632'!X27&lt;'[1]Methods write-up'!$T$20),"Temperate seasonal","")</f>
        <v/>
      </c>
      <c r="BC27" s="22" t="str">
        <f>IF(AND('[1]observations-276632'!W27&gt;'[1]Methods write-up'!$Q$21,'[1]observations-276632'!W27&lt;'[1]Methods write-up'!$R$21,'[1]observations-276632'!X27&gt;'[1]Methods write-up'!$S$21,'[1]observations-276632'!X27&lt;'[1]Methods write-up'!$T$21),"Desert and high aridity","")</f>
        <v/>
      </c>
      <c r="BD27" s="23" t="str">
        <f t="shared" si="3"/>
        <v>East Africa</v>
      </c>
      <c r="BE27" s="24">
        <f t="shared" si="1"/>
        <v>21</v>
      </c>
      <c r="BF27" s="24">
        <f t="shared" si="2"/>
        <v>11</v>
      </c>
    </row>
    <row r="28" spans="1:58" ht="16.25" customHeight="1" x14ac:dyDescent="0.2">
      <c r="A28">
        <v>4907016</v>
      </c>
      <c r="B28" t="s">
        <v>289</v>
      </c>
      <c r="C28" s="14">
        <v>42175</v>
      </c>
      <c r="D28" t="s">
        <v>290</v>
      </c>
      <c r="E28" t="s">
        <v>243</v>
      </c>
      <c r="F28">
        <v>18381</v>
      </c>
      <c r="G28" t="s">
        <v>291</v>
      </c>
      <c r="H28" t="s">
        <v>292</v>
      </c>
      <c r="I28" t="s">
        <v>293</v>
      </c>
      <c r="J28" t="s">
        <v>294</v>
      </c>
      <c r="K28" t="s">
        <v>62</v>
      </c>
      <c r="L28" t="s">
        <v>63</v>
      </c>
      <c r="M28" t="s">
        <v>295</v>
      </c>
      <c r="N28" t="s">
        <v>296</v>
      </c>
      <c r="R28">
        <v>2</v>
      </c>
      <c r="S28">
        <v>0</v>
      </c>
      <c r="T28" t="b">
        <v>0</v>
      </c>
      <c r="V28" t="s">
        <v>297</v>
      </c>
      <c r="W28" s="15">
        <v>-0.19679033800000001</v>
      </c>
      <c r="X28" s="15">
        <v>29.90139529</v>
      </c>
      <c r="Y28">
        <v>8</v>
      </c>
      <c r="AC28">
        <v>8</v>
      </c>
      <c r="AF28" t="b">
        <v>0</v>
      </c>
      <c r="AI28" t="s">
        <v>70</v>
      </c>
      <c r="AJ28" t="s">
        <v>70</v>
      </c>
      <c r="AK28" t="s">
        <v>71</v>
      </c>
      <c r="AL28" t="s">
        <v>72</v>
      </c>
      <c r="AM28">
        <v>346053</v>
      </c>
      <c r="AO28" s="16" t="s">
        <v>140</v>
      </c>
      <c r="AP28" s="17" t="str">
        <f t="shared" si="0"/>
        <v>Post-emergence nest</v>
      </c>
      <c r="AQ28" s="18">
        <v>14</v>
      </c>
      <c r="AT28" s="19" t="s">
        <v>141</v>
      </c>
      <c r="AU28" s="20" t="s">
        <v>141</v>
      </c>
      <c r="AX28" s="22" t="str">
        <f>IF(AND('[1]observations-276632'!W28&gt;'[1]Methods write-up'!$Q$16,'[1]observations-276632'!W28&lt;'[1]Methods write-up'!$R$16,'[1]observations-276632'!X28&gt;'[1]Methods write-up'!$S$16,'[1]observations-276632'!X28&lt;'[1]Methods write-up'!$T$16),"West and Central Africa","")</f>
        <v>West and Central Africa</v>
      </c>
      <c r="AY28" s="22" t="str">
        <f>IF(AND('[1]observations-276632'!W28&gt;'[1]Methods write-up'!$Q$17,'[1]observations-276632'!W28&lt;'[1]Methods write-up'!$R$17,'[1]observations-276632'!X28&gt;'[1]Methods write-up'!$S$17,'[1]observations-276632'!X28&lt;'[1]Methods write-up'!$T$17),"Equatorial tropical forest","")</f>
        <v/>
      </c>
      <c r="AZ28" s="22" t="str">
        <f>IF(AND('[1]observations-276632'!W28&gt;'[1]Methods write-up'!$Q$18,'[1]observations-276632'!W28&lt;'[1]Methods write-up'!$R$18,'[1]observations-276632'!X28&gt;'[1]Methods write-up'!$S$18,'[1]observations-276632'!X28&lt;'[1]Methods write-up'!$T$18),"Somali peninsula","")</f>
        <v/>
      </c>
      <c r="BA28" s="22" t="str">
        <f>IF(AND('[1]observations-276632'!W28&gt;'[1]Methods write-up'!$Q$19,'[1]observations-276632'!W28&lt;'[1]Methods write-up'!$R$19,'[1]observations-276632'!X28&gt;'[1]Methods write-up'!$S$19,'[1]observations-276632'!X28&lt;'[1]Methods write-up'!$T$19),"East Africa","")</f>
        <v/>
      </c>
      <c r="BB28" s="22" t="str">
        <f>IF(AND('[1]observations-276632'!W28&gt;'[1]Methods write-up'!$Q$20,'[1]observations-276632'!W28&lt;'[1]Methods write-up'!$R$20,'[1]observations-276632'!X28&gt;'[1]Methods write-up'!$S$20,'[1]observations-276632'!X28&lt;'[1]Methods write-up'!$T$20),"Temperate seasonal","")</f>
        <v/>
      </c>
      <c r="BC28" s="22" t="str">
        <f>IF(AND('[1]observations-276632'!W28&gt;'[1]Methods write-up'!$Q$21,'[1]observations-276632'!W28&lt;'[1]Methods write-up'!$R$21,'[1]observations-276632'!X28&gt;'[1]Methods write-up'!$S$21,'[1]observations-276632'!X28&lt;'[1]Methods write-up'!$T$21),"Desert and high aridity","")</f>
        <v/>
      </c>
      <c r="BD28" s="23" t="str">
        <f t="shared" si="3"/>
        <v>West and Central Africa</v>
      </c>
      <c r="BE28" s="24">
        <f t="shared" si="1"/>
        <v>20</v>
      </c>
      <c r="BF28" s="24">
        <f t="shared" si="2"/>
        <v>6</v>
      </c>
    </row>
    <row r="29" spans="1:58" ht="16.25" customHeight="1" x14ac:dyDescent="0.2">
      <c r="A29">
        <v>4929669</v>
      </c>
      <c r="B29" t="s">
        <v>298</v>
      </c>
      <c r="C29" s="14">
        <v>42633</v>
      </c>
      <c r="D29" t="s">
        <v>299</v>
      </c>
      <c r="E29" t="s">
        <v>122</v>
      </c>
      <c r="F29">
        <v>20957</v>
      </c>
      <c r="G29" t="s">
        <v>300</v>
      </c>
      <c r="I29" t="s">
        <v>301</v>
      </c>
      <c r="J29" t="s">
        <v>302</v>
      </c>
      <c r="K29" t="s">
        <v>62</v>
      </c>
      <c r="L29" t="s">
        <v>63</v>
      </c>
      <c r="M29" t="s">
        <v>303</v>
      </c>
      <c r="N29" t="s">
        <v>304</v>
      </c>
      <c r="R29">
        <v>5</v>
      </c>
      <c r="S29">
        <v>0</v>
      </c>
      <c r="T29" t="b">
        <v>0</v>
      </c>
      <c r="V29" t="s">
        <v>305</v>
      </c>
      <c r="W29" s="15">
        <v>-14.85116088</v>
      </c>
      <c r="X29" s="15">
        <v>35.294338170000003</v>
      </c>
      <c r="Y29">
        <v>4</v>
      </c>
      <c r="AC29">
        <v>4</v>
      </c>
      <c r="AF29" t="b">
        <v>0</v>
      </c>
      <c r="AI29" t="s">
        <v>71</v>
      </c>
      <c r="AJ29" t="s">
        <v>70</v>
      </c>
      <c r="AK29" t="s">
        <v>71</v>
      </c>
      <c r="AL29" t="s">
        <v>72</v>
      </c>
      <c r="AM29">
        <v>346053</v>
      </c>
      <c r="AO29" s="16" t="s">
        <v>73</v>
      </c>
      <c r="AP29" s="17" t="str">
        <f t="shared" si="0"/>
        <v>Off-nest female</v>
      </c>
      <c r="AX29" s="22" t="str">
        <f>IF(AND('[1]observations-276632'!W29&gt;'[1]Methods write-up'!$Q$16,'[1]observations-276632'!W29&lt;'[1]Methods write-up'!$R$16,'[1]observations-276632'!X29&gt;'[1]Methods write-up'!$S$16,'[1]observations-276632'!X29&lt;'[1]Methods write-up'!$T$16),"West and Central Africa","")</f>
        <v/>
      </c>
      <c r="AY29" s="22" t="str">
        <f>IF(AND('[1]observations-276632'!W29&gt;'[1]Methods write-up'!$Q$17,'[1]observations-276632'!W29&lt;'[1]Methods write-up'!$R$17,'[1]observations-276632'!X29&gt;'[1]Methods write-up'!$S$17,'[1]observations-276632'!X29&lt;'[1]Methods write-up'!$T$17),"Equatorial tropical forest","")</f>
        <v/>
      </c>
      <c r="AZ29" s="22" t="str">
        <f>IF(AND('[1]observations-276632'!W29&gt;'[1]Methods write-up'!$Q$18,'[1]observations-276632'!W29&lt;'[1]Methods write-up'!$R$18,'[1]observations-276632'!X29&gt;'[1]Methods write-up'!$S$18,'[1]observations-276632'!X29&lt;'[1]Methods write-up'!$T$18),"Somali peninsula","")</f>
        <v/>
      </c>
      <c r="BA29" s="22" t="str">
        <f>IF(AND('[1]observations-276632'!W29&gt;'[1]Methods write-up'!$Q$19,'[1]observations-276632'!W29&lt;'[1]Methods write-up'!$R$19,'[1]observations-276632'!X29&gt;'[1]Methods write-up'!$S$19,'[1]observations-276632'!X29&lt;'[1]Methods write-up'!$T$19),"East Africa","")</f>
        <v/>
      </c>
      <c r="BB29" s="22" t="str">
        <f>IF(AND('[1]observations-276632'!W29&gt;'[1]Methods write-up'!$Q$20,'[1]observations-276632'!W29&lt;'[1]Methods write-up'!$R$20,'[1]observations-276632'!X29&gt;'[1]Methods write-up'!$S$20,'[1]observations-276632'!X29&lt;'[1]Methods write-up'!$T$20),"Temperate seasonal","")</f>
        <v/>
      </c>
      <c r="BC29" s="22" t="str">
        <f>IF(AND('[1]observations-276632'!W29&gt;'[1]Methods write-up'!$Q$21,'[1]observations-276632'!W29&lt;'[1]Methods write-up'!$R$21,'[1]observations-276632'!X29&gt;'[1]Methods write-up'!$S$21,'[1]observations-276632'!X29&lt;'[1]Methods write-up'!$T$21),"Desert and high aridity","")</f>
        <v/>
      </c>
      <c r="BD29" s="23" t="str">
        <f t="shared" si="3"/>
        <v/>
      </c>
      <c r="BE29" s="24">
        <f t="shared" si="1"/>
        <v>20</v>
      </c>
      <c r="BF29" s="24">
        <f t="shared" si="2"/>
        <v>9</v>
      </c>
    </row>
    <row r="30" spans="1:58" ht="16.25" customHeight="1" x14ac:dyDescent="0.2">
      <c r="A30">
        <v>5141635</v>
      </c>
      <c r="B30" t="s">
        <v>306</v>
      </c>
      <c r="C30" s="14">
        <v>42525</v>
      </c>
      <c r="D30" t="s">
        <v>307</v>
      </c>
      <c r="E30" t="s">
        <v>84</v>
      </c>
      <c r="F30">
        <v>196373</v>
      </c>
      <c r="G30" t="s">
        <v>308</v>
      </c>
      <c r="I30" t="s">
        <v>309</v>
      </c>
      <c r="J30" t="s">
        <v>310</v>
      </c>
      <c r="K30" t="s">
        <v>62</v>
      </c>
      <c r="L30" t="s">
        <v>63</v>
      </c>
      <c r="M30" t="s">
        <v>311</v>
      </c>
      <c r="N30" t="s">
        <v>312</v>
      </c>
      <c r="Q30" t="s">
        <v>313</v>
      </c>
      <c r="R30">
        <v>2</v>
      </c>
      <c r="S30">
        <v>0</v>
      </c>
      <c r="T30" t="b">
        <v>0</v>
      </c>
      <c r="V30" t="s">
        <v>314</v>
      </c>
      <c r="W30" s="15">
        <v>-4.6989795660000002</v>
      </c>
      <c r="X30" s="15">
        <v>34.962401389999997</v>
      </c>
      <c r="Y30">
        <v>15</v>
      </c>
      <c r="AC30">
        <v>15</v>
      </c>
      <c r="AF30" t="b">
        <v>0</v>
      </c>
      <c r="AI30" t="s">
        <v>71</v>
      </c>
      <c r="AJ30" t="s">
        <v>70</v>
      </c>
      <c r="AK30" t="s">
        <v>71</v>
      </c>
      <c r="AL30" t="s">
        <v>72</v>
      </c>
      <c r="AM30">
        <v>346053</v>
      </c>
      <c r="AO30" s="16" t="s">
        <v>140</v>
      </c>
      <c r="AP30" s="17" t="str">
        <f t="shared" si="0"/>
        <v>Post-emergence nest</v>
      </c>
      <c r="AQ30" s="18">
        <v>3</v>
      </c>
      <c r="AT30" s="19" t="s">
        <v>141</v>
      </c>
      <c r="AU30" s="20" t="s">
        <v>315</v>
      </c>
      <c r="AX30" s="22" t="str">
        <f>IF(AND('[1]observations-276632'!W30&gt;'[1]Methods write-up'!$Q$16,'[1]observations-276632'!W30&lt;'[1]Methods write-up'!$R$16,'[1]observations-276632'!X30&gt;'[1]Methods write-up'!$S$16,'[1]observations-276632'!X30&lt;'[1]Methods write-up'!$T$16),"West and Central Africa","")</f>
        <v/>
      </c>
      <c r="AY30" s="22" t="str">
        <f>IF(AND('[1]observations-276632'!W30&gt;'[1]Methods write-up'!$Q$17,'[1]observations-276632'!W30&lt;'[1]Methods write-up'!$R$17,'[1]observations-276632'!X30&gt;'[1]Methods write-up'!$S$17,'[1]observations-276632'!X30&lt;'[1]Methods write-up'!$T$17),"Equatorial tropical forest","")</f>
        <v/>
      </c>
      <c r="AZ30" s="22" t="str">
        <f>IF(AND('[1]observations-276632'!W30&gt;'[1]Methods write-up'!$Q$18,'[1]observations-276632'!W30&lt;'[1]Methods write-up'!$R$18,'[1]observations-276632'!X30&gt;'[1]Methods write-up'!$S$18,'[1]observations-276632'!X30&lt;'[1]Methods write-up'!$T$18),"Somali peninsula","")</f>
        <v/>
      </c>
      <c r="BA30" s="22" t="str">
        <f>IF(AND('[1]observations-276632'!W30&gt;'[1]Methods write-up'!$Q$19,'[1]observations-276632'!W30&lt;'[1]Methods write-up'!$R$19,'[1]observations-276632'!X30&gt;'[1]Methods write-up'!$S$19,'[1]observations-276632'!X30&lt;'[1]Methods write-up'!$T$19),"East Africa","")</f>
        <v>East Africa</v>
      </c>
      <c r="BB30" s="22" t="str">
        <f>IF(AND('[1]observations-276632'!W30&gt;'[1]Methods write-up'!$Q$20,'[1]observations-276632'!W30&lt;'[1]Methods write-up'!$R$20,'[1]observations-276632'!X30&gt;'[1]Methods write-up'!$S$20,'[1]observations-276632'!X30&lt;'[1]Methods write-up'!$T$20),"Temperate seasonal","")</f>
        <v/>
      </c>
      <c r="BC30" s="22" t="str">
        <f>IF(AND('[1]observations-276632'!W30&gt;'[1]Methods write-up'!$Q$21,'[1]observations-276632'!W30&lt;'[1]Methods write-up'!$R$21,'[1]observations-276632'!X30&gt;'[1]Methods write-up'!$S$21,'[1]observations-276632'!X30&lt;'[1]Methods write-up'!$T$21),"Desert and high aridity","")</f>
        <v/>
      </c>
      <c r="BD30" s="23" t="str">
        <f t="shared" si="3"/>
        <v>East Africa</v>
      </c>
      <c r="BE30" s="24">
        <f t="shared" si="1"/>
        <v>4</v>
      </c>
      <c r="BF30" s="24">
        <f t="shared" si="2"/>
        <v>6</v>
      </c>
    </row>
    <row r="31" spans="1:58" ht="16.25" customHeight="1" x14ac:dyDescent="0.2">
      <c r="A31">
        <v>6207092</v>
      </c>
      <c r="B31" t="s">
        <v>316</v>
      </c>
      <c r="C31" s="14">
        <v>42869</v>
      </c>
      <c r="D31" t="s">
        <v>317</v>
      </c>
      <c r="E31" t="s">
        <v>243</v>
      </c>
      <c r="F31">
        <v>472854</v>
      </c>
      <c r="G31" t="s">
        <v>318</v>
      </c>
      <c r="H31" t="s">
        <v>319</v>
      </c>
      <c r="I31" t="s">
        <v>320</v>
      </c>
      <c r="J31" t="s">
        <v>321</v>
      </c>
      <c r="K31" t="s">
        <v>62</v>
      </c>
      <c r="L31" t="s">
        <v>63</v>
      </c>
      <c r="M31" t="s">
        <v>322</v>
      </c>
      <c r="N31" t="s">
        <v>323</v>
      </c>
      <c r="R31">
        <v>3</v>
      </c>
      <c r="S31">
        <v>0</v>
      </c>
      <c r="T31" t="b">
        <v>0</v>
      </c>
      <c r="V31" t="s">
        <v>324</v>
      </c>
      <c r="W31" s="15">
        <v>-17.799339</v>
      </c>
      <c r="X31" s="15">
        <v>31.053799000000001</v>
      </c>
      <c r="Y31">
        <v>100</v>
      </c>
      <c r="AC31">
        <v>100</v>
      </c>
      <c r="AF31" t="b">
        <v>0</v>
      </c>
      <c r="AI31" t="s">
        <v>71</v>
      </c>
      <c r="AJ31" t="s">
        <v>70</v>
      </c>
      <c r="AK31" t="s">
        <v>71</v>
      </c>
      <c r="AL31" t="s">
        <v>72</v>
      </c>
      <c r="AM31">
        <v>346053</v>
      </c>
      <c r="AO31" s="16" t="s">
        <v>140</v>
      </c>
      <c r="AP31" s="17" t="str">
        <f t="shared" si="0"/>
        <v>Post-emergence nest</v>
      </c>
      <c r="AQ31" s="18">
        <v>22</v>
      </c>
      <c r="AT31" s="19" t="s">
        <v>141</v>
      </c>
      <c r="AU31" s="20" t="s">
        <v>104</v>
      </c>
      <c r="AX31" s="22" t="str">
        <f>IF(AND('[1]observations-276632'!W31&gt;'[1]Methods write-up'!$Q$16,'[1]observations-276632'!W31&lt;'[1]Methods write-up'!$R$16,'[1]observations-276632'!X31&gt;'[1]Methods write-up'!$S$16,'[1]observations-276632'!X31&lt;'[1]Methods write-up'!$T$16),"West and Central Africa","")</f>
        <v/>
      </c>
      <c r="AY31" s="22" t="str">
        <f>IF(AND('[1]observations-276632'!W31&gt;'[1]Methods write-up'!$Q$17,'[1]observations-276632'!W31&lt;'[1]Methods write-up'!$R$17,'[1]observations-276632'!X31&gt;'[1]Methods write-up'!$S$17,'[1]observations-276632'!X31&lt;'[1]Methods write-up'!$T$17),"Equatorial tropical forest","")</f>
        <v/>
      </c>
      <c r="AZ31" s="22" t="str">
        <f>IF(AND('[1]observations-276632'!W31&gt;'[1]Methods write-up'!$Q$18,'[1]observations-276632'!W31&lt;'[1]Methods write-up'!$R$18,'[1]observations-276632'!X31&gt;'[1]Methods write-up'!$S$18,'[1]observations-276632'!X31&lt;'[1]Methods write-up'!$T$18),"Somali peninsula","")</f>
        <v/>
      </c>
      <c r="BA31" s="22" t="str">
        <f>IF(AND('[1]observations-276632'!W31&gt;'[1]Methods write-up'!$Q$19,'[1]observations-276632'!W31&lt;'[1]Methods write-up'!$R$19,'[1]observations-276632'!X31&gt;'[1]Methods write-up'!$S$19,'[1]observations-276632'!X31&lt;'[1]Methods write-up'!$T$19),"East Africa","")</f>
        <v/>
      </c>
      <c r="BB31" s="22" t="str">
        <f>IF(AND('[1]observations-276632'!W31&gt;'[1]Methods write-up'!$Q$20,'[1]observations-276632'!W31&lt;'[1]Methods write-up'!$R$20,'[1]observations-276632'!X31&gt;'[1]Methods write-up'!$S$20,'[1]observations-276632'!X31&lt;'[1]Methods write-up'!$T$20),"Temperate seasonal","")</f>
        <v/>
      </c>
      <c r="BC31" s="22" t="str">
        <f>IF(AND('[1]observations-276632'!W31&gt;'[1]Methods write-up'!$Q$21,'[1]observations-276632'!W31&lt;'[1]Methods write-up'!$R$21,'[1]observations-276632'!X31&gt;'[1]Methods write-up'!$S$21,'[1]observations-276632'!X31&lt;'[1]Methods write-up'!$T$21),"Desert and high aridity","")</f>
        <v/>
      </c>
      <c r="BD31" s="23" t="str">
        <f t="shared" si="3"/>
        <v/>
      </c>
      <c r="BE31" s="24">
        <f t="shared" si="1"/>
        <v>14</v>
      </c>
      <c r="BF31" s="24">
        <f t="shared" si="2"/>
        <v>5</v>
      </c>
    </row>
    <row r="32" spans="1:58" ht="16.25" customHeight="1" x14ac:dyDescent="0.2">
      <c r="A32">
        <v>6378291</v>
      </c>
      <c r="B32" t="s">
        <v>325</v>
      </c>
      <c r="C32" s="14">
        <v>42855</v>
      </c>
      <c r="D32" t="s">
        <v>326</v>
      </c>
      <c r="E32" t="s">
        <v>243</v>
      </c>
      <c r="F32">
        <v>18381</v>
      </c>
      <c r="G32" t="s">
        <v>291</v>
      </c>
      <c r="H32" t="s">
        <v>292</v>
      </c>
      <c r="I32" t="s">
        <v>327</v>
      </c>
      <c r="J32" t="s">
        <v>328</v>
      </c>
      <c r="K32" t="s">
        <v>62</v>
      </c>
      <c r="L32" t="s">
        <v>63</v>
      </c>
      <c r="M32" t="s">
        <v>329</v>
      </c>
      <c r="N32" t="s">
        <v>330</v>
      </c>
      <c r="R32">
        <v>4</v>
      </c>
      <c r="S32">
        <v>0</v>
      </c>
      <c r="T32" t="b">
        <v>0</v>
      </c>
      <c r="V32" t="s">
        <v>331</v>
      </c>
      <c r="W32" s="15">
        <v>-20.47631174</v>
      </c>
      <c r="X32" s="15">
        <v>28.524161200000002</v>
      </c>
      <c r="Y32">
        <v>4</v>
      </c>
      <c r="AC32">
        <v>4</v>
      </c>
      <c r="AF32" t="b">
        <v>0</v>
      </c>
      <c r="AI32" t="s">
        <v>71</v>
      </c>
      <c r="AJ32" t="s">
        <v>70</v>
      </c>
      <c r="AK32" t="s">
        <v>71</v>
      </c>
      <c r="AL32" t="s">
        <v>72</v>
      </c>
      <c r="AM32">
        <v>346053</v>
      </c>
      <c r="AO32" s="16" t="s">
        <v>140</v>
      </c>
      <c r="AP32" s="17" t="str">
        <f t="shared" si="0"/>
        <v>Post-emergence nest</v>
      </c>
      <c r="AQ32" s="18">
        <v>23</v>
      </c>
      <c r="AT32" s="19" t="s">
        <v>141</v>
      </c>
      <c r="AU32" s="20" t="s">
        <v>141</v>
      </c>
      <c r="AX32" s="22" t="str">
        <f>IF(AND('[1]observations-276632'!W32&gt;'[1]Methods write-up'!$Q$16,'[1]observations-276632'!W32&lt;'[1]Methods write-up'!$R$16,'[1]observations-276632'!X32&gt;'[1]Methods write-up'!$S$16,'[1]observations-276632'!X32&lt;'[1]Methods write-up'!$T$16),"West and Central Africa","")</f>
        <v/>
      </c>
      <c r="AY32" s="22" t="str">
        <f>IF(AND('[1]observations-276632'!W32&gt;'[1]Methods write-up'!$Q$17,'[1]observations-276632'!W32&lt;'[1]Methods write-up'!$R$17,'[1]observations-276632'!X32&gt;'[1]Methods write-up'!$S$17,'[1]observations-276632'!X32&lt;'[1]Methods write-up'!$T$17),"Equatorial tropical forest","")</f>
        <v/>
      </c>
      <c r="AZ32" s="22" t="str">
        <f>IF(AND('[1]observations-276632'!W32&gt;'[1]Methods write-up'!$Q$18,'[1]observations-276632'!W32&lt;'[1]Methods write-up'!$R$18,'[1]observations-276632'!X32&gt;'[1]Methods write-up'!$S$18,'[1]observations-276632'!X32&lt;'[1]Methods write-up'!$T$18),"Somali peninsula","")</f>
        <v/>
      </c>
      <c r="BA32" s="22" t="str">
        <f>IF(AND('[1]observations-276632'!W32&gt;'[1]Methods write-up'!$Q$19,'[1]observations-276632'!W32&lt;'[1]Methods write-up'!$R$19,'[1]observations-276632'!X32&gt;'[1]Methods write-up'!$S$19,'[1]observations-276632'!X32&lt;'[1]Methods write-up'!$T$19),"East Africa","")</f>
        <v/>
      </c>
      <c r="BB32" s="22" t="str">
        <f>IF(AND('[1]observations-276632'!W32&gt;'[1]Methods write-up'!$Q$20,'[1]observations-276632'!W32&lt;'[1]Methods write-up'!$R$20,'[1]observations-276632'!X32&gt;'[1]Methods write-up'!$S$20,'[1]observations-276632'!X32&lt;'[1]Methods write-up'!$T$20),"Temperate seasonal","")</f>
        <v/>
      </c>
      <c r="BC32" s="22" t="str">
        <f>IF(AND('[1]observations-276632'!W32&gt;'[1]Methods write-up'!$Q$21,'[1]observations-276632'!W32&lt;'[1]Methods write-up'!$R$21,'[1]observations-276632'!X32&gt;'[1]Methods write-up'!$S$21,'[1]observations-276632'!X32&lt;'[1]Methods write-up'!$T$21),"Desert and high aridity","")</f>
        <v/>
      </c>
      <c r="BD32" s="23" t="str">
        <f t="shared" si="3"/>
        <v/>
      </c>
      <c r="BE32" s="24">
        <f t="shared" si="1"/>
        <v>30</v>
      </c>
      <c r="BF32" s="24">
        <f t="shared" si="2"/>
        <v>4</v>
      </c>
    </row>
    <row r="33" spans="1:58" ht="16.25" customHeight="1" x14ac:dyDescent="0.2">
      <c r="A33">
        <v>6625673</v>
      </c>
      <c r="B33" t="s">
        <v>332</v>
      </c>
      <c r="C33" s="14">
        <v>41414</v>
      </c>
      <c r="D33" t="s">
        <v>333</v>
      </c>
      <c r="E33" t="s">
        <v>243</v>
      </c>
      <c r="F33">
        <v>384877</v>
      </c>
      <c r="G33" t="s">
        <v>334</v>
      </c>
      <c r="H33" t="s">
        <v>335</v>
      </c>
      <c r="I33" t="s">
        <v>336</v>
      </c>
      <c r="J33" t="s">
        <v>337</v>
      </c>
      <c r="K33" t="s">
        <v>62</v>
      </c>
      <c r="L33" t="s">
        <v>261</v>
      </c>
      <c r="M33" t="s">
        <v>338</v>
      </c>
      <c r="N33" t="s">
        <v>339</v>
      </c>
      <c r="R33">
        <v>2</v>
      </c>
      <c r="S33">
        <v>0</v>
      </c>
      <c r="T33" t="b">
        <v>0</v>
      </c>
      <c r="V33" t="s">
        <v>340</v>
      </c>
      <c r="W33" s="15">
        <v>6.9535380699999996</v>
      </c>
      <c r="X33" s="15">
        <v>2.3929595950000002</v>
      </c>
      <c r="Y33">
        <v>488</v>
      </c>
      <c r="AC33">
        <v>488</v>
      </c>
      <c r="AF33" t="b">
        <v>0</v>
      </c>
      <c r="AI33" t="s">
        <v>71</v>
      </c>
      <c r="AJ33" t="s">
        <v>70</v>
      </c>
      <c r="AK33" t="s">
        <v>71</v>
      </c>
      <c r="AL33" t="s">
        <v>72</v>
      </c>
      <c r="AM33">
        <v>346053</v>
      </c>
      <c r="AO33" s="16" t="s">
        <v>73</v>
      </c>
      <c r="AP33" s="17" t="str">
        <f t="shared" si="0"/>
        <v>Off-nest female</v>
      </c>
      <c r="AX33" s="22" t="str">
        <f>IF(AND('[1]observations-276632'!W33&gt;'[1]Methods write-up'!$Q$16,'[1]observations-276632'!W33&lt;'[1]Methods write-up'!$R$16,'[1]observations-276632'!X33&gt;'[1]Methods write-up'!$S$16,'[1]observations-276632'!X33&lt;'[1]Methods write-up'!$T$16),"West and Central Africa","")</f>
        <v>West and Central Africa</v>
      </c>
      <c r="AY33" s="22" t="str">
        <f>IF(AND('[1]observations-276632'!W33&gt;'[1]Methods write-up'!$Q$17,'[1]observations-276632'!W33&lt;'[1]Methods write-up'!$R$17,'[1]observations-276632'!X33&gt;'[1]Methods write-up'!$S$17,'[1]observations-276632'!X33&lt;'[1]Methods write-up'!$T$17),"Equatorial tropical forest","")</f>
        <v/>
      </c>
      <c r="AZ33" s="22" t="str">
        <f>IF(AND('[1]observations-276632'!W33&gt;'[1]Methods write-up'!$Q$18,'[1]observations-276632'!W33&lt;'[1]Methods write-up'!$R$18,'[1]observations-276632'!X33&gt;'[1]Methods write-up'!$S$18,'[1]observations-276632'!X33&lt;'[1]Methods write-up'!$T$18),"Somali peninsula","")</f>
        <v/>
      </c>
      <c r="BA33" s="22" t="str">
        <f>IF(AND('[1]observations-276632'!W33&gt;'[1]Methods write-up'!$Q$19,'[1]observations-276632'!W33&lt;'[1]Methods write-up'!$R$19,'[1]observations-276632'!X33&gt;'[1]Methods write-up'!$S$19,'[1]observations-276632'!X33&lt;'[1]Methods write-up'!$T$19),"East Africa","")</f>
        <v/>
      </c>
      <c r="BB33" s="22" t="str">
        <f>IF(AND('[1]observations-276632'!W33&gt;'[1]Methods write-up'!$Q$20,'[1]observations-276632'!W33&lt;'[1]Methods write-up'!$R$20,'[1]observations-276632'!X33&gt;'[1]Methods write-up'!$S$20,'[1]observations-276632'!X33&lt;'[1]Methods write-up'!$T$20),"Temperate seasonal","")</f>
        <v/>
      </c>
      <c r="BC33" s="22" t="str">
        <f>IF(AND('[1]observations-276632'!W33&gt;'[1]Methods write-up'!$Q$21,'[1]observations-276632'!W33&lt;'[1]Methods write-up'!$R$21,'[1]observations-276632'!X33&gt;'[1]Methods write-up'!$S$21,'[1]observations-276632'!X33&lt;'[1]Methods write-up'!$T$21),"Desert and high aridity","")</f>
        <v/>
      </c>
      <c r="BD33" s="23" t="str">
        <f t="shared" si="3"/>
        <v>West and Central Africa</v>
      </c>
      <c r="BE33" s="24">
        <f t="shared" si="1"/>
        <v>20</v>
      </c>
      <c r="BF33" s="24">
        <f t="shared" si="2"/>
        <v>5</v>
      </c>
    </row>
    <row r="34" spans="1:58" ht="16.25" customHeight="1" x14ac:dyDescent="0.2">
      <c r="A34">
        <v>7115756</v>
      </c>
      <c r="B34" t="s">
        <v>341</v>
      </c>
      <c r="C34" s="14">
        <v>42935</v>
      </c>
      <c r="D34" t="s">
        <v>342</v>
      </c>
      <c r="E34" t="s">
        <v>113</v>
      </c>
      <c r="F34">
        <v>524037</v>
      </c>
      <c r="G34" t="s">
        <v>343</v>
      </c>
      <c r="H34" t="s">
        <v>344</v>
      </c>
      <c r="I34" t="s">
        <v>345</v>
      </c>
      <c r="J34" t="s">
        <v>346</v>
      </c>
      <c r="K34" t="s">
        <v>62</v>
      </c>
      <c r="M34" t="s">
        <v>347</v>
      </c>
      <c r="N34" t="s">
        <v>348</v>
      </c>
      <c r="R34">
        <v>5</v>
      </c>
      <c r="S34">
        <v>0</v>
      </c>
      <c r="T34" t="b">
        <v>0</v>
      </c>
      <c r="U34">
        <v>2</v>
      </c>
      <c r="V34" t="s">
        <v>349</v>
      </c>
      <c r="W34" s="15">
        <v>-15.7804453</v>
      </c>
      <c r="X34" s="15">
        <v>34.989184250000001</v>
      </c>
      <c r="Y34">
        <v>129</v>
      </c>
      <c r="AC34">
        <v>129</v>
      </c>
      <c r="AF34" t="b">
        <v>0</v>
      </c>
      <c r="AG34" t="s">
        <v>350</v>
      </c>
      <c r="AH34" t="s">
        <v>350</v>
      </c>
      <c r="AI34" t="s">
        <v>71</v>
      </c>
      <c r="AJ34" t="s">
        <v>70</v>
      </c>
      <c r="AK34" t="s">
        <v>71</v>
      </c>
      <c r="AL34" t="s">
        <v>72</v>
      </c>
      <c r="AM34">
        <v>346053</v>
      </c>
      <c r="AO34" s="16" t="s">
        <v>73</v>
      </c>
      <c r="AP34" s="17" t="str">
        <f t="shared" si="0"/>
        <v>Off-nest female</v>
      </c>
      <c r="AX34" s="22" t="str">
        <f>IF(AND('[1]observations-276632'!W34&gt;'[1]Methods write-up'!$Q$16,'[1]observations-276632'!W34&lt;'[1]Methods write-up'!$R$16,'[1]observations-276632'!X34&gt;'[1]Methods write-up'!$S$16,'[1]observations-276632'!X34&lt;'[1]Methods write-up'!$T$16),"West and Central Africa","")</f>
        <v/>
      </c>
      <c r="AY34" s="22" t="str">
        <f>IF(AND('[1]observations-276632'!W34&gt;'[1]Methods write-up'!$Q$17,'[1]observations-276632'!W34&lt;'[1]Methods write-up'!$R$17,'[1]observations-276632'!X34&gt;'[1]Methods write-up'!$S$17,'[1]observations-276632'!X34&lt;'[1]Methods write-up'!$T$17),"Equatorial tropical forest","")</f>
        <v/>
      </c>
      <c r="AZ34" s="22" t="str">
        <f>IF(AND('[1]observations-276632'!W34&gt;'[1]Methods write-up'!$Q$18,'[1]observations-276632'!W34&lt;'[1]Methods write-up'!$R$18,'[1]observations-276632'!X34&gt;'[1]Methods write-up'!$S$18,'[1]observations-276632'!X34&lt;'[1]Methods write-up'!$T$18),"Somali peninsula","")</f>
        <v/>
      </c>
      <c r="BA34" s="22" t="str">
        <f>IF(AND('[1]observations-276632'!W34&gt;'[1]Methods write-up'!$Q$19,'[1]observations-276632'!W34&lt;'[1]Methods write-up'!$R$19,'[1]observations-276632'!X34&gt;'[1]Methods write-up'!$S$19,'[1]observations-276632'!X34&lt;'[1]Methods write-up'!$T$19),"East Africa","")</f>
        <v/>
      </c>
      <c r="BB34" s="22" t="str">
        <f>IF(AND('[1]observations-276632'!W34&gt;'[1]Methods write-up'!$Q$20,'[1]observations-276632'!W34&lt;'[1]Methods write-up'!$R$20,'[1]observations-276632'!X34&gt;'[1]Methods write-up'!$S$20,'[1]observations-276632'!X34&lt;'[1]Methods write-up'!$T$20),"Temperate seasonal","")</f>
        <v/>
      </c>
      <c r="BC34" s="22" t="str">
        <f>IF(AND('[1]observations-276632'!W34&gt;'[1]Methods write-up'!$Q$21,'[1]observations-276632'!W34&lt;'[1]Methods write-up'!$R$21,'[1]observations-276632'!X34&gt;'[1]Methods write-up'!$S$21,'[1]observations-276632'!X34&lt;'[1]Methods write-up'!$T$21),"Desert and high aridity","")</f>
        <v/>
      </c>
      <c r="BD34" s="23" t="str">
        <f t="shared" si="3"/>
        <v/>
      </c>
      <c r="BE34" s="24">
        <f t="shared" si="1"/>
        <v>19</v>
      </c>
      <c r="BF34" s="24">
        <f t="shared" si="2"/>
        <v>7</v>
      </c>
    </row>
    <row r="35" spans="1:58" ht="16.25" customHeight="1" x14ac:dyDescent="0.2">
      <c r="A35">
        <v>7160127</v>
      </c>
      <c r="B35" t="s">
        <v>351</v>
      </c>
      <c r="C35" s="14">
        <v>42937</v>
      </c>
      <c r="D35" t="s">
        <v>352</v>
      </c>
      <c r="E35" t="s">
        <v>243</v>
      </c>
      <c r="F35">
        <v>32124</v>
      </c>
      <c r="G35" t="s">
        <v>85</v>
      </c>
      <c r="H35" t="s">
        <v>86</v>
      </c>
      <c r="I35" t="s">
        <v>353</v>
      </c>
      <c r="J35" t="s">
        <v>354</v>
      </c>
      <c r="K35" t="s">
        <v>62</v>
      </c>
      <c r="L35" t="s">
        <v>63</v>
      </c>
      <c r="M35" t="s">
        <v>355</v>
      </c>
      <c r="N35" t="s">
        <v>356</v>
      </c>
      <c r="R35">
        <v>1</v>
      </c>
      <c r="S35">
        <v>0</v>
      </c>
      <c r="T35" t="b">
        <v>0</v>
      </c>
      <c r="V35" t="s">
        <v>357</v>
      </c>
      <c r="W35" s="15">
        <v>-4.900931667</v>
      </c>
      <c r="X35" s="15">
        <v>39.678428330000003</v>
      </c>
      <c r="AF35" t="b">
        <v>0</v>
      </c>
      <c r="AI35" t="s">
        <v>70</v>
      </c>
      <c r="AJ35" t="s">
        <v>70</v>
      </c>
      <c r="AK35" t="s">
        <v>71</v>
      </c>
      <c r="AL35" t="s">
        <v>72</v>
      </c>
      <c r="AM35">
        <v>346053</v>
      </c>
      <c r="AO35" s="16" t="s">
        <v>150</v>
      </c>
      <c r="AP35" s="17" t="str">
        <f t="shared" si="0"/>
        <v>Male (off nest)</v>
      </c>
      <c r="AX35" s="22" t="str">
        <f>IF(AND('[1]observations-276632'!W35&gt;'[1]Methods write-up'!$Q$16,'[1]observations-276632'!W35&lt;'[1]Methods write-up'!$R$16,'[1]observations-276632'!X35&gt;'[1]Methods write-up'!$S$16,'[1]observations-276632'!X35&lt;'[1]Methods write-up'!$T$16),"West and Central Africa","")</f>
        <v/>
      </c>
      <c r="AY35" s="22" t="str">
        <f>IF(AND('[1]observations-276632'!W35&gt;'[1]Methods write-up'!$Q$17,'[1]observations-276632'!W35&lt;'[1]Methods write-up'!$R$17,'[1]observations-276632'!X35&gt;'[1]Methods write-up'!$S$17,'[1]observations-276632'!X35&lt;'[1]Methods write-up'!$T$17),"Equatorial tropical forest","")</f>
        <v/>
      </c>
      <c r="AZ35" s="22" t="str">
        <f>IF(AND('[1]observations-276632'!W35&gt;'[1]Methods write-up'!$Q$18,'[1]observations-276632'!W35&lt;'[1]Methods write-up'!$R$18,'[1]observations-276632'!X35&gt;'[1]Methods write-up'!$S$18,'[1]observations-276632'!X35&lt;'[1]Methods write-up'!$T$18),"Somali peninsula","")</f>
        <v/>
      </c>
      <c r="BA35" s="22" t="str">
        <f>IF(AND('[1]observations-276632'!W35&gt;'[1]Methods write-up'!$Q$19,'[1]observations-276632'!W35&lt;'[1]Methods write-up'!$R$19,'[1]observations-276632'!X35&gt;'[1]Methods write-up'!$S$19,'[1]observations-276632'!X35&lt;'[1]Methods write-up'!$T$19),"East Africa","")</f>
        <v>East Africa</v>
      </c>
      <c r="BB35" s="22" t="str">
        <f>IF(AND('[1]observations-276632'!W35&gt;'[1]Methods write-up'!$Q$20,'[1]observations-276632'!W35&lt;'[1]Methods write-up'!$R$20,'[1]observations-276632'!X35&gt;'[1]Methods write-up'!$S$20,'[1]observations-276632'!X35&lt;'[1]Methods write-up'!$T$20),"Temperate seasonal","")</f>
        <v/>
      </c>
      <c r="BC35" s="22" t="str">
        <f>IF(AND('[1]observations-276632'!W35&gt;'[1]Methods write-up'!$Q$21,'[1]observations-276632'!W35&lt;'[1]Methods write-up'!$R$21,'[1]observations-276632'!X35&gt;'[1]Methods write-up'!$S$21,'[1]observations-276632'!X35&lt;'[1]Methods write-up'!$T$21),"Desert and high aridity","")</f>
        <v/>
      </c>
      <c r="BD35" s="23" t="str">
        <f t="shared" si="3"/>
        <v>East Africa</v>
      </c>
      <c r="BE35" s="24">
        <f t="shared" si="1"/>
        <v>21</v>
      </c>
      <c r="BF35" s="24">
        <f t="shared" si="2"/>
        <v>7</v>
      </c>
    </row>
    <row r="36" spans="1:58" ht="16.25" customHeight="1" x14ac:dyDescent="0.2">
      <c r="A36">
        <v>7629888</v>
      </c>
      <c r="B36" t="s">
        <v>358</v>
      </c>
      <c r="C36" s="14">
        <v>41008</v>
      </c>
      <c r="D36" t="s">
        <v>359</v>
      </c>
      <c r="E36" t="s">
        <v>201</v>
      </c>
      <c r="F36">
        <v>565236</v>
      </c>
      <c r="G36" t="s">
        <v>360</v>
      </c>
      <c r="H36" t="s">
        <v>361</v>
      </c>
      <c r="I36" t="s">
        <v>362</v>
      </c>
      <c r="J36" t="s">
        <v>363</v>
      </c>
      <c r="K36" t="s">
        <v>62</v>
      </c>
      <c r="M36" t="s">
        <v>364</v>
      </c>
      <c r="N36" t="s">
        <v>365</v>
      </c>
      <c r="R36">
        <v>2</v>
      </c>
      <c r="S36">
        <v>0</v>
      </c>
      <c r="T36" t="b">
        <v>0</v>
      </c>
      <c r="V36" t="s">
        <v>366</v>
      </c>
      <c r="W36" s="15">
        <v>-8.4813497519999999</v>
      </c>
      <c r="X36" s="15">
        <v>30.451784119999999</v>
      </c>
      <c r="Y36">
        <v>210</v>
      </c>
      <c r="AC36">
        <v>210</v>
      </c>
      <c r="AF36" t="b">
        <v>0</v>
      </c>
      <c r="AI36" t="s">
        <v>71</v>
      </c>
      <c r="AJ36" t="s">
        <v>70</v>
      </c>
      <c r="AK36" t="s">
        <v>71</v>
      </c>
      <c r="AL36" t="s">
        <v>72</v>
      </c>
      <c r="AM36">
        <v>346053</v>
      </c>
      <c r="AO36" s="16" t="s">
        <v>140</v>
      </c>
      <c r="AP36" s="17" t="str">
        <f t="shared" si="0"/>
        <v>Post-emergence nest</v>
      </c>
      <c r="AQ36" s="18">
        <v>4</v>
      </c>
      <c r="AT36" s="19" t="s">
        <v>141</v>
      </c>
      <c r="AU36" s="20" t="s">
        <v>104</v>
      </c>
      <c r="AX36" s="22" t="str">
        <f>IF(AND('[1]observations-276632'!W36&gt;'[1]Methods write-up'!$Q$16,'[1]observations-276632'!W36&lt;'[1]Methods write-up'!$R$16,'[1]observations-276632'!X36&gt;'[1]Methods write-up'!$S$16,'[1]observations-276632'!X36&lt;'[1]Methods write-up'!$T$16),"West and Central Africa","")</f>
        <v>West and Central Africa</v>
      </c>
      <c r="AY36" s="22" t="str">
        <f>IF(AND('[1]observations-276632'!W36&gt;'[1]Methods write-up'!$Q$17,'[1]observations-276632'!W36&lt;'[1]Methods write-up'!$R$17,'[1]observations-276632'!X36&gt;'[1]Methods write-up'!$S$17,'[1]observations-276632'!X36&lt;'[1]Methods write-up'!$T$17),"Equatorial tropical forest","")</f>
        <v/>
      </c>
      <c r="AZ36" s="22" t="str">
        <f>IF(AND('[1]observations-276632'!W36&gt;'[1]Methods write-up'!$Q$18,'[1]observations-276632'!W36&lt;'[1]Methods write-up'!$R$18,'[1]observations-276632'!X36&gt;'[1]Methods write-up'!$S$18,'[1]observations-276632'!X36&lt;'[1]Methods write-up'!$T$18),"Somali peninsula","")</f>
        <v/>
      </c>
      <c r="BA36" s="22" t="str">
        <f>IF(AND('[1]observations-276632'!W36&gt;'[1]Methods write-up'!$Q$19,'[1]observations-276632'!W36&lt;'[1]Methods write-up'!$R$19,'[1]observations-276632'!X36&gt;'[1]Methods write-up'!$S$19,'[1]observations-276632'!X36&lt;'[1]Methods write-up'!$T$19),"East Africa","")</f>
        <v/>
      </c>
      <c r="BB36" s="22" t="str">
        <f>IF(AND('[1]observations-276632'!W36&gt;'[1]Methods write-up'!$Q$20,'[1]observations-276632'!W36&lt;'[1]Methods write-up'!$R$20,'[1]observations-276632'!X36&gt;'[1]Methods write-up'!$S$20,'[1]observations-276632'!X36&lt;'[1]Methods write-up'!$T$20),"Temperate seasonal","")</f>
        <v/>
      </c>
      <c r="BC36" s="22" t="str">
        <f>IF(AND('[1]observations-276632'!W36&gt;'[1]Methods write-up'!$Q$21,'[1]observations-276632'!W36&lt;'[1]Methods write-up'!$R$21,'[1]observations-276632'!X36&gt;'[1]Methods write-up'!$S$21,'[1]observations-276632'!X36&lt;'[1]Methods write-up'!$T$21),"Desert and high aridity","")</f>
        <v/>
      </c>
      <c r="BD36" s="23" t="str">
        <f t="shared" si="3"/>
        <v>West and Central Africa</v>
      </c>
      <c r="BE36" s="24">
        <f t="shared" si="1"/>
        <v>9</v>
      </c>
      <c r="BF36" s="24">
        <f t="shared" si="2"/>
        <v>4</v>
      </c>
    </row>
    <row r="37" spans="1:58" ht="16.25" customHeight="1" x14ac:dyDescent="0.2">
      <c r="A37">
        <v>7899371</v>
      </c>
      <c r="B37" t="s">
        <v>367</v>
      </c>
      <c r="C37" s="14">
        <v>42977</v>
      </c>
      <c r="D37" t="s">
        <v>368</v>
      </c>
      <c r="E37" t="s">
        <v>256</v>
      </c>
      <c r="F37">
        <v>3342</v>
      </c>
      <c r="G37" t="s">
        <v>369</v>
      </c>
      <c r="H37" t="s">
        <v>370</v>
      </c>
      <c r="I37" t="s">
        <v>371</v>
      </c>
      <c r="J37" t="s">
        <v>372</v>
      </c>
      <c r="K37" t="s">
        <v>62</v>
      </c>
      <c r="L37" t="s">
        <v>373</v>
      </c>
      <c r="M37" t="s">
        <v>374</v>
      </c>
      <c r="N37" t="s">
        <v>375</v>
      </c>
      <c r="R37">
        <v>2</v>
      </c>
      <c r="S37">
        <v>0</v>
      </c>
      <c r="T37" t="b">
        <v>0</v>
      </c>
      <c r="V37" t="s">
        <v>376</v>
      </c>
      <c r="W37" s="15">
        <v>-2.6520157000000002</v>
      </c>
      <c r="X37" s="15">
        <v>37.260767199999997</v>
      </c>
      <c r="Y37">
        <v>212</v>
      </c>
      <c r="AC37">
        <v>212</v>
      </c>
      <c r="AF37" t="b">
        <v>0</v>
      </c>
      <c r="AI37" t="s">
        <v>70</v>
      </c>
      <c r="AJ37" t="s">
        <v>70</v>
      </c>
      <c r="AK37" t="s">
        <v>71</v>
      </c>
      <c r="AL37" t="s">
        <v>72</v>
      </c>
      <c r="AM37">
        <v>346053</v>
      </c>
      <c r="AO37" s="16" t="s">
        <v>73</v>
      </c>
      <c r="AP37" s="17" t="str">
        <f t="shared" si="0"/>
        <v>Off-nest female</v>
      </c>
      <c r="AX37" s="22" t="str">
        <f>IF(AND('[1]observations-276632'!W37&gt;'[1]Methods write-up'!$Q$16,'[1]observations-276632'!W37&lt;'[1]Methods write-up'!$R$16,'[1]observations-276632'!X37&gt;'[1]Methods write-up'!$S$16,'[1]observations-276632'!X37&lt;'[1]Methods write-up'!$T$16),"West and Central Africa","")</f>
        <v/>
      </c>
      <c r="AY37" s="22" t="str">
        <f>IF(AND('[1]observations-276632'!W37&gt;'[1]Methods write-up'!$Q$17,'[1]observations-276632'!W37&lt;'[1]Methods write-up'!$R$17,'[1]observations-276632'!X37&gt;'[1]Methods write-up'!$S$17,'[1]observations-276632'!X37&lt;'[1]Methods write-up'!$T$17),"Equatorial tropical forest","")</f>
        <v/>
      </c>
      <c r="AZ37" s="22" t="str">
        <f>IF(AND('[1]observations-276632'!W37&gt;'[1]Methods write-up'!$Q$18,'[1]observations-276632'!W37&lt;'[1]Methods write-up'!$R$18,'[1]observations-276632'!X37&gt;'[1]Methods write-up'!$S$18,'[1]observations-276632'!X37&lt;'[1]Methods write-up'!$T$18),"Somali peninsula","")</f>
        <v/>
      </c>
      <c r="BA37" s="22" t="str">
        <f>IF(AND('[1]observations-276632'!W37&gt;'[1]Methods write-up'!$Q$19,'[1]observations-276632'!W37&lt;'[1]Methods write-up'!$R$19,'[1]observations-276632'!X37&gt;'[1]Methods write-up'!$S$19,'[1]observations-276632'!X37&lt;'[1]Methods write-up'!$T$19),"East Africa","")</f>
        <v>East Africa</v>
      </c>
      <c r="BB37" s="22" t="str">
        <f>IF(AND('[1]observations-276632'!W37&gt;'[1]Methods write-up'!$Q$20,'[1]observations-276632'!W37&lt;'[1]Methods write-up'!$R$20,'[1]observations-276632'!X37&gt;'[1]Methods write-up'!$S$20,'[1]observations-276632'!X37&lt;'[1]Methods write-up'!$T$20),"Temperate seasonal","")</f>
        <v/>
      </c>
      <c r="BC37" s="22" t="str">
        <f>IF(AND('[1]observations-276632'!W37&gt;'[1]Methods write-up'!$Q$21,'[1]observations-276632'!W37&lt;'[1]Methods write-up'!$R$21,'[1]observations-276632'!X37&gt;'[1]Methods write-up'!$S$21,'[1]observations-276632'!X37&lt;'[1]Methods write-up'!$T$21),"Desert and high aridity","")</f>
        <v/>
      </c>
      <c r="BD37" s="23" t="str">
        <f t="shared" si="3"/>
        <v>East Africa</v>
      </c>
      <c r="BE37" s="24">
        <f t="shared" si="1"/>
        <v>30</v>
      </c>
      <c r="BF37" s="24">
        <f t="shared" si="2"/>
        <v>8</v>
      </c>
    </row>
    <row r="38" spans="1:58" ht="16.25" customHeight="1" x14ac:dyDescent="0.2">
      <c r="A38">
        <v>8232923</v>
      </c>
      <c r="B38" t="s">
        <v>377</v>
      </c>
      <c r="C38" s="14">
        <v>43009</v>
      </c>
      <c r="D38" t="s">
        <v>378</v>
      </c>
      <c r="E38" t="s">
        <v>113</v>
      </c>
      <c r="F38">
        <v>378628</v>
      </c>
      <c r="G38" t="s">
        <v>379</v>
      </c>
      <c r="H38" t="s">
        <v>380</v>
      </c>
      <c r="I38" t="s">
        <v>381</v>
      </c>
      <c r="J38" t="s">
        <v>382</v>
      </c>
      <c r="K38" t="s">
        <v>62</v>
      </c>
      <c r="L38" t="s">
        <v>63</v>
      </c>
      <c r="M38" t="s">
        <v>383</v>
      </c>
      <c r="N38" t="s">
        <v>384</v>
      </c>
      <c r="R38">
        <v>3</v>
      </c>
      <c r="S38">
        <v>0</v>
      </c>
      <c r="T38" t="b">
        <v>0</v>
      </c>
      <c r="U38">
        <v>2</v>
      </c>
      <c r="V38" t="s">
        <v>385</v>
      </c>
      <c r="W38" s="15">
        <v>-1.5262880000000001</v>
      </c>
      <c r="X38" s="15">
        <v>29.721526000000001</v>
      </c>
      <c r="Y38">
        <v>33</v>
      </c>
      <c r="AC38">
        <v>33</v>
      </c>
      <c r="AF38" t="b">
        <v>0</v>
      </c>
      <c r="AI38" t="s">
        <v>70</v>
      </c>
      <c r="AJ38" t="s">
        <v>70</v>
      </c>
      <c r="AK38" t="s">
        <v>71</v>
      </c>
      <c r="AL38" t="s">
        <v>72</v>
      </c>
      <c r="AM38">
        <v>346053</v>
      </c>
      <c r="AO38" s="16" t="s">
        <v>386</v>
      </c>
      <c r="AP38" s="17" t="str">
        <f t="shared" si="0"/>
        <v>Nest (foundress)</v>
      </c>
      <c r="AQ38" s="18">
        <v>2</v>
      </c>
      <c r="AT38" s="19" t="s">
        <v>104</v>
      </c>
      <c r="AX38" s="22" t="str">
        <f>IF(AND('[1]observations-276632'!W38&gt;'[1]Methods write-up'!$Q$16,'[1]observations-276632'!W38&lt;'[1]Methods write-up'!$R$16,'[1]observations-276632'!X38&gt;'[1]Methods write-up'!$S$16,'[1]observations-276632'!X38&lt;'[1]Methods write-up'!$T$16),"West and Central Africa","")</f>
        <v>West and Central Africa</v>
      </c>
      <c r="AY38" s="22" t="str">
        <f>IF(AND('[1]observations-276632'!W38&gt;'[1]Methods write-up'!$Q$17,'[1]observations-276632'!W38&lt;'[1]Methods write-up'!$R$17,'[1]observations-276632'!X38&gt;'[1]Methods write-up'!$S$17,'[1]observations-276632'!X38&lt;'[1]Methods write-up'!$T$17),"Equatorial tropical forest","")</f>
        <v/>
      </c>
      <c r="AZ38" s="22" t="str">
        <f>IF(AND('[1]observations-276632'!W38&gt;'[1]Methods write-up'!$Q$18,'[1]observations-276632'!W38&lt;'[1]Methods write-up'!$R$18,'[1]observations-276632'!X38&gt;'[1]Methods write-up'!$S$18,'[1]observations-276632'!X38&lt;'[1]Methods write-up'!$T$18),"Somali peninsula","")</f>
        <v/>
      </c>
      <c r="BA38" s="22" t="str">
        <f>IF(AND('[1]observations-276632'!W38&gt;'[1]Methods write-up'!$Q$19,'[1]observations-276632'!W38&lt;'[1]Methods write-up'!$R$19,'[1]observations-276632'!X38&gt;'[1]Methods write-up'!$S$19,'[1]observations-276632'!X38&lt;'[1]Methods write-up'!$T$19),"East Africa","")</f>
        <v/>
      </c>
      <c r="BB38" s="22" t="str">
        <f>IF(AND('[1]observations-276632'!W38&gt;'[1]Methods write-up'!$Q$20,'[1]observations-276632'!W38&lt;'[1]Methods write-up'!$R$20,'[1]observations-276632'!X38&gt;'[1]Methods write-up'!$S$20,'[1]observations-276632'!X38&lt;'[1]Methods write-up'!$T$20),"Temperate seasonal","")</f>
        <v/>
      </c>
      <c r="BC38" s="22" t="str">
        <f>IF(AND('[1]observations-276632'!W38&gt;'[1]Methods write-up'!$Q$21,'[1]observations-276632'!W38&lt;'[1]Methods write-up'!$R$21,'[1]observations-276632'!X38&gt;'[1]Methods write-up'!$S$21,'[1]observations-276632'!X38&lt;'[1]Methods write-up'!$T$21),"Desert and high aridity","")</f>
        <v/>
      </c>
      <c r="BD38" s="23" t="str">
        <f t="shared" si="3"/>
        <v>West and Central Africa</v>
      </c>
      <c r="BE38" s="24">
        <f t="shared" si="1"/>
        <v>1</v>
      </c>
      <c r="BF38" s="24">
        <f t="shared" si="2"/>
        <v>10</v>
      </c>
    </row>
    <row r="39" spans="1:58" ht="16.25" customHeight="1" x14ac:dyDescent="0.2">
      <c r="A39">
        <v>8325912</v>
      </c>
      <c r="B39" t="s">
        <v>387</v>
      </c>
      <c r="C39" s="14">
        <v>42941</v>
      </c>
      <c r="D39" t="s">
        <v>388</v>
      </c>
      <c r="E39" t="s">
        <v>113</v>
      </c>
      <c r="F39">
        <v>173306</v>
      </c>
      <c r="G39" t="s">
        <v>244</v>
      </c>
      <c r="H39" t="s">
        <v>245</v>
      </c>
      <c r="I39" t="s">
        <v>389</v>
      </c>
      <c r="J39" t="s">
        <v>390</v>
      </c>
      <c r="K39" t="s">
        <v>62</v>
      </c>
      <c r="L39" t="s">
        <v>63</v>
      </c>
      <c r="M39" t="s">
        <v>391</v>
      </c>
      <c r="N39" t="s">
        <v>392</v>
      </c>
      <c r="R39">
        <v>2</v>
      </c>
      <c r="S39">
        <v>0</v>
      </c>
      <c r="T39" t="b">
        <v>0</v>
      </c>
      <c r="V39" t="s">
        <v>393</v>
      </c>
      <c r="W39" s="15">
        <v>-28.381281959999999</v>
      </c>
      <c r="X39" s="15">
        <v>32.418937679999999</v>
      </c>
      <c r="Y39">
        <v>244</v>
      </c>
      <c r="AC39">
        <v>244</v>
      </c>
      <c r="AF39" t="b">
        <v>0</v>
      </c>
      <c r="AI39" t="s">
        <v>70</v>
      </c>
      <c r="AJ39" t="s">
        <v>70</v>
      </c>
      <c r="AK39" t="s">
        <v>71</v>
      </c>
      <c r="AL39" t="s">
        <v>72</v>
      </c>
      <c r="AM39">
        <v>346053</v>
      </c>
      <c r="AO39" s="16" t="s">
        <v>110</v>
      </c>
      <c r="AP39" s="17" t="str">
        <f t="shared" si="0"/>
        <v>Nest (foundress)</v>
      </c>
      <c r="AQ39" s="18">
        <v>1</v>
      </c>
      <c r="AT39" s="19" t="s">
        <v>104</v>
      </c>
      <c r="AX39" s="22" t="str">
        <f>IF(AND('[1]observations-276632'!W39&gt;'[1]Methods write-up'!$Q$16,'[1]observations-276632'!W39&lt;'[1]Methods write-up'!$R$16,'[1]observations-276632'!X39&gt;'[1]Methods write-up'!$S$16,'[1]observations-276632'!X39&lt;'[1]Methods write-up'!$T$16),"West and Central Africa","")</f>
        <v/>
      </c>
      <c r="AY39" s="22" t="str">
        <f>IF(AND('[1]observations-276632'!W39&gt;'[1]Methods write-up'!$Q$17,'[1]observations-276632'!W39&lt;'[1]Methods write-up'!$R$17,'[1]observations-276632'!X39&gt;'[1]Methods write-up'!$S$17,'[1]observations-276632'!X39&lt;'[1]Methods write-up'!$T$17),"Equatorial tropical forest","")</f>
        <v/>
      </c>
      <c r="AZ39" s="22" t="str">
        <f>IF(AND('[1]observations-276632'!W39&gt;'[1]Methods write-up'!$Q$18,'[1]observations-276632'!W39&lt;'[1]Methods write-up'!$R$18,'[1]observations-276632'!X39&gt;'[1]Methods write-up'!$S$18,'[1]observations-276632'!X39&lt;'[1]Methods write-up'!$T$18),"Somali peninsula","")</f>
        <v/>
      </c>
      <c r="BA39" s="22" t="str">
        <f>IF(AND('[1]observations-276632'!W39&gt;'[1]Methods write-up'!$Q$19,'[1]observations-276632'!W39&lt;'[1]Methods write-up'!$R$19,'[1]observations-276632'!X39&gt;'[1]Methods write-up'!$S$19,'[1]observations-276632'!X39&lt;'[1]Methods write-up'!$T$19),"East Africa","")</f>
        <v/>
      </c>
      <c r="BB39" s="22" t="str">
        <f>IF(AND('[1]observations-276632'!W39&gt;'[1]Methods write-up'!$Q$20,'[1]observations-276632'!W39&lt;'[1]Methods write-up'!$R$20,'[1]observations-276632'!X39&gt;'[1]Methods write-up'!$S$20,'[1]observations-276632'!X39&lt;'[1]Methods write-up'!$T$20),"Temperate seasonal","")</f>
        <v>Temperate seasonal</v>
      </c>
      <c r="BC39" s="22" t="str">
        <f>IF(AND('[1]observations-276632'!W39&gt;'[1]Methods write-up'!$Q$21,'[1]observations-276632'!W39&lt;'[1]Methods write-up'!$R$21,'[1]observations-276632'!X39&gt;'[1]Methods write-up'!$S$21,'[1]observations-276632'!X39&lt;'[1]Methods write-up'!$T$21),"Desert and high aridity","")</f>
        <v/>
      </c>
      <c r="BD39" s="23" t="str">
        <f t="shared" si="3"/>
        <v>Temperate seasonal</v>
      </c>
      <c r="BE39" s="24">
        <f t="shared" si="1"/>
        <v>25</v>
      </c>
      <c r="BF39" s="24">
        <f t="shared" si="2"/>
        <v>7</v>
      </c>
    </row>
    <row r="40" spans="1:58" ht="16.25" customHeight="1" x14ac:dyDescent="0.2">
      <c r="A40">
        <v>8374135</v>
      </c>
      <c r="B40" t="s">
        <v>394</v>
      </c>
      <c r="C40" s="14">
        <v>39828</v>
      </c>
      <c r="D40" t="s">
        <v>395</v>
      </c>
      <c r="E40" t="s">
        <v>243</v>
      </c>
      <c r="F40">
        <v>565236</v>
      </c>
      <c r="G40" t="s">
        <v>360</v>
      </c>
      <c r="H40" t="s">
        <v>361</v>
      </c>
      <c r="I40" t="s">
        <v>396</v>
      </c>
      <c r="J40" t="s">
        <v>397</v>
      </c>
      <c r="K40" t="s">
        <v>62</v>
      </c>
      <c r="M40" t="s">
        <v>398</v>
      </c>
      <c r="N40" t="s">
        <v>399</v>
      </c>
      <c r="R40">
        <v>3</v>
      </c>
      <c r="S40">
        <v>0</v>
      </c>
      <c r="T40" t="b">
        <v>0</v>
      </c>
      <c r="V40" t="s">
        <v>400</v>
      </c>
      <c r="W40" s="15">
        <v>-6.7316953000000002</v>
      </c>
      <c r="X40" s="15">
        <v>39.2378426</v>
      </c>
      <c r="Y40">
        <v>211</v>
      </c>
      <c r="AC40">
        <v>211</v>
      </c>
      <c r="AF40" t="b">
        <v>0</v>
      </c>
      <c r="AI40" t="s">
        <v>70</v>
      </c>
      <c r="AJ40" t="s">
        <v>70</v>
      </c>
      <c r="AK40" t="s">
        <v>71</v>
      </c>
      <c r="AL40" t="s">
        <v>72</v>
      </c>
      <c r="AM40">
        <v>346053</v>
      </c>
      <c r="AO40" s="16" t="s">
        <v>150</v>
      </c>
      <c r="AP40" s="17" t="str">
        <f t="shared" si="0"/>
        <v>Male (off nest)</v>
      </c>
      <c r="AX40" s="22" t="str">
        <f>IF(AND('[1]observations-276632'!W40&gt;'[1]Methods write-up'!$Q$16,'[1]observations-276632'!W40&lt;'[1]Methods write-up'!$R$16,'[1]observations-276632'!X40&gt;'[1]Methods write-up'!$S$16,'[1]observations-276632'!X40&lt;'[1]Methods write-up'!$T$16),"West and Central Africa","")</f>
        <v/>
      </c>
      <c r="AY40" s="22" t="str">
        <f>IF(AND('[1]observations-276632'!W40&gt;'[1]Methods write-up'!$Q$17,'[1]observations-276632'!W40&lt;'[1]Methods write-up'!$R$17,'[1]observations-276632'!X40&gt;'[1]Methods write-up'!$S$17,'[1]observations-276632'!X40&lt;'[1]Methods write-up'!$T$17),"Equatorial tropical forest","")</f>
        <v/>
      </c>
      <c r="AZ40" s="22" t="str">
        <f>IF(AND('[1]observations-276632'!W40&gt;'[1]Methods write-up'!$Q$18,'[1]observations-276632'!W40&lt;'[1]Methods write-up'!$R$18,'[1]observations-276632'!X40&gt;'[1]Methods write-up'!$S$18,'[1]observations-276632'!X40&lt;'[1]Methods write-up'!$T$18),"Somali peninsula","")</f>
        <v/>
      </c>
      <c r="BA40" s="22" t="str">
        <f>IF(AND('[1]observations-276632'!W40&gt;'[1]Methods write-up'!$Q$19,'[1]observations-276632'!W40&lt;'[1]Methods write-up'!$R$19,'[1]observations-276632'!X40&gt;'[1]Methods write-up'!$S$19,'[1]observations-276632'!X40&lt;'[1]Methods write-up'!$T$19),"East Africa","")</f>
        <v>East Africa</v>
      </c>
      <c r="BB40" s="22" t="str">
        <f>IF(AND('[1]observations-276632'!W40&gt;'[1]Methods write-up'!$Q$20,'[1]observations-276632'!W40&lt;'[1]Methods write-up'!$R$20,'[1]observations-276632'!X40&gt;'[1]Methods write-up'!$S$20,'[1]observations-276632'!X40&lt;'[1]Methods write-up'!$T$20),"Temperate seasonal","")</f>
        <v/>
      </c>
      <c r="BC40" s="22" t="str">
        <f>IF(AND('[1]observations-276632'!W40&gt;'[1]Methods write-up'!$Q$21,'[1]observations-276632'!W40&lt;'[1]Methods write-up'!$R$21,'[1]observations-276632'!X40&gt;'[1]Methods write-up'!$S$21,'[1]observations-276632'!X40&lt;'[1]Methods write-up'!$T$21),"Desert and high aridity","")</f>
        <v/>
      </c>
      <c r="BD40" s="23" t="str">
        <f t="shared" si="3"/>
        <v>East Africa</v>
      </c>
      <c r="BE40" s="24">
        <f t="shared" si="1"/>
        <v>15</v>
      </c>
      <c r="BF40" s="24">
        <f t="shared" si="2"/>
        <v>1</v>
      </c>
    </row>
    <row r="41" spans="1:58" ht="16.25" customHeight="1" x14ac:dyDescent="0.2">
      <c r="A41">
        <v>8424907</v>
      </c>
      <c r="B41" t="s">
        <v>401</v>
      </c>
      <c r="C41" s="14">
        <v>43006</v>
      </c>
      <c r="D41" t="s">
        <v>402</v>
      </c>
      <c r="E41" t="s">
        <v>403</v>
      </c>
      <c r="F41">
        <v>13355</v>
      </c>
      <c r="G41" t="s">
        <v>404</v>
      </c>
      <c r="H41" t="s">
        <v>405</v>
      </c>
      <c r="I41" t="s">
        <v>406</v>
      </c>
      <c r="J41" t="s">
        <v>407</v>
      </c>
      <c r="K41" t="s">
        <v>62</v>
      </c>
      <c r="L41" t="s">
        <v>63</v>
      </c>
      <c r="M41" t="s">
        <v>408</v>
      </c>
      <c r="N41" t="s">
        <v>409</v>
      </c>
      <c r="R41">
        <v>2</v>
      </c>
      <c r="S41">
        <v>0</v>
      </c>
      <c r="T41" t="b">
        <v>0</v>
      </c>
      <c r="U41">
        <v>3</v>
      </c>
      <c r="V41" t="s">
        <v>410</v>
      </c>
      <c r="W41" s="15">
        <v>-3.31575</v>
      </c>
      <c r="X41" s="15">
        <v>37.316536669999998</v>
      </c>
      <c r="AF41" t="b">
        <v>0</v>
      </c>
      <c r="AI41" t="s">
        <v>71</v>
      </c>
      <c r="AJ41" t="s">
        <v>70</v>
      </c>
      <c r="AK41" t="s">
        <v>71</v>
      </c>
      <c r="AL41" t="s">
        <v>72</v>
      </c>
      <c r="AM41">
        <v>346053</v>
      </c>
      <c r="AO41" s="16" t="s">
        <v>140</v>
      </c>
      <c r="AP41" s="17" t="str">
        <f t="shared" si="0"/>
        <v>Post-emergence nest</v>
      </c>
      <c r="AQ41" s="18">
        <v>6</v>
      </c>
      <c r="AT41" s="19" t="s">
        <v>141</v>
      </c>
      <c r="AU41" s="20" t="s">
        <v>104</v>
      </c>
      <c r="AX41" s="22" t="str">
        <f>IF(AND('[1]observations-276632'!W41&gt;'[1]Methods write-up'!$Q$16,'[1]observations-276632'!W41&lt;'[1]Methods write-up'!$R$16,'[1]observations-276632'!X41&gt;'[1]Methods write-up'!$S$16,'[1]observations-276632'!X41&lt;'[1]Methods write-up'!$T$16),"West and Central Africa","")</f>
        <v/>
      </c>
      <c r="AY41" s="22" t="str">
        <f>IF(AND('[1]observations-276632'!W41&gt;'[1]Methods write-up'!$Q$17,'[1]observations-276632'!W41&lt;'[1]Methods write-up'!$R$17,'[1]observations-276632'!X41&gt;'[1]Methods write-up'!$S$17,'[1]observations-276632'!X41&lt;'[1]Methods write-up'!$T$17),"Equatorial tropical forest","")</f>
        <v/>
      </c>
      <c r="AZ41" s="22" t="str">
        <f>IF(AND('[1]observations-276632'!W41&gt;'[1]Methods write-up'!$Q$18,'[1]observations-276632'!W41&lt;'[1]Methods write-up'!$R$18,'[1]observations-276632'!X41&gt;'[1]Methods write-up'!$S$18,'[1]observations-276632'!X41&lt;'[1]Methods write-up'!$T$18),"Somali peninsula","")</f>
        <v/>
      </c>
      <c r="BA41" s="22" t="str">
        <f>IF(AND('[1]observations-276632'!W41&gt;'[1]Methods write-up'!$Q$19,'[1]observations-276632'!W41&lt;'[1]Methods write-up'!$R$19,'[1]observations-276632'!X41&gt;'[1]Methods write-up'!$S$19,'[1]observations-276632'!X41&lt;'[1]Methods write-up'!$T$19),"East Africa","")</f>
        <v>East Africa</v>
      </c>
      <c r="BB41" s="22" t="str">
        <f>IF(AND('[1]observations-276632'!W41&gt;'[1]Methods write-up'!$Q$20,'[1]observations-276632'!W41&lt;'[1]Methods write-up'!$R$20,'[1]observations-276632'!X41&gt;'[1]Methods write-up'!$S$20,'[1]observations-276632'!X41&lt;'[1]Methods write-up'!$T$20),"Temperate seasonal","")</f>
        <v/>
      </c>
      <c r="BC41" s="22" t="str">
        <f>IF(AND('[1]observations-276632'!W41&gt;'[1]Methods write-up'!$Q$21,'[1]observations-276632'!W41&lt;'[1]Methods write-up'!$R$21,'[1]observations-276632'!X41&gt;'[1]Methods write-up'!$S$21,'[1]observations-276632'!X41&lt;'[1]Methods write-up'!$T$21),"Desert and high aridity","")</f>
        <v/>
      </c>
      <c r="BD41" s="23" t="str">
        <f t="shared" si="3"/>
        <v>East Africa</v>
      </c>
      <c r="BE41" s="24">
        <f t="shared" si="1"/>
        <v>28</v>
      </c>
      <c r="BF41" s="24">
        <f t="shared" si="2"/>
        <v>9</v>
      </c>
    </row>
    <row r="42" spans="1:58" ht="16.25" customHeight="1" x14ac:dyDescent="0.2">
      <c r="A42">
        <v>8425048</v>
      </c>
      <c r="B42" t="s">
        <v>411</v>
      </c>
      <c r="C42" s="14">
        <v>43024</v>
      </c>
      <c r="D42" t="s">
        <v>412</v>
      </c>
      <c r="E42" t="s">
        <v>403</v>
      </c>
      <c r="F42">
        <v>13355</v>
      </c>
      <c r="G42" t="s">
        <v>404</v>
      </c>
      <c r="H42" t="s">
        <v>405</v>
      </c>
      <c r="I42" t="s">
        <v>413</v>
      </c>
      <c r="J42" t="s">
        <v>414</v>
      </c>
      <c r="K42" t="s">
        <v>62</v>
      </c>
      <c r="L42" t="s">
        <v>63</v>
      </c>
      <c r="M42" t="s">
        <v>415</v>
      </c>
      <c r="N42" t="s">
        <v>416</v>
      </c>
      <c r="R42">
        <v>3</v>
      </c>
      <c r="S42">
        <v>0</v>
      </c>
      <c r="T42" t="b">
        <v>0</v>
      </c>
      <c r="U42">
        <v>3</v>
      </c>
      <c r="V42" t="s">
        <v>417</v>
      </c>
      <c r="W42" s="15">
        <v>-3.2189166669999998</v>
      </c>
      <c r="X42" s="15">
        <v>37.335288329999997</v>
      </c>
      <c r="AF42" t="b">
        <v>0</v>
      </c>
      <c r="AI42" t="s">
        <v>70</v>
      </c>
      <c r="AJ42" t="s">
        <v>70</v>
      </c>
      <c r="AK42" t="s">
        <v>71</v>
      </c>
      <c r="AL42" t="s">
        <v>72</v>
      </c>
      <c r="AM42">
        <v>346053</v>
      </c>
      <c r="AO42" s="16" t="s">
        <v>140</v>
      </c>
      <c r="AP42" s="17" t="str">
        <f t="shared" si="0"/>
        <v>Post-emergence nest</v>
      </c>
      <c r="AQ42" s="18">
        <v>3</v>
      </c>
      <c r="AT42" s="19" t="s">
        <v>141</v>
      </c>
      <c r="AU42" s="20" t="s">
        <v>104</v>
      </c>
      <c r="AX42" s="22" t="str">
        <f>IF(AND('[1]observations-276632'!W42&gt;'[1]Methods write-up'!$Q$16,'[1]observations-276632'!W42&lt;'[1]Methods write-up'!$R$16,'[1]observations-276632'!X42&gt;'[1]Methods write-up'!$S$16,'[1]observations-276632'!X42&lt;'[1]Methods write-up'!$T$16),"West and Central Africa","")</f>
        <v/>
      </c>
      <c r="AY42" s="22" t="str">
        <f>IF(AND('[1]observations-276632'!W42&gt;'[1]Methods write-up'!$Q$17,'[1]observations-276632'!W42&lt;'[1]Methods write-up'!$R$17,'[1]observations-276632'!X42&gt;'[1]Methods write-up'!$S$17,'[1]observations-276632'!X42&lt;'[1]Methods write-up'!$T$17),"Equatorial tropical forest","")</f>
        <v/>
      </c>
      <c r="AZ42" s="22" t="str">
        <f>IF(AND('[1]observations-276632'!W42&gt;'[1]Methods write-up'!$Q$18,'[1]observations-276632'!W42&lt;'[1]Methods write-up'!$R$18,'[1]observations-276632'!X42&gt;'[1]Methods write-up'!$S$18,'[1]observations-276632'!X42&lt;'[1]Methods write-up'!$T$18),"Somali peninsula","")</f>
        <v/>
      </c>
      <c r="BA42" s="22" t="str">
        <f>IF(AND('[1]observations-276632'!W42&gt;'[1]Methods write-up'!$Q$19,'[1]observations-276632'!W42&lt;'[1]Methods write-up'!$R$19,'[1]observations-276632'!X42&gt;'[1]Methods write-up'!$S$19,'[1]observations-276632'!X42&lt;'[1]Methods write-up'!$T$19),"East Africa","")</f>
        <v>East Africa</v>
      </c>
      <c r="BB42" s="22" t="str">
        <f>IF(AND('[1]observations-276632'!W42&gt;'[1]Methods write-up'!$Q$20,'[1]observations-276632'!W42&lt;'[1]Methods write-up'!$R$20,'[1]observations-276632'!X42&gt;'[1]Methods write-up'!$S$20,'[1]observations-276632'!X42&lt;'[1]Methods write-up'!$T$20),"Temperate seasonal","")</f>
        <v/>
      </c>
      <c r="BC42" s="22" t="str">
        <f>IF(AND('[1]observations-276632'!W42&gt;'[1]Methods write-up'!$Q$21,'[1]observations-276632'!W42&lt;'[1]Methods write-up'!$R$21,'[1]observations-276632'!X42&gt;'[1]Methods write-up'!$S$21,'[1]observations-276632'!X42&lt;'[1]Methods write-up'!$T$21),"Desert and high aridity","")</f>
        <v/>
      </c>
      <c r="BD42" s="23" t="str">
        <f t="shared" si="3"/>
        <v>East Africa</v>
      </c>
      <c r="BE42" s="24">
        <f t="shared" si="1"/>
        <v>16</v>
      </c>
      <c r="BF42" s="24">
        <f t="shared" si="2"/>
        <v>10</v>
      </c>
    </row>
    <row r="43" spans="1:58" ht="16.25" customHeight="1" x14ac:dyDescent="0.2">
      <c r="A43">
        <v>8461606</v>
      </c>
      <c r="B43" t="s">
        <v>418</v>
      </c>
      <c r="C43" s="14">
        <v>43022</v>
      </c>
      <c r="D43" t="s">
        <v>419</v>
      </c>
      <c r="E43" t="s">
        <v>243</v>
      </c>
      <c r="F43">
        <v>32124</v>
      </c>
      <c r="G43" t="s">
        <v>85</v>
      </c>
      <c r="H43" t="s">
        <v>86</v>
      </c>
      <c r="I43" t="s">
        <v>420</v>
      </c>
      <c r="J43" t="s">
        <v>421</v>
      </c>
      <c r="K43" t="s">
        <v>62</v>
      </c>
      <c r="L43" t="s">
        <v>63</v>
      </c>
      <c r="M43" t="s">
        <v>422</v>
      </c>
      <c r="N43" t="s">
        <v>423</v>
      </c>
      <c r="R43">
        <v>3</v>
      </c>
      <c r="S43">
        <v>0</v>
      </c>
      <c r="T43" t="b">
        <v>0</v>
      </c>
      <c r="V43" t="s">
        <v>424</v>
      </c>
      <c r="W43" s="15">
        <v>-6.4507916669999998</v>
      </c>
      <c r="X43" s="15">
        <v>38.920983329999999</v>
      </c>
      <c r="AF43" t="b">
        <v>0</v>
      </c>
      <c r="AI43" t="s">
        <v>70</v>
      </c>
      <c r="AJ43" t="s">
        <v>70</v>
      </c>
      <c r="AK43" t="s">
        <v>71</v>
      </c>
      <c r="AL43" t="s">
        <v>72</v>
      </c>
      <c r="AM43">
        <v>346053</v>
      </c>
      <c r="AO43" s="16" t="s">
        <v>140</v>
      </c>
      <c r="AP43" s="17" t="str">
        <f t="shared" si="0"/>
        <v>Post-emergence nest</v>
      </c>
      <c r="AQ43" s="18">
        <v>4</v>
      </c>
      <c r="AT43" s="19" t="s">
        <v>141</v>
      </c>
      <c r="AU43" s="20" t="s">
        <v>104</v>
      </c>
      <c r="AX43" s="22" t="str">
        <f>IF(AND('[1]observations-276632'!W43&gt;'[1]Methods write-up'!$Q$16,'[1]observations-276632'!W43&lt;'[1]Methods write-up'!$R$16,'[1]observations-276632'!X43&gt;'[1]Methods write-up'!$S$16,'[1]observations-276632'!X43&lt;'[1]Methods write-up'!$T$16),"West and Central Africa","")</f>
        <v/>
      </c>
      <c r="AY43" s="22" t="str">
        <f>IF(AND('[1]observations-276632'!W43&gt;'[1]Methods write-up'!$Q$17,'[1]observations-276632'!W43&lt;'[1]Methods write-up'!$R$17,'[1]observations-276632'!X43&gt;'[1]Methods write-up'!$S$17,'[1]observations-276632'!X43&lt;'[1]Methods write-up'!$T$17),"Equatorial tropical forest","")</f>
        <v/>
      </c>
      <c r="AZ43" s="22" t="str">
        <f>IF(AND('[1]observations-276632'!W43&gt;'[1]Methods write-up'!$Q$18,'[1]observations-276632'!W43&lt;'[1]Methods write-up'!$R$18,'[1]observations-276632'!X43&gt;'[1]Methods write-up'!$S$18,'[1]observations-276632'!X43&lt;'[1]Methods write-up'!$T$18),"Somali peninsula","")</f>
        <v/>
      </c>
      <c r="BA43" s="22" t="str">
        <f>IF(AND('[1]observations-276632'!W43&gt;'[1]Methods write-up'!$Q$19,'[1]observations-276632'!W43&lt;'[1]Methods write-up'!$R$19,'[1]observations-276632'!X43&gt;'[1]Methods write-up'!$S$19,'[1]observations-276632'!X43&lt;'[1]Methods write-up'!$T$19),"East Africa","")</f>
        <v>East Africa</v>
      </c>
      <c r="BB43" s="22" t="str">
        <f>IF(AND('[1]observations-276632'!W43&gt;'[1]Methods write-up'!$Q$20,'[1]observations-276632'!W43&lt;'[1]Methods write-up'!$R$20,'[1]observations-276632'!X43&gt;'[1]Methods write-up'!$S$20,'[1]observations-276632'!X43&lt;'[1]Methods write-up'!$T$20),"Temperate seasonal","")</f>
        <v/>
      </c>
      <c r="BC43" s="22" t="str">
        <f>IF(AND('[1]observations-276632'!W43&gt;'[1]Methods write-up'!$Q$21,'[1]observations-276632'!W43&lt;'[1]Methods write-up'!$R$21,'[1]observations-276632'!X43&gt;'[1]Methods write-up'!$S$21,'[1]observations-276632'!X43&lt;'[1]Methods write-up'!$T$21),"Desert and high aridity","")</f>
        <v/>
      </c>
      <c r="BD43" s="23" t="str">
        <f t="shared" si="3"/>
        <v>East Africa</v>
      </c>
      <c r="BE43" s="24">
        <f t="shared" si="1"/>
        <v>14</v>
      </c>
      <c r="BF43" s="24">
        <f t="shared" si="2"/>
        <v>10</v>
      </c>
    </row>
    <row r="44" spans="1:58" ht="16.25" customHeight="1" x14ac:dyDescent="0.2">
      <c r="A44">
        <v>8461608</v>
      </c>
      <c r="B44" t="s">
        <v>425</v>
      </c>
      <c r="C44" s="14">
        <v>43022</v>
      </c>
      <c r="D44" t="s">
        <v>426</v>
      </c>
      <c r="E44" t="s">
        <v>243</v>
      </c>
      <c r="F44">
        <v>32124</v>
      </c>
      <c r="G44" t="s">
        <v>85</v>
      </c>
      <c r="H44" t="s">
        <v>86</v>
      </c>
      <c r="I44" t="s">
        <v>427</v>
      </c>
      <c r="J44" t="s">
        <v>428</v>
      </c>
      <c r="K44" t="s">
        <v>62</v>
      </c>
      <c r="L44" t="s">
        <v>63</v>
      </c>
      <c r="M44" t="s">
        <v>429</v>
      </c>
      <c r="N44" t="s">
        <v>430</v>
      </c>
      <c r="R44">
        <v>3</v>
      </c>
      <c r="S44">
        <v>0</v>
      </c>
      <c r="T44" t="b">
        <v>0</v>
      </c>
      <c r="V44" t="s">
        <v>424</v>
      </c>
      <c r="W44" s="15">
        <v>-6.4508916669999996</v>
      </c>
      <c r="X44" s="15">
        <v>38.920945000000003</v>
      </c>
      <c r="AF44" t="b">
        <v>0</v>
      </c>
      <c r="AI44" t="s">
        <v>70</v>
      </c>
      <c r="AJ44" t="s">
        <v>70</v>
      </c>
      <c r="AK44" t="s">
        <v>71</v>
      </c>
      <c r="AL44" t="s">
        <v>72</v>
      </c>
      <c r="AM44">
        <v>346053</v>
      </c>
      <c r="AO44" s="16" t="s">
        <v>140</v>
      </c>
      <c r="AP44" s="17" t="str">
        <f t="shared" si="0"/>
        <v>Post-emergence nest</v>
      </c>
      <c r="AQ44" s="18">
        <v>2</v>
      </c>
      <c r="AT44" s="19" t="s">
        <v>141</v>
      </c>
      <c r="AU44" s="20" t="s">
        <v>104</v>
      </c>
      <c r="AV44" s="21" t="s">
        <v>431</v>
      </c>
      <c r="AX44" s="22" t="str">
        <f>IF(AND('[1]observations-276632'!W44&gt;'[1]Methods write-up'!$Q$16,'[1]observations-276632'!W44&lt;'[1]Methods write-up'!$R$16,'[1]observations-276632'!X44&gt;'[1]Methods write-up'!$S$16,'[1]observations-276632'!X44&lt;'[1]Methods write-up'!$T$16),"West and Central Africa","")</f>
        <v/>
      </c>
      <c r="AY44" s="22" t="str">
        <f>IF(AND('[1]observations-276632'!W44&gt;'[1]Methods write-up'!$Q$17,'[1]observations-276632'!W44&lt;'[1]Methods write-up'!$R$17,'[1]observations-276632'!X44&gt;'[1]Methods write-up'!$S$17,'[1]observations-276632'!X44&lt;'[1]Methods write-up'!$T$17),"Equatorial tropical forest","")</f>
        <v/>
      </c>
      <c r="AZ44" s="22" t="str">
        <f>IF(AND('[1]observations-276632'!W44&gt;'[1]Methods write-up'!$Q$18,'[1]observations-276632'!W44&lt;'[1]Methods write-up'!$R$18,'[1]observations-276632'!X44&gt;'[1]Methods write-up'!$S$18,'[1]observations-276632'!X44&lt;'[1]Methods write-up'!$T$18),"Somali peninsula","")</f>
        <v/>
      </c>
      <c r="BA44" s="22" t="str">
        <f>IF(AND('[1]observations-276632'!W44&gt;'[1]Methods write-up'!$Q$19,'[1]observations-276632'!W44&lt;'[1]Methods write-up'!$R$19,'[1]observations-276632'!X44&gt;'[1]Methods write-up'!$S$19,'[1]observations-276632'!X44&lt;'[1]Methods write-up'!$T$19),"East Africa","")</f>
        <v>East Africa</v>
      </c>
      <c r="BB44" s="22" t="str">
        <f>IF(AND('[1]observations-276632'!W44&gt;'[1]Methods write-up'!$Q$20,'[1]observations-276632'!W44&lt;'[1]Methods write-up'!$R$20,'[1]observations-276632'!X44&gt;'[1]Methods write-up'!$S$20,'[1]observations-276632'!X44&lt;'[1]Methods write-up'!$T$20),"Temperate seasonal","")</f>
        <v/>
      </c>
      <c r="BC44" s="22" t="str">
        <f>IF(AND('[1]observations-276632'!W44&gt;'[1]Methods write-up'!$Q$21,'[1]observations-276632'!W44&lt;'[1]Methods write-up'!$R$21,'[1]observations-276632'!X44&gt;'[1]Methods write-up'!$S$21,'[1]observations-276632'!X44&lt;'[1]Methods write-up'!$T$21),"Desert and high aridity","")</f>
        <v/>
      </c>
      <c r="BD44" s="23" t="str">
        <f t="shared" si="3"/>
        <v>East Africa</v>
      </c>
      <c r="BE44" s="24">
        <f t="shared" si="1"/>
        <v>14</v>
      </c>
      <c r="BF44" s="24">
        <f t="shared" si="2"/>
        <v>10</v>
      </c>
    </row>
    <row r="45" spans="1:58" ht="16.25" customHeight="1" x14ac:dyDescent="0.2">
      <c r="A45">
        <v>8644520</v>
      </c>
      <c r="B45" t="s">
        <v>432</v>
      </c>
      <c r="C45" s="14">
        <v>42794</v>
      </c>
      <c r="D45" t="s">
        <v>433</v>
      </c>
      <c r="E45" t="s">
        <v>113</v>
      </c>
      <c r="F45">
        <v>691330</v>
      </c>
      <c r="G45" t="s">
        <v>434</v>
      </c>
      <c r="H45" t="s">
        <v>435</v>
      </c>
      <c r="I45" t="s">
        <v>436</v>
      </c>
      <c r="J45" t="s">
        <v>437</v>
      </c>
      <c r="K45" t="s">
        <v>62</v>
      </c>
      <c r="L45" t="s">
        <v>63</v>
      </c>
      <c r="M45" t="s">
        <v>438</v>
      </c>
      <c r="N45" t="s">
        <v>439</v>
      </c>
      <c r="Q45" s="26" t="s">
        <v>440</v>
      </c>
      <c r="R45">
        <v>4</v>
      </c>
      <c r="S45">
        <v>0</v>
      </c>
      <c r="T45" t="b">
        <v>0</v>
      </c>
      <c r="V45" t="s">
        <v>441</v>
      </c>
      <c r="W45" s="15">
        <v>-25.488529639999999</v>
      </c>
      <c r="X45" s="15">
        <v>30.9380579</v>
      </c>
      <c r="Y45">
        <v>48</v>
      </c>
      <c r="AC45">
        <v>48</v>
      </c>
      <c r="AF45" t="b">
        <v>0</v>
      </c>
      <c r="AI45" t="s">
        <v>70</v>
      </c>
      <c r="AJ45" t="s">
        <v>70</v>
      </c>
      <c r="AK45" t="s">
        <v>71</v>
      </c>
      <c r="AL45" t="s">
        <v>72</v>
      </c>
      <c r="AM45">
        <v>346053</v>
      </c>
      <c r="AO45" s="16" t="s">
        <v>442</v>
      </c>
      <c r="AP45" s="17" t="str">
        <f t="shared" si="0"/>
        <v>Dead female</v>
      </c>
      <c r="AX45" s="22" t="str">
        <f>IF(AND('[1]observations-276632'!W45&gt;'[1]Methods write-up'!$Q$16,'[1]observations-276632'!W45&lt;'[1]Methods write-up'!$R$16,'[1]observations-276632'!X45&gt;'[1]Methods write-up'!$S$16,'[1]observations-276632'!X45&lt;'[1]Methods write-up'!$T$16),"West and Central Africa","")</f>
        <v/>
      </c>
      <c r="AY45" s="22" t="str">
        <f>IF(AND('[1]observations-276632'!W45&gt;'[1]Methods write-up'!$Q$17,'[1]observations-276632'!W45&lt;'[1]Methods write-up'!$R$17,'[1]observations-276632'!X45&gt;'[1]Methods write-up'!$S$17,'[1]observations-276632'!X45&lt;'[1]Methods write-up'!$T$17),"Equatorial tropical forest","")</f>
        <v/>
      </c>
      <c r="AZ45" s="22" t="str">
        <f>IF(AND('[1]observations-276632'!W45&gt;'[1]Methods write-up'!$Q$18,'[1]observations-276632'!W45&lt;'[1]Methods write-up'!$R$18,'[1]observations-276632'!X45&gt;'[1]Methods write-up'!$S$18,'[1]observations-276632'!X45&lt;'[1]Methods write-up'!$T$18),"Somali peninsula","")</f>
        <v/>
      </c>
      <c r="BA45" s="22" t="str">
        <f>IF(AND('[1]observations-276632'!W45&gt;'[1]Methods write-up'!$Q$19,'[1]observations-276632'!W45&lt;'[1]Methods write-up'!$R$19,'[1]observations-276632'!X45&gt;'[1]Methods write-up'!$S$19,'[1]observations-276632'!X45&lt;'[1]Methods write-up'!$T$19),"East Africa","")</f>
        <v/>
      </c>
      <c r="BB45" s="22" t="str">
        <f>IF(AND('[1]observations-276632'!W45&gt;'[1]Methods write-up'!$Q$20,'[1]observations-276632'!W45&lt;'[1]Methods write-up'!$R$20,'[1]observations-276632'!X45&gt;'[1]Methods write-up'!$S$20,'[1]observations-276632'!X45&lt;'[1]Methods write-up'!$T$20),"Temperate seasonal","")</f>
        <v>Temperate seasonal</v>
      </c>
      <c r="BC45" s="22" t="str">
        <f>IF(AND('[1]observations-276632'!W45&gt;'[1]Methods write-up'!$Q$21,'[1]observations-276632'!W45&lt;'[1]Methods write-up'!$R$21,'[1]observations-276632'!X45&gt;'[1]Methods write-up'!$S$21,'[1]observations-276632'!X45&lt;'[1]Methods write-up'!$T$21),"Desert and high aridity","")</f>
        <v/>
      </c>
      <c r="BD45" s="23" t="str">
        <f t="shared" si="3"/>
        <v>Temperate seasonal</v>
      </c>
      <c r="BE45" s="24">
        <f t="shared" si="1"/>
        <v>28</v>
      </c>
      <c r="BF45" s="24">
        <f t="shared" si="2"/>
        <v>2</v>
      </c>
    </row>
    <row r="46" spans="1:58" ht="16.25" customHeight="1" x14ac:dyDescent="0.2">
      <c r="A46">
        <v>8739131</v>
      </c>
      <c r="B46" t="s">
        <v>443</v>
      </c>
      <c r="C46" s="14">
        <v>43048</v>
      </c>
      <c r="D46" t="s">
        <v>444</v>
      </c>
      <c r="E46" t="s">
        <v>113</v>
      </c>
      <c r="F46">
        <v>90526</v>
      </c>
      <c r="G46" t="s">
        <v>445</v>
      </c>
      <c r="H46" t="s">
        <v>446</v>
      </c>
      <c r="I46" t="s">
        <v>447</v>
      </c>
      <c r="J46" t="s">
        <v>448</v>
      </c>
      <c r="K46" t="s">
        <v>62</v>
      </c>
      <c r="L46" t="s">
        <v>63</v>
      </c>
      <c r="M46" t="s">
        <v>449</v>
      </c>
      <c r="N46" t="s">
        <v>450</v>
      </c>
      <c r="R46">
        <v>4</v>
      </c>
      <c r="S46">
        <v>0</v>
      </c>
      <c r="T46" t="b">
        <v>0</v>
      </c>
      <c r="U46">
        <v>3</v>
      </c>
      <c r="V46" t="s">
        <v>451</v>
      </c>
      <c r="W46" s="15">
        <v>-14.850191669999999</v>
      </c>
      <c r="X46" s="15">
        <v>35.294238329999999</v>
      </c>
      <c r="Y46">
        <v>10</v>
      </c>
      <c r="AC46">
        <v>10</v>
      </c>
      <c r="AF46" t="b">
        <v>0</v>
      </c>
      <c r="AI46" t="s">
        <v>71</v>
      </c>
      <c r="AJ46" t="s">
        <v>70</v>
      </c>
      <c r="AK46" t="s">
        <v>71</v>
      </c>
      <c r="AL46" t="s">
        <v>72</v>
      </c>
      <c r="AM46">
        <v>346053</v>
      </c>
      <c r="AO46" s="16" t="s">
        <v>73</v>
      </c>
      <c r="AP46" s="17" t="str">
        <f t="shared" si="0"/>
        <v>Off-nest female</v>
      </c>
      <c r="AX46" s="22" t="str">
        <f>IF(AND('[1]observations-276632'!W46&gt;'[1]Methods write-up'!$Q$16,'[1]observations-276632'!W46&lt;'[1]Methods write-up'!$R$16,'[1]observations-276632'!X46&gt;'[1]Methods write-up'!$S$16,'[1]observations-276632'!X46&lt;'[1]Methods write-up'!$T$16),"West and Central Africa","")</f>
        <v/>
      </c>
      <c r="AY46" s="22" t="str">
        <f>IF(AND('[1]observations-276632'!W46&gt;'[1]Methods write-up'!$Q$17,'[1]observations-276632'!W46&lt;'[1]Methods write-up'!$R$17,'[1]observations-276632'!X46&gt;'[1]Methods write-up'!$S$17,'[1]observations-276632'!X46&lt;'[1]Methods write-up'!$T$17),"Equatorial tropical forest","")</f>
        <v/>
      </c>
      <c r="AZ46" s="22" t="str">
        <f>IF(AND('[1]observations-276632'!W46&gt;'[1]Methods write-up'!$Q$18,'[1]observations-276632'!W46&lt;'[1]Methods write-up'!$R$18,'[1]observations-276632'!X46&gt;'[1]Methods write-up'!$S$18,'[1]observations-276632'!X46&lt;'[1]Methods write-up'!$T$18),"Somali peninsula","")</f>
        <v/>
      </c>
      <c r="BA46" s="22" t="str">
        <f>IF(AND('[1]observations-276632'!W46&gt;'[1]Methods write-up'!$Q$19,'[1]observations-276632'!W46&lt;'[1]Methods write-up'!$R$19,'[1]observations-276632'!X46&gt;'[1]Methods write-up'!$S$19,'[1]observations-276632'!X46&lt;'[1]Methods write-up'!$T$19),"East Africa","")</f>
        <v/>
      </c>
      <c r="BB46" s="22" t="str">
        <f>IF(AND('[1]observations-276632'!W46&gt;'[1]Methods write-up'!$Q$20,'[1]observations-276632'!W46&lt;'[1]Methods write-up'!$R$20,'[1]observations-276632'!X46&gt;'[1]Methods write-up'!$S$20,'[1]observations-276632'!X46&lt;'[1]Methods write-up'!$T$20),"Temperate seasonal","")</f>
        <v/>
      </c>
      <c r="BC46" s="22" t="str">
        <f>IF(AND('[1]observations-276632'!W46&gt;'[1]Methods write-up'!$Q$21,'[1]observations-276632'!W46&lt;'[1]Methods write-up'!$R$21,'[1]observations-276632'!X46&gt;'[1]Methods write-up'!$S$21,'[1]observations-276632'!X46&lt;'[1]Methods write-up'!$T$21),"Desert and high aridity","")</f>
        <v/>
      </c>
      <c r="BD46" s="23" t="str">
        <f t="shared" si="3"/>
        <v/>
      </c>
      <c r="BE46" s="24">
        <f t="shared" si="1"/>
        <v>9</v>
      </c>
      <c r="BF46" s="24">
        <f t="shared" si="2"/>
        <v>11</v>
      </c>
    </row>
    <row r="47" spans="1:58" ht="16.25" customHeight="1" x14ac:dyDescent="0.2">
      <c r="A47">
        <v>8906507</v>
      </c>
      <c r="B47" t="s">
        <v>452</v>
      </c>
      <c r="C47" s="14">
        <v>43062</v>
      </c>
      <c r="D47" t="s">
        <v>453</v>
      </c>
      <c r="E47" t="s">
        <v>113</v>
      </c>
      <c r="F47">
        <v>567473</v>
      </c>
      <c r="G47" t="s">
        <v>454</v>
      </c>
      <c r="H47" t="s">
        <v>455</v>
      </c>
      <c r="I47" t="s">
        <v>456</v>
      </c>
      <c r="J47" t="s">
        <v>457</v>
      </c>
      <c r="K47" t="s">
        <v>62</v>
      </c>
      <c r="L47" t="s">
        <v>63</v>
      </c>
      <c r="M47" t="s">
        <v>458</v>
      </c>
      <c r="N47" t="s">
        <v>459</v>
      </c>
      <c r="R47">
        <v>2</v>
      </c>
      <c r="S47">
        <v>0</v>
      </c>
      <c r="T47" t="b">
        <v>0</v>
      </c>
      <c r="V47" t="s">
        <v>460</v>
      </c>
      <c r="W47" s="15">
        <v>-4.6578999999999997</v>
      </c>
      <c r="X47" s="15">
        <v>39.369999999999997</v>
      </c>
      <c r="Y47">
        <v>200</v>
      </c>
      <c r="AC47">
        <v>200</v>
      </c>
      <c r="AF47" t="b">
        <v>0</v>
      </c>
      <c r="AI47" t="s">
        <v>70</v>
      </c>
      <c r="AJ47" t="s">
        <v>70</v>
      </c>
      <c r="AK47" t="s">
        <v>71</v>
      </c>
      <c r="AL47" t="s">
        <v>72</v>
      </c>
      <c r="AM47">
        <v>346053</v>
      </c>
      <c r="AO47" s="16" t="s">
        <v>140</v>
      </c>
      <c r="AP47" s="17" t="str">
        <f t="shared" si="0"/>
        <v>Post-emergence nest</v>
      </c>
      <c r="AQ47" s="18">
        <v>15</v>
      </c>
      <c r="AT47" s="19" t="s">
        <v>141</v>
      </c>
      <c r="AU47" s="20" t="s">
        <v>104</v>
      </c>
      <c r="AX47" s="22" t="str">
        <f>IF(AND('[1]observations-276632'!W47&gt;'[1]Methods write-up'!$Q$16,'[1]observations-276632'!W47&lt;'[1]Methods write-up'!$R$16,'[1]observations-276632'!X47&gt;'[1]Methods write-up'!$S$16,'[1]observations-276632'!X47&lt;'[1]Methods write-up'!$T$16),"West and Central Africa","")</f>
        <v/>
      </c>
      <c r="AY47" s="22" t="str">
        <f>IF(AND('[1]observations-276632'!W47&gt;'[1]Methods write-up'!$Q$17,'[1]observations-276632'!W47&lt;'[1]Methods write-up'!$R$17,'[1]observations-276632'!X47&gt;'[1]Methods write-up'!$S$17,'[1]observations-276632'!X47&lt;'[1]Methods write-up'!$T$17),"Equatorial tropical forest","")</f>
        <v/>
      </c>
      <c r="AZ47" s="22" t="str">
        <f>IF(AND('[1]observations-276632'!W47&gt;'[1]Methods write-up'!$Q$18,'[1]observations-276632'!W47&lt;'[1]Methods write-up'!$R$18,'[1]observations-276632'!X47&gt;'[1]Methods write-up'!$S$18,'[1]observations-276632'!X47&lt;'[1]Methods write-up'!$T$18),"Somali peninsula","")</f>
        <v/>
      </c>
      <c r="BA47" s="22" t="str">
        <f>IF(AND('[1]observations-276632'!W47&gt;'[1]Methods write-up'!$Q$19,'[1]observations-276632'!W47&lt;'[1]Methods write-up'!$R$19,'[1]observations-276632'!X47&gt;'[1]Methods write-up'!$S$19,'[1]observations-276632'!X47&lt;'[1]Methods write-up'!$T$19),"East Africa","")</f>
        <v>East Africa</v>
      </c>
      <c r="BB47" s="22" t="str">
        <f>IF(AND('[1]observations-276632'!W47&gt;'[1]Methods write-up'!$Q$20,'[1]observations-276632'!W47&lt;'[1]Methods write-up'!$R$20,'[1]observations-276632'!X47&gt;'[1]Methods write-up'!$S$20,'[1]observations-276632'!X47&lt;'[1]Methods write-up'!$T$20),"Temperate seasonal","")</f>
        <v/>
      </c>
      <c r="BC47" s="22" t="str">
        <f>IF(AND('[1]observations-276632'!W47&gt;'[1]Methods write-up'!$Q$21,'[1]observations-276632'!W47&lt;'[1]Methods write-up'!$R$21,'[1]observations-276632'!X47&gt;'[1]Methods write-up'!$S$21,'[1]observations-276632'!X47&lt;'[1]Methods write-up'!$T$21),"Desert and high aridity","")</f>
        <v/>
      </c>
      <c r="BD47" s="23" t="str">
        <f t="shared" si="3"/>
        <v>East Africa</v>
      </c>
      <c r="BE47" s="24">
        <f t="shared" si="1"/>
        <v>23</v>
      </c>
      <c r="BF47" s="24">
        <f t="shared" si="2"/>
        <v>11</v>
      </c>
    </row>
    <row r="48" spans="1:58" ht="16.25" customHeight="1" x14ac:dyDescent="0.2">
      <c r="A48">
        <v>8926850</v>
      </c>
      <c r="B48" t="s">
        <v>461</v>
      </c>
      <c r="C48" s="14">
        <v>43044</v>
      </c>
      <c r="D48" t="s">
        <v>462</v>
      </c>
      <c r="E48" t="s">
        <v>463</v>
      </c>
      <c r="F48">
        <v>90526</v>
      </c>
      <c r="G48" t="s">
        <v>445</v>
      </c>
      <c r="H48" t="s">
        <v>446</v>
      </c>
      <c r="I48" t="s">
        <v>464</v>
      </c>
      <c r="J48" t="s">
        <v>465</v>
      </c>
      <c r="K48" t="s">
        <v>157</v>
      </c>
      <c r="L48" t="s">
        <v>63</v>
      </c>
      <c r="M48" t="s">
        <v>466</v>
      </c>
      <c r="N48" t="s">
        <v>467</v>
      </c>
      <c r="Q48" t="s">
        <v>468</v>
      </c>
      <c r="R48">
        <v>3</v>
      </c>
      <c r="S48">
        <v>0</v>
      </c>
      <c r="T48" t="b">
        <v>0</v>
      </c>
      <c r="V48" t="s">
        <v>305</v>
      </c>
      <c r="W48" s="15">
        <v>-14.8515283</v>
      </c>
      <c r="X48" s="15">
        <v>35.29445887</v>
      </c>
      <c r="Y48">
        <v>92</v>
      </c>
      <c r="AC48">
        <v>92</v>
      </c>
      <c r="AF48" t="b">
        <v>0</v>
      </c>
      <c r="AI48" t="s">
        <v>71</v>
      </c>
      <c r="AJ48" t="s">
        <v>70</v>
      </c>
      <c r="AK48" t="s">
        <v>71</v>
      </c>
      <c r="AL48" t="s">
        <v>72</v>
      </c>
      <c r="AM48">
        <v>346053</v>
      </c>
      <c r="AO48" s="16" t="s">
        <v>442</v>
      </c>
      <c r="AP48" s="17" t="str">
        <f t="shared" si="0"/>
        <v>Dead female</v>
      </c>
      <c r="AX48" s="22" t="str">
        <f>IF(AND('[1]observations-276632'!W48&gt;'[1]Methods write-up'!$Q$16,'[1]observations-276632'!W48&lt;'[1]Methods write-up'!$R$16,'[1]observations-276632'!X48&gt;'[1]Methods write-up'!$S$16,'[1]observations-276632'!X48&lt;'[1]Methods write-up'!$T$16),"West and Central Africa","")</f>
        <v/>
      </c>
      <c r="AY48" s="22" t="str">
        <f>IF(AND('[1]observations-276632'!W48&gt;'[1]Methods write-up'!$Q$17,'[1]observations-276632'!W48&lt;'[1]Methods write-up'!$R$17,'[1]observations-276632'!X48&gt;'[1]Methods write-up'!$S$17,'[1]observations-276632'!X48&lt;'[1]Methods write-up'!$T$17),"Equatorial tropical forest","")</f>
        <v/>
      </c>
      <c r="AZ48" s="22" t="str">
        <f>IF(AND('[1]observations-276632'!W48&gt;'[1]Methods write-up'!$Q$18,'[1]observations-276632'!W48&lt;'[1]Methods write-up'!$R$18,'[1]observations-276632'!X48&gt;'[1]Methods write-up'!$S$18,'[1]observations-276632'!X48&lt;'[1]Methods write-up'!$T$18),"Somali peninsula","")</f>
        <v/>
      </c>
      <c r="BA48" s="22" t="str">
        <f>IF(AND('[1]observations-276632'!W48&gt;'[1]Methods write-up'!$Q$19,'[1]observations-276632'!W48&lt;'[1]Methods write-up'!$R$19,'[1]observations-276632'!X48&gt;'[1]Methods write-up'!$S$19,'[1]observations-276632'!X48&lt;'[1]Methods write-up'!$T$19),"East Africa","")</f>
        <v/>
      </c>
      <c r="BB48" s="22" t="str">
        <f>IF(AND('[1]observations-276632'!W48&gt;'[1]Methods write-up'!$Q$20,'[1]observations-276632'!W48&lt;'[1]Methods write-up'!$R$20,'[1]observations-276632'!X48&gt;'[1]Methods write-up'!$S$20,'[1]observations-276632'!X48&lt;'[1]Methods write-up'!$T$20),"Temperate seasonal","")</f>
        <v/>
      </c>
      <c r="BC48" s="22" t="str">
        <f>IF(AND('[1]observations-276632'!W48&gt;'[1]Methods write-up'!$Q$21,'[1]observations-276632'!W48&lt;'[1]Methods write-up'!$R$21,'[1]observations-276632'!X48&gt;'[1]Methods write-up'!$S$21,'[1]observations-276632'!X48&lt;'[1]Methods write-up'!$T$21),"Desert and high aridity","")</f>
        <v/>
      </c>
      <c r="BD48" s="23" t="str">
        <f t="shared" si="3"/>
        <v/>
      </c>
      <c r="BE48" s="24">
        <f t="shared" si="1"/>
        <v>5</v>
      </c>
      <c r="BF48" s="24">
        <f t="shared" si="2"/>
        <v>11</v>
      </c>
    </row>
    <row r="49" spans="1:58" ht="16.25" customHeight="1" x14ac:dyDescent="0.2">
      <c r="A49">
        <v>9092573</v>
      </c>
      <c r="B49" t="s">
        <v>469</v>
      </c>
      <c r="C49" s="14">
        <v>43049</v>
      </c>
      <c r="D49" t="s">
        <v>470</v>
      </c>
      <c r="E49" t="s">
        <v>463</v>
      </c>
      <c r="F49">
        <v>90526</v>
      </c>
      <c r="G49" t="s">
        <v>445</v>
      </c>
      <c r="H49" t="s">
        <v>446</v>
      </c>
      <c r="I49" t="s">
        <v>471</v>
      </c>
      <c r="J49" t="s">
        <v>472</v>
      </c>
      <c r="K49" t="s">
        <v>62</v>
      </c>
      <c r="L49" t="s">
        <v>63</v>
      </c>
      <c r="M49" t="s">
        <v>473</v>
      </c>
      <c r="N49" t="s">
        <v>474</v>
      </c>
      <c r="R49">
        <v>4</v>
      </c>
      <c r="S49">
        <v>0</v>
      </c>
      <c r="T49" t="b">
        <v>0</v>
      </c>
      <c r="V49" t="s">
        <v>475</v>
      </c>
      <c r="W49" s="15">
        <v>-15.364585480000001</v>
      </c>
      <c r="X49" s="15">
        <v>35.304368289999999</v>
      </c>
      <c r="Y49">
        <v>20</v>
      </c>
      <c r="AC49">
        <v>20</v>
      </c>
      <c r="AF49" t="b">
        <v>0</v>
      </c>
      <c r="AI49" t="s">
        <v>71</v>
      </c>
      <c r="AJ49" t="s">
        <v>70</v>
      </c>
      <c r="AK49" t="s">
        <v>71</v>
      </c>
      <c r="AL49" t="s">
        <v>72</v>
      </c>
      <c r="AM49">
        <v>346053</v>
      </c>
      <c r="AO49" s="16" t="s">
        <v>442</v>
      </c>
      <c r="AP49" s="17" t="str">
        <f t="shared" si="0"/>
        <v>Dead female</v>
      </c>
      <c r="AX49" s="22" t="str">
        <f>IF(AND('[1]observations-276632'!W49&gt;'[1]Methods write-up'!$Q$16,'[1]observations-276632'!W49&lt;'[1]Methods write-up'!$R$16,'[1]observations-276632'!X49&gt;'[1]Methods write-up'!$S$16,'[1]observations-276632'!X49&lt;'[1]Methods write-up'!$T$16),"West and Central Africa","")</f>
        <v/>
      </c>
      <c r="AY49" s="22" t="str">
        <f>IF(AND('[1]observations-276632'!W49&gt;'[1]Methods write-up'!$Q$17,'[1]observations-276632'!W49&lt;'[1]Methods write-up'!$R$17,'[1]observations-276632'!X49&gt;'[1]Methods write-up'!$S$17,'[1]observations-276632'!X49&lt;'[1]Methods write-up'!$T$17),"Equatorial tropical forest","")</f>
        <v/>
      </c>
      <c r="AZ49" s="22" t="str">
        <f>IF(AND('[1]observations-276632'!W49&gt;'[1]Methods write-up'!$Q$18,'[1]observations-276632'!W49&lt;'[1]Methods write-up'!$R$18,'[1]observations-276632'!X49&gt;'[1]Methods write-up'!$S$18,'[1]observations-276632'!X49&lt;'[1]Methods write-up'!$T$18),"Somali peninsula","")</f>
        <v/>
      </c>
      <c r="BA49" s="22" t="str">
        <f>IF(AND('[1]observations-276632'!W49&gt;'[1]Methods write-up'!$Q$19,'[1]observations-276632'!W49&lt;'[1]Methods write-up'!$R$19,'[1]observations-276632'!X49&gt;'[1]Methods write-up'!$S$19,'[1]observations-276632'!X49&lt;'[1]Methods write-up'!$T$19),"East Africa","")</f>
        <v/>
      </c>
      <c r="BB49" s="22" t="str">
        <f>IF(AND('[1]observations-276632'!W49&gt;'[1]Methods write-up'!$Q$20,'[1]observations-276632'!W49&lt;'[1]Methods write-up'!$R$20,'[1]observations-276632'!X49&gt;'[1]Methods write-up'!$S$20,'[1]observations-276632'!X49&lt;'[1]Methods write-up'!$T$20),"Temperate seasonal","")</f>
        <v/>
      </c>
      <c r="BC49" s="22" t="str">
        <f>IF(AND('[1]observations-276632'!W49&gt;'[1]Methods write-up'!$Q$21,'[1]observations-276632'!W49&lt;'[1]Methods write-up'!$R$21,'[1]observations-276632'!X49&gt;'[1]Methods write-up'!$S$21,'[1]observations-276632'!X49&lt;'[1]Methods write-up'!$T$21),"Desert and high aridity","")</f>
        <v/>
      </c>
      <c r="BD49" s="23" t="str">
        <f t="shared" si="3"/>
        <v/>
      </c>
      <c r="BE49" s="24">
        <f t="shared" si="1"/>
        <v>10</v>
      </c>
      <c r="BF49" s="24">
        <f t="shared" si="2"/>
        <v>11</v>
      </c>
    </row>
    <row r="50" spans="1:58" ht="16.25" customHeight="1" x14ac:dyDescent="0.2">
      <c r="A50">
        <v>9179604</v>
      </c>
      <c r="B50" t="s">
        <v>476</v>
      </c>
      <c r="C50" s="14">
        <v>43086</v>
      </c>
      <c r="D50" t="s">
        <v>477</v>
      </c>
      <c r="E50" t="s">
        <v>113</v>
      </c>
      <c r="F50">
        <v>679321</v>
      </c>
      <c r="G50" t="s">
        <v>478</v>
      </c>
      <c r="H50" t="s">
        <v>479</v>
      </c>
      <c r="I50" t="s">
        <v>480</v>
      </c>
      <c r="J50" t="s">
        <v>481</v>
      </c>
      <c r="K50" t="s">
        <v>62</v>
      </c>
      <c r="L50" t="s">
        <v>63</v>
      </c>
      <c r="M50" t="s">
        <v>482</v>
      </c>
      <c r="N50" t="s">
        <v>483</v>
      </c>
      <c r="R50">
        <v>5</v>
      </c>
      <c r="S50">
        <v>0</v>
      </c>
      <c r="T50" t="b">
        <v>0</v>
      </c>
      <c r="V50" t="s">
        <v>484</v>
      </c>
      <c r="W50" s="15">
        <v>-28.960037719999999</v>
      </c>
      <c r="X50" s="15">
        <v>31.756330129999998</v>
      </c>
      <c r="Y50">
        <v>20</v>
      </c>
      <c r="AC50">
        <v>20</v>
      </c>
      <c r="AF50" t="b">
        <v>0</v>
      </c>
      <c r="AI50" t="s">
        <v>70</v>
      </c>
      <c r="AJ50" t="s">
        <v>70</v>
      </c>
      <c r="AK50" t="s">
        <v>71</v>
      </c>
      <c r="AL50" t="s">
        <v>72</v>
      </c>
      <c r="AM50">
        <v>346053</v>
      </c>
      <c r="AO50" s="16" t="s">
        <v>140</v>
      </c>
      <c r="AP50" s="17" t="str">
        <f t="shared" si="0"/>
        <v>Post-emergence nest</v>
      </c>
      <c r="AQ50" s="18">
        <v>5</v>
      </c>
      <c r="AT50" s="19" t="s">
        <v>141</v>
      </c>
      <c r="AU50" s="20" t="s">
        <v>104</v>
      </c>
      <c r="AX50" s="22" t="str">
        <f>IF(AND('[1]observations-276632'!W50&gt;'[1]Methods write-up'!$Q$16,'[1]observations-276632'!W50&lt;'[1]Methods write-up'!$R$16,'[1]observations-276632'!X50&gt;'[1]Methods write-up'!$S$16,'[1]observations-276632'!X50&lt;'[1]Methods write-up'!$T$16),"West and Central Africa","")</f>
        <v/>
      </c>
      <c r="AY50" s="22" t="str">
        <f>IF(AND('[1]observations-276632'!W50&gt;'[1]Methods write-up'!$Q$17,'[1]observations-276632'!W50&lt;'[1]Methods write-up'!$R$17,'[1]observations-276632'!X50&gt;'[1]Methods write-up'!$S$17,'[1]observations-276632'!X50&lt;'[1]Methods write-up'!$T$17),"Equatorial tropical forest","")</f>
        <v/>
      </c>
      <c r="AZ50" s="22" t="str">
        <f>IF(AND('[1]observations-276632'!W50&gt;'[1]Methods write-up'!$Q$18,'[1]observations-276632'!W50&lt;'[1]Methods write-up'!$R$18,'[1]observations-276632'!X50&gt;'[1]Methods write-up'!$S$18,'[1]observations-276632'!X50&lt;'[1]Methods write-up'!$T$18),"Somali peninsula","")</f>
        <v/>
      </c>
      <c r="BA50" s="22" t="str">
        <f>IF(AND('[1]observations-276632'!W50&gt;'[1]Methods write-up'!$Q$19,'[1]observations-276632'!W50&lt;'[1]Methods write-up'!$R$19,'[1]observations-276632'!X50&gt;'[1]Methods write-up'!$S$19,'[1]observations-276632'!X50&lt;'[1]Methods write-up'!$T$19),"East Africa","")</f>
        <v/>
      </c>
      <c r="BB50" s="22" t="str">
        <f>IF(AND('[1]observations-276632'!W50&gt;'[1]Methods write-up'!$Q$20,'[1]observations-276632'!W50&lt;'[1]Methods write-up'!$R$20,'[1]observations-276632'!X50&gt;'[1]Methods write-up'!$S$20,'[1]observations-276632'!X50&lt;'[1]Methods write-up'!$T$20),"Temperate seasonal","")</f>
        <v>Temperate seasonal</v>
      </c>
      <c r="BC50" s="22" t="str">
        <f>IF(AND('[1]observations-276632'!W50&gt;'[1]Methods write-up'!$Q$21,'[1]observations-276632'!W50&lt;'[1]Methods write-up'!$R$21,'[1]observations-276632'!X50&gt;'[1]Methods write-up'!$S$21,'[1]observations-276632'!X50&lt;'[1]Methods write-up'!$T$21),"Desert and high aridity","")</f>
        <v/>
      </c>
      <c r="BD50" s="23" t="str">
        <f t="shared" si="3"/>
        <v>Temperate seasonal</v>
      </c>
      <c r="BE50" s="24">
        <f t="shared" si="1"/>
        <v>17</v>
      </c>
      <c r="BF50" s="24">
        <f t="shared" si="2"/>
        <v>12</v>
      </c>
    </row>
    <row r="51" spans="1:58" ht="16.25" customHeight="1" x14ac:dyDescent="0.2">
      <c r="A51">
        <v>9239465</v>
      </c>
      <c r="B51" t="s">
        <v>485</v>
      </c>
      <c r="C51" s="14">
        <v>43051</v>
      </c>
      <c r="D51" t="s">
        <v>486</v>
      </c>
      <c r="E51" t="s">
        <v>463</v>
      </c>
      <c r="F51">
        <v>90526</v>
      </c>
      <c r="G51" t="s">
        <v>445</v>
      </c>
      <c r="H51" t="s">
        <v>446</v>
      </c>
      <c r="I51" t="s">
        <v>487</v>
      </c>
      <c r="J51" t="s">
        <v>488</v>
      </c>
      <c r="K51" t="s">
        <v>62</v>
      </c>
      <c r="L51" t="s">
        <v>63</v>
      </c>
      <c r="M51" t="s">
        <v>489</v>
      </c>
      <c r="N51" t="s">
        <v>490</v>
      </c>
      <c r="R51">
        <v>4</v>
      </c>
      <c r="S51">
        <v>0</v>
      </c>
      <c r="T51" t="b">
        <v>0</v>
      </c>
      <c r="V51" t="s">
        <v>491</v>
      </c>
      <c r="W51" s="15">
        <v>-15.36514167</v>
      </c>
      <c r="X51" s="15">
        <v>35.310613889999999</v>
      </c>
      <c r="AF51" t="b">
        <v>0</v>
      </c>
      <c r="AI51" t="s">
        <v>71</v>
      </c>
      <c r="AJ51" t="s">
        <v>70</v>
      </c>
      <c r="AK51" t="s">
        <v>71</v>
      </c>
      <c r="AL51" t="s">
        <v>72</v>
      </c>
      <c r="AM51">
        <v>346053</v>
      </c>
      <c r="AO51" s="16" t="s">
        <v>73</v>
      </c>
      <c r="AP51" s="17" t="str">
        <f t="shared" si="0"/>
        <v>Off-nest female</v>
      </c>
      <c r="AX51" s="22" t="str">
        <f>IF(AND('[1]observations-276632'!W51&gt;'[1]Methods write-up'!$Q$16,'[1]observations-276632'!W51&lt;'[1]Methods write-up'!$R$16,'[1]observations-276632'!X51&gt;'[1]Methods write-up'!$S$16,'[1]observations-276632'!X51&lt;'[1]Methods write-up'!$T$16),"West and Central Africa","")</f>
        <v/>
      </c>
      <c r="AY51" s="22" t="str">
        <f>IF(AND('[1]observations-276632'!W51&gt;'[1]Methods write-up'!$Q$17,'[1]observations-276632'!W51&lt;'[1]Methods write-up'!$R$17,'[1]observations-276632'!X51&gt;'[1]Methods write-up'!$S$17,'[1]observations-276632'!X51&lt;'[1]Methods write-up'!$T$17),"Equatorial tropical forest","")</f>
        <v/>
      </c>
      <c r="AZ51" s="22" t="str">
        <f>IF(AND('[1]observations-276632'!W51&gt;'[1]Methods write-up'!$Q$18,'[1]observations-276632'!W51&lt;'[1]Methods write-up'!$R$18,'[1]observations-276632'!X51&gt;'[1]Methods write-up'!$S$18,'[1]observations-276632'!X51&lt;'[1]Methods write-up'!$T$18),"Somali peninsula","")</f>
        <v/>
      </c>
      <c r="BA51" s="22" t="str">
        <f>IF(AND('[1]observations-276632'!W51&gt;'[1]Methods write-up'!$Q$19,'[1]observations-276632'!W51&lt;'[1]Methods write-up'!$R$19,'[1]observations-276632'!X51&gt;'[1]Methods write-up'!$S$19,'[1]observations-276632'!X51&lt;'[1]Methods write-up'!$T$19),"East Africa","")</f>
        <v/>
      </c>
      <c r="BB51" s="22" t="str">
        <f>IF(AND('[1]observations-276632'!W51&gt;'[1]Methods write-up'!$Q$20,'[1]observations-276632'!W51&lt;'[1]Methods write-up'!$R$20,'[1]observations-276632'!X51&gt;'[1]Methods write-up'!$S$20,'[1]observations-276632'!X51&lt;'[1]Methods write-up'!$T$20),"Temperate seasonal","")</f>
        <v/>
      </c>
      <c r="BC51" s="22" t="str">
        <f>IF(AND('[1]observations-276632'!W51&gt;'[1]Methods write-up'!$Q$21,'[1]observations-276632'!W51&lt;'[1]Methods write-up'!$R$21,'[1]observations-276632'!X51&gt;'[1]Methods write-up'!$S$21,'[1]observations-276632'!X51&lt;'[1]Methods write-up'!$T$21),"Desert and high aridity","")</f>
        <v/>
      </c>
      <c r="BD51" s="23" t="str">
        <f t="shared" si="3"/>
        <v/>
      </c>
      <c r="BE51" s="24">
        <f t="shared" si="1"/>
        <v>12</v>
      </c>
      <c r="BF51" s="24">
        <f t="shared" si="2"/>
        <v>11</v>
      </c>
    </row>
    <row r="52" spans="1:58" ht="16.25" customHeight="1" x14ac:dyDescent="0.2">
      <c r="A52">
        <v>9248059</v>
      </c>
      <c r="B52" t="s">
        <v>492</v>
      </c>
      <c r="C52" s="14">
        <v>43051</v>
      </c>
      <c r="D52" t="s">
        <v>493</v>
      </c>
      <c r="E52" t="s">
        <v>463</v>
      </c>
      <c r="F52">
        <v>90526</v>
      </c>
      <c r="G52" t="s">
        <v>445</v>
      </c>
      <c r="H52" t="s">
        <v>446</v>
      </c>
      <c r="I52" t="s">
        <v>494</v>
      </c>
      <c r="J52" t="s">
        <v>495</v>
      </c>
      <c r="K52" t="s">
        <v>62</v>
      </c>
      <c r="L52" t="s">
        <v>63</v>
      </c>
      <c r="M52" t="s">
        <v>496</v>
      </c>
      <c r="N52" t="s">
        <v>497</v>
      </c>
      <c r="R52">
        <v>4</v>
      </c>
      <c r="S52">
        <v>0</v>
      </c>
      <c r="T52" t="b">
        <v>0</v>
      </c>
      <c r="V52" t="s">
        <v>498</v>
      </c>
      <c r="W52" s="15">
        <v>-15.93186667</v>
      </c>
      <c r="X52" s="15">
        <v>35.052845480000002</v>
      </c>
      <c r="Y52">
        <v>70</v>
      </c>
      <c r="AC52">
        <v>70</v>
      </c>
      <c r="AF52" t="b">
        <v>0</v>
      </c>
      <c r="AI52" t="s">
        <v>71</v>
      </c>
      <c r="AJ52" t="s">
        <v>70</v>
      </c>
      <c r="AK52" t="s">
        <v>71</v>
      </c>
      <c r="AL52" t="s">
        <v>72</v>
      </c>
      <c r="AM52">
        <v>346053</v>
      </c>
      <c r="AO52" s="16" t="s">
        <v>110</v>
      </c>
      <c r="AP52" s="17" t="str">
        <f t="shared" si="0"/>
        <v>Nest (foundress)</v>
      </c>
      <c r="AQ52" s="18">
        <v>1</v>
      </c>
      <c r="AT52" s="19" t="s">
        <v>104</v>
      </c>
      <c r="AX52" s="22" t="str">
        <f>IF(AND('[1]observations-276632'!W52&gt;'[1]Methods write-up'!$Q$16,'[1]observations-276632'!W52&lt;'[1]Methods write-up'!$R$16,'[1]observations-276632'!X52&gt;'[1]Methods write-up'!$S$16,'[1]observations-276632'!X52&lt;'[1]Methods write-up'!$T$16),"West and Central Africa","")</f>
        <v/>
      </c>
      <c r="AY52" s="22" t="str">
        <f>IF(AND('[1]observations-276632'!W52&gt;'[1]Methods write-up'!$Q$17,'[1]observations-276632'!W52&lt;'[1]Methods write-up'!$R$17,'[1]observations-276632'!X52&gt;'[1]Methods write-up'!$S$17,'[1]observations-276632'!X52&lt;'[1]Methods write-up'!$T$17),"Equatorial tropical forest","")</f>
        <v/>
      </c>
      <c r="AZ52" s="22" t="str">
        <f>IF(AND('[1]observations-276632'!W52&gt;'[1]Methods write-up'!$Q$18,'[1]observations-276632'!W52&lt;'[1]Methods write-up'!$R$18,'[1]observations-276632'!X52&gt;'[1]Methods write-up'!$S$18,'[1]observations-276632'!X52&lt;'[1]Methods write-up'!$T$18),"Somali peninsula","")</f>
        <v/>
      </c>
      <c r="BA52" s="22" t="str">
        <f>IF(AND('[1]observations-276632'!W52&gt;'[1]Methods write-up'!$Q$19,'[1]observations-276632'!W52&lt;'[1]Methods write-up'!$R$19,'[1]observations-276632'!X52&gt;'[1]Methods write-up'!$S$19,'[1]observations-276632'!X52&lt;'[1]Methods write-up'!$T$19),"East Africa","")</f>
        <v/>
      </c>
      <c r="BB52" s="22" t="str">
        <f>IF(AND('[1]observations-276632'!W52&gt;'[1]Methods write-up'!$Q$20,'[1]observations-276632'!W52&lt;'[1]Methods write-up'!$R$20,'[1]observations-276632'!X52&gt;'[1]Methods write-up'!$S$20,'[1]observations-276632'!X52&lt;'[1]Methods write-up'!$T$20),"Temperate seasonal","")</f>
        <v/>
      </c>
      <c r="BC52" s="22" t="str">
        <f>IF(AND('[1]observations-276632'!W52&gt;'[1]Methods write-up'!$Q$21,'[1]observations-276632'!W52&lt;'[1]Methods write-up'!$R$21,'[1]observations-276632'!X52&gt;'[1]Methods write-up'!$S$21,'[1]observations-276632'!X52&lt;'[1]Methods write-up'!$T$21),"Desert and high aridity","")</f>
        <v/>
      </c>
      <c r="BD52" s="23" t="str">
        <f t="shared" si="3"/>
        <v/>
      </c>
      <c r="BE52" s="24">
        <f t="shared" si="1"/>
        <v>12</v>
      </c>
      <c r="BF52" s="24">
        <f t="shared" si="2"/>
        <v>11</v>
      </c>
    </row>
    <row r="53" spans="1:58" ht="16.25" customHeight="1" x14ac:dyDescent="0.2">
      <c r="A53">
        <v>9326730</v>
      </c>
      <c r="B53" t="s">
        <v>499</v>
      </c>
      <c r="C53" s="14">
        <v>43036</v>
      </c>
      <c r="D53" t="s">
        <v>500</v>
      </c>
      <c r="E53" t="s">
        <v>201</v>
      </c>
      <c r="F53">
        <v>15211</v>
      </c>
      <c r="G53" t="s">
        <v>501</v>
      </c>
      <c r="H53" t="s">
        <v>502</v>
      </c>
      <c r="I53" t="s">
        <v>503</v>
      </c>
      <c r="J53" t="s">
        <v>504</v>
      </c>
      <c r="K53" t="s">
        <v>62</v>
      </c>
      <c r="L53" t="s">
        <v>63</v>
      </c>
      <c r="M53" t="s">
        <v>505</v>
      </c>
      <c r="N53" t="s">
        <v>506</v>
      </c>
      <c r="R53">
        <v>2</v>
      </c>
      <c r="S53">
        <v>0</v>
      </c>
      <c r="T53" t="b">
        <v>0</v>
      </c>
      <c r="V53" t="s">
        <v>507</v>
      </c>
      <c r="W53" s="15">
        <v>-18.827492589999999</v>
      </c>
      <c r="X53" s="15">
        <v>48.460429900000001</v>
      </c>
      <c r="Y53">
        <v>488</v>
      </c>
      <c r="AC53">
        <v>488</v>
      </c>
      <c r="AF53" t="b">
        <v>0</v>
      </c>
      <c r="AI53" t="s">
        <v>70</v>
      </c>
      <c r="AJ53" t="s">
        <v>70</v>
      </c>
      <c r="AK53" t="s">
        <v>71</v>
      </c>
      <c r="AL53" t="s">
        <v>72</v>
      </c>
      <c r="AM53">
        <v>346053</v>
      </c>
      <c r="AO53" s="16" t="s">
        <v>508</v>
      </c>
      <c r="AP53" s="17" t="str">
        <f t="shared" si="0"/>
        <v>Female (on nest, stage unclear)</v>
      </c>
      <c r="AX53" s="22" t="str">
        <f>IF(AND('[1]observations-276632'!W53&gt;'[1]Methods write-up'!$Q$16,'[1]observations-276632'!W53&lt;'[1]Methods write-up'!$R$16,'[1]observations-276632'!X53&gt;'[1]Methods write-up'!$S$16,'[1]observations-276632'!X53&lt;'[1]Methods write-up'!$T$16),"West and Central Africa","")</f>
        <v/>
      </c>
      <c r="AY53" s="22" t="str">
        <f>IF(AND('[1]observations-276632'!W53&gt;'[1]Methods write-up'!$Q$17,'[1]observations-276632'!W53&lt;'[1]Methods write-up'!$R$17,'[1]observations-276632'!X53&gt;'[1]Methods write-up'!$S$17,'[1]observations-276632'!X53&lt;'[1]Methods write-up'!$T$17),"Equatorial tropical forest","")</f>
        <v/>
      </c>
      <c r="AZ53" s="22" t="str">
        <f>IF(AND('[1]observations-276632'!W53&gt;'[1]Methods write-up'!$Q$18,'[1]observations-276632'!W53&lt;'[1]Methods write-up'!$R$18,'[1]observations-276632'!X53&gt;'[1]Methods write-up'!$S$18,'[1]observations-276632'!X53&lt;'[1]Methods write-up'!$T$18),"Somali peninsula","")</f>
        <v/>
      </c>
      <c r="BA53" s="22" t="str">
        <f>IF(AND('[1]observations-276632'!W53&gt;'[1]Methods write-up'!$Q$19,'[1]observations-276632'!W53&lt;'[1]Methods write-up'!$R$19,'[1]observations-276632'!X53&gt;'[1]Methods write-up'!$S$19,'[1]observations-276632'!X53&lt;'[1]Methods write-up'!$T$19),"East Africa","")</f>
        <v/>
      </c>
      <c r="BB53" s="22" t="str">
        <f>IF(AND('[1]observations-276632'!W53&gt;'[1]Methods write-up'!$Q$20,'[1]observations-276632'!W53&lt;'[1]Methods write-up'!$R$20,'[1]observations-276632'!X53&gt;'[1]Methods write-up'!$S$20,'[1]observations-276632'!X53&lt;'[1]Methods write-up'!$T$20),"Temperate seasonal","")</f>
        <v/>
      </c>
      <c r="BC53" s="22" t="str">
        <f>IF(AND('[1]observations-276632'!W53&gt;'[1]Methods write-up'!$Q$21,'[1]observations-276632'!W53&lt;'[1]Methods write-up'!$R$21,'[1]observations-276632'!X53&gt;'[1]Methods write-up'!$S$21,'[1]observations-276632'!X53&lt;'[1]Methods write-up'!$T$21),"Desert and high aridity","")</f>
        <v/>
      </c>
      <c r="BD53" s="23" t="str">
        <f t="shared" si="3"/>
        <v/>
      </c>
      <c r="BE53" s="24">
        <f t="shared" si="1"/>
        <v>28</v>
      </c>
      <c r="BF53" s="24">
        <f t="shared" si="2"/>
        <v>10</v>
      </c>
    </row>
    <row r="54" spans="1:58" ht="16.25" customHeight="1" x14ac:dyDescent="0.2">
      <c r="A54">
        <v>9343457</v>
      </c>
      <c r="B54" t="s">
        <v>509</v>
      </c>
      <c r="C54" s="14">
        <v>43102</v>
      </c>
      <c r="D54" t="s">
        <v>510</v>
      </c>
      <c r="E54" t="s">
        <v>113</v>
      </c>
      <c r="F54">
        <v>737292</v>
      </c>
      <c r="G54" t="s">
        <v>511</v>
      </c>
      <c r="H54" t="s">
        <v>512</v>
      </c>
      <c r="I54" t="s">
        <v>513</v>
      </c>
      <c r="J54" t="s">
        <v>514</v>
      </c>
      <c r="K54" t="s">
        <v>62</v>
      </c>
      <c r="M54" t="s">
        <v>515</v>
      </c>
      <c r="N54" t="s">
        <v>516</v>
      </c>
      <c r="R54">
        <v>4</v>
      </c>
      <c r="S54">
        <v>0</v>
      </c>
      <c r="T54" t="b">
        <v>0</v>
      </c>
      <c r="U54">
        <v>2</v>
      </c>
      <c r="V54" t="s">
        <v>517</v>
      </c>
      <c r="W54" s="15">
        <v>-28.097499859999999</v>
      </c>
      <c r="X54" s="15">
        <v>25.249405159999998</v>
      </c>
      <c r="Y54">
        <v>4</v>
      </c>
      <c r="AC54">
        <v>4</v>
      </c>
      <c r="AF54" t="b">
        <v>0</v>
      </c>
      <c r="AI54" t="s">
        <v>70</v>
      </c>
      <c r="AJ54" t="s">
        <v>70</v>
      </c>
      <c r="AK54" t="s">
        <v>71</v>
      </c>
      <c r="AL54" t="s">
        <v>72</v>
      </c>
      <c r="AM54">
        <v>346053</v>
      </c>
      <c r="AO54" s="16" t="s">
        <v>442</v>
      </c>
      <c r="AP54" s="17" t="str">
        <f t="shared" si="0"/>
        <v>Dead female</v>
      </c>
      <c r="AX54" s="22" t="str">
        <f>IF(AND('[1]observations-276632'!W54&gt;'[1]Methods write-up'!$Q$16,'[1]observations-276632'!W54&lt;'[1]Methods write-up'!$R$16,'[1]observations-276632'!X54&gt;'[1]Methods write-up'!$S$16,'[1]observations-276632'!X54&lt;'[1]Methods write-up'!$T$16),"West and Central Africa","")</f>
        <v/>
      </c>
      <c r="AY54" s="22" t="str">
        <f>IF(AND('[1]observations-276632'!W54&gt;'[1]Methods write-up'!$Q$17,'[1]observations-276632'!W54&lt;'[1]Methods write-up'!$R$17,'[1]observations-276632'!X54&gt;'[1]Methods write-up'!$S$17,'[1]observations-276632'!X54&lt;'[1]Methods write-up'!$T$17),"Equatorial tropical forest","")</f>
        <v/>
      </c>
      <c r="AZ54" s="22" t="str">
        <f>IF(AND('[1]observations-276632'!W54&gt;'[1]Methods write-up'!$Q$18,'[1]observations-276632'!W54&lt;'[1]Methods write-up'!$R$18,'[1]observations-276632'!X54&gt;'[1]Methods write-up'!$S$18,'[1]observations-276632'!X54&lt;'[1]Methods write-up'!$T$18),"Somali peninsula","")</f>
        <v/>
      </c>
      <c r="BA54" s="22" t="str">
        <f>IF(AND('[1]observations-276632'!W54&gt;'[1]Methods write-up'!$Q$19,'[1]observations-276632'!W54&lt;'[1]Methods write-up'!$R$19,'[1]observations-276632'!X54&gt;'[1]Methods write-up'!$S$19,'[1]observations-276632'!X54&lt;'[1]Methods write-up'!$T$19),"East Africa","")</f>
        <v/>
      </c>
      <c r="BB54" s="22" t="str">
        <f>IF(AND('[1]observations-276632'!W54&gt;'[1]Methods write-up'!$Q$20,'[1]observations-276632'!W54&lt;'[1]Methods write-up'!$R$20,'[1]observations-276632'!X54&gt;'[1]Methods write-up'!$S$20,'[1]observations-276632'!X54&lt;'[1]Methods write-up'!$T$20),"Temperate seasonal","")</f>
        <v/>
      </c>
      <c r="BC54" s="22" t="str">
        <f>IF(AND('[1]observations-276632'!W54&gt;'[1]Methods write-up'!$Q$21,'[1]observations-276632'!W54&lt;'[1]Methods write-up'!$R$21,'[1]observations-276632'!X54&gt;'[1]Methods write-up'!$S$21,'[1]observations-276632'!X54&lt;'[1]Methods write-up'!$T$21),"Desert and high aridity","")</f>
        <v/>
      </c>
      <c r="BD54" s="23" t="str">
        <f t="shared" si="3"/>
        <v/>
      </c>
      <c r="BE54" s="24">
        <f t="shared" si="1"/>
        <v>2</v>
      </c>
      <c r="BF54" s="24">
        <f t="shared" si="2"/>
        <v>1</v>
      </c>
    </row>
    <row r="55" spans="1:58" ht="16.25" customHeight="1" x14ac:dyDescent="0.2">
      <c r="A55">
        <v>9362880</v>
      </c>
      <c r="B55" t="s">
        <v>518</v>
      </c>
      <c r="C55" s="14">
        <v>43104</v>
      </c>
      <c r="D55" t="s">
        <v>519</v>
      </c>
      <c r="E55" t="s">
        <v>243</v>
      </c>
      <c r="F55">
        <v>637162</v>
      </c>
      <c r="G55" t="s">
        <v>520</v>
      </c>
      <c r="H55" t="s">
        <v>521</v>
      </c>
      <c r="I55" t="s">
        <v>522</v>
      </c>
      <c r="J55" t="s">
        <v>523</v>
      </c>
      <c r="K55" t="s">
        <v>62</v>
      </c>
      <c r="L55" t="s">
        <v>63</v>
      </c>
      <c r="M55" t="s">
        <v>524</v>
      </c>
      <c r="N55" t="s">
        <v>525</v>
      </c>
      <c r="R55">
        <v>5</v>
      </c>
      <c r="S55">
        <v>0</v>
      </c>
      <c r="T55" t="b">
        <v>0</v>
      </c>
      <c r="V55" t="s">
        <v>526</v>
      </c>
      <c r="W55" s="15">
        <v>-28.005531000000001</v>
      </c>
      <c r="X55" s="15">
        <v>31.2059204</v>
      </c>
      <c r="Y55">
        <v>2000</v>
      </c>
      <c r="AC55">
        <v>2000</v>
      </c>
      <c r="AF55" t="b">
        <v>0</v>
      </c>
      <c r="AI55" t="s">
        <v>70</v>
      </c>
      <c r="AJ55" t="s">
        <v>70</v>
      </c>
      <c r="AK55" t="s">
        <v>71</v>
      </c>
      <c r="AL55" t="s">
        <v>72</v>
      </c>
      <c r="AM55">
        <v>346053</v>
      </c>
      <c r="AO55" s="16" t="s">
        <v>140</v>
      </c>
      <c r="AP55" s="17" t="str">
        <f t="shared" si="0"/>
        <v>Post-emergence nest</v>
      </c>
      <c r="AQ55" s="18">
        <v>3</v>
      </c>
      <c r="AT55" s="19" t="s">
        <v>141</v>
      </c>
      <c r="AU55" s="20" t="s">
        <v>104</v>
      </c>
      <c r="AX55" s="22" t="str">
        <f>IF(AND('[1]observations-276632'!W55&gt;'[1]Methods write-up'!$Q$16,'[1]observations-276632'!W55&lt;'[1]Methods write-up'!$R$16,'[1]observations-276632'!X55&gt;'[1]Methods write-up'!$S$16,'[1]observations-276632'!X55&lt;'[1]Methods write-up'!$T$16),"West and Central Africa","")</f>
        <v/>
      </c>
      <c r="AY55" s="22" t="str">
        <f>IF(AND('[1]observations-276632'!W55&gt;'[1]Methods write-up'!$Q$17,'[1]observations-276632'!W55&lt;'[1]Methods write-up'!$R$17,'[1]observations-276632'!X55&gt;'[1]Methods write-up'!$S$17,'[1]observations-276632'!X55&lt;'[1]Methods write-up'!$T$17),"Equatorial tropical forest","")</f>
        <v/>
      </c>
      <c r="AZ55" s="22" t="str">
        <f>IF(AND('[1]observations-276632'!W55&gt;'[1]Methods write-up'!$Q$18,'[1]observations-276632'!W55&lt;'[1]Methods write-up'!$R$18,'[1]observations-276632'!X55&gt;'[1]Methods write-up'!$S$18,'[1]observations-276632'!X55&lt;'[1]Methods write-up'!$T$18),"Somali peninsula","")</f>
        <v/>
      </c>
      <c r="BA55" s="22" t="str">
        <f>IF(AND('[1]observations-276632'!W55&gt;'[1]Methods write-up'!$Q$19,'[1]observations-276632'!W55&lt;'[1]Methods write-up'!$R$19,'[1]observations-276632'!X55&gt;'[1]Methods write-up'!$S$19,'[1]observations-276632'!X55&lt;'[1]Methods write-up'!$T$19),"East Africa","")</f>
        <v/>
      </c>
      <c r="BB55" s="22" t="str">
        <f>IF(AND('[1]observations-276632'!W55&gt;'[1]Methods write-up'!$Q$20,'[1]observations-276632'!W55&lt;'[1]Methods write-up'!$R$20,'[1]observations-276632'!X55&gt;'[1]Methods write-up'!$S$20,'[1]observations-276632'!X55&lt;'[1]Methods write-up'!$T$20),"Temperate seasonal","")</f>
        <v>Temperate seasonal</v>
      </c>
      <c r="BC55" s="22" t="str">
        <f>IF(AND('[1]observations-276632'!W55&gt;'[1]Methods write-up'!$Q$21,'[1]observations-276632'!W55&lt;'[1]Methods write-up'!$R$21,'[1]observations-276632'!X55&gt;'[1]Methods write-up'!$S$21,'[1]observations-276632'!X55&lt;'[1]Methods write-up'!$T$21),"Desert and high aridity","")</f>
        <v/>
      </c>
      <c r="BD55" s="23" t="str">
        <f t="shared" si="3"/>
        <v>Temperate seasonal</v>
      </c>
      <c r="BE55" s="24">
        <f t="shared" si="1"/>
        <v>4</v>
      </c>
      <c r="BF55" s="24">
        <f t="shared" si="2"/>
        <v>1</v>
      </c>
    </row>
    <row r="56" spans="1:58" ht="16.25" customHeight="1" x14ac:dyDescent="0.2">
      <c r="A56">
        <v>9451512</v>
      </c>
      <c r="B56" t="s">
        <v>527</v>
      </c>
      <c r="C56" s="14">
        <v>43041</v>
      </c>
      <c r="D56" t="s">
        <v>528</v>
      </c>
      <c r="E56" t="s">
        <v>113</v>
      </c>
      <c r="F56">
        <v>665620</v>
      </c>
      <c r="G56" t="s">
        <v>529</v>
      </c>
      <c r="H56" t="s">
        <v>530</v>
      </c>
      <c r="I56" t="s">
        <v>531</v>
      </c>
      <c r="J56" t="s">
        <v>532</v>
      </c>
      <c r="K56" t="s">
        <v>62</v>
      </c>
      <c r="L56" t="s">
        <v>63</v>
      </c>
      <c r="M56" t="s">
        <v>533</v>
      </c>
      <c r="N56" t="s">
        <v>534</v>
      </c>
      <c r="R56">
        <v>5</v>
      </c>
      <c r="S56">
        <v>0</v>
      </c>
      <c r="T56" t="b">
        <v>0</v>
      </c>
      <c r="V56" t="s">
        <v>535</v>
      </c>
      <c r="W56" s="15">
        <v>-24.832613250000001</v>
      </c>
      <c r="X56" s="15">
        <v>28.081934449999999</v>
      </c>
      <c r="Y56">
        <v>15</v>
      </c>
      <c r="AC56">
        <v>15</v>
      </c>
      <c r="AF56" t="b">
        <v>0</v>
      </c>
      <c r="AI56" t="s">
        <v>70</v>
      </c>
      <c r="AJ56" t="s">
        <v>70</v>
      </c>
      <c r="AK56" t="s">
        <v>71</v>
      </c>
      <c r="AL56" t="s">
        <v>72</v>
      </c>
      <c r="AM56">
        <v>346053</v>
      </c>
      <c r="AO56" s="16" t="s">
        <v>110</v>
      </c>
      <c r="AP56" s="17" t="str">
        <f t="shared" si="0"/>
        <v>Nest (foundress)</v>
      </c>
      <c r="AQ56" s="18">
        <v>1</v>
      </c>
      <c r="AT56" s="19" t="s">
        <v>104</v>
      </c>
      <c r="AX56" s="22" t="str">
        <f>IF(AND('[1]observations-276632'!W56&gt;'[1]Methods write-up'!$Q$16,'[1]observations-276632'!W56&lt;'[1]Methods write-up'!$R$16,'[1]observations-276632'!X56&gt;'[1]Methods write-up'!$S$16,'[1]observations-276632'!X56&lt;'[1]Methods write-up'!$T$16),"West and Central Africa","")</f>
        <v/>
      </c>
      <c r="AY56" s="22" t="str">
        <f>IF(AND('[1]observations-276632'!W56&gt;'[1]Methods write-up'!$Q$17,'[1]observations-276632'!W56&lt;'[1]Methods write-up'!$R$17,'[1]observations-276632'!X56&gt;'[1]Methods write-up'!$S$17,'[1]observations-276632'!X56&lt;'[1]Methods write-up'!$T$17),"Equatorial tropical forest","")</f>
        <v/>
      </c>
      <c r="AZ56" s="22" t="str">
        <f>IF(AND('[1]observations-276632'!W56&gt;'[1]Methods write-up'!$Q$18,'[1]observations-276632'!W56&lt;'[1]Methods write-up'!$R$18,'[1]observations-276632'!X56&gt;'[1]Methods write-up'!$S$18,'[1]observations-276632'!X56&lt;'[1]Methods write-up'!$T$18),"Somali peninsula","")</f>
        <v/>
      </c>
      <c r="BA56" s="22" t="str">
        <f>IF(AND('[1]observations-276632'!W56&gt;'[1]Methods write-up'!$Q$19,'[1]observations-276632'!W56&lt;'[1]Methods write-up'!$R$19,'[1]observations-276632'!X56&gt;'[1]Methods write-up'!$S$19,'[1]observations-276632'!X56&lt;'[1]Methods write-up'!$T$19),"East Africa","")</f>
        <v/>
      </c>
      <c r="BB56" s="22" t="str">
        <f>IF(AND('[1]observations-276632'!W56&gt;'[1]Methods write-up'!$Q$20,'[1]observations-276632'!W56&lt;'[1]Methods write-up'!$R$20,'[1]observations-276632'!X56&gt;'[1]Methods write-up'!$S$20,'[1]observations-276632'!X56&lt;'[1]Methods write-up'!$T$20),"Temperate seasonal","")</f>
        <v/>
      </c>
      <c r="BC56" s="22" t="str">
        <f>IF(AND('[1]observations-276632'!W56&gt;'[1]Methods write-up'!$Q$21,'[1]observations-276632'!W56&lt;'[1]Methods write-up'!$R$21,'[1]observations-276632'!X56&gt;'[1]Methods write-up'!$S$21,'[1]observations-276632'!X56&lt;'[1]Methods write-up'!$T$21),"Desert and high aridity","")</f>
        <v/>
      </c>
      <c r="BD56" s="23" t="str">
        <f t="shared" si="3"/>
        <v/>
      </c>
      <c r="BE56" s="24">
        <f t="shared" si="1"/>
        <v>2</v>
      </c>
      <c r="BF56" s="24">
        <f t="shared" si="2"/>
        <v>11</v>
      </c>
    </row>
    <row r="57" spans="1:58" ht="16.25" customHeight="1" x14ac:dyDescent="0.2">
      <c r="A57">
        <v>9509873</v>
      </c>
      <c r="B57" s="25">
        <v>42790.466666666667</v>
      </c>
      <c r="C57" s="14">
        <v>42790</v>
      </c>
      <c r="D57" t="s">
        <v>536</v>
      </c>
      <c r="E57" t="s">
        <v>463</v>
      </c>
      <c r="F57">
        <v>672475</v>
      </c>
      <c r="G57" t="s">
        <v>537</v>
      </c>
      <c r="I57" t="s">
        <v>538</v>
      </c>
      <c r="J57" t="s">
        <v>539</v>
      </c>
      <c r="K57" t="s">
        <v>62</v>
      </c>
      <c r="L57" t="s">
        <v>63</v>
      </c>
      <c r="M57" t="s">
        <v>540</v>
      </c>
      <c r="N57" t="s">
        <v>541</v>
      </c>
      <c r="R57">
        <v>4</v>
      </c>
      <c r="S57">
        <v>1</v>
      </c>
      <c r="T57" t="b">
        <v>0</v>
      </c>
      <c r="V57" t="s">
        <v>542</v>
      </c>
      <c r="W57" s="15">
        <v>-3.2965488870000001</v>
      </c>
      <c r="X57" s="15">
        <v>37.524173859999998</v>
      </c>
      <c r="Y57">
        <v>109</v>
      </c>
      <c r="AC57">
        <v>109</v>
      </c>
      <c r="AF57" t="b">
        <v>0</v>
      </c>
      <c r="AI57" t="s">
        <v>70</v>
      </c>
      <c r="AJ57" t="s">
        <v>70</v>
      </c>
      <c r="AK57" t="s">
        <v>71</v>
      </c>
      <c r="AL57" t="s">
        <v>72</v>
      </c>
      <c r="AM57">
        <v>346053</v>
      </c>
      <c r="AO57" s="16" t="s">
        <v>73</v>
      </c>
      <c r="AP57" s="17" t="str">
        <f t="shared" si="0"/>
        <v>Off-nest female</v>
      </c>
      <c r="AX57" s="22" t="str">
        <f>IF(AND('[1]observations-276632'!W57&gt;'[1]Methods write-up'!$Q$16,'[1]observations-276632'!W57&lt;'[1]Methods write-up'!$R$16,'[1]observations-276632'!X57&gt;'[1]Methods write-up'!$S$16,'[1]observations-276632'!X57&lt;'[1]Methods write-up'!$T$16),"West and Central Africa","")</f>
        <v/>
      </c>
      <c r="AY57" s="22" t="str">
        <f>IF(AND('[1]observations-276632'!W57&gt;'[1]Methods write-up'!$Q$17,'[1]observations-276632'!W57&lt;'[1]Methods write-up'!$R$17,'[1]observations-276632'!X57&gt;'[1]Methods write-up'!$S$17,'[1]observations-276632'!X57&lt;'[1]Methods write-up'!$T$17),"Equatorial tropical forest","")</f>
        <v/>
      </c>
      <c r="AZ57" s="22" t="str">
        <f>IF(AND('[1]observations-276632'!W57&gt;'[1]Methods write-up'!$Q$18,'[1]observations-276632'!W57&lt;'[1]Methods write-up'!$R$18,'[1]observations-276632'!X57&gt;'[1]Methods write-up'!$S$18,'[1]observations-276632'!X57&lt;'[1]Methods write-up'!$T$18),"Somali peninsula","")</f>
        <v/>
      </c>
      <c r="BA57" s="22" t="str">
        <f>IF(AND('[1]observations-276632'!W57&gt;'[1]Methods write-up'!$Q$19,'[1]observations-276632'!W57&lt;'[1]Methods write-up'!$R$19,'[1]observations-276632'!X57&gt;'[1]Methods write-up'!$S$19,'[1]observations-276632'!X57&lt;'[1]Methods write-up'!$T$19),"East Africa","")</f>
        <v>East Africa</v>
      </c>
      <c r="BB57" s="22" t="str">
        <f>IF(AND('[1]observations-276632'!W57&gt;'[1]Methods write-up'!$Q$20,'[1]observations-276632'!W57&lt;'[1]Methods write-up'!$R$20,'[1]observations-276632'!X57&gt;'[1]Methods write-up'!$S$20,'[1]observations-276632'!X57&lt;'[1]Methods write-up'!$T$20),"Temperate seasonal","")</f>
        <v/>
      </c>
      <c r="BC57" s="22" t="str">
        <f>IF(AND('[1]observations-276632'!W57&gt;'[1]Methods write-up'!$Q$21,'[1]observations-276632'!W57&lt;'[1]Methods write-up'!$R$21,'[1]observations-276632'!X57&gt;'[1]Methods write-up'!$S$21,'[1]observations-276632'!X57&lt;'[1]Methods write-up'!$T$21),"Desert and high aridity","")</f>
        <v/>
      </c>
      <c r="BD57" s="23" t="str">
        <f t="shared" si="3"/>
        <v>East Africa</v>
      </c>
      <c r="BE57" s="24">
        <f t="shared" si="1"/>
        <v>24</v>
      </c>
      <c r="BF57" s="24">
        <f t="shared" si="2"/>
        <v>2</v>
      </c>
    </row>
    <row r="58" spans="1:58" ht="16.25" customHeight="1" x14ac:dyDescent="0.2">
      <c r="A58">
        <v>9658343</v>
      </c>
      <c r="B58" t="s">
        <v>543</v>
      </c>
      <c r="C58" s="14">
        <v>42954</v>
      </c>
      <c r="D58" t="s">
        <v>544</v>
      </c>
      <c r="E58" t="s">
        <v>243</v>
      </c>
      <c r="F58">
        <v>615980</v>
      </c>
      <c r="G58" t="s">
        <v>545</v>
      </c>
      <c r="H58" t="s">
        <v>546</v>
      </c>
      <c r="I58" t="s">
        <v>547</v>
      </c>
      <c r="J58" t="s">
        <v>548</v>
      </c>
      <c r="K58" t="s">
        <v>62</v>
      </c>
      <c r="L58" t="s">
        <v>63</v>
      </c>
      <c r="M58" t="s">
        <v>549</v>
      </c>
      <c r="N58" t="s">
        <v>550</v>
      </c>
      <c r="R58">
        <v>3</v>
      </c>
      <c r="S58">
        <v>0</v>
      </c>
      <c r="T58" t="b">
        <v>0</v>
      </c>
      <c r="V58" t="s">
        <v>551</v>
      </c>
      <c r="W58" s="15">
        <v>-28.25939473</v>
      </c>
      <c r="X58" s="15">
        <v>32.474069149999998</v>
      </c>
      <c r="Y58">
        <v>15</v>
      </c>
      <c r="AC58">
        <v>15</v>
      </c>
      <c r="AF58" t="b">
        <v>0</v>
      </c>
      <c r="AI58" t="s">
        <v>70</v>
      </c>
      <c r="AJ58" t="s">
        <v>70</v>
      </c>
      <c r="AK58" t="s">
        <v>71</v>
      </c>
      <c r="AL58" t="s">
        <v>72</v>
      </c>
      <c r="AM58">
        <v>346053</v>
      </c>
      <c r="AO58" s="16" t="s">
        <v>140</v>
      </c>
      <c r="AP58" s="17" t="str">
        <f t="shared" si="0"/>
        <v>Post-emergence nest</v>
      </c>
      <c r="AQ58" s="18">
        <v>3</v>
      </c>
      <c r="AT58" s="19" t="s">
        <v>141</v>
      </c>
      <c r="AU58" s="20" t="s">
        <v>104</v>
      </c>
      <c r="AX58" s="22" t="str">
        <f>IF(AND('[1]observations-276632'!W58&gt;'[1]Methods write-up'!$Q$16,'[1]observations-276632'!W58&lt;'[1]Methods write-up'!$R$16,'[1]observations-276632'!X58&gt;'[1]Methods write-up'!$S$16,'[1]observations-276632'!X58&lt;'[1]Methods write-up'!$T$16),"West and Central Africa","")</f>
        <v/>
      </c>
      <c r="AY58" s="22" t="str">
        <f>IF(AND('[1]observations-276632'!W58&gt;'[1]Methods write-up'!$Q$17,'[1]observations-276632'!W58&lt;'[1]Methods write-up'!$R$17,'[1]observations-276632'!X58&gt;'[1]Methods write-up'!$S$17,'[1]observations-276632'!X58&lt;'[1]Methods write-up'!$T$17),"Equatorial tropical forest","")</f>
        <v/>
      </c>
      <c r="AZ58" s="22" t="str">
        <f>IF(AND('[1]observations-276632'!W58&gt;'[1]Methods write-up'!$Q$18,'[1]observations-276632'!W58&lt;'[1]Methods write-up'!$R$18,'[1]observations-276632'!X58&gt;'[1]Methods write-up'!$S$18,'[1]observations-276632'!X58&lt;'[1]Methods write-up'!$T$18),"Somali peninsula","")</f>
        <v/>
      </c>
      <c r="BA58" s="22" t="str">
        <f>IF(AND('[1]observations-276632'!W58&gt;'[1]Methods write-up'!$Q$19,'[1]observations-276632'!W58&lt;'[1]Methods write-up'!$R$19,'[1]observations-276632'!X58&gt;'[1]Methods write-up'!$S$19,'[1]observations-276632'!X58&lt;'[1]Methods write-up'!$T$19),"East Africa","")</f>
        <v/>
      </c>
      <c r="BB58" s="22" t="str">
        <f>IF(AND('[1]observations-276632'!W58&gt;'[1]Methods write-up'!$Q$20,'[1]observations-276632'!W58&lt;'[1]Methods write-up'!$R$20,'[1]observations-276632'!X58&gt;'[1]Methods write-up'!$S$20,'[1]observations-276632'!X58&lt;'[1]Methods write-up'!$T$20),"Temperate seasonal","")</f>
        <v>Temperate seasonal</v>
      </c>
      <c r="BC58" s="22" t="str">
        <f>IF(AND('[1]observations-276632'!W58&gt;'[1]Methods write-up'!$Q$21,'[1]observations-276632'!W58&lt;'[1]Methods write-up'!$R$21,'[1]observations-276632'!X58&gt;'[1]Methods write-up'!$S$21,'[1]observations-276632'!X58&lt;'[1]Methods write-up'!$T$21),"Desert and high aridity","")</f>
        <v/>
      </c>
      <c r="BD58" s="23" t="str">
        <f t="shared" si="3"/>
        <v>Temperate seasonal</v>
      </c>
      <c r="BE58" s="24">
        <f t="shared" si="1"/>
        <v>7</v>
      </c>
      <c r="BF58" s="24">
        <f t="shared" si="2"/>
        <v>8</v>
      </c>
    </row>
    <row r="59" spans="1:58" ht="16.25" customHeight="1" x14ac:dyDescent="0.2">
      <c r="A59">
        <v>9677974</v>
      </c>
      <c r="B59" t="s">
        <v>552</v>
      </c>
      <c r="C59" s="14">
        <v>42364</v>
      </c>
      <c r="D59" t="s">
        <v>553</v>
      </c>
      <c r="E59" t="s">
        <v>113</v>
      </c>
      <c r="F59">
        <v>527990</v>
      </c>
      <c r="G59" t="s">
        <v>554</v>
      </c>
      <c r="H59" t="s">
        <v>555</v>
      </c>
      <c r="I59" t="s">
        <v>556</v>
      </c>
      <c r="J59" t="s">
        <v>557</v>
      </c>
      <c r="K59" t="s">
        <v>62</v>
      </c>
      <c r="L59" t="s">
        <v>118</v>
      </c>
      <c r="M59" t="s">
        <v>558</v>
      </c>
      <c r="N59" t="s">
        <v>559</v>
      </c>
      <c r="P59" t="s">
        <v>560</v>
      </c>
      <c r="R59">
        <v>3</v>
      </c>
      <c r="S59">
        <v>0</v>
      </c>
      <c r="T59" t="b">
        <v>0</v>
      </c>
      <c r="V59" t="s">
        <v>561</v>
      </c>
      <c r="W59" s="15">
        <v>-29.761505110000002</v>
      </c>
      <c r="X59" s="15">
        <v>30.797147750000001</v>
      </c>
      <c r="AF59" t="b">
        <v>0</v>
      </c>
      <c r="AI59" t="s">
        <v>70</v>
      </c>
      <c r="AJ59" t="s">
        <v>70</v>
      </c>
      <c r="AK59" t="s">
        <v>71</v>
      </c>
      <c r="AL59" t="s">
        <v>72</v>
      </c>
      <c r="AM59">
        <v>346053</v>
      </c>
      <c r="AO59" s="16" t="s">
        <v>140</v>
      </c>
      <c r="AP59" s="17" t="str">
        <f t="shared" si="0"/>
        <v>Post-emergence nest</v>
      </c>
      <c r="AQ59" s="18">
        <v>3</v>
      </c>
      <c r="AT59" s="19" t="s">
        <v>141</v>
      </c>
      <c r="AU59" s="20" t="s">
        <v>104</v>
      </c>
      <c r="AX59" s="22" t="str">
        <f>IF(AND('[1]observations-276632'!W59&gt;'[1]Methods write-up'!$Q$16,'[1]observations-276632'!W59&lt;'[1]Methods write-up'!$R$16,'[1]observations-276632'!X59&gt;'[1]Methods write-up'!$S$16,'[1]observations-276632'!X59&lt;'[1]Methods write-up'!$T$16),"West and Central Africa","")</f>
        <v/>
      </c>
      <c r="AY59" s="22" t="str">
        <f>IF(AND('[1]observations-276632'!W59&gt;'[1]Methods write-up'!$Q$17,'[1]observations-276632'!W59&lt;'[1]Methods write-up'!$R$17,'[1]observations-276632'!X59&gt;'[1]Methods write-up'!$S$17,'[1]observations-276632'!X59&lt;'[1]Methods write-up'!$T$17),"Equatorial tropical forest","")</f>
        <v/>
      </c>
      <c r="AZ59" s="22" t="str">
        <f>IF(AND('[1]observations-276632'!W59&gt;'[1]Methods write-up'!$Q$18,'[1]observations-276632'!W59&lt;'[1]Methods write-up'!$R$18,'[1]observations-276632'!X59&gt;'[1]Methods write-up'!$S$18,'[1]observations-276632'!X59&lt;'[1]Methods write-up'!$T$18),"Somali peninsula","")</f>
        <v/>
      </c>
      <c r="BA59" s="22" t="str">
        <f>IF(AND('[1]observations-276632'!W59&gt;'[1]Methods write-up'!$Q$19,'[1]observations-276632'!W59&lt;'[1]Methods write-up'!$R$19,'[1]observations-276632'!X59&gt;'[1]Methods write-up'!$S$19,'[1]observations-276632'!X59&lt;'[1]Methods write-up'!$T$19),"East Africa","")</f>
        <v/>
      </c>
      <c r="BB59" s="22" t="str">
        <f>IF(AND('[1]observations-276632'!W59&gt;'[1]Methods write-up'!$Q$20,'[1]observations-276632'!W59&lt;'[1]Methods write-up'!$R$20,'[1]observations-276632'!X59&gt;'[1]Methods write-up'!$S$20,'[1]observations-276632'!X59&lt;'[1]Methods write-up'!$T$20),"Temperate seasonal","")</f>
        <v>Temperate seasonal</v>
      </c>
      <c r="BC59" s="22" t="str">
        <f>IF(AND('[1]observations-276632'!W59&gt;'[1]Methods write-up'!$Q$21,'[1]observations-276632'!W59&lt;'[1]Methods write-up'!$R$21,'[1]observations-276632'!X59&gt;'[1]Methods write-up'!$S$21,'[1]observations-276632'!X59&lt;'[1]Methods write-up'!$T$21),"Desert and high aridity","")</f>
        <v/>
      </c>
      <c r="BD59" s="23" t="str">
        <f t="shared" si="3"/>
        <v>Temperate seasonal</v>
      </c>
      <c r="BE59" s="24">
        <f t="shared" si="1"/>
        <v>26</v>
      </c>
      <c r="BF59" s="24">
        <f t="shared" si="2"/>
        <v>12</v>
      </c>
    </row>
    <row r="60" spans="1:58" ht="16.25" customHeight="1" x14ac:dyDescent="0.2">
      <c r="A60">
        <v>9710185</v>
      </c>
      <c r="B60" t="s">
        <v>562</v>
      </c>
      <c r="C60" s="14">
        <v>43103</v>
      </c>
      <c r="D60" t="s">
        <v>563</v>
      </c>
      <c r="E60" t="s">
        <v>84</v>
      </c>
      <c r="F60">
        <v>375489</v>
      </c>
      <c r="G60" t="s">
        <v>564</v>
      </c>
      <c r="H60" t="s">
        <v>565</v>
      </c>
      <c r="I60" t="s">
        <v>566</v>
      </c>
      <c r="J60" t="s">
        <v>567</v>
      </c>
      <c r="K60" t="s">
        <v>62</v>
      </c>
      <c r="L60" t="s">
        <v>63</v>
      </c>
      <c r="M60" t="s">
        <v>568</v>
      </c>
      <c r="N60" t="s">
        <v>569</v>
      </c>
      <c r="P60" t="s">
        <v>570</v>
      </c>
      <c r="R60">
        <v>2</v>
      </c>
      <c r="S60">
        <v>0</v>
      </c>
      <c r="T60" t="b">
        <v>0</v>
      </c>
      <c r="V60" t="s">
        <v>571</v>
      </c>
      <c r="W60" s="15">
        <v>0.61484499999999997</v>
      </c>
      <c r="X60" s="15">
        <v>35.522523999999997</v>
      </c>
      <c r="Y60">
        <v>530</v>
      </c>
      <c r="AC60">
        <v>530</v>
      </c>
      <c r="AF60" t="b">
        <v>0</v>
      </c>
      <c r="AI60" t="s">
        <v>70</v>
      </c>
      <c r="AJ60" t="s">
        <v>70</v>
      </c>
      <c r="AK60" t="s">
        <v>71</v>
      </c>
      <c r="AL60" t="s">
        <v>72</v>
      </c>
      <c r="AM60">
        <v>346053</v>
      </c>
      <c r="AO60" s="16" t="s">
        <v>73</v>
      </c>
      <c r="AP60" s="17" t="str">
        <f t="shared" si="0"/>
        <v>Off-nest female</v>
      </c>
      <c r="AX60" s="22" t="str">
        <f>IF(AND('[1]observations-276632'!W60&gt;'[1]Methods write-up'!$Q$16,'[1]observations-276632'!W60&lt;'[1]Methods write-up'!$R$16,'[1]observations-276632'!X60&gt;'[1]Methods write-up'!$S$16,'[1]observations-276632'!X60&lt;'[1]Methods write-up'!$T$16),"West and Central Africa","")</f>
        <v/>
      </c>
      <c r="AY60" s="22" t="str">
        <f>IF(AND('[1]observations-276632'!W60&gt;'[1]Methods write-up'!$Q$17,'[1]observations-276632'!W60&lt;'[1]Methods write-up'!$R$17,'[1]observations-276632'!X60&gt;'[1]Methods write-up'!$S$17,'[1]observations-276632'!X60&lt;'[1]Methods write-up'!$T$17),"Equatorial tropical forest","")</f>
        <v/>
      </c>
      <c r="AZ60" s="22" t="str">
        <f>IF(AND('[1]observations-276632'!W60&gt;'[1]Methods write-up'!$Q$18,'[1]observations-276632'!W60&lt;'[1]Methods write-up'!$R$18,'[1]observations-276632'!X60&gt;'[1]Methods write-up'!$S$18,'[1]observations-276632'!X60&lt;'[1]Methods write-up'!$T$18),"Somali peninsula","")</f>
        <v/>
      </c>
      <c r="BA60" s="22" t="str">
        <f>IF(AND('[1]observations-276632'!W60&gt;'[1]Methods write-up'!$Q$19,'[1]observations-276632'!W60&lt;'[1]Methods write-up'!$R$19,'[1]observations-276632'!X60&gt;'[1]Methods write-up'!$S$19,'[1]observations-276632'!X60&lt;'[1]Methods write-up'!$T$19),"East Africa","")</f>
        <v>East Africa</v>
      </c>
      <c r="BB60" s="22" t="str">
        <f>IF(AND('[1]observations-276632'!W60&gt;'[1]Methods write-up'!$Q$20,'[1]observations-276632'!W60&lt;'[1]Methods write-up'!$R$20,'[1]observations-276632'!X60&gt;'[1]Methods write-up'!$S$20,'[1]observations-276632'!X60&lt;'[1]Methods write-up'!$T$20),"Temperate seasonal","")</f>
        <v/>
      </c>
      <c r="BC60" s="22" t="str">
        <f>IF(AND('[1]observations-276632'!W60&gt;'[1]Methods write-up'!$Q$21,'[1]observations-276632'!W60&lt;'[1]Methods write-up'!$R$21,'[1]observations-276632'!X60&gt;'[1]Methods write-up'!$S$21,'[1]observations-276632'!X60&lt;'[1]Methods write-up'!$T$21),"Desert and high aridity","")</f>
        <v/>
      </c>
      <c r="BD60" s="23" t="str">
        <f t="shared" si="3"/>
        <v>East Africa</v>
      </c>
      <c r="BE60" s="24">
        <f t="shared" si="1"/>
        <v>3</v>
      </c>
      <c r="BF60" s="24">
        <f t="shared" si="2"/>
        <v>1</v>
      </c>
    </row>
    <row r="61" spans="1:58" ht="16.25" customHeight="1" x14ac:dyDescent="0.2">
      <c r="A61">
        <v>9740711</v>
      </c>
      <c r="B61" t="s">
        <v>572</v>
      </c>
      <c r="C61" s="14">
        <v>43136</v>
      </c>
      <c r="D61" t="s">
        <v>573</v>
      </c>
      <c r="E61" t="s">
        <v>113</v>
      </c>
      <c r="F61">
        <v>740634</v>
      </c>
      <c r="G61" t="s">
        <v>574</v>
      </c>
      <c r="H61" t="s">
        <v>575</v>
      </c>
      <c r="I61" t="s">
        <v>576</v>
      </c>
      <c r="J61" t="s">
        <v>577</v>
      </c>
      <c r="K61" t="s">
        <v>62</v>
      </c>
      <c r="M61" t="s">
        <v>578</v>
      </c>
      <c r="N61" t="s">
        <v>579</v>
      </c>
      <c r="R61">
        <v>5</v>
      </c>
      <c r="S61">
        <v>1</v>
      </c>
      <c r="T61" t="b">
        <v>0</v>
      </c>
      <c r="U61">
        <v>2</v>
      </c>
      <c r="V61" t="s">
        <v>517</v>
      </c>
      <c r="W61" s="15">
        <v>-29.81553925</v>
      </c>
      <c r="X61" s="15">
        <v>30.46180889</v>
      </c>
      <c r="Y61">
        <v>22</v>
      </c>
      <c r="AC61">
        <v>22</v>
      </c>
      <c r="AF61" t="b">
        <v>0</v>
      </c>
      <c r="AG61" t="s">
        <v>350</v>
      </c>
      <c r="AH61" t="s">
        <v>350</v>
      </c>
      <c r="AI61" t="s">
        <v>70</v>
      </c>
      <c r="AJ61" t="s">
        <v>70</v>
      </c>
      <c r="AK61" t="s">
        <v>71</v>
      </c>
      <c r="AL61" t="s">
        <v>72</v>
      </c>
      <c r="AM61">
        <v>346053</v>
      </c>
      <c r="AO61" s="16" t="s">
        <v>73</v>
      </c>
      <c r="AP61" s="17" t="str">
        <f t="shared" si="0"/>
        <v>Off-nest female</v>
      </c>
      <c r="AX61" s="22" t="str">
        <f>IF(AND('[1]observations-276632'!W61&gt;'[1]Methods write-up'!$Q$16,'[1]observations-276632'!W61&lt;'[1]Methods write-up'!$R$16,'[1]observations-276632'!X61&gt;'[1]Methods write-up'!$S$16,'[1]observations-276632'!X61&lt;'[1]Methods write-up'!$T$16),"West and Central Africa","")</f>
        <v/>
      </c>
      <c r="AY61" s="22" t="str">
        <f>IF(AND('[1]observations-276632'!W61&gt;'[1]Methods write-up'!$Q$17,'[1]observations-276632'!W61&lt;'[1]Methods write-up'!$R$17,'[1]observations-276632'!X61&gt;'[1]Methods write-up'!$S$17,'[1]observations-276632'!X61&lt;'[1]Methods write-up'!$T$17),"Equatorial tropical forest","")</f>
        <v/>
      </c>
      <c r="AZ61" s="22" t="str">
        <f>IF(AND('[1]observations-276632'!W61&gt;'[1]Methods write-up'!$Q$18,'[1]observations-276632'!W61&lt;'[1]Methods write-up'!$R$18,'[1]observations-276632'!X61&gt;'[1]Methods write-up'!$S$18,'[1]observations-276632'!X61&lt;'[1]Methods write-up'!$T$18),"Somali peninsula","")</f>
        <v/>
      </c>
      <c r="BA61" s="22" t="str">
        <f>IF(AND('[1]observations-276632'!W61&gt;'[1]Methods write-up'!$Q$19,'[1]observations-276632'!W61&lt;'[1]Methods write-up'!$R$19,'[1]observations-276632'!X61&gt;'[1]Methods write-up'!$S$19,'[1]observations-276632'!X61&lt;'[1]Methods write-up'!$T$19),"East Africa","")</f>
        <v/>
      </c>
      <c r="BB61" s="22" t="str">
        <f>IF(AND('[1]observations-276632'!W61&gt;'[1]Methods write-up'!$Q$20,'[1]observations-276632'!W61&lt;'[1]Methods write-up'!$R$20,'[1]observations-276632'!X61&gt;'[1]Methods write-up'!$S$20,'[1]observations-276632'!X61&lt;'[1]Methods write-up'!$T$20),"Temperate seasonal","")</f>
        <v>Temperate seasonal</v>
      </c>
      <c r="BC61" s="22" t="str">
        <f>IF(AND('[1]observations-276632'!W61&gt;'[1]Methods write-up'!$Q$21,'[1]observations-276632'!W61&lt;'[1]Methods write-up'!$R$21,'[1]observations-276632'!X61&gt;'[1]Methods write-up'!$S$21,'[1]observations-276632'!X61&lt;'[1]Methods write-up'!$T$21),"Desert and high aridity","")</f>
        <v/>
      </c>
      <c r="BD61" s="23" t="str">
        <f t="shared" si="3"/>
        <v>Temperate seasonal</v>
      </c>
      <c r="BE61" s="24">
        <f t="shared" si="1"/>
        <v>5</v>
      </c>
      <c r="BF61" s="24">
        <f t="shared" si="2"/>
        <v>2</v>
      </c>
    </row>
    <row r="62" spans="1:58" ht="16.25" customHeight="1" x14ac:dyDescent="0.2">
      <c r="A62">
        <v>9809526</v>
      </c>
      <c r="B62" t="s">
        <v>580</v>
      </c>
      <c r="C62" s="14">
        <v>43141</v>
      </c>
      <c r="D62" t="s">
        <v>581</v>
      </c>
      <c r="E62" t="s">
        <v>113</v>
      </c>
      <c r="F62">
        <v>740634</v>
      </c>
      <c r="G62" t="s">
        <v>574</v>
      </c>
      <c r="H62" t="s">
        <v>575</v>
      </c>
      <c r="I62" t="s">
        <v>582</v>
      </c>
      <c r="J62" t="s">
        <v>583</v>
      </c>
      <c r="K62" t="s">
        <v>62</v>
      </c>
      <c r="M62" t="s">
        <v>584</v>
      </c>
      <c r="N62" t="s">
        <v>585</v>
      </c>
      <c r="R62">
        <v>3</v>
      </c>
      <c r="S62">
        <v>0</v>
      </c>
      <c r="T62" t="b">
        <v>0</v>
      </c>
      <c r="U62">
        <v>2</v>
      </c>
      <c r="V62" t="s">
        <v>586</v>
      </c>
      <c r="W62" s="15">
        <v>-29.689514079999999</v>
      </c>
      <c r="X62" s="15">
        <v>30.47053889</v>
      </c>
      <c r="Y62">
        <v>4</v>
      </c>
      <c r="AC62">
        <v>4</v>
      </c>
      <c r="AF62" t="b">
        <v>0</v>
      </c>
      <c r="AG62" t="s">
        <v>350</v>
      </c>
      <c r="AH62" t="s">
        <v>350</v>
      </c>
      <c r="AI62" t="s">
        <v>70</v>
      </c>
      <c r="AJ62" t="s">
        <v>70</v>
      </c>
      <c r="AK62" t="s">
        <v>71</v>
      </c>
      <c r="AL62" t="s">
        <v>72</v>
      </c>
      <c r="AM62">
        <v>346053</v>
      </c>
      <c r="AO62" s="16" t="s">
        <v>73</v>
      </c>
      <c r="AP62" s="17" t="str">
        <f t="shared" si="0"/>
        <v>Off-nest female</v>
      </c>
      <c r="AX62" s="22" t="str">
        <f>IF(AND('[1]observations-276632'!W62&gt;'[1]Methods write-up'!$Q$16,'[1]observations-276632'!W62&lt;'[1]Methods write-up'!$R$16,'[1]observations-276632'!X62&gt;'[1]Methods write-up'!$S$16,'[1]observations-276632'!X62&lt;'[1]Methods write-up'!$T$16),"West and Central Africa","")</f>
        <v/>
      </c>
      <c r="AY62" s="22" t="str">
        <f>IF(AND('[1]observations-276632'!W62&gt;'[1]Methods write-up'!$Q$17,'[1]observations-276632'!W62&lt;'[1]Methods write-up'!$R$17,'[1]observations-276632'!X62&gt;'[1]Methods write-up'!$S$17,'[1]observations-276632'!X62&lt;'[1]Methods write-up'!$T$17),"Equatorial tropical forest","")</f>
        <v/>
      </c>
      <c r="AZ62" s="22" t="str">
        <f>IF(AND('[1]observations-276632'!W62&gt;'[1]Methods write-up'!$Q$18,'[1]observations-276632'!W62&lt;'[1]Methods write-up'!$R$18,'[1]observations-276632'!X62&gt;'[1]Methods write-up'!$S$18,'[1]observations-276632'!X62&lt;'[1]Methods write-up'!$T$18),"Somali peninsula","")</f>
        <v/>
      </c>
      <c r="BA62" s="22" t="str">
        <f>IF(AND('[1]observations-276632'!W62&gt;'[1]Methods write-up'!$Q$19,'[1]observations-276632'!W62&lt;'[1]Methods write-up'!$R$19,'[1]observations-276632'!X62&gt;'[1]Methods write-up'!$S$19,'[1]observations-276632'!X62&lt;'[1]Methods write-up'!$T$19),"East Africa","")</f>
        <v/>
      </c>
      <c r="BB62" s="22" t="str">
        <f>IF(AND('[1]observations-276632'!W62&gt;'[1]Methods write-up'!$Q$20,'[1]observations-276632'!W62&lt;'[1]Methods write-up'!$R$20,'[1]observations-276632'!X62&gt;'[1]Methods write-up'!$S$20,'[1]observations-276632'!X62&lt;'[1]Methods write-up'!$T$20),"Temperate seasonal","")</f>
        <v>Temperate seasonal</v>
      </c>
      <c r="BC62" s="22" t="str">
        <f>IF(AND('[1]observations-276632'!W62&gt;'[1]Methods write-up'!$Q$21,'[1]observations-276632'!W62&lt;'[1]Methods write-up'!$R$21,'[1]observations-276632'!X62&gt;'[1]Methods write-up'!$S$21,'[1]observations-276632'!X62&lt;'[1]Methods write-up'!$T$21),"Desert and high aridity","")</f>
        <v/>
      </c>
      <c r="BD62" s="23" t="str">
        <f t="shared" si="3"/>
        <v>Temperate seasonal</v>
      </c>
      <c r="BE62" s="24">
        <f t="shared" si="1"/>
        <v>10</v>
      </c>
      <c r="BF62" s="24">
        <f t="shared" si="2"/>
        <v>2</v>
      </c>
    </row>
    <row r="63" spans="1:58" ht="16.25" customHeight="1" x14ac:dyDescent="0.2">
      <c r="A63">
        <v>9832028</v>
      </c>
      <c r="B63" t="s">
        <v>587</v>
      </c>
      <c r="C63" s="14">
        <v>42913</v>
      </c>
      <c r="D63" t="s">
        <v>588</v>
      </c>
      <c r="E63" t="s">
        <v>463</v>
      </c>
      <c r="F63">
        <v>188597</v>
      </c>
      <c r="G63" t="s">
        <v>589</v>
      </c>
      <c r="H63" t="s">
        <v>590</v>
      </c>
      <c r="I63" t="s">
        <v>591</v>
      </c>
      <c r="J63" t="s">
        <v>592</v>
      </c>
      <c r="K63" t="s">
        <v>62</v>
      </c>
      <c r="L63" t="s">
        <v>98</v>
      </c>
      <c r="M63" t="s">
        <v>593</v>
      </c>
      <c r="N63" t="s">
        <v>594</v>
      </c>
      <c r="R63">
        <v>3</v>
      </c>
      <c r="S63">
        <v>0</v>
      </c>
      <c r="T63" t="b">
        <v>0</v>
      </c>
      <c r="V63" t="s">
        <v>595</v>
      </c>
      <c r="W63" s="15">
        <v>-27.544668380000001</v>
      </c>
      <c r="X63" s="15">
        <v>32.678698900000001</v>
      </c>
      <c r="Y63">
        <v>8</v>
      </c>
      <c r="AC63">
        <v>8</v>
      </c>
      <c r="AF63" t="b">
        <v>0</v>
      </c>
      <c r="AI63" t="s">
        <v>70</v>
      </c>
      <c r="AJ63" t="s">
        <v>70</v>
      </c>
      <c r="AK63" t="s">
        <v>71</v>
      </c>
      <c r="AL63" t="s">
        <v>72</v>
      </c>
      <c r="AM63">
        <v>346053</v>
      </c>
      <c r="AO63" s="16" t="s">
        <v>150</v>
      </c>
      <c r="AP63" s="17" t="str">
        <f t="shared" si="0"/>
        <v>Male (off nest)</v>
      </c>
      <c r="AX63" s="22" t="str">
        <f>IF(AND('[1]observations-276632'!W63&gt;'[1]Methods write-up'!$Q$16,'[1]observations-276632'!W63&lt;'[1]Methods write-up'!$R$16,'[1]observations-276632'!X63&gt;'[1]Methods write-up'!$S$16,'[1]observations-276632'!X63&lt;'[1]Methods write-up'!$T$16),"West and Central Africa","")</f>
        <v/>
      </c>
      <c r="AY63" s="22" t="str">
        <f>IF(AND('[1]observations-276632'!W63&gt;'[1]Methods write-up'!$Q$17,'[1]observations-276632'!W63&lt;'[1]Methods write-up'!$R$17,'[1]observations-276632'!X63&gt;'[1]Methods write-up'!$S$17,'[1]observations-276632'!X63&lt;'[1]Methods write-up'!$T$17),"Equatorial tropical forest","")</f>
        <v/>
      </c>
      <c r="AZ63" s="22" t="str">
        <f>IF(AND('[1]observations-276632'!W63&gt;'[1]Methods write-up'!$Q$18,'[1]observations-276632'!W63&lt;'[1]Methods write-up'!$R$18,'[1]observations-276632'!X63&gt;'[1]Methods write-up'!$S$18,'[1]observations-276632'!X63&lt;'[1]Methods write-up'!$T$18),"Somali peninsula","")</f>
        <v/>
      </c>
      <c r="BA63" s="22" t="str">
        <f>IF(AND('[1]observations-276632'!W63&gt;'[1]Methods write-up'!$Q$19,'[1]observations-276632'!W63&lt;'[1]Methods write-up'!$R$19,'[1]observations-276632'!X63&gt;'[1]Methods write-up'!$S$19,'[1]observations-276632'!X63&lt;'[1]Methods write-up'!$T$19),"East Africa","")</f>
        <v/>
      </c>
      <c r="BB63" s="22" t="str">
        <f>IF(AND('[1]observations-276632'!W63&gt;'[1]Methods write-up'!$Q$20,'[1]observations-276632'!W63&lt;'[1]Methods write-up'!$R$20,'[1]observations-276632'!X63&gt;'[1]Methods write-up'!$S$20,'[1]observations-276632'!X63&lt;'[1]Methods write-up'!$T$20),"Temperate seasonal","")</f>
        <v>Temperate seasonal</v>
      </c>
      <c r="BC63" s="22" t="str">
        <f>IF(AND('[1]observations-276632'!W63&gt;'[1]Methods write-up'!$Q$21,'[1]observations-276632'!W63&lt;'[1]Methods write-up'!$R$21,'[1]observations-276632'!X63&gt;'[1]Methods write-up'!$S$21,'[1]observations-276632'!X63&lt;'[1]Methods write-up'!$T$21),"Desert and high aridity","")</f>
        <v/>
      </c>
      <c r="BD63" s="23" t="str">
        <f t="shared" si="3"/>
        <v>Temperate seasonal</v>
      </c>
      <c r="BE63" s="24">
        <f t="shared" si="1"/>
        <v>27</v>
      </c>
      <c r="BF63" s="24">
        <f t="shared" si="2"/>
        <v>6</v>
      </c>
    </row>
    <row r="64" spans="1:58" ht="16.25" customHeight="1" x14ac:dyDescent="0.2">
      <c r="A64">
        <v>9844559</v>
      </c>
      <c r="B64" t="s">
        <v>596</v>
      </c>
      <c r="C64" s="14">
        <v>43144</v>
      </c>
      <c r="D64" t="s">
        <v>597</v>
      </c>
      <c r="E64" t="s">
        <v>113</v>
      </c>
      <c r="F64">
        <v>760968</v>
      </c>
      <c r="G64" t="s">
        <v>598</v>
      </c>
      <c r="I64" t="s">
        <v>599</v>
      </c>
      <c r="J64" t="s">
        <v>600</v>
      </c>
      <c r="K64" t="s">
        <v>62</v>
      </c>
      <c r="L64" t="s">
        <v>63</v>
      </c>
      <c r="M64" t="s">
        <v>601</v>
      </c>
      <c r="N64" t="s">
        <v>602</v>
      </c>
      <c r="R64">
        <v>3</v>
      </c>
      <c r="S64">
        <v>0</v>
      </c>
      <c r="T64" t="b">
        <v>0</v>
      </c>
      <c r="U64">
        <v>2</v>
      </c>
      <c r="V64" t="s">
        <v>603</v>
      </c>
      <c r="W64" s="15">
        <v>-15.379440929999999</v>
      </c>
      <c r="X64" s="15">
        <v>35.321875390000002</v>
      </c>
      <c r="Y64">
        <v>36</v>
      </c>
      <c r="AC64">
        <v>36</v>
      </c>
      <c r="AF64" t="b">
        <v>0</v>
      </c>
      <c r="AI64" t="s">
        <v>71</v>
      </c>
      <c r="AJ64" t="s">
        <v>70</v>
      </c>
      <c r="AK64" t="s">
        <v>71</v>
      </c>
      <c r="AL64" t="s">
        <v>72</v>
      </c>
      <c r="AM64">
        <v>346053</v>
      </c>
      <c r="AO64" s="16" t="s">
        <v>73</v>
      </c>
      <c r="AP64" s="17" t="str">
        <f t="shared" si="0"/>
        <v>Off-nest female</v>
      </c>
      <c r="AX64" s="22" t="str">
        <f>IF(AND('[1]observations-276632'!W64&gt;'[1]Methods write-up'!$Q$16,'[1]observations-276632'!W64&lt;'[1]Methods write-up'!$R$16,'[1]observations-276632'!X64&gt;'[1]Methods write-up'!$S$16,'[1]observations-276632'!X64&lt;'[1]Methods write-up'!$T$16),"West and Central Africa","")</f>
        <v/>
      </c>
      <c r="AY64" s="22" t="str">
        <f>IF(AND('[1]observations-276632'!W64&gt;'[1]Methods write-up'!$Q$17,'[1]observations-276632'!W64&lt;'[1]Methods write-up'!$R$17,'[1]observations-276632'!X64&gt;'[1]Methods write-up'!$S$17,'[1]observations-276632'!X64&lt;'[1]Methods write-up'!$T$17),"Equatorial tropical forest","")</f>
        <v/>
      </c>
      <c r="AZ64" s="22" t="str">
        <f>IF(AND('[1]observations-276632'!W64&gt;'[1]Methods write-up'!$Q$18,'[1]observations-276632'!W64&lt;'[1]Methods write-up'!$R$18,'[1]observations-276632'!X64&gt;'[1]Methods write-up'!$S$18,'[1]observations-276632'!X64&lt;'[1]Methods write-up'!$T$18),"Somali peninsula","")</f>
        <v/>
      </c>
      <c r="BA64" s="22" t="str">
        <f>IF(AND('[1]observations-276632'!W64&gt;'[1]Methods write-up'!$Q$19,'[1]observations-276632'!W64&lt;'[1]Methods write-up'!$R$19,'[1]observations-276632'!X64&gt;'[1]Methods write-up'!$S$19,'[1]observations-276632'!X64&lt;'[1]Methods write-up'!$T$19),"East Africa","")</f>
        <v/>
      </c>
      <c r="BB64" s="22" t="str">
        <f>IF(AND('[1]observations-276632'!W64&gt;'[1]Methods write-up'!$Q$20,'[1]observations-276632'!W64&lt;'[1]Methods write-up'!$R$20,'[1]observations-276632'!X64&gt;'[1]Methods write-up'!$S$20,'[1]observations-276632'!X64&lt;'[1]Methods write-up'!$T$20),"Temperate seasonal","")</f>
        <v/>
      </c>
      <c r="BC64" s="22" t="str">
        <f>IF(AND('[1]observations-276632'!W64&gt;'[1]Methods write-up'!$Q$21,'[1]observations-276632'!W64&lt;'[1]Methods write-up'!$R$21,'[1]observations-276632'!X64&gt;'[1]Methods write-up'!$S$21,'[1]observations-276632'!X64&lt;'[1]Methods write-up'!$T$21),"Desert and high aridity","")</f>
        <v/>
      </c>
      <c r="BD64" s="23" t="str">
        <f t="shared" si="3"/>
        <v/>
      </c>
      <c r="BE64" s="24">
        <f t="shared" si="1"/>
        <v>13</v>
      </c>
      <c r="BF64" s="24">
        <f t="shared" si="2"/>
        <v>2</v>
      </c>
    </row>
    <row r="65" spans="1:58" ht="16.25" customHeight="1" x14ac:dyDescent="0.2">
      <c r="A65">
        <v>9863958</v>
      </c>
      <c r="B65" t="s">
        <v>604</v>
      </c>
      <c r="C65" s="14">
        <v>43134</v>
      </c>
      <c r="D65" t="s">
        <v>605</v>
      </c>
      <c r="E65" t="s">
        <v>403</v>
      </c>
      <c r="F65">
        <v>3494</v>
      </c>
      <c r="G65" t="s">
        <v>606</v>
      </c>
      <c r="H65" t="s">
        <v>607</v>
      </c>
      <c r="I65" t="s">
        <v>608</v>
      </c>
      <c r="J65" t="s">
        <v>609</v>
      </c>
      <c r="K65" t="s">
        <v>62</v>
      </c>
      <c r="L65" t="s">
        <v>63</v>
      </c>
      <c r="M65" t="s">
        <v>610</v>
      </c>
      <c r="N65" t="s">
        <v>611</v>
      </c>
      <c r="R65">
        <v>2</v>
      </c>
      <c r="S65">
        <v>0</v>
      </c>
      <c r="T65" t="b">
        <v>0</v>
      </c>
      <c r="U65">
        <v>3</v>
      </c>
      <c r="V65" t="s">
        <v>612</v>
      </c>
      <c r="W65" s="15">
        <v>-22.53916667</v>
      </c>
      <c r="X65" s="15">
        <v>45.380029999999998</v>
      </c>
      <c r="Y65">
        <v>10</v>
      </c>
      <c r="AC65">
        <v>10</v>
      </c>
      <c r="AF65" t="b">
        <v>0</v>
      </c>
      <c r="AI65" t="s">
        <v>71</v>
      </c>
      <c r="AJ65" t="s">
        <v>70</v>
      </c>
      <c r="AK65" t="s">
        <v>71</v>
      </c>
      <c r="AL65" t="s">
        <v>72</v>
      </c>
      <c r="AM65">
        <v>346053</v>
      </c>
      <c r="AO65" s="16" t="s">
        <v>140</v>
      </c>
      <c r="AP65" s="17" t="str">
        <f t="shared" si="0"/>
        <v>Post-emergence nest</v>
      </c>
      <c r="AQ65" s="18">
        <v>15</v>
      </c>
      <c r="AT65" s="19" t="s">
        <v>141</v>
      </c>
      <c r="AU65" s="20" t="s">
        <v>104</v>
      </c>
      <c r="AX65" s="22" t="str">
        <f>IF(AND('[1]observations-276632'!W65&gt;'[1]Methods write-up'!$Q$16,'[1]observations-276632'!W65&lt;'[1]Methods write-up'!$R$16,'[1]observations-276632'!X65&gt;'[1]Methods write-up'!$S$16,'[1]observations-276632'!X65&lt;'[1]Methods write-up'!$T$16),"West and Central Africa","")</f>
        <v/>
      </c>
      <c r="AY65" s="22" t="str">
        <f>IF(AND('[1]observations-276632'!W65&gt;'[1]Methods write-up'!$Q$17,'[1]observations-276632'!W65&lt;'[1]Methods write-up'!$R$17,'[1]observations-276632'!X65&gt;'[1]Methods write-up'!$S$17,'[1]observations-276632'!X65&lt;'[1]Methods write-up'!$T$17),"Equatorial tropical forest","")</f>
        <v/>
      </c>
      <c r="AZ65" s="22" t="str">
        <f>IF(AND('[1]observations-276632'!W65&gt;'[1]Methods write-up'!$Q$18,'[1]observations-276632'!W65&lt;'[1]Methods write-up'!$R$18,'[1]observations-276632'!X65&gt;'[1]Methods write-up'!$S$18,'[1]observations-276632'!X65&lt;'[1]Methods write-up'!$T$18),"Somali peninsula","")</f>
        <v/>
      </c>
      <c r="BA65" s="22" t="str">
        <f>IF(AND('[1]observations-276632'!W65&gt;'[1]Methods write-up'!$Q$19,'[1]observations-276632'!W65&lt;'[1]Methods write-up'!$R$19,'[1]observations-276632'!X65&gt;'[1]Methods write-up'!$S$19,'[1]observations-276632'!X65&lt;'[1]Methods write-up'!$T$19),"East Africa","")</f>
        <v/>
      </c>
      <c r="BB65" s="22" t="str">
        <f>IF(AND('[1]observations-276632'!W65&gt;'[1]Methods write-up'!$Q$20,'[1]observations-276632'!W65&lt;'[1]Methods write-up'!$R$20,'[1]observations-276632'!X65&gt;'[1]Methods write-up'!$S$20,'[1]observations-276632'!X65&lt;'[1]Methods write-up'!$T$20),"Temperate seasonal","")</f>
        <v/>
      </c>
      <c r="BC65" s="22" t="str">
        <f>IF(AND('[1]observations-276632'!W65&gt;'[1]Methods write-up'!$Q$21,'[1]observations-276632'!W65&lt;'[1]Methods write-up'!$R$21,'[1]observations-276632'!X65&gt;'[1]Methods write-up'!$S$21,'[1]observations-276632'!X65&lt;'[1]Methods write-up'!$T$21),"Desert and high aridity","")</f>
        <v/>
      </c>
      <c r="BD65" s="23" t="str">
        <f t="shared" si="3"/>
        <v/>
      </c>
      <c r="BE65" s="24">
        <f t="shared" si="1"/>
        <v>3</v>
      </c>
      <c r="BF65" s="24">
        <f t="shared" si="2"/>
        <v>2</v>
      </c>
    </row>
    <row r="66" spans="1:58" ht="16.25" customHeight="1" x14ac:dyDescent="0.2">
      <c r="C66" s="14">
        <v>43134</v>
      </c>
      <c r="M66" t="s">
        <v>613</v>
      </c>
      <c r="W66" s="15">
        <v>-22.53916667</v>
      </c>
      <c r="X66" s="15">
        <v>45.380029999999998</v>
      </c>
      <c r="AO66" s="16" t="s">
        <v>172</v>
      </c>
      <c r="AP66" s="17" t="str">
        <f t="shared" ref="AP66:AP129" si="4">IF(COUNTIF(AO66,"*foundress*"),"Nest (foundress)",AO66)</f>
        <v>Nest (foundress)</v>
      </c>
      <c r="AQ66" s="18">
        <v>2</v>
      </c>
      <c r="AT66" s="19" t="s">
        <v>141</v>
      </c>
      <c r="AX66" s="22" t="str">
        <f>IF(AND('[1]observations-276632'!W66&gt;'[1]Methods write-up'!$Q$16,'[1]observations-276632'!W66&lt;'[1]Methods write-up'!$R$16,'[1]observations-276632'!X66&gt;'[1]Methods write-up'!$S$16,'[1]observations-276632'!X66&lt;'[1]Methods write-up'!$T$16),"West and Central Africa","")</f>
        <v/>
      </c>
      <c r="AY66" s="22" t="str">
        <f>IF(AND('[1]observations-276632'!W66&gt;'[1]Methods write-up'!$Q$17,'[1]observations-276632'!W66&lt;'[1]Methods write-up'!$R$17,'[1]observations-276632'!X66&gt;'[1]Methods write-up'!$S$17,'[1]observations-276632'!X66&lt;'[1]Methods write-up'!$T$17),"Equatorial tropical forest","")</f>
        <v/>
      </c>
      <c r="AZ66" s="22" t="str">
        <f>IF(AND('[1]observations-276632'!W66&gt;'[1]Methods write-up'!$Q$18,'[1]observations-276632'!W66&lt;'[1]Methods write-up'!$R$18,'[1]observations-276632'!X66&gt;'[1]Methods write-up'!$S$18,'[1]observations-276632'!X66&lt;'[1]Methods write-up'!$T$18),"Somali peninsula","")</f>
        <v/>
      </c>
      <c r="BA66" s="22" t="str">
        <f>IF(AND('[1]observations-276632'!W66&gt;'[1]Methods write-up'!$Q$19,'[1]observations-276632'!W66&lt;'[1]Methods write-up'!$R$19,'[1]observations-276632'!X66&gt;'[1]Methods write-up'!$S$19,'[1]observations-276632'!X66&lt;'[1]Methods write-up'!$T$19),"East Africa","")</f>
        <v/>
      </c>
      <c r="BB66" s="22" t="str">
        <f>IF(AND('[1]observations-276632'!W66&gt;'[1]Methods write-up'!$Q$20,'[1]observations-276632'!W66&lt;'[1]Methods write-up'!$R$20,'[1]observations-276632'!X66&gt;'[1]Methods write-up'!$S$20,'[1]observations-276632'!X66&lt;'[1]Methods write-up'!$T$20),"Temperate seasonal","")</f>
        <v/>
      </c>
      <c r="BC66" s="22" t="str">
        <f>IF(AND('[1]observations-276632'!W66&gt;'[1]Methods write-up'!$Q$21,'[1]observations-276632'!W66&lt;'[1]Methods write-up'!$R$21,'[1]observations-276632'!X66&gt;'[1]Methods write-up'!$S$21,'[1]observations-276632'!X66&lt;'[1]Methods write-up'!$T$21),"Desert and high aridity","")</f>
        <v/>
      </c>
      <c r="BD66" s="23" t="str">
        <f t="shared" si="3"/>
        <v/>
      </c>
      <c r="BE66" s="24">
        <f t="shared" ref="BE66:BE129" si="5">DAY(C66)</f>
        <v>3</v>
      </c>
      <c r="BF66" s="24">
        <f t="shared" ref="BF66:BF129" si="6">MONTH(C66)</f>
        <v>2</v>
      </c>
    </row>
    <row r="67" spans="1:58" ht="16.25" customHeight="1" x14ac:dyDescent="0.2">
      <c r="A67">
        <v>9873371</v>
      </c>
      <c r="B67" t="s">
        <v>614</v>
      </c>
      <c r="C67" s="14">
        <v>43105</v>
      </c>
      <c r="D67" t="s">
        <v>615</v>
      </c>
      <c r="E67" t="s">
        <v>84</v>
      </c>
      <c r="F67">
        <v>375489</v>
      </c>
      <c r="G67" t="s">
        <v>564</v>
      </c>
      <c r="H67" t="s">
        <v>565</v>
      </c>
      <c r="I67" t="s">
        <v>616</v>
      </c>
      <c r="J67" t="s">
        <v>617</v>
      </c>
      <c r="K67" t="s">
        <v>62</v>
      </c>
      <c r="L67" t="s">
        <v>63</v>
      </c>
      <c r="M67" t="s">
        <v>618</v>
      </c>
      <c r="N67" t="s">
        <v>619</v>
      </c>
      <c r="P67" t="s">
        <v>620</v>
      </c>
      <c r="R67">
        <v>4</v>
      </c>
      <c r="S67">
        <v>0</v>
      </c>
      <c r="T67" t="b">
        <v>0</v>
      </c>
      <c r="V67" t="s">
        <v>621</v>
      </c>
      <c r="W67" s="15">
        <v>1.2739571750000001</v>
      </c>
      <c r="X67" s="15">
        <v>35.162979129999997</v>
      </c>
      <c r="Y67">
        <v>587</v>
      </c>
      <c r="AC67">
        <v>587</v>
      </c>
      <c r="AF67" t="b">
        <v>0</v>
      </c>
      <c r="AI67" t="s">
        <v>70</v>
      </c>
      <c r="AJ67" t="s">
        <v>70</v>
      </c>
      <c r="AK67" t="s">
        <v>71</v>
      </c>
      <c r="AL67" t="s">
        <v>72</v>
      </c>
      <c r="AM67">
        <v>346053</v>
      </c>
      <c r="AO67" s="16" t="s">
        <v>73</v>
      </c>
      <c r="AP67" s="17" t="str">
        <f t="shared" si="4"/>
        <v>Off-nest female</v>
      </c>
      <c r="AX67" s="22" t="str">
        <f>IF(AND('[1]observations-276632'!W67&gt;'[1]Methods write-up'!$Q$16,'[1]observations-276632'!W67&lt;'[1]Methods write-up'!$R$16,'[1]observations-276632'!X67&gt;'[1]Methods write-up'!$S$16,'[1]observations-276632'!X67&lt;'[1]Methods write-up'!$T$16),"West and Central Africa","")</f>
        <v/>
      </c>
      <c r="AY67" s="22" t="str">
        <f>IF(AND('[1]observations-276632'!W67&gt;'[1]Methods write-up'!$Q$17,'[1]observations-276632'!W67&lt;'[1]Methods write-up'!$R$17,'[1]observations-276632'!X67&gt;'[1]Methods write-up'!$S$17,'[1]observations-276632'!X67&lt;'[1]Methods write-up'!$T$17),"Equatorial tropical forest","")</f>
        <v/>
      </c>
      <c r="AZ67" s="22" t="str">
        <f>IF(AND('[1]observations-276632'!W67&gt;'[1]Methods write-up'!$Q$18,'[1]observations-276632'!W67&lt;'[1]Methods write-up'!$R$18,'[1]observations-276632'!X67&gt;'[1]Methods write-up'!$S$18,'[1]observations-276632'!X67&lt;'[1]Methods write-up'!$T$18),"Somali peninsula","")</f>
        <v/>
      </c>
      <c r="BA67" s="22" t="str">
        <f>IF(AND('[1]observations-276632'!W67&gt;'[1]Methods write-up'!$Q$19,'[1]observations-276632'!W67&lt;'[1]Methods write-up'!$R$19,'[1]observations-276632'!X67&gt;'[1]Methods write-up'!$S$19,'[1]observations-276632'!X67&lt;'[1]Methods write-up'!$T$19),"East Africa","")</f>
        <v>East Africa</v>
      </c>
      <c r="BB67" s="22" t="str">
        <f>IF(AND('[1]observations-276632'!W67&gt;'[1]Methods write-up'!$Q$20,'[1]observations-276632'!W67&lt;'[1]Methods write-up'!$R$20,'[1]observations-276632'!X67&gt;'[1]Methods write-up'!$S$20,'[1]observations-276632'!X67&lt;'[1]Methods write-up'!$T$20),"Temperate seasonal","")</f>
        <v/>
      </c>
      <c r="BC67" s="22" t="str">
        <f>IF(AND('[1]observations-276632'!W67&gt;'[1]Methods write-up'!$Q$21,'[1]observations-276632'!W67&lt;'[1]Methods write-up'!$R$21,'[1]observations-276632'!X67&gt;'[1]Methods write-up'!$S$21,'[1]observations-276632'!X67&lt;'[1]Methods write-up'!$T$21),"Desert and high aridity","")</f>
        <v/>
      </c>
      <c r="BD67" s="23" t="str">
        <f t="shared" ref="BD67:BD130" si="7">AX67&amp;AY67&amp;AZ67&amp;BA67&amp;BB67&amp;BC67</f>
        <v>East Africa</v>
      </c>
      <c r="BE67" s="24">
        <f t="shared" si="5"/>
        <v>5</v>
      </c>
      <c r="BF67" s="24">
        <f t="shared" si="6"/>
        <v>1</v>
      </c>
    </row>
    <row r="68" spans="1:58" ht="16.25" customHeight="1" x14ac:dyDescent="0.2">
      <c r="A68">
        <v>9898074</v>
      </c>
      <c r="B68" t="s">
        <v>622</v>
      </c>
      <c r="C68" s="14">
        <v>43132</v>
      </c>
      <c r="D68" t="s">
        <v>623</v>
      </c>
      <c r="E68" t="s">
        <v>256</v>
      </c>
      <c r="F68">
        <v>3494</v>
      </c>
      <c r="G68" t="s">
        <v>606</v>
      </c>
      <c r="H68" t="s">
        <v>607</v>
      </c>
      <c r="I68" t="s">
        <v>624</v>
      </c>
      <c r="J68" t="s">
        <v>625</v>
      </c>
      <c r="K68" t="s">
        <v>62</v>
      </c>
      <c r="L68" t="s">
        <v>63</v>
      </c>
      <c r="M68" t="s">
        <v>626</v>
      </c>
      <c r="N68" t="s">
        <v>627</v>
      </c>
      <c r="R68">
        <v>4</v>
      </c>
      <c r="S68">
        <v>0</v>
      </c>
      <c r="T68" t="b">
        <v>0</v>
      </c>
      <c r="V68" t="s">
        <v>628</v>
      </c>
      <c r="W68" s="15">
        <v>-21.26099722</v>
      </c>
      <c r="X68" s="15">
        <v>47.461372220000001</v>
      </c>
      <c r="AF68" t="b">
        <v>0</v>
      </c>
      <c r="AI68" t="s">
        <v>70</v>
      </c>
      <c r="AJ68" t="s">
        <v>70</v>
      </c>
      <c r="AK68" t="s">
        <v>71</v>
      </c>
      <c r="AL68" t="s">
        <v>72</v>
      </c>
      <c r="AM68">
        <v>346053</v>
      </c>
      <c r="AO68" s="16" t="s">
        <v>73</v>
      </c>
      <c r="AP68" s="17" t="str">
        <f t="shared" si="4"/>
        <v>Off-nest female</v>
      </c>
      <c r="AX68" s="22" t="str">
        <f>IF(AND('[1]observations-276632'!W68&gt;'[1]Methods write-up'!$Q$16,'[1]observations-276632'!W68&lt;'[1]Methods write-up'!$R$16,'[1]observations-276632'!X68&gt;'[1]Methods write-up'!$S$16,'[1]observations-276632'!X68&lt;'[1]Methods write-up'!$T$16),"West and Central Africa","")</f>
        <v/>
      </c>
      <c r="AY68" s="22" t="str">
        <f>IF(AND('[1]observations-276632'!W68&gt;'[1]Methods write-up'!$Q$17,'[1]observations-276632'!W68&lt;'[1]Methods write-up'!$R$17,'[1]observations-276632'!X68&gt;'[1]Methods write-up'!$S$17,'[1]observations-276632'!X68&lt;'[1]Methods write-up'!$T$17),"Equatorial tropical forest","")</f>
        <v/>
      </c>
      <c r="AZ68" s="22" t="str">
        <f>IF(AND('[1]observations-276632'!W68&gt;'[1]Methods write-up'!$Q$18,'[1]observations-276632'!W68&lt;'[1]Methods write-up'!$R$18,'[1]observations-276632'!X68&gt;'[1]Methods write-up'!$S$18,'[1]observations-276632'!X68&lt;'[1]Methods write-up'!$T$18),"Somali peninsula","")</f>
        <v/>
      </c>
      <c r="BA68" s="22" t="str">
        <f>IF(AND('[1]observations-276632'!W68&gt;'[1]Methods write-up'!$Q$19,'[1]observations-276632'!W68&lt;'[1]Methods write-up'!$R$19,'[1]observations-276632'!X68&gt;'[1]Methods write-up'!$S$19,'[1]observations-276632'!X68&lt;'[1]Methods write-up'!$T$19),"East Africa","")</f>
        <v/>
      </c>
      <c r="BB68" s="22" t="str">
        <f>IF(AND('[1]observations-276632'!W68&gt;'[1]Methods write-up'!$Q$20,'[1]observations-276632'!W68&lt;'[1]Methods write-up'!$R$20,'[1]observations-276632'!X68&gt;'[1]Methods write-up'!$S$20,'[1]observations-276632'!X68&lt;'[1]Methods write-up'!$T$20),"Temperate seasonal","")</f>
        <v/>
      </c>
      <c r="BC68" s="22" t="str">
        <f>IF(AND('[1]observations-276632'!W68&gt;'[1]Methods write-up'!$Q$21,'[1]observations-276632'!W68&lt;'[1]Methods write-up'!$R$21,'[1]observations-276632'!X68&gt;'[1]Methods write-up'!$S$21,'[1]observations-276632'!X68&lt;'[1]Methods write-up'!$T$21),"Desert and high aridity","")</f>
        <v/>
      </c>
      <c r="BD68" s="23" t="str">
        <f t="shared" si="7"/>
        <v/>
      </c>
      <c r="BE68" s="24">
        <f t="shared" si="5"/>
        <v>1</v>
      </c>
      <c r="BF68" s="24">
        <f t="shared" si="6"/>
        <v>2</v>
      </c>
    </row>
    <row r="69" spans="1:58" ht="16.25" customHeight="1" x14ac:dyDescent="0.2">
      <c r="A69">
        <v>9910488</v>
      </c>
      <c r="B69" t="s">
        <v>629</v>
      </c>
      <c r="C69" s="14">
        <v>43135</v>
      </c>
      <c r="D69" t="s">
        <v>630</v>
      </c>
      <c r="E69" t="s">
        <v>256</v>
      </c>
      <c r="F69">
        <v>3494</v>
      </c>
      <c r="G69" t="s">
        <v>606</v>
      </c>
      <c r="H69" t="s">
        <v>607</v>
      </c>
      <c r="I69" t="s">
        <v>631</v>
      </c>
      <c r="J69" t="s">
        <v>632</v>
      </c>
      <c r="K69" t="s">
        <v>157</v>
      </c>
      <c r="L69" t="s">
        <v>63</v>
      </c>
      <c r="M69" t="s">
        <v>633</v>
      </c>
      <c r="N69" t="s">
        <v>634</v>
      </c>
      <c r="R69">
        <v>3</v>
      </c>
      <c r="S69">
        <v>0</v>
      </c>
      <c r="T69" t="b">
        <v>0</v>
      </c>
      <c r="V69" t="s">
        <v>635</v>
      </c>
      <c r="W69" s="15">
        <v>-22.88332222</v>
      </c>
      <c r="X69" s="15">
        <v>44.693913889999997</v>
      </c>
      <c r="AF69" t="b">
        <v>0</v>
      </c>
      <c r="AI69" t="s">
        <v>636</v>
      </c>
      <c r="AJ69" t="s">
        <v>636</v>
      </c>
      <c r="AL69" t="s">
        <v>72</v>
      </c>
      <c r="AM69">
        <v>856342</v>
      </c>
      <c r="AO69" s="16" t="s">
        <v>140</v>
      </c>
      <c r="AP69" s="17" t="str">
        <f t="shared" si="4"/>
        <v>Post-emergence nest</v>
      </c>
      <c r="AQ69" s="18">
        <v>8</v>
      </c>
      <c r="AT69" s="19" t="s">
        <v>141</v>
      </c>
      <c r="AU69" s="20" t="s">
        <v>104</v>
      </c>
      <c r="AX69" s="22" t="str">
        <f>IF(AND('[1]observations-276632'!W69&gt;'[1]Methods write-up'!$Q$16,'[1]observations-276632'!W69&lt;'[1]Methods write-up'!$R$16,'[1]observations-276632'!X69&gt;'[1]Methods write-up'!$S$16,'[1]observations-276632'!X69&lt;'[1]Methods write-up'!$T$16),"West and Central Africa","")</f>
        <v/>
      </c>
      <c r="AY69" s="22" t="str">
        <f>IF(AND('[1]observations-276632'!W69&gt;'[1]Methods write-up'!$Q$17,'[1]observations-276632'!W69&lt;'[1]Methods write-up'!$R$17,'[1]observations-276632'!X69&gt;'[1]Methods write-up'!$S$17,'[1]observations-276632'!X69&lt;'[1]Methods write-up'!$T$17),"Equatorial tropical forest","")</f>
        <v/>
      </c>
      <c r="AZ69" s="22" t="str">
        <f>IF(AND('[1]observations-276632'!W69&gt;'[1]Methods write-up'!$Q$18,'[1]observations-276632'!W69&lt;'[1]Methods write-up'!$R$18,'[1]observations-276632'!X69&gt;'[1]Methods write-up'!$S$18,'[1]observations-276632'!X69&lt;'[1]Methods write-up'!$T$18),"Somali peninsula","")</f>
        <v/>
      </c>
      <c r="BA69" s="22" t="str">
        <f>IF(AND('[1]observations-276632'!W69&gt;'[1]Methods write-up'!$Q$19,'[1]observations-276632'!W69&lt;'[1]Methods write-up'!$R$19,'[1]observations-276632'!X69&gt;'[1]Methods write-up'!$S$19,'[1]observations-276632'!X69&lt;'[1]Methods write-up'!$T$19),"East Africa","")</f>
        <v/>
      </c>
      <c r="BB69" s="22" t="str">
        <f>IF(AND('[1]observations-276632'!W69&gt;'[1]Methods write-up'!$Q$20,'[1]observations-276632'!W69&lt;'[1]Methods write-up'!$R$20,'[1]observations-276632'!X69&gt;'[1]Methods write-up'!$S$20,'[1]observations-276632'!X69&lt;'[1]Methods write-up'!$T$20),"Temperate seasonal","")</f>
        <v/>
      </c>
      <c r="BC69" s="22" t="str">
        <f>IF(AND('[1]observations-276632'!W69&gt;'[1]Methods write-up'!$Q$21,'[1]observations-276632'!W69&lt;'[1]Methods write-up'!$R$21,'[1]observations-276632'!X69&gt;'[1]Methods write-up'!$S$21,'[1]observations-276632'!X69&lt;'[1]Methods write-up'!$T$21),"Desert and high aridity","")</f>
        <v/>
      </c>
      <c r="BD69" s="23" t="str">
        <f t="shared" si="7"/>
        <v/>
      </c>
      <c r="BE69" s="24">
        <f t="shared" si="5"/>
        <v>4</v>
      </c>
      <c r="BF69" s="24">
        <f t="shared" si="6"/>
        <v>2</v>
      </c>
    </row>
    <row r="70" spans="1:58" ht="16.25" customHeight="1" x14ac:dyDescent="0.2">
      <c r="A70">
        <v>9936186</v>
      </c>
      <c r="B70" t="s">
        <v>637</v>
      </c>
      <c r="C70" s="14">
        <v>43139</v>
      </c>
      <c r="D70" t="s">
        <v>638</v>
      </c>
      <c r="E70" t="s">
        <v>256</v>
      </c>
      <c r="F70">
        <v>3494</v>
      </c>
      <c r="G70" t="s">
        <v>606</v>
      </c>
      <c r="H70" t="s">
        <v>607</v>
      </c>
      <c r="I70" t="s">
        <v>639</v>
      </c>
      <c r="J70" t="s">
        <v>640</v>
      </c>
      <c r="K70" t="s">
        <v>157</v>
      </c>
      <c r="L70" t="s">
        <v>63</v>
      </c>
      <c r="M70" t="s">
        <v>641</v>
      </c>
      <c r="N70" t="s">
        <v>642</v>
      </c>
      <c r="R70">
        <v>3</v>
      </c>
      <c r="S70">
        <v>0</v>
      </c>
      <c r="T70" t="b">
        <v>0</v>
      </c>
      <c r="V70" t="s">
        <v>643</v>
      </c>
      <c r="W70" s="15">
        <v>-12.940661110000001</v>
      </c>
      <c r="X70" s="15">
        <v>49.116005559999998</v>
      </c>
      <c r="AF70" t="b">
        <v>0</v>
      </c>
      <c r="AI70" t="s">
        <v>644</v>
      </c>
      <c r="AJ70" t="s">
        <v>644</v>
      </c>
      <c r="AL70" t="s">
        <v>72</v>
      </c>
      <c r="AM70">
        <v>856343</v>
      </c>
      <c r="AO70" s="16" t="s">
        <v>73</v>
      </c>
      <c r="AP70" s="17" t="str">
        <f t="shared" si="4"/>
        <v>Off-nest female</v>
      </c>
      <c r="AX70" s="22" t="str">
        <f>IF(AND('[1]observations-276632'!W70&gt;'[1]Methods write-up'!$Q$16,'[1]observations-276632'!W70&lt;'[1]Methods write-up'!$R$16,'[1]observations-276632'!X70&gt;'[1]Methods write-up'!$S$16,'[1]observations-276632'!X70&lt;'[1]Methods write-up'!$T$16),"West and Central Africa","")</f>
        <v/>
      </c>
      <c r="AY70" s="22" t="str">
        <f>IF(AND('[1]observations-276632'!W70&gt;'[1]Methods write-up'!$Q$17,'[1]observations-276632'!W70&lt;'[1]Methods write-up'!$R$17,'[1]observations-276632'!X70&gt;'[1]Methods write-up'!$S$17,'[1]observations-276632'!X70&lt;'[1]Methods write-up'!$T$17),"Equatorial tropical forest","")</f>
        <v/>
      </c>
      <c r="AZ70" s="22" t="str">
        <f>IF(AND('[1]observations-276632'!W70&gt;'[1]Methods write-up'!$Q$18,'[1]observations-276632'!W70&lt;'[1]Methods write-up'!$R$18,'[1]observations-276632'!X70&gt;'[1]Methods write-up'!$S$18,'[1]observations-276632'!X70&lt;'[1]Methods write-up'!$T$18),"Somali peninsula","")</f>
        <v/>
      </c>
      <c r="BA70" s="22" t="str">
        <f>IF(AND('[1]observations-276632'!W70&gt;'[1]Methods write-up'!$Q$19,'[1]observations-276632'!W70&lt;'[1]Methods write-up'!$R$19,'[1]observations-276632'!X70&gt;'[1]Methods write-up'!$S$19,'[1]observations-276632'!X70&lt;'[1]Methods write-up'!$T$19),"East Africa","")</f>
        <v/>
      </c>
      <c r="BB70" s="22" t="str">
        <f>IF(AND('[1]observations-276632'!W70&gt;'[1]Methods write-up'!$Q$20,'[1]observations-276632'!W70&lt;'[1]Methods write-up'!$R$20,'[1]observations-276632'!X70&gt;'[1]Methods write-up'!$S$20,'[1]observations-276632'!X70&lt;'[1]Methods write-up'!$T$20),"Temperate seasonal","")</f>
        <v/>
      </c>
      <c r="BC70" s="22" t="str">
        <f>IF(AND('[1]observations-276632'!W70&gt;'[1]Methods write-up'!$Q$21,'[1]observations-276632'!W70&lt;'[1]Methods write-up'!$R$21,'[1]observations-276632'!X70&gt;'[1]Methods write-up'!$S$21,'[1]observations-276632'!X70&lt;'[1]Methods write-up'!$T$21),"Desert and high aridity","")</f>
        <v/>
      </c>
      <c r="BD70" s="23" t="str">
        <f t="shared" si="7"/>
        <v/>
      </c>
      <c r="BE70" s="24">
        <f t="shared" si="5"/>
        <v>8</v>
      </c>
      <c r="BF70" s="24">
        <f t="shared" si="6"/>
        <v>2</v>
      </c>
    </row>
    <row r="71" spans="1:58" ht="16.25" customHeight="1" x14ac:dyDescent="0.2">
      <c r="A71">
        <v>10028687</v>
      </c>
      <c r="B71" t="s">
        <v>645</v>
      </c>
      <c r="C71" s="14">
        <v>43091</v>
      </c>
      <c r="D71" t="s">
        <v>646</v>
      </c>
      <c r="E71" t="s">
        <v>463</v>
      </c>
      <c r="F71">
        <v>392818</v>
      </c>
      <c r="G71" t="s">
        <v>647</v>
      </c>
      <c r="H71" t="s">
        <v>648</v>
      </c>
      <c r="I71" t="s">
        <v>649</v>
      </c>
      <c r="J71" t="s">
        <v>650</v>
      </c>
      <c r="K71" t="s">
        <v>62</v>
      </c>
      <c r="L71" t="s">
        <v>63</v>
      </c>
      <c r="M71" t="s">
        <v>651</v>
      </c>
      <c r="N71" t="s">
        <v>652</v>
      </c>
      <c r="R71">
        <v>2</v>
      </c>
      <c r="S71">
        <v>0</v>
      </c>
      <c r="T71" t="b">
        <v>0</v>
      </c>
      <c r="V71" t="s">
        <v>653</v>
      </c>
      <c r="W71" s="15">
        <v>-1.3092798619999999</v>
      </c>
      <c r="X71" s="15">
        <v>36.71033138</v>
      </c>
      <c r="Y71">
        <v>4</v>
      </c>
      <c r="AC71">
        <v>4</v>
      </c>
      <c r="AF71" t="b">
        <v>0</v>
      </c>
      <c r="AI71" t="s">
        <v>70</v>
      </c>
      <c r="AJ71" t="s">
        <v>70</v>
      </c>
      <c r="AK71" t="s">
        <v>71</v>
      </c>
      <c r="AL71" t="s">
        <v>72</v>
      </c>
      <c r="AM71">
        <v>346053</v>
      </c>
      <c r="AO71" s="16" t="s">
        <v>140</v>
      </c>
      <c r="AP71" s="17" t="str">
        <f t="shared" si="4"/>
        <v>Post-emergence nest</v>
      </c>
      <c r="AQ71" s="18">
        <v>24</v>
      </c>
      <c r="AT71" s="19" t="s">
        <v>141</v>
      </c>
      <c r="AU71" s="20" t="s">
        <v>104</v>
      </c>
      <c r="AX71" s="22" t="str">
        <f>IF(AND('[1]observations-276632'!W71&gt;'[1]Methods write-up'!$Q$16,'[1]observations-276632'!W71&lt;'[1]Methods write-up'!$R$16,'[1]observations-276632'!X71&gt;'[1]Methods write-up'!$S$16,'[1]observations-276632'!X71&lt;'[1]Methods write-up'!$T$16),"West and Central Africa","")</f>
        <v/>
      </c>
      <c r="AY71" s="22" t="str">
        <f>IF(AND('[1]observations-276632'!W71&gt;'[1]Methods write-up'!$Q$17,'[1]observations-276632'!W71&lt;'[1]Methods write-up'!$R$17,'[1]observations-276632'!X71&gt;'[1]Methods write-up'!$S$17,'[1]observations-276632'!X71&lt;'[1]Methods write-up'!$T$17),"Equatorial tropical forest","")</f>
        <v/>
      </c>
      <c r="AZ71" s="22" t="str">
        <f>IF(AND('[1]observations-276632'!W71&gt;'[1]Methods write-up'!$Q$18,'[1]observations-276632'!W71&lt;'[1]Methods write-up'!$R$18,'[1]observations-276632'!X71&gt;'[1]Methods write-up'!$S$18,'[1]observations-276632'!X71&lt;'[1]Methods write-up'!$T$18),"Somali peninsula","")</f>
        <v/>
      </c>
      <c r="BA71" s="22" t="str">
        <f>IF(AND('[1]observations-276632'!W71&gt;'[1]Methods write-up'!$Q$19,'[1]observations-276632'!W71&lt;'[1]Methods write-up'!$R$19,'[1]observations-276632'!X71&gt;'[1]Methods write-up'!$S$19,'[1]observations-276632'!X71&lt;'[1]Methods write-up'!$T$19),"East Africa","")</f>
        <v>East Africa</v>
      </c>
      <c r="BB71" s="22" t="str">
        <f>IF(AND('[1]observations-276632'!W71&gt;'[1]Methods write-up'!$Q$20,'[1]observations-276632'!W71&lt;'[1]Methods write-up'!$R$20,'[1]observations-276632'!X71&gt;'[1]Methods write-up'!$S$20,'[1]observations-276632'!X71&lt;'[1]Methods write-up'!$T$20),"Temperate seasonal","")</f>
        <v/>
      </c>
      <c r="BC71" s="22" t="str">
        <f>IF(AND('[1]observations-276632'!W71&gt;'[1]Methods write-up'!$Q$21,'[1]observations-276632'!W71&lt;'[1]Methods write-up'!$R$21,'[1]observations-276632'!X71&gt;'[1]Methods write-up'!$S$21,'[1]observations-276632'!X71&lt;'[1]Methods write-up'!$T$21),"Desert and high aridity","")</f>
        <v/>
      </c>
      <c r="BD71" s="23" t="str">
        <f t="shared" si="7"/>
        <v>East Africa</v>
      </c>
      <c r="BE71" s="24">
        <f t="shared" si="5"/>
        <v>22</v>
      </c>
      <c r="BF71" s="24">
        <f t="shared" si="6"/>
        <v>12</v>
      </c>
    </row>
    <row r="72" spans="1:58" ht="16.25" customHeight="1" x14ac:dyDescent="0.2">
      <c r="A72">
        <v>10029573</v>
      </c>
      <c r="B72" t="s">
        <v>654</v>
      </c>
      <c r="C72" s="14">
        <v>43091</v>
      </c>
      <c r="D72" t="s">
        <v>655</v>
      </c>
      <c r="E72" t="s">
        <v>463</v>
      </c>
      <c r="F72">
        <v>392818</v>
      </c>
      <c r="G72" t="s">
        <v>647</v>
      </c>
      <c r="H72" t="s">
        <v>648</v>
      </c>
      <c r="I72" t="s">
        <v>656</v>
      </c>
      <c r="J72" t="s">
        <v>657</v>
      </c>
      <c r="K72" t="s">
        <v>62</v>
      </c>
      <c r="L72" t="s">
        <v>63</v>
      </c>
      <c r="M72" t="s">
        <v>658</v>
      </c>
      <c r="N72" t="s">
        <v>659</v>
      </c>
      <c r="R72">
        <v>2</v>
      </c>
      <c r="S72">
        <v>0</v>
      </c>
      <c r="T72" t="b">
        <v>0</v>
      </c>
      <c r="V72" t="s">
        <v>653</v>
      </c>
      <c r="W72" s="15">
        <v>-1.3092798619999999</v>
      </c>
      <c r="X72" s="15">
        <v>36.71033585</v>
      </c>
      <c r="Y72">
        <v>4</v>
      </c>
      <c r="AC72">
        <v>4</v>
      </c>
      <c r="AF72" t="b">
        <v>0</v>
      </c>
      <c r="AI72" t="s">
        <v>71</v>
      </c>
      <c r="AJ72" t="s">
        <v>70</v>
      </c>
      <c r="AK72" t="s">
        <v>71</v>
      </c>
      <c r="AL72" t="s">
        <v>72</v>
      </c>
      <c r="AM72">
        <v>346053</v>
      </c>
      <c r="AO72" s="16" t="s">
        <v>442</v>
      </c>
      <c r="AP72" s="17" t="str">
        <f t="shared" si="4"/>
        <v>Dead female</v>
      </c>
      <c r="AX72" s="22" t="str">
        <f>IF(AND('[1]observations-276632'!W72&gt;'[1]Methods write-up'!$Q$16,'[1]observations-276632'!W72&lt;'[1]Methods write-up'!$R$16,'[1]observations-276632'!X72&gt;'[1]Methods write-up'!$S$16,'[1]observations-276632'!X72&lt;'[1]Methods write-up'!$T$16),"West and Central Africa","")</f>
        <v/>
      </c>
      <c r="AY72" s="22" t="str">
        <f>IF(AND('[1]observations-276632'!W72&gt;'[1]Methods write-up'!$Q$17,'[1]observations-276632'!W72&lt;'[1]Methods write-up'!$R$17,'[1]observations-276632'!X72&gt;'[1]Methods write-up'!$S$17,'[1]observations-276632'!X72&lt;'[1]Methods write-up'!$T$17),"Equatorial tropical forest","")</f>
        <v/>
      </c>
      <c r="AZ72" s="22" t="str">
        <f>IF(AND('[1]observations-276632'!W72&gt;'[1]Methods write-up'!$Q$18,'[1]observations-276632'!W72&lt;'[1]Methods write-up'!$R$18,'[1]observations-276632'!X72&gt;'[1]Methods write-up'!$S$18,'[1]observations-276632'!X72&lt;'[1]Methods write-up'!$T$18),"Somali peninsula","")</f>
        <v/>
      </c>
      <c r="BA72" s="22" t="str">
        <f>IF(AND('[1]observations-276632'!W72&gt;'[1]Methods write-up'!$Q$19,'[1]observations-276632'!W72&lt;'[1]Methods write-up'!$R$19,'[1]observations-276632'!X72&gt;'[1]Methods write-up'!$S$19,'[1]observations-276632'!X72&lt;'[1]Methods write-up'!$T$19),"East Africa","")</f>
        <v>East Africa</v>
      </c>
      <c r="BB72" s="22" t="str">
        <f>IF(AND('[1]observations-276632'!W72&gt;'[1]Methods write-up'!$Q$20,'[1]observations-276632'!W72&lt;'[1]Methods write-up'!$R$20,'[1]observations-276632'!X72&gt;'[1]Methods write-up'!$S$20,'[1]observations-276632'!X72&lt;'[1]Methods write-up'!$T$20),"Temperate seasonal","")</f>
        <v/>
      </c>
      <c r="BC72" s="22" t="str">
        <f>IF(AND('[1]observations-276632'!W72&gt;'[1]Methods write-up'!$Q$21,'[1]observations-276632'!W72&lt;'[1]Methods write-up'!$R$21,'[1]observations-276632'!X72&gt;'[1]Methods write-up'!$S$21,'[1]observations-276632'!X72&lt;'[1]Methods write-up'!$T$21),"Desert and high aridity","")</f>
        <v/>
      </c>
      <c r="BD72" s="23" t="str">
        <f t="shared" si="7"/>
        <v>East Africa</v>
      </c>
      <c r="BE72" s="24">
        <f t="shared" si="5"/>
        <v>22</v>
      </c>
      <c r="BF72" s="24">
        <f t="shared" si="6"/>
        <v>12</v>
      </c>
    </row>
    <row r="73" spans="1:58" ht="16.25" customHeight="1" x14ac:dyDescent="0.2">
      <c r="A73">
        <v>10222162</v>
      </c>
      <c r="B73" t="s">
        <v>660</v>
      </c>
      <c r="C73" s="14">
        <v>43108</v>
      </c>
      <c r="D73" t="s">
        <v>661</v>
      </c>
      <c r="E73" t="s">
        <v>84</v>
      </c>
      <c r="F73">
        <v>375489</v>
      </c>
      <c r="G73" t="s">
        <v>564</v>
      </c>
      <c r="H73" t="s">
        <v>565</v>
      </c>
      <c r="I73" t="s">
        <v>662</v>
      </c>
      <c r="J73" t="s">
        <v>663</v>
      </c>
      <c r="K73" t="s">
        <v>62</v>
      </c>
      <c r="L73" t="s">
        <v>63</v>
      </c>
      <c r="M73" t="s">
        <v>664</v>
      </c>
      <c r="N73" t="s">
        <v>665</v>
      </c>
      <c r="P73" t="s">
        <v>666</v>
      </c>
      <c r="R73">
        <v>2</v>
      </c>
      <c r="S73">
        <v>0</v>
      </c>
      <c r="T73" t="b">
        <v>0</v>
      </c>
      <c r="V73" t="s">
        <v>667</v>
      </c>
      <c r="W73" s="15">
        <v>-1.3468483330000001</v>
      </c>
      <c r="X73" s="15">
        <v>36.764505</v>
      </c>
      <c r="AF73" t="b">
        <v>0</v>
      </c>
      <c r="AI73" t="s">
        <v>71</v>
      </c>
      <c r="AJ73" t="s">
        <v>70</v>
      </c>
      <c r="AK73" t="s">
        <v>71</v>
      </c>
      <c r="AL73" t="s">
        <v>72</v>
      </c>
      <c r="AM73">
        <v>346053</v>
      </c>
      <c r="AO73" s="16" t="s">
        <v>140</v>
      </c>
      <c r="AP73" s="17" t="str">
        <f t="shared" si="4"/>
        <v>Post-emergence nest</v>
      </c>
      <c r="AQ73" s="18">
        <v>4</v>
      </c>
      <c r="AT73" s="19" t="s">
        <v>141</v>
      </c>
      <c r="AU73" s="20" t="s">
        <v>141</v>
      </c>
      <c r="AX73" s="22" t="str">
        <f>IF(AND('[1]observations-276632'!W73&gt;'[1]Methods write-up'!$Q$16,'[1]observations-276632'!W73&lt;'[1]Methods write-up'!$R$16,'[1]observations-276632'!X73&gt;'[1]Methods write-up'!$S$16,'[1]observations-276632'!X73&lt;'[1]Methods write-up'!$T$16),"West and Central Africa","")</f>
        <v/>
      </c>
      <c r="AY73" s="22" t="str">
        <f>IF(AND('[1]observations-276632'!W73&gt;'[1]Methods write-up'!$Q$17,'[1]observations-276632'!W73&lt;'[1]Methods write-up'!$R$17,'[1]observations-276632'!X73&gt;'[1]Methods write-up'!$S$17,'[1]observations-276632'!X73&lt;'[1]Methods write-up'!$T$17),"Equatorial tropical forest","")</f>
        <v/>
      </c>
      <c r="AZ73" s="22" t="str">
        <f>IF(AND('[1]observations-276632'!W73&gt;'[1]Methods write-up'!$Q$18,'[1]observations-276632'!W73&lt;'[1]Methods write-up'!$R$18,'[1]observations-276632'!X73&gt;'[1]Methods write-up'!$S$18,'[1]observations-276632'!X73&lt;'[1]Methods write-up'!$T$18),"Somali peninsula","")</f>
        <v/>
      </c>
      <c r="BA73" s="22" t="str">
        <f>IF(AND('[1]observations-276632'!W73&gt;'[1]Methods write-up'!$Q$19,'[1]observations-276632'!W73&lt;'[1]Methods write-up'!$R$19,'[1]observations-276632'!X73&gt;'[1]Methods write-up'!$S$19,'[1]observations-276632'!X73&lt;'[1]Methods write-up'!$T$19),"East Africa","")</f>
        <v>East Africa</v>
      </c>
      <c r="BB73" s="22" t="str">
        <f>IF(AND('[1]observations-276632'!W73&gt;'[1]Methods write-up'!$Q$20,'[1]observations-276632'!W73&lt;'[1]Methods write-up'!$R$20,'[1]observations-276632'!X73&gt;'[1]Methods write-up'!$S$20,'[1]observations-276632'!X73&lt;'[1]Methods write-up'!$T$20),"Temperate seasonal","")</f>
        <v/>
      </c>
      <c r="BC73" s="22" t="str">
        <f>IF(AND('[1]observations-276632'!W73&gt;'[1]Methods write-up'!$Q$21,'[1]observations-276632'!W73&lt;'[1]Methods write-up'!$R$21,'[1]observations-276632'!X73&gt;'[1]Methods write-up'!$S$21,'[1]observations-276632'!X73&lt;'[1]Methods write-up'!$T$21),"Desert and high aridity","")</f>
        <v/>
      </c>
      <c r="BD73" s="23" t="str">
        <f t="shared" si="7"/>
        <v>East Africa</v>
      </c>
      <c r="BE73" s="24">
        <f t="shared" si="5"/>
        <v>8</v>
      </c>
      <c r="BF73" s="24">
        <f t="shared" si="6"/>
        <v>1</v>
      </c>
    </row>
    <row r="74" spans="1:58" ht="16.25" customHeight="1" x14ac:dyDescent="0.2">
      <c r="A74">
        <v>10411051</v>
      </c>
      <c r="B74" t="s">
        <v>668</v>
      </c>
      <c r="C74" s="14">
        <v>43182</v>
      </c>
      <c r="D74" t="s">
        <v>669</v>
      </c>
      <c r="E74" t="s">
        <v>403</v>
      </c>
      <c r="F74">
        <v>50393</v>
      </c>
      <c r="G74" t="s">
        <v>194</v>
      </c>
      <c r="I74" t="s">
        <v>670</v>
      </c>
      <c r="J74" t="s">
        <v>671</v>
      </c>
      <c r="K74" t="s">
        <v>62</v>
      </c>
      <c r="L74" t="s">
        <v>63</v>
      </c>
      <c r="M74" t="s">
        <v>672</v>
      </c>
      <c r="N74" t="s">
        <v>673</v>
      </c>
      <c r="R74">
        <v>4</v>
      </c>
      <c r="S74">
        <v>0</v>
      </c>
      <c r="T74" t="b">
        <v>0</v>
      </c>
      <c r="U74">
        <v>3</v>
      </c>
      <c r="V74" t="s">
        <v>674</v>
      </c>
      <c r="W74" s="15">
        <v>3.7567699999999999</v>
      </c>
      <c r="X74" s="15">
        <v>29.527758330000001</v>
      </c>
      <c r="Y74">
        <v>10</v>
      </c>
      <c r="AC74">
        <v>10</v>
      </c>
      <c r="AF74" t="b">
        <v>0</v>
      </c>
      <c r="AI74" t="s">
        <v>70</v>
      </c>
      <c r="AJ74" t="s">
        <v>70</v>
      </c>
      <c r="AK74" t="s">
        <v>71</v>
      </c>
      <c r="AL74" t="s">
        <v>72</v>
      </c>
      <c r="AM74">
        <v>346053</v>
      </c>
      <c r="AO74" s="16" t="s">
        <v>73</v>
      </c>
      <c r="AP74" s="17" t="str">
        <f t="shared" si="4"/>
        <v>Off-nest female</v>
      </c>
      <c r="AX74" s="22" t="str">
        <f>IF(AND('[1]observations-276632'!W74&gt;'[1]Methods write-up'!$Q$16,'[1]observations-276632'!W74&lt;'[1]Methods write-up'!$R$16,'[1]observations-276632'!X74&gt;'[1]Methods write-up'!$S$16,'[1]observations-276632'!X74&lt;'[1]Methods write-up'!$T$16),"West and Central Africa","")</f>
        <v>West and Central Africa</v>
      </c>
      <c r="AY74" s="22" t="str">
        <f>IF(AND('[1]observations-276632'!W74&gt;'[1]Methods write-up'!$Q$17,'[1]observations-276632'!W74&lt;'[1]Methods write-up'!$R$17,'[1]observations-276632'!X74&gt;'[1]Methods write-up'!$S$17,'[1]observations-276632'!X74&lt;'[1]Methods write-up'!$T$17),"Equatorial tropical forest","")</f>
        <v/>
      </c>
      <c r="AZ74" s="22" t="str">
        <f>IF(AND('[1]observations-276632'!W74&gt;'[1]Methods write-up'!$Q$18,'[1]observations-276632'!W74&lt;'[1]Methods write-up'!$R$18,'[1]observations-276632'!X74&gt;'[1]Methods write-up'!$S$18,'[1]observations-276632'!X74&lt;'[1]Methods write-up'!$T$18),"Somali peninsula","")</f>
        <v/>
      </c>
      <c r="BA74" s="22" t="str">
        <f>IF(AND('[1]observations-276632'!W74&gt;'[1]Methods write-up'!$Q$19,'[1]observations-276632'!W74&lt;'[1]Methods write-up'!$R$19,'[1]observations-276632'!X74&gt;'[1]Methods write-up'!$S$19,'[1]observations-276632'!X74&lt;'[1]Methods write-up'!$T$19),"East Africa","")</f>
        <v/>
      </c>
      <c r="BB74" s="22" t="str">
        <f>IF(AND('[1]observations-276632'!W74&gt;'[1]Methods write-up'!$Q$20,'[1]observations-276632'!W74&lt;'[1]Methods write-up'!$R$20,'[1]observations-276632'!X74&gt;'[1]Methods write-up'!$S$20,'[1]observations-276632'!X74&lt;'[1]Methods write-up'!$T$20),"Temperate seasonal","")</f>
        <v/>
      </c>
      <c r="BC74" s="22" t="str">
        <f>IF(AND('[1]observations-276632'!W74&gt;'[1]Methods write-up'!$Q$21,'[1]observations-276632'!W74&lt;'[1]Methods write-up'!$R$21,'[1]observations-276632'!X74&gt;'[1]Methods write-up'!$S$21,'[1]observations-276632'!X74&lt;'[1]Methods write-up'!$T$21),"Desert and high aridity","")</f>
        <v/>
      </c>
      <c r="BD74" s="23" t="str">
        <f t="shared" si="7"/>
        <v>West and Central Africa</v>
      </c>
      <c r="BE74" s="24">
        <f t="shared" si="5"/>
        <v>23</v>
      </c>
      <c r="BF74" s="24">
        <f t="shared" si="6"/>
        <v>3</v>
      </c>
    </row>
    <row r="75" spans="1:58" ht="16.25" customHeight="1" x14ac:dyDescent="0.2">
      <c r="A75">
        <v>10470570</v>
      </c>
      <c r="B75" t="s">
        <v>675</v>
      </c>
      <c r="C75" s="14">
        <v>43187</v>
      </c>
      <c r="D75" t="s">
        <v>676</v>
      </c>
      <c r="E75" t="s">
        <v>193</v>
      </c>
      <c r="F75">
        <v>268272</v>
      </c>
      <c r="G75" t="s">
        <v>677</v>
      </c>
      <c r="H75" t="s">
        <v>678</v>
      </c>
      <c r="I75" t="s">
        <v>679</v>
      </c>
      <c r="J75" t="s">
        <v>680</v>
      </c>
      <c r="K75" t="s">
        <v>62</v>
      </c>
      <c r="L75" t="s">
        <v>63</v>
      </c>
      <c r="M75" t="s">
        <v>681</v>
      </c>
      <c r="N75" t="s">
        <v>682</v>
      </c>
      <c r="Q75" t="s">
        <v>683</v>
      </c>
      <c r="R75">
        <v>2</v>
      </c>
      <c r="S75">
        <v>0</v>
      </c>
      <c r="T75" t="b">
        <v>0</v>
      </c>
      <c r="U75">
        <v>2</v>
      </c>
      <c r="V75" t="s">
        <v>684</v>
      </c>
      <c r="W75" s="15">
        <v>9.8855781559999993</v>
      </c>
      <c r="X75" s="15">
        <v>8.9612426759999995</v>
      </c>
      <c r="AF75" t="b">
        <v>0</v>
      </c>
      <c r="AG75" t="s">
        <v>350</v>
      </c>
      <c r="AH75" t="s">
        <v>350</v>
      </c>
      <c r="AI75" t="s">
        <v>71</v>
      </c>
      <c r="AJ75" t="s">
        <v>70</v>
      </c>
      <c r="AK75" t="s">
        <v>71</v>
      </c>
      <c r="AL75" t="s">
        <v>72</v>
      </c>
      <c r="AM75">
        <v>346053</v>
      </c>
      <c r="AO75" s="16" t="s">
        <v>253</v>
      </c>
      <c r="AP75" s="17" t="str">
        <f t="shared" si="4"/>
        <v>Aggregation of females off-nest</v>
      </c>
      <c r="AQ75" s="18">
        <v>20</v>
      </c>
      <c r="AX75" s="22" t="str">
        <f>IF(AND('[1]observations-276632'!W75&gt;'[1]Methods write-up'!$Q$16,'[1]observations-276632'!W75&lt;'[1]Methods write-up'!$R$16,'[1]observations-276632'!X75&gt;'[1]Methods write-up'!$S$16,'[1]observations-276632'!X75&lt;'[1]Methods write-up'!$T$16),"West and Central Africa","")</f>
        <v>West and Central Africa</v>
      </c>
      <c r="AY75" s="22" t="str">
        <f>IF(AND('[1]observations-276632'!W75&gt;'[1]Methods write-up'!$Q$17,'[1]observations-276632'!W75&lt;'[1]Methods write-up'!$R$17,'[1]observations-276632'!X75&gt;'[1]Methods write-up'!$S$17,'[1]observations-276632'!X75&lt;'[1]Methods write-up'!$T$17),"Equatorial tropical forest","")</f>
        <v/>
      </c>
      <c r="AZ75" s="22" t="str">
        <f>IF(AND('[1]observations-276632'!W75&gt;'[1]Methods write-up'!$Q$18,'[1]observations-276632'!W75&lt;'[1]Methods write-up'!$R$18,'[1]observations-276632'!X75&gt;'[1]Methods write-up'!$S$18,'[1]observations-276632'!X75&lt;'[1]Methods write-up'!$T$18),"Somali peninsula","")</f>
        <v/>
      </c>
      <c r="BA75" s="22" t="str">
        <f>IF(AND('[1]observations-276632'!W75&gt;'[1]Methods write-up'!$Q$19,'[1]observations-276632'!W75&lt;'[1]Methods write-up'!$R$19,'[1]observations-276632'!X75&gt;'[1]Methods write-up'!$S$19,'[1]observations-276632'!X75&lt;'[1]Methods write-up'!$T$19),"East Africa","")</f>
        <v/>
      </c>
      <c r="BB75" s="22" t="str">
        <f>IF(AND('[1]observations-276632'!W75&gt;'[1]Methods write-up'!$Q$20,'[1]observations-276632'!W75&lt;'[1]Methods write-up'!$R$20,'[1]observations-276632'!X75&gt;'[1]Methods write-up'!$S$20,'[1]observations-276632'!X75&lt;'[1]Methods write-up'!$T$20),"Temperate seasonal","")</f>
        <v/>
      </c>
      <c r="BC75" s="22" t="str">
        <f>IF(AND('[1]observations-276632'!W75&gt;'[1]Methods write-up'!$Q$21,'[1]observations-276632'!W75&lt;'[1]Methods write-up'!$R$21,'[1]observations-276632'!X75&gt;'[1]Methods write-up'!$S$21,'[1]observations-276632'!X75&lt;'[1]Methods write-up'!$T$21),"Desert and high aridity","")</f>
        <v/>
      </c>
      <c r="BD75" s="23" t="str">
        <f t="shared" si="7"/>
        <v>West and Central Africa</v>
      </c>
      <c r="BE75" s="24">
        <f t="shared" si="5"/>
        <v>28</v>
      </c>
      <c r="BF75" s="24">
        <f t="shared" si="6"/>
        <v>3</v>
      </c>
    </row>
    <row r="76" spans="1:58" ht="16.25" customHeight="1" x14ac:dyDescent="0.2">
      <c r="A76">
        <v>10795833</v>
      </c>
      <c r="B76" s="13">
        <v>38139</v>
      </c>
      <c r="C76" s="14">
        <v>38139</v>
      </c>
      <c r="E76" t="s">
        <v>113</v>
      </c>
      <c r="F76">
        <v>11253</v>
      </c>
      <c r="G76" t="s">
        <v>685</v>
      </c>
      <c r="H76" t="s">
        <v>686</v>
      </c>
      <c r="I76" t="s">
        <v>687</v>
      </c>
      <c r="J76" t="s">
        <v>688</v>
      </c>
      <c r="K76" t="s">
        <v>62</v>
      </c>
      <c r="L76" t="s">
        <v>118</v>
      </c>
      <c r="M76" t="s">
        <v>689</v>
      </c>
      <c r="N76" t="s">
        <v>690</v>
      </c>
      <c r="Q76" t="s">
        <v>691</v>
      </c>
      <c r="R76">
        <v>5</v>
      </c>
      <c r="S76">
        <v>0</v>
      </c>
      <c r="T76" t="b">
        <v>0</v>
      </c>
      <c r="V76" t="s">
        <v>692</v>
      </c>
      <c r="W76" s="15">
        <v>-26.0869</v>
      </c>
      <c r="X76" s="15">
        <v>27.8399</v>
      </c>
      <c r="Y76">
        <v>1</v>
      </c>
      <c r="AC76">
        <v>1</v>
      </c>
      <c r="AF76" t="b">
        <v>0</v>
      </c>
      <c r="AI76" t="s">
        <v>70</v>
      </c>
      <c r="AJ76" t="s">
        <v>70</v>
      </c>
      <c r="AK76" t="s">
        <v>71</v>
      </c>
      <c r="AL76" t="s">
        <v>72</v>
      </c>
      <c r="AM76">
        <v>346053</v>
      </c>
      <c r="AO76" s="16" t="s">
        <v>150</v>
      </c>
      <c r="AP76" s="17" t="str">
        <f t="shared" si="4"/>
        <v>Male (off nest)</v>
      </c>
      <c r="AX76" s="22" t="str">
        <f>IF(AND('[1]observations-276632'!W76&gt;'[1]Methods write-up'!$Q$16,'[1]observations-276632'!W76&lt;'[1]Methods write-up'!$R$16,'[1]observations-276632'!X76&gt;'[1]Methods write-up'!$S$16,'[1]observations-276632'!X76&lt;'[1]Methods write-up'!$T$16),"West and Central Africa","")</f>
        <v/>
      </c>
      <c r="AY76" s="22" t="str">
        <f>IF(AND('[1]observations-276632'!W76&gt;'[1]Methods write-up'!$Q$17,'[1]observations-276632'!W76&lt;'[1]Methods write-up'!$R$17,'[1]observations-276632'!X76&gt;'[1]Methods write-up'!$S$17,'[1]observations-276632'!X76&lt;'[1]Methods write-up'!$T$17),"Equatorial tropical forest","")</f>
        <v/>
      </c>
      <c r="AZ76" s="22" t="str">
        <f>IF(AND('[1]observations-276632'!W76&gt;'[1]Methods write-up'!$Q$18,'[1]observations-276632'!W76&lt;'[1]Methods write-up'!$R$18,'[1]observations-276632'!X76&gt;'[1]Methods write-up'!$S$18,'[1]observations-276632'!X76&lt;'[1]Methods write-up'!$T$18),"Somali peninsula","")</f>
        <v/>
      </c>
      <c r="BA76" s="22" t="str">
        <f>IF(AND('[1]observations-276632'!W76&gt;'[1]Methods write-up'!$Q$19,'[1]observations-276632'!W76&lt;'[1]Methods write-up'!$R$19,'[1]observations-276632'!X76&gt;'[1]Methods write-up'!$S$19,'[1]observations-276632'!X76&lt;'[1]Methods write-up'!$T$19),"East Africa","")</f>
        <v/>
      </c>
      <c r="BB76" s="22" t="str">
        <f>IF(AND('[1]observations-276632'!W76&gt;'[1]Methods write-up'!$Q$20,'[1]observations-276632'!W76&lt;'[1]Methods write-up'!$R$20,'[1]observations-276632'!X76&gt;'[1]Methods write-up'!$S$20,'[1]observations-276632'!X76&lt;'[1]Methods write-up'!$T$20),"Temperate seasonal","")</f>
        <v>Temperate seasonal</v>
      </c>
      <c r="BC76" s="22" t="str">
        <f>IF(AND('[1]observations-276632'!W76&gt;'[1]Methods write-up'!$Q$21,'[1]observations-276632'!W76&lt;'[1]Methods write-up'!$R$21,'[1]observations-276632'!X76&gt;'[1]Methods write-up'!$S$21,'[1]observations-276632'!X76&lt;'[1]Methods write-up'!$T$21),"Desert and high aridity","")</f>
        <v/>
      </c>
      <c r="BD76" s="23" t="str">
        <f t="shared" si="7"/>
        <v>Temperate seasonal</v>
      </c>
      <c r="BE76" s="24">
        <f t="shared" si="5"/>
        <v>1</v>
      </c>
      <c r="BF76" s="24">
        <f t="shared" si="6"/>
        <v>6</v>
      </c>
    </row>
    <row r="77" spans="1:58" ht="16.25" customHeight="1" x14ac:dyDescent="0.2">
      <c r="A77">
        <v>10809961</v>
      </c>
      <c r="B77" s="13">
        <v>41189</v>
      </c>
      <c r="C77" s="14">
        <v>41189</v>
      </c>
      <c r="E77" t="s">
        <v>113</v>
      </c>
      <c r="F77">
        <v>7682</v>
      </c>
      <c r="G77" t="s">
        <v>693</v>
      </c>
      <c r="H77" t="s">
        <v>694</v>
      </c>
      <c r="I77" t="s">
        <v>695</v>
      </c>
      <c r="J77" t="s">
        <v>696</v>
      </c>
      <c r="K77" t="s">
        <v>62</v>
      </c>
      <c r="L77" t="s">
        <v>98</v>
      </c>
      <c r="M77" t="s">
        <v>697</v>
      </c>
      <c r="N77" t="s">
        <v>698</v>
      </c>
      <c r="P77" t="s">
        <v>699</v>
      </c>
      <c r="Q77" t="s">
        <v>700</v>
      </c>
      <c r="R77">
        <v>6</v>
      </c>
      <c r="S77">
        <v>0</v>
      </c>
      <c r="T77" t="b">
        <v>0</v>
      </c>
      <c r="V77" t="s">
        <v>701</v>
      </c>
      <c r="W77" s="15">
        <v>-33.656779999999998</v>
      </c>
      <c r="X77" s="15">
        <v>24.401140000000002</v>
      </c>
      <c r="Y77">
        <v>1</v>
      </c>
      <c r="AC77">
        <v>1</v>
      </c>
      <c r="AF77" t="b">
        <v>0</v>
      </c>
      <c r="AI77" t="s">
        <v>70</v>
      </c>
      <c r="AJ77" t="s">
        <v>70</v>
      </c>
      <c r="AK77" t="s">
        <v>71</v>
      </c>
      <c r="AL77" t="s">
        <v>72</v>
      </c>
      <c r="AM77">
        <v>346053</v>
      </c>
      <c r="AO77" s="16" t="s">
        <v>110</v>
      </c>
      <c r="AP77" s="17" t="str">
        <f t="shared" si="4"/>
        <v>Nest (foundress)</v>
      </c>
      <c r="AQ77" s="18">
        <v>1</v>
      </c>
      <c r="AT77" s="19" t="s">
        <v>104</v>
      </c>
      <c r="AX77" s="22" t="str">
        <f>IF(AND('[1]observations-276632'!W77&gt;'[1]Methods write-up'!$Q$16,'[1]observations-276632'!W77&lt;'[1]Methods write-up'!$R$16,'[1]observations-276632'!X77&gt;'[1]Methods write-up'!$S$16,'[1]observations-276632'!X77&lt;'[1]Methods write-up'!$T$16),"West and Central Africa","")</f>
        <v/>
      </c>
      <c r="AY77" s="22" t="str">
        <f>IF(AND('[1]observations-276632'!W77&gt;'[1]Methods write-up'!$Q$17,'[1]observations-276632'!W77&lt;'[1]Methods write-up'!$R$17,'[1]observations-276632'!X77&gt;'[1]Methods write-up'!$S$17,'[1]observations-276632'!X77&lt;'[1]Methods write-up'!$T$17),"Equatorial tropical forest","")</f>
        <v/>
      </c>
      <c r="AZ77" s="22" t="str">
        <f>IF(AND('[1]observations-276632'!W77&gt;'[1]Methods write-up'!$Q$18,'[1]observations-276632'!W77&lt;'[1]Methods write-up'!$R$18,'[1]observations-276632'!X77&gt;'[1]Methods write-up'!$S$18,'[1]observations-276632'!X77&lt;'[1]Methods write-up'!$T$18),"Somali peninsula","")</f>
        <v/>
      </c>
      <c r="BA77" s="22" t="str">
        <f>IF(AND('[1]observations-276632'!W77&gt;'[1]Methods write-up'!$Q$19,'[1]observations-276632'!W77&lt;'[1]Methods write-up'!$R$19,'[1]observations-276632'!X77&gt;'[1]Methods write-up'!$S$19,'[1]observations-276632'!X77&lt;'[1]Methods write-up'!$T$19),"East Africa","")</f>
        <v/>
      </c>
      <c r="BB77" s="22" t="str">
        <f>IF(AND('[1]observations-276632'!W77&gt;'[1]Methods write-up'!$Q$20,'[1]observations-276632'!W77&lt;'[1]Methods write-up'!$R$20,'[1]observations-276632'!X77&gt;'[1]Methods write-up'!$S$20,'[1]observations-276632'!X77&lt;'[1]Methods write-up'!$T$20),"Temperate seasonal","")</f>
        <v/>
      </c>
      <c r="BC77" s="22" t="str">
        <f>IF(AND('[1]observations-276632'!W77&gt;'[1]Methods write-up'!$Q$21,'[1]observations-276632'!W77&lt;'[1]Methods write-up'!$R$21,'[1]observations-276632'!X77&gt;'[1]Methods write-up'!$S$21,'[1]observations-276632'!X77&lt;'[1]Methods write-up'!$T$21),"Desert and high aridity","")</f>
        <v/>
      </c>
      <c r="BD77" s="23" t="str">
        <f t="shared" si="7"/>
        <v/>
      </c>
      <c r="BE77" s="24">
        <f t="shared" si="5"/>
        <v>7</v>
      </c>
      <c r="BF77" s="24">
        <f t="shared" si="6"/>
        <v>10</v>
      </c>
    </row>
    <row r="78" spans="1:58" ht="16.25" customHeight="1" x14ac:dyDescent="0.2">
      <c r="A78">
        <v>10813662</v>
      </c>
      <c r="B78" s="13">
        <v>40897</v>
      </c>
      <c r="C78" s="14">
        <v>40897</v>
      </c>
      <c r="E78" t="s">
        <v>113</v>
      </c>
      <c r="F78">
        <v>383144</v>
      </c>
      <c r="G78" t="s">
        <v>702</v>
      </c>
      <c r="H78" t="s">
        <v>703</v>
      </c>
      <c r="I78" t="s">
        <v>704</v>
      </c>
      <c r="J78" t="s">
        <v>705</v>
      </c>
      <c r="K78" t="s">
        <v>62</v>
      </c>
      <c r="L78" t="s">
        <v>118</v>
      </c>
      <c r="M78" t="s">
        <v>706</v>
      </c>
      <c r="N78" t="s">
        <v>707</v>
      </c>
      <c r="P78" t="s">
        <v>708</v>
      </c>
      <c r="Q78" t="s">
        <v>709</v>
      </c>
      <c r="R78">
        <v>6</v>
      </c>
      <c r="S78">
        <v>0</v>
      </c>
      <c r="T78" t="b">
        <v>0</v>
      </c>
      <c r="V78" t="s">
        <v>710</v>
      </c>
      <c r="W78" s="15">
        <v>-33.980800000000002</v>
      </c>
      <c r="X78" s="15">
        <v>23.549299999999999</v>
      </c>
      <c r="Y78">
        <v>1</v>
      </c>
      <c r="AC78">
        <v>1</v>
      </c>
      <c r="AF78" t="b">
        <v>0</v>
      </c>
      <c r="AI78" t="s">
        <v>70</v>
      </c>
      <c r="AJ78" t="s">
        <v>70</v>
      </c>
      <c r="AK78" t="s">
        <v>71</v>
      </c>
      <c r="AL78" t="s">
        <v>72</v>
      </c>
      <c r="AM78">
        <v>346053</v>
      </c>
      <c r="AO78" s="16" t="s">
        <v>172</v>
      </c>
      <c r="AP78" s="17" t="str">
        <f t="shared" si="4"/>
        <v>Nest (foundress)</v>
      </c>
      <c r="AQ78" s="18">
        <v>1</v>
      </c>
      <c r="AT78" s="19" t="s">
        <v>104</v>
      </c>
      <c r="AX78" s="22" t="str">
        <f>IF(AND('[1]observations-276632'!W78&gt;'[1]Methods write-up'!$Q$16,'[1]observations-276632'!W78&lt;'[1]Methods write-up'!$R$16,'[1]observations-276632'!X78&gt;'[1]Methods write-up'!$S$16,'[1]observations-276632'!X78&lt;'[1]Methods write-up'!$T$16),"West and Central Africa","")</f>
        <v/>
      </c>
      <c r="AY78" s="22" t="str">
        <f>IF(AND('[1]observations-276632'!W78&gt;'[1]Methods write-up'!$Q$17,'[1]observations-276632'!W78&lt;'[1]Methods write-up'!$R$17,'[1]observations-276632'!X78&gt;'[1]Methods write-up'!$S$17,'[1]observations-276632'!X78&lt;'[1]Methods write-up'!$T$17),"Equatorial tropical forest","")</f>
        <v/>
      </c>
      <c r="AZ78" s="22" t="str">
        <f>IF(AND('[1]observations-276632'!W78&gt;'[1]Methods write-up'!$Q$18,'[1]observations-276632'!W78&lt;'[1]Methods write-up'!$R$18,'[1]observations-276632'!X78&gt;'[1]Methods write-up'!$S$18,'[1]observations-276632'!X78&lt;'[1]Methods write-up'!$T$18),"Somali peninsula","")</f>
        <v/>
      </c>
      <c r="BA78" s="22" t="str">
        <f>IF(AND('[1]observations-276632'!W78&gt;'[1]Methods write-up'!$Q$19,'[1]observations-276632'!W78&lt;'[1]Methods write-up'!$R$19,'[1]observations-276632'!X78&gt;'[1]Methods write-up'!$S$19,'[1]observations-276632'!X78&lt;'[1]Methods write-up'!$T$19),"East Africa","")</f>
        <v/>
      </c>
      <c r="BB78" s="22" t="str">
        <f>IF(AND('[1]observations-276632'!W78&gt;'[1]Methods write-up'!$Q$20,'[1]observations-276632'!W78&lt;'[1]Methods write-up'!$R$20,'[1]observations-276632'!X78&gt;'[1]Methods write-up'!$S$20,'[1]observations-276632'!X78&lt;'[1]Methods write-up'!$T$20),"Temperate seasonal","")</f>
        <v/>
      </c>
      <c r="BC78" s="22" t="str">
        <f>IF(AND('[1]observations-276632'!W78&gt;'[1]Methods write-up'!$Q$21,'[1]observations-276632'!W78&lt;'[1]Methods write-up'!$R$21,'[1]observations-276632'!X78&gt;'[1]Methods write-up'!$S$21,'[1]observations-276632'!X78&lt;'[1]Methods write-up'!$T$21),"Desert and high aridity","")</f>
        <v/>
      </c>
      <c r="BD78" s="23" t="str">
        <f t="shared" si="7"/>
        <v/>
      </c>
      <c r="BE78" s="24">
        <f t="shared" si="5"/>
        <v>20</v>
      </c>
      <c r="BF78" s="24">
        <f t="shared" si="6"/>
        <v>12</v>
      </c>
    </row>
    <row r="79" spans="1:58" ht="16.25" customHeight="1" x14ac:dyDescent="0.2">
      <c r="A79">
        <v>10817302</v>
      </c>
      <c r="B79" s="13">
        <v>41277</v>
      </c>
      <c r="C79" s="14">
        <v>41277</v>
      </c>
      <c r="E79" t="s">
        <v>113</v>
      </c>
      <c r="F79">
        <v>67590</v>
      </c>
      <c r="G79" t="s">
        <v>711</v>
      </c>
      <c r="H79" t="s">
        <v>712</v>
      </c>
      <c r="I79" t="s">
        <v>713</v>
      </c>
      <c r="J79" t="s">
        <v>714</v>
      </c>
      <c r="K79" t="s">
        <v>62</v>
      </c>
      <c r="L79" t="s">
        <v>63</v>
      </c>
      <c r="M79" t="s">
        <v>715</v>
      </c>
      <c r="N79" t="s">
        <v>716</v>
      </c>
      <c r="P79" t="s">
        <v>717</v>
      </c>
      <c r="Q79" t="s">
        <v>718</v>
      </c>
      <c r="R79">
        <v>4</v>
      </c>
      <c r="S79">
        <v>0</v>
      </c>
      <c r="T79" t="b">
        <v>0</v>
      </c>
      <c r="V79" t="s">
        <v>719</v>
      </c>
      <c r="W79" s="15">
        <v>-24.405000000000001</v>
      </c>
      <c r="X79" s="15">
        <v>30.814</v>
      </c>
      <c r="Y79">
        <v>110</v>
      </c>
      <c r="AC79">
        <v>110</v>
      </c>
      <c r="AF79" t="b">
        <v>0</v>
      </c>
      <c r="AI79" t="s">
        <v>70</v>
      </c>
      <c r="AJ79" t="s">
        <v>70</v>
      </c>
      <c r="AK79" t="s">
        <v>71</v>
      </c>
      <c r="AL79" t="s">
        <v>72</v>
      </c>
      <c r="AM79">
        <v>346053</v>
      </c>
      <c r="AO79" s="16" t="s">
        <v>140</v>
      </c>
      <c r="AP79" s="17" t="str">
        <f t="shared" si="4"/>
        <v>Post-emergence nest</v>
      </c>
      <c r="AQ79" s="18">
        <v>8</v>
      </c>
      <c r="AT79" s="19" t="s">
        <v>141</v>
      </c>
      <c r="AU79" s="20" t="s">
        <v>104</v>
      </c>
      <c r="AV79" s="21" t="s">
        <v>720</v>
      </c>
      <c r="AX79" s="22" t="str">
        <f>IF(AND('[1]observations-276632'!W79&gt;'[1]Methods write-up'!$Q$16,'[1]observations-276632'!W79&lt;'[1]Methods write-up'!$R$16,'[1]observations-276632'!X79&gt;'[1]Methods write-up'!$S$16,'[1]observations-276632'!X79&lt;'[1]Methods write-up'!$T$16),"West and Central Africa","")</f>
        <v/>
      </c>
      <c r="AY79" s="22" t="str">
        <f>IF(AND('[1]observations-276632'!W79&gt;'[1]Methods write-up'!$Q$17,'[1]observations-276632'!W79&lt;'[1]Methods write-up'!$R$17,'[1]observations-276632'!X79&gt;'[1]Methods write-up'!$S$17,'[1]observations-276632'!X79&lt;'[1]Methods write-up'!$T$17),"Equatorial tropical forest","")</f>
        <v/>
      </c>
      <c r="AZ79" s="22" t="str">
        <f>IF(AND('[1]observations-276632'!W79&gt;'[1]Methods write-up'!$Q$18,'[1]observations-276632'!W79&lt;'[1]Methods write-up'!$R$18,'[1]observations-276632'!X79&gt;'[1]Methods write-up'!$S$18,'[1]observations-276632'!X79&lt;'[1]Methods write-up'!$T$18),"Somali peninsula","")</f>
        <v/>
      </c>
      <c r="BA79" s="22" t="str">
        <f>IF(AND('[1]observations-276632'!W79&gt;'[1]Methods write-up'!$Q$19,'[1]observations-276632'!W79&lt;'[1]Methods write-up'!$R$19,'[1]observations-276632'!X79&gt;'[1]Methods write-up'!$S$19,'[1]observations-276632'!X79&lt;'[1]Methods write-up'!$T$19),"East Africa","")</f>
        <v/>
      </c>
      <c r="BB79" s="22" t="str">
        <f>IF(AND('[1]observations-276632'!W79&gt;'[1]Methods write-up'!$Q$20,'[1]observations-276632'!W79&lt;'[1]Methods write-up'!$R$20,'[1]observations-276632'!X79&gt;'[1]Methods write-up'!$S$20,'[1]observations-276632'!X79&lt;'[1]Methods write-up'!$T$20),"Temperate seasonal","")</f>
        <v/>
      </c>
      <c r="BC79" s="22" t="str">
        <f>IF(AND('[1]observations-276632'!W79&gt;'[1]Methods write-up'!$Q$21,'[1]observations-276632'!W79&lt;'[1]Methods write-up'!$R$21,'[1]observations-276632'!X79&gt;'[1]Methods write-up'!$S$21,'[1]observations-276632'!X79&lt;'[1]Methods write-up'!$T$21),"Desert and high aridity","")</f>
        <v/>
      </c>
      <c r="BD79" s="23" t="str">
        <f t="shared" si="7"/>
        <v/>
      </c>
      <c r="BE79" s="24">
        <f t="shared" si="5"/>
        <v>3</v>
      </c>
      <c r="BF79" s="24">
        <f t="shared" si="6"/>
        <v>1</v>
      </c>
    </row>
    <row r="80" spans="1:58" ht="16.25" customHeight="1" x14ac:dyDescent="0.2">
      <c r="A80">
        <v>10824895</v>
      </c>
      <c r="B80" s="13">
        <v>40992</v>
      </c>
      <c r="C80" s="14">
        <v>40992</v>
      </c>
      <c r="E80" t="s">
        <v>113</v>
      </c>
      <c r="F80">
        <v>7682</v>
      </c>
      <c r="G80" t="s">
        <v>693</v>
      </c>
      <c r="H80" t="s">
        <v>694</v>
      </c>
      <c r="I80" t="s">
        <v>721</v>
      </c>
      <c r="J80" t="s">
        <v>722</v>
      </c>
      <c r="K80" t="s">
        <v>62</v>
      </c>
      <c r="L80" t="s">
        <v>98</v>
      </c>
      <c r="M80" t="s">
        <v>723</v>
      </c>
      <c r="N80" t="s">
        <v>724</v>
      </c>
      <c r="Q80" t="s">
        <v>725</v>
      </c>
      <c r="R80">
        <v>3</v>
      </c>
      <c r="S80">
        <v>0</v>
      </c>
      <c r="T80" t="b">
        <v>0</v>
      </c>
      <c r="V80" t="s">
        <v>726</v>
      </c>
      <c r="W80" s="15">
        <v>-25.810416700000001</v>
      </c>
      <c r="X80" s="15">
        <v>27.910222000000001</v>
      </c>
      <c r="Y80">
        <v>1</v>
      </c>
      <c r="AC80">
        <v>1</v>
      </c>
      <c r="AF80" t="b">
        <v>0</v>
      </c>
      <c r="AI80" t="s">
        <v>71</v>
      </c>
      <c r="AJ80" t="s">
        <v>70</v>
      </c>
      <c r="AK80" t="s">
        <v>71</v>
      </c>
      <c r="AL80" t="s">
        <v>72</v>
      </c>
      <c r="AM80">
        <v>346053</v>
      </c>
      <c r="AO80" s="16" t="s">
        <v>73</v>
      </c>
      <c r="AP80" s="17" t="str">
        <f t="shared" si="4"/>
        <v>Off-nest female</v>
      </c>
      <c r="AX80" s="22" t="str">
        <f>IF(AND('[1]observations-276632'!W80&gt;'[1]Methods write-up'!$Q$16,'[1]observations-276632'!W80&lt;'[1]Methods write-up'!$R$16,'[1]observations-276632'!X80&gt;'[1]Methods write-up'!$S$16,'[1]observations-276632'!X80&lt;'[1]Methods write-up'!$T$16),"West and Central Africa","")</f>
        <v/>
      </c>
      <c r="AY80" s="22" t="str">
        <f>IF(AND('[1]observations-276632'!W80&gt;'[1]Methods write-up'!$Q$17,'[1]observations-276632'!W80&lt;'[1]Methods write-up'!$R$17,'[1]observations-276632'!X80&gt;'[1]Methods write-up'!$S$17,'[1]observations-276632'!X80&lt;'[1]Methods write-up'!$T$17),"Equatorial tropical forest","")</f>
        <v/>
      </c>
      <c r="AZ80" s="22" t="str">
        <f>IF(AND('[1]observations-276632'!W80&gt;'[1]Methods write-up'!$Q$18,'[1]observations-276632'!W80&lt;'[1]Methods write-up'!$R$18,'[1]observations-276632'!X80&gt;'[1]Methods write-up'!$S$18,'[1]observations-276632'!X80&lt;'[1]Methods write-up'!$T$18),"Somali peninsula","")</f>
        <v/>
      </c>
      <c r="BA80" s="22" t="str">
        <f>IF(AND('[1]observations-276632'!W80&gt;'[1]Methods write-up'!$Q$19,'[1]observations-276632'!W80&lt;'[1]Methods write-up'!$R$19,'[1]observations-276632'!X80&gt;'[1]Methods write-up'!$S$19,'[1]observations-276632'!X80&lt;'[1]Methods write-up'!$T$19),"East Africa","")</f>
        <v/>
      </c>
      <c r="BB80" s="22" t="str">
        <f>IF(AND('[1]observations-276632'!W80&gt;'[1]Methods write-up'!$Q$20,'[1]observations-276632'!W80&lt;'[1]Methods write-up'!$R$20,'[1]observations-276632'!X80&gt;'[1]Methods write-up'!$S$20,'[1]observations-276632'!X80&lt;'[1]Methods write-up'!$T$20),"Temperate seasonal","")</f>
        <v>Temperate seasonal</v>
      </c>
      <c r="BC80" s="22" t="str">
        <f>IF(AND('[1]observations-276632'!W80&gt;'[1]Methods write-up'!$Q$21,'[1]observations-276632'!W80&lt;'[1]Methods write-up'!$R$21,'[1]observations-276632'!X80&gt;'[1]Methods write-up'!$S$21,'[1]observations-276632'!X80&lt;'[1]Methods write-up'!$T$21),"Desert and high aridity","")</f>
        <v/>
      </c>
      <c r="BD80" s="23" t="str">
        <f t="shared" si="7"/>
        <v>Temperate seasonal</v>
      </c>
      <c r="BE80" s="24">
        <f t="shared" si="5"/>
        <v>24</v>
      </c>
      <c r="BF80" s="24">
        <f t="shared" si="6"/>
        <v>3</v>
      </c>
    </row>
    <row r="81" spans="1:58" ht="16.25" customHeight="1" x14ac:dyDescent="0.2">
      <c r="A81">
        <v>10825113</v>
      </c>
      <c r="B81" s="13">
        <v>40989</v>
      </c>
      <c r="C81" s="14">
        <v>40989</v>
      </c>
      <c r="E81" t="s">
        <v>113</v>
      </c>
      <c r="F81">
        <v>7682</v>
      </c>
      <c r="G81" t="s">
        <v>693</v>
      </c>
      <c r="H81" t="s">
        <v>694</v>
      </c>
      <c r="I81" t="s">
        <v>727</v>
      </c>
      <c r="J81" t="s">
        <v>728</v>
      </c>
      <c r="K81" t="s">
        <v>62</v>
      </c>
      <c r="L81" t="s">
        <v>98</v>
      </c>
      <c r="M81" t="s">
        <v>729</v>
      </c>
      <c r="N81" t="s">
        <v>730</v>
      </c>
      <c r="Q81" t="s">
        <v>731</v>
      </c>
      <c r="R81">
        <v>4</v>
      </c>
      <c r="S81">
        <v>0</v>
      </c>
      <c r="T81" t="b">
        <v>0</v>
      </c>
      <c r="V81" t="s">
        <v>732</v>
      </c>
      <c r="W81" s="15">
        <v>-26.181239999999999</v>
      </c>
      <c r="X81" s="15">
        <v>28.026540000000001</v>
      </c>
      <c r="Y81">
        <v>1</v>
      </c>
      <c r="AC81">
        <v>1</v>
      </c>
      <c r="AF81" t="b">
        <v>0</v>
      </c>
      <c r="AI81" t="s">
        <v>70</v>
      </c>
      <c r="AJ81" t="s">
        <v>70</v>
      </c>
      <c r="AK81" t="s">
        <v>71</v>
      </c>
      <c r="AL81" t="s">
        <v>72</v>
      </c>
      <c r="AM81">
        <v>346053</v>
      </c>
      <c r="AO81" s="16" t="s">
        <v>73</v>
      </c>
      <c r="AP81" s="17" t="str">
        <f t="shared" si="4"/>
        <v>Off-nest female</v>
      </c>
      <c r="AX81" s="22" t="str">
        <f>IF(AND('[1]observations-276632'!W81&gt;'[1]Methods write-up'!$Q$16,'[1]observations-276632'!W81&lt;'[1]Methods write-up'!$R$16,'[1]observations-276632'!X81&gt;'[1]Methods write-up'!$S$16,'[1]observations-276632'!X81&lt;'[1]Methods write-up'!$T$16),"West and Central Africa","")</f>
        <v/>
      </c>
      <c r="AY81" s="22" t="str">
        <f>IF(AND('[1]observations-276632'!W81&gt;'[1]Methods write-up'!$Q$17,'[1]observations-276632'!W81&lt;'[1]Methods write-up'!$R$17,'[1]observations-276632'!X81&gt;'[1]Methods write-up'!$S$17,'[1]observations-276632'!X81&lt;'[1]Methods write-up'!$T$17),"Equatorial tropical forest","")</f>
        <v/>
      </c>
      <c r="AZ81" s="22" t="str">
        <f>IF(AND('[1]observations-276632'!W81&gt;'[1]Methods write-up'!$Q$18,'[1]observations-276632'!W81&lt;'[1]Methods write-up'!$R$18,'[1]observations-276632'!X81&gt;'[1]Methods write-up'!$S$18,'[1]observations-276632'!X81&lt;'[1]Methods write-up'!$T$18),"Somali peninsula","")</f>
        <v/>
      </c>
      <c r="BA81" s="22" t="str">
        <f>IF(AND('[1]observations-276632'!W81&gt;'[1]Methods write-up'!$Q$19,'[1]observations-276632'!W81&lt;'[1]Methods write-up'!$R$19,'[1]observations-276632'!X81&gt;'[1]Methods write-up'!$S$19,'[1]observations-276632'!X81&lt;'[1]Methods write-up'!$T$19),"East Africa","")</f>
        <v/>
      </c>
      <c r="BB81" s="22" t="str">
        <f>IF(AND('[1]observations-276632'!W81&gt;'[1]Methods write-up'!$Q$20,'[1]observations-276632'!W81&lt;'[1]Methods write-up'!$R$20,'[1]observations-276632'!X81&gt;'[1]Methods write-up'!$S$20,'[1]observations-276632'!X81&lt;'[1]Methods write-up'!$T$20),"Temperate seasonal","")</f>
        <v>Temperate seasonal</v>
      </c>
      <c r="BC81" s="22" t="str">
        <f>IF(AND('[1]observations-276632'!W81&gt;'[1]Methods write-up'!$Q$21,'[1]observations-276632'!W81&lt;'[1]Methods write-up'!$R$21,'[1]observations-276632'!X81&gt;'[1]Methods write-up'!$S$21,'[1]observations-276632'!X81&lt;'[1]Methods write-up'!$T$21),"Desert and high aridity","")</f>
        <v/>
      </c>
      <c r="BD81" s="23" t="str">
        <f t="shared" si="7"/>
        <v>Temperate seasonal</v>
      </c>
      <c r="BE81" s="24">
        <f t="shared" si="5"/>
        <v>21</v>
      </c>
      <c r="BF81" s="24">
        <f t="shared" si="6"/>
        <v>3</v>
      </c>
    </row>
    <row r="82" spans="1:58" ht="16.25" customHeight="1" x14ac:dyDescent="0.2">
      <c r="A82">
        <v>10833223</v>
      </c>
      <c r="B82" s="13">
        <v>41041</v>
      </c>
      <c r="C82" s="14">
        <v>41041</v>
      </c>
      <c r="E82" t="s">
        <v>113</v>
      </c>
      <c r="F82">
        <v>776716</v>
      </c>
      <c r="G82" t="s">
        <v>733</v>
      </c>
      <c r="H82" t="s">
        <v>734</v>
      </c>
      <c r="I82" t="s">
        <v>735</v>
      </c>
      <c r="J82" t="s">
        <v>736</v>
      </c>
      <c r="K82" t="s">
        <v>62</v>
      </c>
      <c r="L82" t="s">
        <v>63</v>
      </c>
      <c r="M82" t="s">
        <v>737</v>
      </c>
      <c r="N82" t="s">
        <v>738</v>
      </c>
      <c r="Q82" t="s">
        <v>739</v>
      </c>
      <c r="R82">
        <v>6</v>
      </c>
      <c r="S82">
        <v>0</v>
      </c>
      <c r="T82" t="b">
        <v>0</v>
      </c>
      <c r="V82" t="s">
        <v>692</v>
      </c>
      <c r="W82" s="15">
        <v>-26.088797100000001</v>
      </c>
      <c r="X82" s="15">
        <v>27.842853099999999</v>
      </c>
      <c r="Y82">
        <v>1</v>
      </c>
      <c r="AC82">
        <v>1</v>
      </c>
      <c r="AF82" t="b">
        <v>0</v>
      </c>
      <c r="AI82" t="s">
        <v>70</v>
      </c>
      <c r="AJ82" t="s">
        <v>70</v>
      </c>
      <c r="AK82" t="s">
        <v>71</v>
      </c>
      <c r="AL82" t="s">
        <v>72</v>
      </c>
      <c r="AM82">
        <v>346053</v>
      </c>
      <c r="AO82" s="16" t="s">
        <v>73</v>
      </c>
      <c r="AP82" s="17" t="str">
        <f t="shared" si="4"/>
        <v>Off-nest female</v>
      </c>
      <c r="AX82" s="22" t="str">
        <f>IF(AND('[1]observations-276632'!W82&gt;'[1]Methods write-up'!$Q$16,'[1]observations-276632'!W82&lt;'[1]Methods write-up'!$R$16,'[1]observations-276632'!X82&gt;'[1]Methods write-up'!$S$16,'[1]observations-276632'!X82&lt;'[1]Methods write-up'!$T$16),"West and Central Africa","")</f>
        <v/>
      </c>
      <c r="AY82" s="22" t="str">
        <f>IF(AND('[1]observations-276632'!W82&gt;'[1]Methods write-up'!$Q$17,'[1]observations-276632'!W82&lt;'[1]Methods write-up'!$R$17,'[1]observations-276632'!X82&gt;'[1]Methods write-up'!$S$17,'[1]observations-276632'!X82&lt;'[1]Methods write-up'!$T$17),"Equatorial tropical forest","")</f>
        <v/>
      </c>
      <c r="AZ82" s="22" t="str">
        <f>IF(AND('[1]observations-276632'!W82&gt;'[1]Methods write-up'!$Q$18,'[1]observations-276632'!W82&lt;'[1]Methods write-up'!$R$18,'[1]observations-276632'!X82&gt;'[1]Methods write-up'!$S$18,'[1]observations-276632'!X82&lt;'[1]Methods write-up'!$T$18),"Somali peninsula","")</f>
        <v/>
      </c>
      <c r="BA82" s="22" t="str">
        <f>IF(AND('[1]observations-276632'!W82&gt;'[1]Methods write-up'!$Q$19,'[1]observations-276632'!W82&lt;'[1]Methods write-up'!$R$19,'[1]observations-276632'!X82&gt;'[1]Methods write-up'!$S$19,'[1]observations-276632'!X82&lt;'[1]Methods write-up'!$T$19),"East Africa","")</f>
        <v/>
      </c>
      <c r="BB82" s="22" t="str">
        <f>IF(AND('[1]observations-276632'!W82&gt;'[1]Methods write-up'!$Q$20,'[1]observations-276632'!W82&lt;'[1]Methods write-up'!$R$20,'[1]observations-276632'!X82&gt;'[1]Methods write-up'!$S$20,'[1]observations-276632'!X82&lt;'[1]Methods write-up'!$T$20),"Temperate seasonal","")</f>
        <v>Temperate seasonal</v>
      </c>
      <c r="BC82" s="22" t="str">
        <f>IF(AND('[1]observations-276632'!W82&gt;'[1]Methods write-up'!$Q$21,'[1]observations-276632'!W82&lt;'[1]Methods write-up'!$R$21,'[1]observations-276632'!X82&gt;'[1]Methods write-up'!$S$21,'[1]observations-276632'!X82&lt;'[1]Methods write-up'!$T$21),"Desert and high aridity","")</f>
        <v/>
      </c>
      <c r="BD82" s="23" t="str">
        <f t="shared" si="7"/>
        <v>Temperate seasonal</v>
      </c>
      <c r="BE82" s="24">
        <f t="shared" si="5"/>
        <v>12</v>
      </c>
      <c r="BF82" s="24">
        <f t="shared" si="6"/>
        <v>5</v>
      </c>
    </row>
    <row r="83" spans="1:58" ht="16.25" customHeight="1" x14ac:dyDescent="0.2">
      <c r="A83">
        <v>10839785</v>
      </c>
      <c r="B83" s="13">
        <v>41310</v>
      </c>
      <c r="C83" s="14">
        <v>41310</v>
      </c>
      <c r="E83" t="s">
        <v>113</v>
      </c>
      <c r="F83">
        <v>739061</v>
      </c>
      <c r="G83" t="s">
        <v>740</v>
      </c>
      <c r="I83" t="s">
        <v>741</v>
      </c>
      <c r="J83" t="s">
        <v>742</v>
      </c>
      <c r="K83" t="s">
        <v>62</v>
      </c>
      <c r="L83" t="s">
        <v>63</v>
      </c>
      <c r="M83" t="s">
        <v>743</v>
      </c>
      <c r="N83" t="s">
        <v>744</v>
      </c>
      <c r="P83" t="s">
        <v>717</v>
      </c>
      <c r="Q83" t="s">
        <v>745</v>
      </c>
      <c r="R83">
        <v>5</v>
      </c>
      <c r="S83">
        <v>0</v>
      </c>
      <c r="T83" t="b">
        <v>0</v>
      </c>
      <c r="V83" t="s">
        <v>746</v>
      </c>
      <c r="W83" s="15">
        <v>-24.404961</v>
      </c>
      <c r="X83" s="15">
        <v>30.815405999999999</v>
      </c>
      <c r="Y83">
        <v>1</v>
      </c>
      <c r="AC83">
        <v>1</v>
      </c>
      <c r="AF83" t="b">
        <v>0</v>
      </c>
      <c r="AI83" t="s">
        <v>70</v>
      </c>
      <c r="AJ83" t="s">
        <v>70</v>
      </c>
      <c r="AK83" t="s">
        <v>71</v>
      </c>
      <c r="AL83" t="s">
        <v>72</v>
      </c>
      <c r="AM83">
        <v>346053</v>
      </c>
      <c r="AO83" s="16" t="s">
        <v>110</v>
      </c>
      <c r="AP83" s="17" t="str">
        <f t="shared" si="4"/>
        <v>Nest (foundress)</v>
      </c>
      <c r="AQ83" s="18">
        <v>3</v>
      </c>
      <c r="AT83" s="19" t="s">
        <v>104</v>
      </c>
      <c r="AX83" s="22" t="str">
        <f>IF(AND('[1]observations-276632'!W83&gt;'[1]Methods write-up'!$Q$16,'[1]observations-276632'!W83&lt;'[1]Methods write-up'!$R$16,'[1]observations-276632'!X83&gt;'[1]Methods write-up'!$S$16,'[1]observations-276632'!X83&lt;'[1]Methods write-up'!$T$16),"West and Central Africa","")</f>
        <v/>
      </c>
      <c r="AY83" s="22" t="str">
        <f>IF(AND('[1]observations-276632'!W83&gt;'[1]Methods write-up'!$Q$17,'[1]observations-276632'!W83&lt;'[1]Methods write-up'!$R$17,'[1]observations-276632'!X83&gt;'[1]Methods write-up'!$S$17,'[1]observations-276632'!X83&lt;'[1]Methods write-up'!$T$17),"Equatorial tropical forest","")</f>
        <v/>
      </c>
      <c r="AZ83" s="22" t="str">
        <f>IF(AND('[1]observations-276632'!W83&gt;'[1]Methods write-up'!$Q$18,'[1]observations-276632'!W83&lt;'[1]Methods write-up'!$R$18,'[1]observations-276632'!X83&gt;'[1]Methods write-up'!$S$18,'[1]observations-276632'!X83&lt;'[1]Methods write-up'!$T$18),"Somali peninsula","")</f>
        <v/>
      </c>
      <c r="BA83" s="22" t="str">
        <f>IF(AND('[1]observations-276632'!W83&gt;'[1]Methods write-up'!$Q$19,'[1]observations-276632'!W83&lt;'[1]Methods write-up'!$R$19,'[1]observations-276632'!X83&gt;'[1]Methods write-up'!$S$19,'[1]observations-276632'!X83&lt;'[1]Methods write-up'!$T$19),"East Africa","")</f>
        <v/>
      </c>
      <c r="BB83" s="22" t="str">
        <f>IF(AND('[1]observations-276632'!W83&gt;'[1]Methods write-up'!$Q$20,'[1]observations-276632'!W83&lt;'[1]Methods write-up'!$R$20,'[1]observations-276632'!X83&gt;'[1]Methods write-up'!$S$20,'[1]observations-276632'!X83&lt;'[1]Methods write-up'!$T$20),"Temperate seasonal","")</f>
        <v/>
      </c>
      <c r="BC83" s="22" t="str">
        <f>IF(AND('[1]observations-276632'!W83&gt;'[1]Methods write-up'!$Q$21,'[1]observations-276632'!W83&lt;'[1]Methods write-up'!$R$21,'[1]observations-276632'!X83&gt;'[1]Methods write-up'!$S$21,'[1]observations-276632'!X83&lt;'[1]Methods write-up'!$T$21),"Desert and high aridity","")</f>
        <v/>
      </c>
      <c r="BD83" s="23" t="str">
        <f t="shared" si="7"/>
        <v/>
      </c>
      <c r="BE83" s="24">
        <f t="shared" si="5"/>
        <v>5</v>
      </c>
      <c r="BF83" s="24">
        <f t="shared" si="6"/>
        <v>2</v>
      </c>
    </row>
    <row r="84" spans="1:58" ht="16.25" customHeight="1" x14ac:dyDescent="0.2">
      <c r="A84">
        <v>10839979</v>
      </c>
      <c r="B84" s="13">
        <v>40973</v>
      </c>
      <c r="C84" s="14">
        <v>40973</v>
      </c>
      <c r="E84" t="s">
        <v>113</v>
      </c>
      <c r="F84">
        <v>389988</v>
      </c>
      <c r="G84" t="s">
        <v>747</v>
      </c>
      <c r="H84" t="s">
        <v>748</v>
      </c>
      <c r="I84" t="s">
        <v>749</v>
      </c>
      <c r="J84" t="s">
        <v>750</v>
      </c>
      <c r="K84" t="s">
        <v>157</v>
      </c>
      <c r="L84" t="s">
        <v>63</v>
      </c>
      <c r="M84" t="s">
        <v>751</v>
      </c>
      <c r="N84" t="s">
        <v>752</v>
      </c>
      <c r="P84" t="s">
        <v>753</v>
      </c>
      <c r="Q84" t="s">
        <v>754</v>
      </c>
      <c r="R84">
        <v>4</v>
      </c>
      <c r="S84">
        <v>0</v>
      </c>
      <c r="T84" t="b">
        <v>0</v>
      </c>
      <c r="V84" t="s">
        <v>755</v>
      </c>
      <c r="W84" s="15">
        <v>-24.48</v>
      </c>
      <c r="X84" s="15">
        <v>16.335999999999999</v>
      </c>
      <c r="Y84">
        <v>110</v>
      </c>
      <c r="AC84">
        <v>110</v>
      </c>
      <c r="AF84" t="b">
        <v>0</v>
      </c>
      <c r="AI84" t="s">
        <v>756</v>
      </c>
      <c r="AJ84" t="s">
        <v>756</v>
      </c>
      <c r="AL84" t="s">
        <v>72</v>
      </c>
      <c r="AM84">
        <v>652800</v>
      </c>
      <c r="AO84" s="16" t="s">
        <v>73</v>
      </c>
      <c r="AP84" s="17" t="str">
        <f t="shared" si="4"/>
        <v>Off-nest female</v>
      </c>
      <c r="AX84" s="22" t="str">
        <f>IF(AND('[1]observations-276632'!W84&gt;'[1]Methods write-up'!$Q$16,'[1]observations-276632'!W84&lt;'[1]Methods write-up'!$R$16,'[1]observations-276632'!X84&gt;'[1]Methods write-up'!$S$16,'[1]observations-276632'!X84&lt;'[1]Methods write-up'!$T$16),"West and Central Africa","")</f>
        <v/>
      </c>
      <c r="AY84" s="22" t="str">
        <f>IF(AND('[1]observations-276632'!W84&gt;'[1]Methods write-up'!$Q$17,'[1]observations-276632'!W84&lt;'[1]Methods write-up'!$R$17,'[1]observations-276632'!X84&gt;'[1]Methods write-up'!$S$17,'[1]observations-276632'!X84&lt;'[1]Methods write-up'!$T$17),"Equatorial tropical forest","")</f>
        <v/>
      </c>
      <c r="AZ84" s="22" t="str">
        <f>IF(AND('[1]observations-276632'!W84&gt;'[1]Methods write-up'!$Q$18,'[1]observations-276632'!W84&lt;'[1]Methods write-up'!$R$18,'[1]observations-276632'!X84&gt;'[1]Methods write-up'!$S$18,'[1]observations-276632'!X84&lt;'[1]Methods write-up'!$T$18),"Somali peninsula","")</f>
        <v/>
      </c>
      <c r="BA84" s="22" t="str">
        <f>IF(AND('[1]observations-276632'!W84&gt;'[1]Methods write-up'!$Q$19,'[1]observations-276632'!W84&lt;'[1]Methods write-up'!$R$19,'[1]observations-276632'!X84&gt;'[1]Methods write-up'!$S$19,'[1]observations-276632'!X84&lt;'[1]Methods write-up'!$T$19),"East Africa","")</f>
        <v/>
      </c>
      <c r="BB84" s="22" t="str">
        <f>IF(AND('[1]observations-276632'!W84&gt;'[1]Methods write-up'!$Q$20,'[1]observations-276632'!W84&lt;'[1]Methods write-up'!$R$20,'[1]observations-276632'!X84&gt;'[1]Methods write-up'!$S$20,'[1]observations-276632'!X84&lt;'[1]Methods write-up'!$T$20),"Temperate seasonal","")</f>
        <v/>
      </c>
      <c r="BC84" s="22" t="str">
        <f>IF(AND('[1]observations-276632'!W84&gt;'[1]Methods write-up'!$Q$21,'[1]observations-276632'!W84&lt;'[1]Methods write-up'!$R$21,'[1]observations-276632'!X84&gt;'[1]Methods write-up'!$S$21,'[1]observations-276632'!X84&lt;'[1]Methods write-up'!$T$21),"Desert and high aridity","")</f>
        <v>Desert and high aridity</v>
      </c>
      <c r="BD84" s="23" t="str">
        <f t="shared" si="7"/>
        <v>Desert and high aridity</v>
      </c>
      <c r="BE84" s="24">
        <f t="shared" si="5"/>
        <v>5</v>
      </c>
      <c r="BF84" s="24">
        <f t="shared" si="6"/>
        <v>3</v>
      </c>
    </row>
    <row r="85" spans="1:58" ht="16.25" customHeight="1" x14ac:dyDescent="0.2">
      <c r="A85">
        <v>10839983</v>
      </c>
      <c r="B85" s="13">
        <v>40601</v>
      </c>
      <c r="C85" s="14">
        <v>40601</v>
      </c>
      <c r="E85" t="s">
        <v>113</v>
      </c>
      <c r="F85">
        <v>389988</v>
      </c>
      <c r="G85" t="s">
        <v>747</v>
      </c>
      <c r="H85" t="s">
        <v>748</v>
      </c>
      <c r="I85" t="s">
        <v>757</v>
      </c>
      <c r="J85" t="s">
        <v>758</v>
      </c>
      <c r="K85" t="s">
        <v>157</v>
      </c>
      <c r="L85" t="s">
        <v>63</v>
      </c>
      <c r="M85" t="s">
        <v>759</v>
      </c>
      <c r="N85" t="s">
        <v>760</v>
      </c>
      <c r="P85" t="s">
        <v>699</v>
      </c>
      <c r="Q85" t="s">
        <v>761</v>
      </c>
      <c r="R85">
        <v>4</v>
      </c>
      <c r="S85">
        <v>0</v>
      </c>
      <c r="T85" t="b">
        <v>0</v>
      </c>
      <c r="V85" t="s">
        <v>755</v>
      </c>
      <c r="W85" s="15">
        <v>-24.48</v>
      </c>
      <c r="X85" s="15">
        <v>16.335999999999999</v>
      </c>
      <c r="Y85">
        <v>110</v>
      </c>
      <c r="AC85">
        <v>110</v>
      </c>
      <c r="AF85" t="b">
        <v>0</v>
      </c>
      <c r="AI85" t="s">
        <v>756</v>
      </c>
      <c r="AJ85" t="s">
        <v>756</v>
      </c>
      <c r="AL85" t="s">
        <v>72</v>
      </c>
      <c r="AM85">
        <v>652800</v>
      </c>
      <c r="AO85" s="16" t="s">
        <v>140</v>
      </c>
      <c r="AP85" s="17" t="str">
        <f t="shared" si="4"/>
        <v>Post-emergence nest</v>
      </c>
      <c r="AQ85" s="18">
        <v>27</v>
      </c>
      <c r="AT85" s="19" t="s">
        <v>141</v>
      </c>
      <c r="AU85" s="20" t="s">
        <v>315</v>
      </c>
      <c r="AX85" s="22" t="str">
        <f>IF(AND('[1]observations-276632'!W85&gt;'[1]Methods write-up'!$Q$16,'[1]observations-276632'!W85&lt;'[1]Methods write-up'!$R$16,'[1]observations-276632'!X85&gt;'[1]Methods write-up'!$S$16,'[1]observations-276632'!X85&lt;'[1]Methods write-up'!$T$16),"West and Central Africa","")</f>
        <v/>
      </c>
      <c r="AY85" s="22" t="str">
        <f>IF(AND('[1]observations-276632'!W85&gt;'[1]Methods write-up'!$Q$17,'[1]observations-276632'!W85&lt;'[1]Methods write-up'!$R$17,'[1]observations-276632'!X85&gt;'[1]Methods write-up'!$S$17,'[1]observations-276632'!X85&lt;'[1]Methods write-up'!$T$17),"Equatorial tropical forest","")</f>
        <v/>
      </c>
      <c r="AZ85" s="22" t="str">
        <f>IF(AND('[1]observations-276632'!W85&gt;'[1]Methods write-up'!$Q$18,'[1]observations-276632'!W85&lt;'[1]Methods write-up'!$R$18,'[1]observations-276632'!X85&gt;'[1]Methods write-up'!$S$18,'[1]observations-276632'!X85&lt;'[1]Methods write-up'!$T$18),"Somali peninsula","")</f>
        <v/>
      </c>
      <c r="BA85" s="22" t="str">
        <f>IF(AND('[1]observations-276632'!W85&gt;'[1]Methods write-up'!$Q$19,'[1]observations-276632'!W85&lt;'[1]Methods write-up'!$R$19,'[1]observations-276632'!X85&gt;'[1]Methods write-up'!$S$19,'[1]observations-276632'!X85&lt;'[1]Methods write-up'!$T$19),"East Africa","")</f>
        <v/>
      </c>
      <c r="BB85" s="22" t="str">
        <f>IF(AND('[1]observations-276632'!W85&gt;'[1]Methods write-up'!$Q$20,'[1]observations-276632'!W85&lt;'[1]Methods write-up'!$R$20,'[1]observations-276632'!X85&gt;'[1]Methods write-up'!$S$20,'[1]observations-276632'!X85&lt;'[1]Methods write-up'!$T$20),"Temperate seasonal","")</f>
        <v/>
      </c>
      <c r="BC85" s="22" t="str">
        <f>IF(AND('[1]observations-276632'!W85&gt;'[1]Methods write-up'!$Q$21,'[1]observations-276632'!W85&lt;'[1]Methods write-up'!$R$21,'[1]observations-276632'!X85&gt;'[1]Methods write-up'!$S$21,'[1]observations-276632'!X85&lt;'[1]Methods write-up'!$T$21),"Desert and high aridity","")</f>
        <v>Desert and high aridity</v>
      </c>
      <c r="BD85" s="23" t="str">
        <f t="shared" si="7"/>
        <v>Desert and high aridity</v>
      </c>
      <c r="BE85" s="24">
        <f t="shared" si="5"/>
        <v>27</v>
      </c>
      <c r="BF85" s="24">
        <f t="shared" si="6"/>
        <v>2</v>
      </c>
    </row>
    <row r="86" spans="1:58" ht="16.25" customHeight="1" x14ac:dyDescent="0.2">
      <c r="A86">
        <v>10840000</v>
      </c>
      <c r="B86" s="13">
        <v>41252</v>
      </c>
      <c r="C86" s="14">
        <v>41252</v>
      </c>
      <c r="E86" t="s">
        <v>113</v>
      </c>
      <c r="F86">
        <v>67590</v>
      </c>
      <c r="G86" t="s">
        <v>711</v>
      </c>
      <c r="H86" t="s">
        <v>712</v>
      </c>
      <c r="I86" t="s">
        <v>762</v>
      </c>
      <c r="J86" t="s">
        <v>763</v>
      </c>
      <c r="K86" t="s">
        <v>62</v>
      </c>
      <c r="L86" t="s">
        <v>63</v>
      </c>
      <c r="M86" t="s">
        <v>764</v>
      </c>
      <c r="N86" t="s">
        <v>765</v>
      </c>
      <c r="P86" t="s">
        <v>766</v>
      </c>
      <c r="Q86" t="s">
        <v>767</v>
      </c>
      <c r="R86">
        <v>5</v>
      </c>
      <c r="S86">
        <v>0</v>
      </c>
      <c r="T86" t="b">
        <v>0</v>
      </c>
      <c r="V86" t="s">
        <v>768</v>
      </c>
      <c r="W86" s="15">
        <v>-24.405000000000001</v>
      </c>
      <c r="X86" s="15">
        <v>30.814</v>
      </c>
      <c r="Y86">
        <v>110</v>
      </c>
      <c r="AC86">
        <v>110</v>
      </c>
      <c r="AF86" t="b">
        <v>0</v>
      </c>
      <c r="AI86" t="s">
        <v>70</v>
      </c>
      <c r="AJ86" t="s">
        <v>70</v>
      </c>
      <c r="AK86" t="s">
        <v>71</v>
      </c>
      <c r="AL86" t="s">
        <v>72</v>
      </c>
      <c r="AM86">
        <v>346053</v>
      </c>
      <c r="AO86" s="16" t="s">
        <v>73</v>
      </c>
      <c r="AP86" s="17" t="str">
        <f t="shared" si="4"/>
        <v>Off-nest female</v>
      </c>
      <c r="AX86" s="22" t="str">
        <f>IF(AND('[1]observations-276632'!W86&gt;'[1]Methods write-up'!$Q$16,'[1]observations-276632'!W86&lt;'[1]Methods write-up'!$R$16,'[1]observations-276632'!X86&gt;'[1]Methods write-up'!$S$16,'[1]observations-276632'!X86&lt;'[1]Methods write-up'!$T$16),"West and Central Africa","")</f>
        <v/>
      </c>
      <c r="AY86" s="22" t="str">
        <f>IF(AND('[1]observations-276632'!W86&gt;'[1]Methods write-up'!$Q$17,'[1]observations-276632'!W86&lt;'[1]Methods write-up'!$R$17,'[1]observations-276632'!X86&gt;'[1]Methods write-up'!$S$17,'[1]observations-276632'!X86&lt;'[1]Methods write-up'!$T$17),"Equatorial tropical forest","")</f>
        <v/>
      </c>
      <c r="AZ86" s="22" t="str">
        <f>IF(AND('[1]observations-276632'!W86&gt;'[1]Methods write-up'!$Q$18,'[1]observations-276632'!W86&lt;'[1]Methods write-up'!$R$18,'[1]observations-276632'!X86&gt;'[1]Methods write-up'!$S$18,'[1]observations-276632'!X86&lt;'[1]Methods write-up'!$T$18),"Somali peninsula","")</f>
        <v/>
      </c>
      <c r="BA86" s="22" t="str">
        <f>IF(AND('[1]observations-276632'!W86&gt;'[1]Methods write-up'!$Q$19,'[1]observations-276632'!W86&lt;'[1]Methods write-up'!$R$19,'[1]observations-276632'!X86&gt;'[1]Methods write-up'!$S$19,'[1]observations-276632'!X86&lt;'[1]Methods write-up'!$T$19),"East Africa","")</f>
        <v/>
      </c>
      <c r="BB86" s="22" t="str">
        <f>IF(AND('[1]observations-276632'!W86&gt;'[1]Methods write-up'!$Q$20,'[1]observations-276632'!W86&lt;'[1]Methods write-up'!$R$20,'[1]observations-276632'!X86&gt;'[1]Methods write-up'!$S$20,'[1]observations-276632'!X86&lt;'[1]Methods write-up'!$T$20),"Temperate seasonal","")</f>
        <v/>
      </c>
      <c r="BC86" s="22" t="str">
        <f>IF(AND('[1]observations-276632'!W86&gt;'[1]Methods write-up'!$Q$21,'[1]observations-276632'!W86&lt;'[1]Methods write-up'!$R$21,'[1]observations-276632'!X86&gt;'[1]Methods write-up'!$S$21,'[1]observations-276632'!X86&lt;'[1]Methods write-up'!$T$21),"Desert and high aridity","")</f>
        <v/>
      </c>
      <c r="BD86" s="23" t="str">
        <f t="shared" si="7"/>
        <v/>
      </c>
      <c r="BE86" s="24">
        <f t="shared" si="5"/>
        <v>9</v>
      </c>
      <c r="BF86" s="24">
        <f t="shared" si="6"/>
        <v>12</v>
      </c>
    </row>
    <row r="87" spans="1:58" ht="16.25" customHeight="1" x14ac:dyDescent="0.2">
      <c r="A87">
        <v>10840984</v>
      </c>
      <c r="B87" s="13">
        <v>41236</v>
      </c>
      <c r="C87" s="14">
        <v>41236</v>
      </c>
      <c r="E87" t="s">
        <v>113</v>
      </c>
      <c r="F87">
        <v>383144</v>
      </c>
      <c r="G87" t="s">
        <v>702</v>
      </c>
      <c r="H87" t="s">
        <v>703</v>
      </c>
      <c r="I87" t="s">
        <v>769</v>
      </c>
      <c r="J87" t="s">
        <v>770</v>
      </c>
      <c r="K87" t="s">
        <v>62</v>
      </c>
      <c r="L87" t="s">
        <v>118</v>
      </c>
      <c r="M87" t="s">
        <v>771</v>
      </c>
      <c r="N87" t="s">
        <v>772</v>
      </c>
      <c r="Q87" t="s">
        <v>773</v>
      </c>
      <c r="R87">
        <v>4</v>
      </c>
      <c r="S87">
        <v>0</v>
      </c>
      <c r="T87" t="b">
        <v>0</v>
      </c>
      <c r="V87" t="s">
        <v>774</v>
      </c>
      <c r="W87" s="15">
        <v>-34.001905309999998</v>
      </c>
      <c r="X87" s="15">
        <v>23.760144690000001</v>
      </c>
      <c r="Y87">
        <v>1</v>
      </c>
      <c r="AC87">
        <v>1</v>
      </c>
      <c r="AF87" t="b">
        <v>0</v>
      </c>
      <c r="AI87" t="s">
        <v>70</v>
      </c>
      <c r="AJ87" t="s">
        <v>70</v>
      </c>
      <c r="AK87" t="s">
        <v>71</v>
      </c>
      <c r="AL87" t="s">
        <v>72</v>
      </c>
      <c r="AM87">
        <v>346053</v>
      </c>
      <c r="AO87" s="16" t="s">
        <v>73</v>
      </c>
      <c r="AP87" s="17" t="str">
        <f t="shared" si="4"/>
        <v>Off-nest female</v>
      </c>
      <c r="AX87" s="22" t="str">
        <f>IF(AND('[1]observations-276632'!W87&gt;'[1]Methods write-up'!$Q$16,'[1]observations-276632'!W87&lt;'[1]Methods write-up'!$R$16,'[1]observations-276632'!X87&gt;'[1]Methods write-up'!$S$16,'[1]observations-276632'!X87&lt;'[1]Methods write-up'!$T$16),"West and Central Africa","")</f>
        <v/>
      </c>
      <c r="AY87" s="22" t="str">
        <f>IF(AND('[1]observations-276632'!W87&gt;'[1]Methods write-up'!$Q$17,'[1]observations-276632'!W87&lt;'[1]Methods write-up'!$R$17,'[1]observations-276632'!X87&gt;'[1]Methods write-up'!$S$17,'[1]observations-276632'!X87&lt;'[1]Methods write-up'!$T$17),"Equatorial tropical forest","")</f>
        <v/>
      </c>
      <c r="AZ87" s="22" t="str">
        <f>IF(AND('[1]observations-276632'!W87&gt;'[1]Methods write-up'!$Q$18,'[1]observations-276632'!W87&lt;'[1]Methods write-up'!$R$18,'[1]observations-276632'!X87&gt;'[1]Methods write-up'!$S$18,'[1]observations-276632'!X87&lt;'[1]Methods write-up'!$T$18),"Somali peninsula","")</f>
        <v/>
      </c>
      <c r="BA87" s="22" t="str">
        <f>IF(AND('[1]observations-276632'!W87&gt;'[1]Methods write-up'!$Q$19,'[1]observations-276632'!W87&lt;'[1]Methods write-up'!$R$19,'[1]observations-276632'!X87&gt;'[1]Methods write-up'!$S$19,'[1]observations-276632'!X87&lt;'[1]Methods write-up'!$T$19),"East Africa","")</f>
        <v/>
      </c>
      <c r="BB87" s="22" t="str">
        <f>IF(AND('[1]observations-276632'!W87&gt;'[1]Methods write-up'!$Q$20,'[1]observations-276632'!W87&lt;'[1]Methods write-up'!$R$20,'[1]observations-276632'!X87&gt;'[1]Methods write-up'!$S$20,'[1]observations-276632'!X87&lt;'[1]Methods write-up'!$T$20),"Temperate seasonal","")</f>
        <v/>
      </c>
      <c r="BC87" s="22" t="str">
        <f>IF(AND('[1]observations-276632'!W87&gt;'[1]Methods write-up'!$Q$21,'[1]observations-276632'!W87&lt;'[1]Methods write-up'!$R$21,'[1]observations-276632'!X87&gt;'[1]Methods write-up'!$S$21,'[1]observations-276632'!X87&lt;'[1]Methods write-up'!$T$21),"Desert and high aridity","")</f>
        <v/>
      </c>
      <c r="BD87" s="23" t="str">
        <f t="shared" si="7"/>
        <v/>
      </c>
      <c r="BE87" s="24">
        <f t="shared" si="5"/>
        <v>23</v>
      </c>
      <c r="BF87" s="24">
        <f t="shared" si="6"/>
        <v>11</v>
      </c>
    </row>
    <row r="88" spans="1:58" ht="16.25" customHeight="1" x14ac:dyDescent="0.2">
      <c r="A88">
        <v>10851827</v>
      </c>
      <c r="B88" s="13">
        <v>41251</v>
      </c>
      <c r="C88" s="14">
        <v>41251</v>
      </c>
      <c r="E88" t="s">
        <v>113</v>
      </c>
      <c r="F88">
        <v>129251</v>
      </c>
      <c r="G88" t="s">
        <v>775</v>
      </c>
      <c r="H88" t="s">
        <v>776</v>
      </c>
      <c r="I88" t="s">
        <v>777</v>
      </c>
      <c r="J88" t="s">
        <v>778</v>
      </c>
      <c r="K88" t="s">
        <v>62</v>
      </c>
      <c r="L88" t="s">
        <v>63</v>
      </c>
      <c r="M88" t="s">
        <v>779</v>
      </c>
      <c r="N88" t="s">
        <v>780</v>
      </c>
      <c r="P88" t="s">
        <v>708</v>
      </c>
      <c r="Q88" t="s">
        <v>781</v>
      </c>
      <c r="R88">
        <v>4</v>
      </c>
      <c r="S88">
        <v>0</v>
      </c>
      <c r="T88" t="b">
        <v>0</v>
      </c>
      <c r="V88" t="s">
        <v>782</v>
      </c>
      <c r="W88" s="15">
        <v>-28.078139</v>
      </c>
      <c r="X88" s="15">
        <v>32.041477</v>
      </c>
      <c r="Y88">
        <v>1</v>
      </c>
      <c r="AC88">
        <v>1</v>
      </c>
      <c r="AF88" t="b">
        <v>0</v>
      </c>
      <c r="AI88" t="s">
        <v>70</v>
      </c>
      <c r="AJ88" t="s">
        <v>70</v>
      </c>
      <c r="AK88" t="s">
        <v>71</v>
      </c>
      <c r="AL88" t="s">
        <v>72</v>
      </c>
      <c r="AM88">
        <v>346053</v>
      </c>
      <c r="AO88" s="16" t="s">
        <v>140</v>
      </c>
      <c r="AP88" s="17" t="str">
        <f t="shared" si="4"/>
        <v>Post-emergence nest</v>
      </c>
      <c r="AQ88" s="18">
        <v>4</v>
      </c>
      <c r="AT88" s="19" t="s">
        <v>141</v>
      </c>
      <c r="AU88" s="20" t="s">
        <v>104</v>
      </c>
      <c r="AX88" s="22" t="str">
        <f>IF(AND('[1]observations-276632'!W88&gt;'[1]Methods write-up'!$Q$16,'[1]observations-276632'!W88&lt;'[1]Methods write-up'!$R$16,'[1]observations-276632'!X88&gt;'[1]Methods write-up'!$S$16,'[1]observations-276632'!X88&lt;'[1]Methods write-up'!$T$16),"West and Central Africa","")</f>
        <v/>
      </c>
      <c r="AY88" s="22" t="str">
        <f>IF(AND('[1]observations-276632'!W88&gt;'[1]Methods write-up'!$Q$17,'[1]observations-276632'!W88&lt;'[1]Methods write-up'!$R$17,'[1]observations-276632'!X88&gt;'[1]Methods write-up'!$S$17,'[1]observations-276632'!X88&lt;'[1]Methods write-up'!$T$17),"Equatorial tropical forest","")</f>
        <v/>
      </c>
      <c r="AZ88" s="22" t="str">
        <f>IF(AND('[1]observations-276632'!W88&gt;'[1]Methods write-up'!$Q$18,'[1]observations-276632'!W88&lt;'[1]Methods write-up'!$R$18,'[1]observations-276632'!X88&gt;'[1]Methods write-up'!$S$18,'[1]observations-276632'!X88&lt;'[1]Methods write-up'!$T$18),"Somali peninsula","")</f>
        <v/>
      </c>
      <c r="BA88" s="22" t="str">
        <f>IF(AND('[1]observations-276632'!W88&gt;'[1]Methods write-up'!$Q$19,'[1]observations-276632'!W88&lt;'[1]Methods write-up'!$R$19,'[1]observations-276632'!X88&gt;'[1]Methods write-up'!$S$19,'[1]observations-276632'!X88&lt;'[1]Methods write-up'!$T$19),"East Africa","")</f>
        <v/>
      </c>
      <c r="BB88" s="22" t="str">
        <f>IF(AND('[1]observations-276632'!W88&gt;'[1]Methods write-up'!$Q$20,'[1]observations-276632'!W88&lt;'[1]Methods write-up'!$R$20,'[1]observations-276632'!X88&gt;'[1]Methods write-up'!$S$20,'[1]observations-276632'!X88&lt;'[1]Methods write-up'!$T$20),"Temperate seasonal","")</f>
        <v>Temperate seasonal</v>
      </c>
      <c r="BC88" s="22" t="str">
        <f>IF(AND('[1]observations-276632'!W88&gt;'[1]Methods write-up'!$Q$21,'[1]observations-276632'!W88&lt;'[1]Methods write-up'!$R$21,'[1]observations-276632'!X88&gt;'[1]Methods write-up'!$S$21,'[1]observations-276632'!X88&lt;'[1]Methods write-up'!$T$21),"Desert and high aridity","")</f>
        <v/>
      </c>
      <c r="BD88" s="23" t="str">
        <f t="shared" si="7"/>
        <v>Temperate seasonal</v>
      </c>
      <c r="BE88" s="24">
        <f t="shared" si="5"/>
        <v>8</v>
      </c>
      <c r="BF88" s="24">
        <f t="shared" si="6"/>
        <v>12</v>
      </c>
    </row>
    <row r="89" spans="1:58" ht="16.25" customHeight="1" x14ac:dyDescent="0.2">
      <c r="A89">
        <v>10853074</v>
      </c>
      <c r="B89" s="13">
        <v>41463</v>
      </c>
      <c r="C89" s="14">
        <v>41463</v>
      </c>
      <c r="E89" t="s">
        <v>113</v>
      </c>
      <c r="F89">
        <v>527990</v>
      </c>
      <c r="G89" t="s">
        <v>554</v>
      </c>
      <c r="H89" t="s">
        <v>555</v>
      </c>
      <c r="I89" t="s">
        <v>783</v>
      </c>
      <c r="J89" t="s">
        <v>784</v>
      </c>
      <c r="K89" t="s">
        <v>62</v>
      </c>
      <c r="L89" t="s">
        <v>118</v>
      </c>
      <c r="M89" t="s">
        <v>785</v>
      </c>
      <c r="N89" t="s">
        <v>786</v>
      </c>
      <c r="P89" t="s">
        <v>787</v>
      </c>
      <c r="Q89" t="s">
        <v>788</v>
      </c>
      <c r="R89">
        <v>4</v>
      </c>
      <c r="S89">
        <v>0</v>
      </c>
      <c r="T89" t="b">
        <v>0</v>
      </c>
      <c r="V89" t="s">
        <v>789</v>
      </c>
      <c r="W89" s="15">
        <v>-33.97092</v>
      </c>
      <c r="X89" s="15">
        <v>18.449809999999999</v>
      </c>
      <c r="Y89">
        <v>1</v>
      </c>
      <c r="AC89">
        <v>1</v>
      </c>
      <c r="AF89" t="b">
        <v>0</v>
      </c>
      <c r="AI89" t="s">
        <v>70</v>
      </c>
      <c r="AJ89" t="s">
        <v>70</v>
      </c>
      <c r="AK89" t="s">
        <v>71</v>
      </c>
      <c r="AL89" t="s">
        <v>72</v>
      </c>
      <c r="AM89">
        <v>346053</v>
      </c>
      <c r="AO89" s="16" t="s">
        <v>73</v>
      </c>
      <c r="AP89" s="17" t="str">
        <f t="shared" si="4"/>
        <v>Off-nest female</v>
      </c>
      <c r="AX89" s="22" t="str">
        <f>IF(AND('[1]observations-276632'!W89&gt;'[1]Methods write-up'!$Q$16,'[1]observations-276632'!W89&lt;'[1]Methods write-up'!$R$16,'[1]observations-276632'!X89&gt;'[1]Methods write-up'!$S$16,'[1]observations-276632'!X89&lt;'[1]Methods write-up'!$T$16),"West and Central Africa","")</f>
        <v/>
      </c>
      <c r="AY89" s="22" t="str">
        <f>IF(AND('[1]observations-276632'!W89&gt;'[1]Methods write-up'!$Q$17,'[1]observations-276632'!W89&lt;'[1]Methods write-up'!$R$17,'[1]observations-276632'!X89&gt;'[1]Methods write-up'!$S$17,'[1]observations-276632'!X89&lt;'[1]Methods write-up'!$T$17),"Equatorial tropical forest","")</f>
        <v/>
      </c>
      <c r="AZ89" s="22" t="str">
        <f>IF(AND('[1]observations-276632'!W89&gt;'[1]Methods write-up'!$Q$18,'[1]observations-276632'!W89&lt;'[1]Methods write-up'!$R$18,'[1]observations-276632'!X89&gt;'[1]Methods write-up'!$S$18,'[1]observations-276632'!X89&lt;'[1]Methods write-up'!$T$18),"Somali peninsula","")</f>
        <v/>
      </c>
      <c r="BA89" s="22" t="str">
        <f>IF(AND('[1]observations-276632'!W89&gt;'[1]Methods write-up'!$Q$19,'[1]observations-276632'!W89&lt;'[1]Methods write-up'!$R$19,'[1]observations-276632'!X89&gt;'[1]Methods write-up'!$S$19,'[1]observations-276632'!X89&lt;'[1]Methods write-up'!$T$19),"East Africa","")</f>
        <v/>
      </c>
      <c r="BB89" s="22" t="str">
        <f>IF(AND('[1]observations-276632'!W89&gt;'[1]Methods write-up'!$Q$20,'[1]observations-276632'!W89&lt;'[1]Methods write-up'!$R$20,'[1]observations-276632'!X89&gt;'[1]Methods write-up'!$S$20,'[1]observations-276632'!X89&lt;'[1]Methods write-up'!$T$20),"Temperate seasonal","")</f>
        <v/>
      </c>
      <c r="BC89" s="22" t="str">
        <f>IF(AND('[1]observations-276632'!W89&gt;'[1]Methods write-up'!$Q$21,'[1]observations-276632'!W89&lt;'[1]Methods write-up'!$R$21,'[1]observations-276632'!X89&gt;'[1]Methods write-up'!$S$21,'[1]observations-276632'!X89&lt;'[1]Methods write-up'!$T$21),"Desert and high aridity","")</f>
        <v/>
      </c>
      <c r="BD89" s="23" t="str">
        <f t="shared" si="7"/>
        <v/>
      </c>
      <c r="BE89" s="24">
        <f t="shared" si="5"/>
        <v>8</v>
      </c>
      <c r="BF89" s="24">
        <f t="shared" si="6"/>
        <v>7</v>
      </c>
    </row>
    <row r="90" spans="1:58" ht="16.25" customHeight="1" x14ac:dyDescent="0.2">
      <c r="A90">
        <v>10853686</v>
      </c>
      <c r="B90" s="13">
        <v>41330</v>
      </c>
      <c r="C90" s="14">
        <v>41330</v>
      </c>
      <c r="E90" t="s">
        <v>113</v>
      </c>
      <c r="F90">
        <v>693179</v>
      </c>
      <c r="G90" t="s">
        <v>790</v>
      </c>
      <c r="H90" t="s">
        <v>791</v>
      </c>
      <c r="I90" t="s">
        <v>792</v>
      </c>
      <c r="J90" t="s">
        <v>793</v>
      </c>
      <c r="K90" t="s">
        <v>62</v>
      </c>
      <c r="L90" t="s">
        <v>373</v>
      </c>
      <c r="M90" t="s">
        <v>794</v>
      </c>
      <c r="N90" t="s">
        <v>795</v>
      </c>
      <c r="P90" t="s">
        <v>796</v>
      </c>
      <c r="Q90" t="s">
        <v>797</v>
      </c>
      <c r="R90">
        <v>6</v>
      </c>
      <c r="S90">
        <v>0</v>
      </c>
      <c r="T90" t="b">
        <v>0</v>
      </c>
      <c r="V90" t="s">
        <v>798</v>
      </c>
      <c r="W90" s="15">
        <v>-33.981961699999999</v>
      </c>
      <c r="X90" s="15">
        <v>18.436324599999999</v>
      </c>
      <c r="Y90">
        <v>1</v>
      </c>
      <c r="AC90">
        <v>1</v>
      </c>
      <c r="AF90" t="b">
        <v>0</v>
      </c>
      <c r="AI90" t="s">
        <v>70</v>
      </c>
      <c r="AJ90" t="s">
        <v>70</v>
      </c>
      <c r="AK90" t="s">
        <v>71</v>
      </c>
      <c r="AL90" t="s">
        <v>72</v>
      </c>
      <c r="AM90">
        <v>346053</v>
      </c>
      <c r="AO90" s="16" t="s">
        <v>140</v>
      </c>
      <c r="AP90" s="17" t="str">
        <f t="shared" si="4"/>
        <v>Post-emergence nest</v>
      </c>
      <c r="AQ90" s="18">
        <v>7</v>
      </c>
      <c r="AT90" s="19" t="s">
        <v>141</v>
      </c>
      <c r="AU90" s="20" t="s">
        <v>141</v>
      </c>
      <c r="AX90" s="22" t="str">
        <f>IF(AND('[1]observations-276632'!W90&gt;'[1]Methods write-up'!$Q$16,'[1]observations-276632'!W90&lt;'[1]Methods write-up'!$R$16,'[1]observations-276632'!X90&gt;'[1]Methods write-up'!$S$16,'[1]observations-276632'!X90&lt;'[1]Methods write-up'!$T$16),"West and Central Africa","")</f>
        <v/>
      </c>
      <c r="AY90" s="22" t="str">
        <f>IF(AND('[1]observations-276632'!W90&gt;'[1]Methods write-up'!$Q$17,'[1]observations-276632'!W90&lt;'[1]Methods write-up'!$R$17,'[1]observations-276632'!X90&gt;'[1]Methods write-up'!$S$17,'[1]observations-276632'!X90&lt;'[1]Methods write-up'!$T$17),"Equatorial tropical forest","")</f>
        <v/>
      </c>
      <c r="AZ90" s="22" t="str">
        <f>IF(AND('[1]observations-276632'!W90&gt;'[1]Methods write-up'!$Q$18,'[1]observations-276632'!W90&lt;'[1]Methods write-up'!$R$18,'[1]observations-276632'!X90&gt;'[1]Methods write-up'!$S$18,'[1]observations-276632'!X90&lt;'[1]Methods write-up'!$T$18),"Somali peninsula","")</f>
        <v/>
      </c>
      <c r="BA90" s="22" t="str">
        <f>IF(AND('[1]observations-276632'!W90&gt;'[1]Methods write-up'!$Q$19,'[1]observations-276632'!W90&lt;'[1]Methods write-up'!$R$19,'[1]observations-276632'!X90&gt;'[1]Methods write-up'!$S$19,'[1]observations-276632'!X90&lt;'[1]Methods write-up'!$T$19),"East Africa","")</f>
        <v/>
      </c>
      <c r="BB90" s="22" t="str">
        <f>IF(AND('[1]observations-276632'!W90&gt;'[1]Methods write-up'!$Q$20,'[1]observations-276632'!W90&lt;'[1]Methods write-up'!$R$20,'[1]observations-276632'!X90&gt;'[1]Methods write-up'!$S$20,'[1]observations-276632'!X90&lt;'[1]Methods write-up'!$T$20),"Temperate seasonal","")</f>
        <v/>
      </c>
      <c r="BC90" s="22" t="str">
        <f>IF(AND('[1]observations-276632'!W90&gt;'[1]Methods write-up'!$Q$21,'[1]observations-276632'!W90&lt;'[1]Methods write-up'!$R$21,'[1]observations-276632'!X90&gt;'[1]Methods write-up'!$S$21,'[1]observations-276632'!X90&lt;'[1]Methods write-up'!$T$21),"Desert and high aridity","")</f>
        <v/>
      </c>
      <c r="BD90" s="23" t="str">
        <f t="shared" si="7"/>
        <v/>
      </c>
      <c r="BE90" s="24">
        <f t="shared" si="5"/>
        <v>25</v>
      </c>
      <c r="BF90" s="24">
        <f t="shared" si="6"/>
        <v>2</v>
      </c>
    </row>
    <row r="91" spans="1:58" ht="16.25" customHeight="1" x14ac:dyDescent="0.2">
      <c r="A91">
        <v>10873258</v>
      </c>
      <c r="B91" s="13">
        <v>41550</v>
      </c>
      <c r="C91" s="14">
        <v>41550</v>
      </c>
      <c r="E91" t="s">
        <v>113</v>
      </c>
      <c r="F91">
        <v>7682</v>
      </c>
      <c r="G91" t="s">
        <v>693</v>
      </c>
      <c r="H91" t="s">
        <v>694</v>
      </c>
      <c r="I91" t="s">
        <v>799</v>
      </c>
      <c r="J91" t="s">
        <v>800</v>
      </c>
      <c r="K91" t="s">
        <v>62</v>
      </c>
      <c r="L91" t="s">
        <v>98</v>
      </c>
      <c r="M91" t="s">
        <v>801</v>
      </c>
      <c r="N91" t="s">
        <v>802</v>
      </c>
      <c r="Q91" t="s">
        <v>803</v>
      </c>
      <c r="R91">
        <v>6</v>
      </c>
      <c r="S91">
        <v>0</v>
      </c>
      <c r="T91" t="b">
        <v>0</v>
      </c>
      <c r="V91" t="s">
        <v>804</v>
      </c>
      <c r="W91" s="15">
        <v>-33.709099999999999</v>
      </c>
      <c r="X91" s="15">
        <v>23.83222</v>
      </c>
      <c r="Y91">
        <v>1</v>
      </c>
      <c r="AC91">
        <v>1</v>
      </c>
      <c r="AF91" t="b">
        <v>0</v>
      </c>
      <c r="AI91" t="s">
        <v>70</v>
      </c>
      <c r="AJ91" t="s">
        <v>70</v>
      </c>
      <c r="AK91" t="s">
        <v>71</v>
      </c>
      <c r="AL91" t="s">
        <v>72</v>
      </c>
      <c r="AM91">
        <v>346053</v>
      </c>
      <c r="AO91" s="16" t="s">
        <v>73</v>
      </c>
      <c r="AP91" s="17" t="str">
        <f t="shared" si="4"/>
        <v>Off-nest female</v>
      </c>
      <c r="AX91" s="22" t="str">
        <f>IF(AND('[1]observations-276632'!W91&gt;'[1]Methods write-up'!$Q$16,'[1]observations-276632'!W91&lt;'[1]Methods write-up'!$R$16,'[1]observations-276632'!X91&gt;'[1]Methods write-up'!$S$16,'[1]observations-276632'!X91&lt;'[1]Methods write-up'!$T$16),"West and Central Africa","")</f>
        <v/>
      </c>
      <c r="AY91" s="22" t="str">
        <f>IF(AND('[1]observations-276632'!W91&gt;'[1]Methods write-up'!$Q$17,'[1]observations-276632'!W91&lt;'[1]Methods write-up'!$R$17,'[1]observations-276632'!X91&gt;'[1]Methods write-up'!$S$17,'[1]observations-276632'!X91&lt;'[1]Methods write-up'!$T$17),"Equatorial tropical forest","")</f>
        <v/>
      </c>
      <c r="AZ91" s="22" t="str">
        <f>IF(AND('[1]observations-276632'!W91&gt;'[1]Methods write-up'!$Q$18,'[1]observations-276632'!W91&lt;'[1]Methods write-up'!$R$18,'[1]observations-276632'!X91&gt;'[1]Methods write-up'!$S$18,'[1]observations-276632'!X91&lt;'[1]Methods write-up'!$T$18),"Somali peninsula","")</f>
        <v/>
      </c>
      <c r="BA91" s="22" t="str">
        <f>IF(AND('[1]observations-276632'!W91&gt;'[1]Methods write-up'!$Q$19,'[1]observations-276632'!W91&lt;'[1]Methods write-up'!$R$19,'[1]observations-276632'!X91&gt;'[1]Methods write-up'!$S$19,'[1]observations-276632'!X91&lt;'[1]Methods write-up'!$T$19),"East Africa","")</f>
        <v/>
      </c>
      <c r="BB91" s="22" t="str">
        <f>IF(AND('[1]observations-276632'!W91&gt;'[1]Methods write-up'!$Q$20,'[1]observations-276632'!W91&lt;'[1]Methods write-up'!$R$20,'[1]observations-276632'!X91&gt;'[1]Methods write-up'!$S$20,'[1]observations-276632'!X91&lt;'[1]Methods write-up'!$T$20),"Temperate seasonal","")</f>
        <v/>
      </c>
      <c r="BC91" s="22" t="str">
        <f>IF(AND('[1]observations-276632'!W91&gt;'[1]Methods write-up'!$Q$21,'[1]observations-276632'!W91&lt;'[1]Methods write-up'!$R$21,'[1]observations-276632'!X91&gt;'[1]Methods write-up'!$S$21,'[1]observations-276632'!X91&lt;'[1]Methods write-up'!$T$21),"Desert and high aridity","")</f>
        <v/>
      </c>
      <c r="BD91" s="23" t="str">
        <f t="shared" si="7"/>
        <v/>
      </c>
      <c r="BE91" s="24">
        <f t="shared" si="5"/>
        <v>3</v>
      </c>
      <c r="BF91" s="24">
        <f t="shared" si="6"/>
        <v>10</v>
      </c>
    </row>
    <row r="92" spans="1:58" ht="16.25" customHeight="1" x14ac:dyDescent="0.2">
      <c r="A92">
        <v>10889523</v>
      </c>
      <c r="B92" s="13">
        <v>41302</v>
      </c>
      <c r="C92" s="14">
        <v>41302</v>
      </c>
      <c r="E92" t="s">
        <v>113</v>
      </c>
      <c r="F92">
        <v>389988</v>
      </c>
      <c r="G92" t="s">
        <v>747</v>
      </c>
      <c r="H92" t="s">
        <v>748</v>
      </c>
      <c r="I92" t="s">
        <v>805</v>
      </c>
      <c r="J92" t="s">
        <v>806</v>
      </c>
      <c r="K92" t="s">
        <v>62</v>
      </c>
      <c r="L92" t="s">
        <v>63</v>
      </c>
      <c r="M92" t="s">
        <v>807</v>
      </c>
      <c r="N92" t="s">
        <v>808</v>
      </c>
      <c r="Q92" t="s">
        <v>809</v>
      </c>
      <c r="R92">
        <v>5</v>
      </c>
      <c r="S92">
        <v>0</v>
      </c>
      <c r="T92" t="b">
        <v>0</v>
      </c>
      <c r="V92" t="s">
        <v>810</v>
      </c>
      <c r="W92" s="15">
        <v>-25.775262000000001</v>
      </c>
      <c r="X92" s="15">
        <v>28.21435</v>
      </c>
      <c r="Y92">
        <v>1</v>
      </c>
      <c r="AC92">
        <v>1</v>
      </c>
      <c r="AF92" t="b">
        <v>0</v>
      </c>
      <c r="AI92" t="s">
        <v>70</v>
      </c>
      <c r="AJ92" t="s">
        <v>70</v>
      </c>
      <c r="AK92" t="s">
        <v>71</v>
      </c>
      <c r="AL92" t="s">
        <v>72</v>
      </c>
      <c r="AM92">
        <v>346053</v>
      </c>
      <c r="AO92" s="16" t="s">
        <v>73</v>
      </c>
      <c r="AP92" s="17" t="str">
        <f t="shared" si="4"/>
        <v>Off-nest female</v>
      </c>
      <c r="AX92" s="22" t="str">
        <f>IF(AND('[1]observations-276632'!W92&gt;'[1]Methods write-up'!$Q$16,'[1]observations-276632'!W92&lt;'[1]Methods write-up'!$R$16,'[1]observations-276632'!X92&gt;'[1]Methods write-up'!$S$16,'[1]observations-276632'!X92&lt;'[1]Methods write-up'!$T$16),"West and Central Africa","")</f>
        <v/>
      </c>
      <c r="AY92" s="22" t="str">
        <f>IF(AND('[1]observations-276632'!W92&gt;'[1]Methods write-up'!$Q$17,'[1]observations-276632'!W92&lt;'[1]Methods write-up'!$R$17,'[1]observations-276632'!X92&gt;'[1]Methods write-up'!$S$17,'[1]observations-276632'!X92&lt;'[1]Methods write-up'!$T$17),"Equatorial tropical forest","")</f>
        <v/>
      </c>
      <c r="AZ92" s="22" t="str">
        <f>IF(AND('[1]observations-276632'!W92&gt;'[1]Methods write-up'!$Q$18,'[1]observations-276632'!W92&lt;'[1]Methods write-up'!$R$18,'[1]observations-276632'!X92&gt;'[1]Methods write-up'!$S$18,'[1]observations-276632'!X92&lt;'[1]Methods write-up'!$T$18),"Somali peninsula","")</f>
        <v/>
      </c>
      <c r="BA92" s="22" t="str">
        <f>IF(AND('[1]observations-276632'!W92&gt;'[1]Methods write-up'!$Q$19,'[1]observations-276632'!W92&lt;'[1]Methods write-up'!$R$19,'[1]observations-276632'!X92&gt;'[1]Methods write-up'!$S$19,'[1]observations-276632'!X92&lt;'[1]Methods write-up'!$T$19),"East Africa","")</f>
        <v/>
      </c>
      <c r="BB92" s="22" t="str">
        <f>IF(AND('[1]observations-276632'!W92&gt;'[1]Methods write-up'!$Q$20,'[1]observations-276632'!W92&lt;'[1]Methods write-up'!$R$20,'[1]observations-276632'!X92&gt;'[1]Methods write-up'!$S$20,'[1]observations-276632'!X92&lt;'[1]Methods write-up'!$T$20),"Temperate seasonal","")</f>
        <v>Temperate seasonal</v>
      </c>
      <c r="BC92" s="22" t="str">
        <f>IF(AND('[1]observations-276632'!W92&gt;'[1]Methods write-up'!$Q$21,'[1]observations-276632'!W92&lt;'[1]Methods write-up'!$R$21,'[1]observations-276632'!X92&gt;'[1]Methods write-up'!$S$21,'[1]observations-276632'!X92&lt;'[1]Methods write-up'!$T$21),"Desert and high aridity","")</f>
        <v/>
      </c>
      <c r="BD92" s="23" t="str">
        <f t="shared" si="7"/>
        <v>Temperate seasonal</v>
      </c>
      <c r="BE92" s="24">
        <f t="shared" si="5"/>
        <v>28</v>
      </c>
      <c r="BF92" s="24">
        <f t="shared" si="6"/>
        <v>1</v>
      </c>
    </row>
    <row r="93" spans="1:58" ht="16.25" customHeight="1" x14ac:dyDescent="0.2">
      <c r="A93">
        <v>10901024</v>
      </c>
      <c r="B93" s="13">
        <v>38864</v>
      </c>
      <c r="C93" s="14">
        <v>38864</v>
      </c>
      <c r="E93" t="s">
        <v>811</v>
      </c>
      <c r="F93">
        <v>389988</v>
      </c>
      <c r="G93" t="s">
        <v>747</v>
      </c>
      <c r="H93" t="s">
        <v>748</v>
      </c>
      <c r="I93" t="s">
        <v>812</v>
      </c>
      <c r="J93" t="s">
        <v>813</v>
      </c>
      <c r="K93" t="s">
        <v>157</v>
      </c>
      <c r="L93" t="s">
        <v>63</v>
      </c>
      <c r="M93" t="s">
        <v>814</v>
      </c>
      <c r="N93" t="s">
        <v>815</v>
      </c>
      <c r="P93" t="s">
        <v>708</v>
      </c>
      <c r="Q93" t="s">
        <v>816</v>
      </c>
      <c r="R93">
        <v>5</v>
      </c>
      <c r="S93">
        <v>0</v>
      </c>
      <c r="T93" t="b">
        <v>0</v>
      </c>
      <c r="V93" t="s">
        <v>817</v>
      </c>
      <c r="W93" s="15">
        <v>-24.952999999999999</v>
      </c>
      <c r="X93" s="15">
        <v>16.338999999999999</v>
      </c>
      <c r="Y93">
        <v>110</v>
      </c>
      <c r="AC93">
        <v>110</v>
      </c>
      <c r="AF93" t="b">
        <v>0</v>
      </c>
      <c r="AI93" t="s">
        <v>756</v>
      </c>
      <c r="AJ93" t="s">
        <v>756</v>
      </c>
      <c r="AL93" t="s">
        <v>72</v>
      </c>
      <c r="AM93">
        <v>652800</v>
      </c>
      <c r="AO93" s="16" t="s">
        <v>818</v>
      </c>
      <c r="AP93" s="17" t="str">
        <f t="shared" si="4"/>
        <v>Abandoned post-emergence nest</v>
      </c>
      <c r="AX93" s="22" t="str">
        <f>IF(AND('[1]observations-276632'!W93&gt;'[1]Methods write-up'!$Q$16,'[1]observations-276632'!W93&lt;'[1]Methods write-up'!$R$16,'[1]observations-276632'!X93&gt;'[1]Methods write-up'!$S$16,'[1]observations-276632'!X93&lt;'[1]Methods write-up'!$T$16),"West and Central Africa","")</f>
        <v/>
      </c>
      <c r="AY93" s="22" t="str">
        <f>IF(AND('[1]observations-276632'!W93&gt;'[1]Methods write-up'!$Q$17,'[1]observations-276632'!W93&lt;'[1]Methods write-up'!$R$17,'[1]observations-276632'!X93&gt;'[1]Methods write-up'!$S$17,'[1]observations-276632'!X93&lt;'[1]Methods write-up'!$T$17),"Equatorial tropical forest","")</f>
        <v/>
      </c>
      <c r="AZ93" s="22" t="str">
        <f>IF(AND('[1]observations-276632'!W93&gt;'[1]Methods write-up'!$Q$18,'[1]observations-276632'!W93&lt;'[1]Methods write-up'!$R$18,'[1]observations-276632'!X93&gt;'[1]Methods write-up'!$S$18,'[1]observations-276632'!X93&lt;'[1]Methods write-up'!$T$18),"Somali peninsula","")</f>
        <v/>
      </c>
      <c r="BA93" s="22" t="str">
        <f>IF(AND('[1]observations-276632'!W93&gt;'[1]Methods write-up'!$Q$19,'[1]observations-276632'!W93&lt;'[1]Methods write-up'!$R$19,'[1]observations-276632'!X93&gt;'[1]Methods write-up'!$S$19,'[1]observations-276632'!X93&lt;'[1]Methods write-up'!$T$19),"East Africa","")</f>
        <v/>
      </c>
      <c r="BB93" s="22" t="str">
        <f>IF(AND('[1]observations-276632'!W93&gt;'[1]Methods write-up'!$Q$20,'[1]observations-276632'!W93&lt;'[1]Methods write-up'!$R$20,'[1]observations-276632'!X93&gt;'[1]Methods write-up'!$S$20,'[1]observations-276632'!X93&lt;'[1]Methods write-up'!$T$20),"Temperate seasonal","")</f>
        <v/>
      </c>
      <c r="BC93" s="22" t="str">
        <f>IF(AND('[1]observations-276632'!W93&gt;'[1]Methods write-up'!$Q$21,'[1]observations-276632'!W93&lt;'[1]Methods write-up'!$R$21,'[1]observations-276632'!X93&gt;'[1]Methods write-up'!$S$21,'[1]observations-276632'!X93&lt;'[1]Methods write-up'!$T$21),"Desert and high aridity","")</f>
        <v>Desert and high aridity</v>
      </c>
      <c r="BD93" s="23" t="str">
        <f t="shared" si="7"/>
        <v>Desert and high aridity</v>
      </c>
      <c r="BE93" s="24">
        <f t="shared" si="5"/>
        <v>27</v>
      </c>
      <c r="BF93" s="24">
        <f t="shared" si="6"/>
        <v>5</v>
      </c>
    </row>
    <row r="94" spans="1:58" ht="16.25" customHeight="1" x14ac:dyDescent="0.2">
      <c r="C94" s="14">
        <v>38864</v>
      </c>
      <c r="M94" t="s">
        <v>613</v>
      </c>
      <c r="W94" s="15">
        <v>-24.952999999999999</v>
      </c>
      <c r="X94" s="15">
        <v>16.338999999999999</v>
      </c>
      <c r="AO94" s="16" t="s">
        <v>73</v>
      </c>
      <c r="AP94" s="17" t="str">
        <f t="shared" si="4"/>
        <v>Off-nest female</v>
      </c>
      <c r="AX94" s="22" t="str">
        <f>IF(AND('[1]observations-276632'!W94&gt;'[1]Methods write-up'!$Q$16,'[1]observations-276632'!W94&lt;'[1]Methods write-up'!$R$16,'[1]observations-276632'!X94&gt;'[1]Methods write-up'!$S$16,'[1]observations-276632'!X94&lt;'[1]Methods write-up'!$T$16),"West and Central Africa","")</f>
        <v/>
      </c>
      <c r="AY94" s="22" t="str">
        <f>IF(AND('[1]observations-276632'!W94&gt;'[1]Methods write-up'!$Q$17,'[1]observations-276632'!W94&lt;'[1]Methods write-up'!$R$17,'[1]observations-276632'!X94&gt;'[1]Methods write-up'!$S$17,'[1]observations-276632'!X94&lt;'[1]Methods write-up'!$T$17),"Equatorial tropical forest","")</f>
        <v/>
      </c>
      <c r="AZ94" s="22" t="str">
        <f>IF(AND('[1]observations-276632'!W94&gt;'[1]Methods write-up'!$Q$18,'[1]observations-276632'!W94&lt;'[1]Methods write-up'!$R$18,'[1]observations-276632'!X94&gt;'[1]Methods write-up'!$S$18,'[1]observations-276632'!X94&lt;'[1]Methods write-up'!$T$18),"Somali peninsula","")</f>
        <v/>
      </c>
      <c r="BA94" s="22" t="str">
        <f>IF(AND('[1]observations-276632'!W94&gt;'[1]Methods write-up'!$Q$19,'[1]observations-276632'!W94&lt;'[1]Methods write-up'!$R$19,'[1]observations-276632'!X94&gt;'[1]Methods write-up'!$S$19,'[1]observations-276632'!X94&lt;'[1]Methods write-up'!$T$19),"East Africa","")</f>
        <v/>
      </c>
      <c r="BB94" s="22" t="str">
        <f>IF(AND('[1]observations-276632'!W94&gt;'[1]Methods write-up'!$Q$20,'[1]observations-276632'!W94&lt;'[1]Methods write-up'!$R$20,'[1]observations-276632'!X94&gt;'[1]Methods write-up'!$S$20,'[1]observations-276632'!X94&lt;'[1]Methods write-up'!$T$20),"Temperate seasonal","")</f>
        <v/>
      </c>
      <c r="BC94" s="22" t="str">
        <f>IF(AND('[1]observations-276632'!W94&gt;'[1]Methods write-up'!$Q$21,'[1]observations-276632'!W94&lt;'[1]Methods write-up'!$R$21,'[1]observations-276632'!X94&gt;'[1]Methods write-up'!$S$21,'[1]observations-276632'!X94&lt;'[1]Methods write-up'!$T$21),"Desert and high aridity","")</f>
        <v>Desert and high aridity</v>
      </c>
      <c r="BD94" s="23" t="str">
        <f t="shared" si="7"/>
        <v>Desert and high aridity</v>
      </c>
      <c r="BE94" s="24">
        <f t="shared" si="5"/>
        <v>27</v>
      </c>
      <c r="BF94" s="24">
        <f t="shared" si="6"/>
        <v>5</v>
      </c>
    </row>
    <row r="95" spans="1:58" ht="16.25" customHeight="1" x14ac:dyDescent="0.2">
      <c r="A95">
        <v>10901154</v>
      </c>
      <c r="B95" s="13">
        <v>39987</v>
      </c>
      <c r="C95" s="14">
        <v>39987</v>
      </c>
      <c r="E95" t="s">
        <v>113</v>
      </c>
      <c r="F95">
        <v>389988</v>
      </c>
      <c r="G95" t="s">
        <v>747</v>
      </c>
      <c r="H95" t="s">
        <v>748</v>
      </c>
      <c r="I95" t="s">
        <v>819</v>
      </c>
      <c r="J95" t="s">
        <v>820</v>
      </c>
      <c r="K95" t="s">
        <v>157</v>
      </c>
      <c r="L95" t="s">
        <v>63</v>
      </c>
      <c r="M95" t="s">
        <v>821</v>
      </c>
      <c r="N95" t="s">
        <v>822</v>
      </c>
      <c r="P95" t="s">
        <v>717</v>
      </c>
      <c r="Q95" t="s">
        <v>816</v>
      </c>
      <c r="R95">
        <v>4</v>
      </c>
      <c r="S95">
        <v>0</v>
      </c>
      <c r="T95" t="b">
        <v>0</v>
      </c>
      <c r="V95" t="s">
        <v>755</v>
      </c>
      <c r="W95" s="15">
        <v>-24.48</v>
      </c>
      <c r="X95" s="15">
        <v>16.335999999999999</v>
      </c>
      <c r="Y95">
        <v>110</v>
      </c>
      <c r="AC95">
        <v>110</v>
      </c>
      <c r="AF95" t="b">
        <v>0</v>
      </c>
      <c r="AI95" t="s">
        <v>756</v>
      </c>
      <c r="AJ95" t="s">
        <v>756</v>
      </c>
      <c r="AL95" t="s">
        <v>72</v>
      </c>
      <c r="AM95">
        <v>652800</v>
      </c>
      <c r="AO95" s="16" t="s">
        <v>140</v>
      </c>
      <c r="AP95" s="17" t="str">
        <f t="shared" si="4"/>
        <v>Post-emergence nest</v>
      </c>
      <c r="AQ95" s="18">
        <v>10</v>
      </c>
      <c r="AT95" s="19" t="s">
        <v>141</v>
      </c>
      <c r="AU95" s="20" t="s">
        <v>104</v>
      </c>
      <c r="AX95" s="22" t="str">
        <f>IF(AND('[1]observations-276632'!W95&gt;'[1]Methods write-up'!$Q$16,'[1]observations-276632'!W95&lt;'[1]Methods write-up'!$R$16,'[1]observations-276632'!X95&gt;'[1]Methods write-up'!$S$16,'[1]observations-276632'!X95&lt;'[1]Methods write-up'!$T$16),"West and Central Africa","")</f>
        <v/>
      </c>
      <c r="AY95" s="22" t="str">
        <f>IF(AND('[1]observations-276632'!W95&gt;'[1]Methods write-up'!$Q$17,'[1]observations-276632'!W95&lt;'[1]Methods write-up'!$R$17,'[1]observations-276632'!X95&gt;'[1]Methods write-up'!$S$17,'[1]observations-276632'!X95&lt;'[1]Methods write-up'!$T$17),"Equatorial tropical forest","")</f>
        <v/>
      </c>
      <c r="AZ95" s="22" t="str">
        <f>IF(AND('[1]observations-276632'!W95&gt;'[1]Methods write-up'!$Q$18,'[1]observations-276632'!W95&lt;'[1]Methods write-up'!$R$18,'[1]observations-276632'!X95&gt;'[1]Methods write-up'!$S$18,'[1]observations-276632'!X95&lt;'[1]Methods write-up'!$T$18),"Somali peninsula","")</f>
        <v/>
      </c>
      <c r="BA95" s="22" t="str">
        <f>IF(AND('[1]observations-276632'!W95&gt;'[1]Methods write-up'!$Q$19,'[1]observations-276632'!W95&lt;'[1]Methods write-up'!$R$19,'[1]observations-276632'!X95&gt;'[1]Methods write-up'!$S$19,'[1]observations-276632'!X95&lt;'[1]Methods write-up'!$T$19),"East Africa","")</f>
        <v/>
      </c>
      <c r="BB95" s="22" t="str">
        <f>IF(AND('[1]observations-276632'!W95&gt;'[1]Methods write-up'!$Q$20,'[1]observations-276632'!W95&lt;'[1]Methods write-up'!$R$20,'[1]observations-276632'!X95&gt;'[1]Methods write-up'!$S$20,'[1]observations-276632'!X95&lt;'[1]Methods write-up'!$T$20),"Temperate seasonal","")</f>
        <v/>
      </c>
      <c r="BC95" s="22" t="str">
        <f>IF(AND('[1]observations-276632'!W95&gt;'[1]Methods write-up'!$Q$21,'[1]observations-276632'!W95&lt;'[1]Methods write-up'!$R$21,'[1]observations-276632'!X95&gt;'[1]Methods write-up'!$S$21,'[1]observations-276632'!X95&lt;'[1]Methods write-up'!$T$21),"Desert and high aridity","")</f>
        <v>Desert and high aridity</v>
      </c>
      <c r="BD95" s="23" t="str">
        <f t="shared" si="7"/>
        <v>Desert and high aridity</v>
      </c>
      <c r="BE95" s="24">
        <f t="shared" si="5"/>
        <v>23</v>
      </c>
      <c r="BF95" s="24">
        <f t="shared" si="6"/>
        <v>6</v>
      </c>
    </row>
    <row r="96" spans="1:58" ht="16.25" customHeight="1" x14ac:dyDescent="0.2">
      <c r="A96">
        <v>10901883</v>
      </c>
      <c r="B96" t="s">
        <v>823</v>
      </c>
      <c r="C96" s="14">
        <v>43204</v>
      </c>
      <c r="D96" t="s">
        <v>824</v>
      </c>
      <c r="E96" t="s">
        <v>113</v>
      </c>
      <c r="F96">
        <v>611863</v>
      </c>
      <c r="G96" t="s">
        <v>825</v>
      </c>
      <c r="I96" t="s">
        <v>826</v>
      </c>
      <c r="J96" t="s">
        <v>827</v>
      </c>
      <c r="K96" t="s">
        <v>62</v>
      </c>
      <c r="L96" t="s">
        <v>98</v>
      </c>
      <c r="M96" t="s">
        <v>828</v>
      </c>
      <c r="N96" t="s">
        <v>829</v>
      </c>
      <c r="R96">
        <v>4</v>
      </c>
      <c r="S96">
        <v>1</v>
      </c>
      <c r="T96" t="b">
        <v>0</v>
      </c>
      <c r="U96">
        <v>3</v>
      </c>
      <c r="V96" t="s">
        <v>830</v>
      </c>
      <c r="W96" s="15">
        <v>-29.845143790000002</v>
      </c>
      <c r="X96" s="15">
        <v>30.919679080000002</v>
      </c>
      <c r="Y96">
        <v>30</v>
      </c>
      <c r="AC96">
        <v>30</v>
      </c>
      <c r="AF96" t="b">
        <v>0</v>
      </c>
      <c r="AI96" t="s">
        <v>71</v>
      </c>
      <c r="AJ96" t="s">
        <v>70</v>
      </c>
      <c r="AK96" t="s">
        <v>71</v>
      </c>
      <c r="AL96" t="s">
        <v>72</v>
      </c>
      <c r="AM96">
        <v>346053</v>
      </c>
      <c r="AO96" s="16" t="s">
        <v>73</v>
      </c>
      <c r="AP96" s="17" t="str">
        <f t="shared" si="4"/>
        <v>Off-nest female</v>
      </c>
      <c r="AX96" s="22" t="str">
        <f>IF(AND('[1]observations-276632'!W96&gt;'[1]Methods write-up'!$Q$16,'[1]observations-276632'!W96&lt;'[1]Methods write-up'!$R$16,'[1]observations-276632'!X96&gt;'[1]Methods write-up'!$S$16,'[1]observations-276632'!X96&lt;'[1]Methods write-up'!$T$16),"West and Central Africa","")</f>
        <v/>
      </c>
      <c r="AY96" s="22" t="str">
        <f>IF(AND('[1]observations-276632'!W96&gt;'[1]Methods write-up'!$Q$17,'[1]observations-276632'!W96&lt;'[1]Methods write-up'!$R$17,'[1]observations-276632'!X96&gt;'[1]Methods write-up'!$S$17,'[1]observations-276632'!X96&lt;'[1]Methods write-up'!$T$17),"Equatorial tropical forest","")</f>
        <v/>
      </c>
      <c r="AZ96" s="22" t="str">
        <f>IF(AND('[1]observations-276632'!W96&gt;'[1]Methods write-up'!$Q$18,'[1]observations-276632'!W96&lt;'[1]Methods write-up'!$R$18,'[1]observations-276632'!X96&gt;'[1]Methods write-up'!$S$18,'[1]observations-276632'!X96&lt;'[1]Methods write-up'!$T$18),"Somali peninsula","")</f>
        <v/>
      </c>
      <c r="BA96" s="22" t="str">
        <f>IF(AND('[1]observations-276632'!W96&gt;'[1]Methods write-up'!$Q$19,'[1]observations-276632'!W96&lt;'[1]Methods write-up'!$R$19,'[1]observations-276632'!X96&gt;'[1]Methods write-up'!$S$19,'[1]observations-276632'!X96&lt;'[1]Methods write-up'!$T$19),"East Africa","")</f>
        <v/>
      </c>
      <c r="BB96" s="22" t="str">
        <f>IF(AND('[1]observations-276632'!W96&gt;'[1]Methods write-up'!$Q$20,'[1]observations-276632'!W96&lt;'[1]Methods write-up'!$R$20,'[1]observations-276632'!X96&gt;'[1]Methods write-up'!$S$20,'[1]observations-276632'!X96&lt;'[1]Methods write-up'!$T$20),"Temperate seasonal","")</f>
        <v>Temperate seasonal</v>
      </c>
      <c r="BC96" s="22" t="str">
        <f>IF(AND('[1]observations-276632'!W96&gt;'[1]Methods write-up'!$Q$21,'[1]observations-276632'!W96&lt;'[1]Methods write-up'!$R$21,'[1]observations-276632'!X96&gt;'[1]Methods write-up'!$S$21,'[1]observations-276632'!X96&lt;'[1]Methods write-up'!$T$21),"Desert and high aridity","")</f>
        <v/>
      </c>
      <c r="BD96" s="23" t="str">
        <f t="shared" si="7"/>
        <v>Temperate seasonal</v>
      </c>
      <c r="BE96" s="24">
        <f t="shared" si="5"/>
        <v>14</v>
      </c>
      <c r="BF96" s="24">
        <f t="shared" si="6"/>
        <v>4</v>
      </c>
    </row>
    <row r="97" spans="1:58" ht="16.25" customHeight="1" x14ac:dyDescent="0.2">
      <c r="A97">
        <v>10909576</v>
      </c>
      <c r="B97" s="13">
        <v>41532</v>
      </c>
      <c r="C97" s="14">
        <v>41532</v>
      </c>
      <c r="E97" t="s">
        <v>113</v>
      </c>
      <c r="F97">
        <v>772266</v>
      </c>
      <c r="G97" t="s">
        <v>831</v>
      </c>
      <c r="H97" t="s">
        <v>832</v>
      </c>
      <c r="I97" t="s">
        <v>833</v>
      </c>
      <c r="J97" t="s">
        <v>834</v>
      </c>
      <c r="K97" t="s">
        <v>62</v>
      </c>
      <c r="L97" t="s">
        <v>63</v>
      </c>
      <c r="M97" t="s">
        <v>835</v>
      </c>
      <c r="N97" t="s">
        <v>836</v>
      </c>
      <c r="P97" t="s">
        <v>796</v>
      </c>
      <c r="Q97" t="s">
        <v>837</v>
      </c>
      <c r="R97">
        <v>4</v>
      </c>
      <c r="S97">
        <v>0</v>
      </c>
      <c r="T97" t="b">
        <v>0</v>
      </c>
      <c r="V97" t="s">
        <v>838</v>
      </c>
      <c r="W97" s="15">
        <v>-25.461771150000001</v>
      </c>
      <c r="X97" s="15">
        <v>30.01440212</v>
      </c>
      <c r="Y97">
        <v>1</v>
      </c>
      <c r="AC97">
        <v>29958</v>
      </c>
      <c r="AD97" t="s">
        <v>839</v>
      </c>
      <c r="AF97" t="b">
        <v>1</v>
      </c>
      <c r="AI97" t="s">
        <v>70</v>
      </c>
      <c r="AJ97" t="s">
        <v>70</v>
      </c>
      <c r="AK97" t="s">
        <v>71</v>
      </c>
      <c r="AL97" t="s">
        <v>72</v>
      </c>
      <c r="AM97">
        <v>346053</v>
      </c>
      <c r="AO97" s="16" t="s">
        <v>110</v>
      </c>
      <c r="AP97" s="17" t="str">
        <f t="shared" si="4"/>
        <v>Nest (foundress)</v>
      </c>
      <c r="AQ97" s="18">
        <v>2</v>
      </c>
      <c r="AT97" s="19" t="s">
        <v>104</v>
      </c>
      <c r="AV97" s="21" t="s">
        <v>840</v>
      </c>
      <c r="AX97" s="22" t="str">
        <f>IF(AND('[1]observations-276632'!W97&gt;'[1]Methods write-up'!$Q$16,'[1]observations-276632'!W97&lt;'[1]Methods write-up'!$R$16,'[1]observations-276632'!X97&gt;'[1]Methods write-up'!$S$16,'[1]observations-276632'!X97&lt;'[1]Methods write-up'!$T$16),"West and Central Africa","")</f>
        <v/>
      </c>
      <c r="AY97" s="22" t="str">
        <f>IF(AND('[1]observations-276632'!W97&gt;'[1]Methods write-up'!$Q$17,'[1]observations-276632'!W97&lt;'[1]Methods write-up'!$R$17,'[1]observations-276632'!X97&gt;'[1]Methods write-up'!$S$17,'[1]observations-276632'!X97&lt;'[1]Methods write-up'!$T$17),"Equatorial tropical forest","")</f>
        <v/>
      </c>
      <c r="AZ97" s="22" t="str">
        <f>IF(AND('[1]observations-276632'!W97&gt;'[1]Methods write-up'!$Q$18,'[1]observations-276632'!W97&lt;'[1]Methods write-up'!$R$18,'[1]observations-276632'!X97&gt;'[1]Methods write-up'!$S$18,'[1]observations-276632'!X97&lt;'[1]Methods write-up'!$T$18),"Somali peninsula","")</f>
        <v/>
      </c>
      <c r="BA97" s="22" t="str">
        <f>IF(AND('[1]observations-276632'!W97&gt;'[1]Methods write-up'!$Q$19,'[1]observations-276632'!W97&lt;'[1]Methods write-up'!$R$19,'[1]observations-276632'!X97&gt;'[1]Methods write-up'!$S$19,'[1]observations-276632'!X97&lt;'[1]Methods write-up'!$T$19),"East Africa","")</f>
        <v/>
      </c>
      <c r="BB97" s="22" t="str">
        <f>IF(AND('[1]observations-276632'!W97&gt;'[1]Methods write-up'!$Q$20,'[1]observations-276632'!W97&lt;'[1]Methods write-up'!$R$20,'[1]observations-276632'!X97&gt;'[1]Methods write-up'!$S$20,'[1]observations-276632'!X97&lt;'[1]Methods write-up'!$T$20),"Temperate seasonal","")</f>
        <v>Temperate seasonal</v>
      </c>
      <c r="BC97" s="22" t="str">
        <f>IF(AND('[1]observations-276632'!W97&gt;'[1]Methods write-up'!$Q$21,'[1]observations-276632'!W97&lt;'[1]Methods write-up'!$R$21,'[1]observations-276632'!X97&gt;'[1]Methods write-up'!$S$21,'[1]observations-276632'!X97&lt;'[1]Methods write-up'!$T$21),"Desert and high aridity","")</f>
        <v/>
      </c>
      <c r="BD97" s="23" t="str">
        <f t="shared" si="7"/>
        <v>Temperate seasonal</v>
      </c>
      <c r="BE97" s="24">
        <f t="shared" si="5"/>
        <v>15</v>
      </c>
      <c r="BF97" s="24">
        <f t="shared" si="6"/>
        <v>9</v>
      </c>
    </row>
    <row r="98" spans="1:58" ht="16.25" customHeight="1" x14ac:dyDescent="0.2">
      <c r="C98" s="14">
        <v>41532</v>
      </c>
      <c r="M98" t="s">
        <v>182</v>
      </c>
      <c r="W98" s="15">
        <v>-25.461771150000001</v>
      </c>
      <c r="X98" s="15">
        <v>30.01440212</v>
      </c>
      <c r="AO98" s="16" t="s">
        <v>140</v>
      </c>
      <c r="AP98" s="17" t="str">
        <f t="shared" si="4"/>
        <v>Post-emergence nest</v>
      </c>
      <c r="AQ98" s="18">
        <v>9</v>
      </c>
      <c r="AT98" s="19" t="s">
        <v>141</v>
      </c>
      <c r="AU98" s="20" t="s">
        <v>104</v>
      </c>
      <c r="AX98" s="22" t="str">
        <f>IF(AND('[1]observations-276632'!W98&gt;'[1]Methods write-up'!$Q$16,'[1]observations-276632'!W98&lt;'[1]Methods write-up'!$R$16,'[1]observations-276632'!X98&gt;'[1]Methods write-up'!$S$16,'[1]observations-276632'!X98&lt;'[1]Methods write-up'!$T$16),"West and Central Africa","")</f>
        <v/>
      </c>
      <c r="AY98" s="22" t="str">
        <f>IF(AND('[1]observations-276632'!W98&gt;'[1]Methods write-up'!$Q$17,'[1]observations-276632'!W98&lt;'[1]Methods write-up'!$R$17,'[1]observations-276632'!X98&gt;'[1]Methods write-up'!$S$17,'[1]observations-276632'!X98&lt;'[1]Methods write-up'!$T$17),"Equatorial tropical forest","")</f>
        <v/>
      </c>
      <c r="AZ98" s="22" t="str">
        <f>IF(AND('[1]observations-276632'!W98&gt;'[1]Methods write-up'!$Q$18,'[1]observations-276632'!W98&lt;'[1]Methods write-up'!$R$18,'[1]observations-276632'!X98&gt;'[1]Methods write-up'!$S$18,'[1]observations-276632'!X98&lt;'[1]Methods write-up'!$T$18),"Somali peninsula","")</f>
        <v/>
      </c>
      <c r="BA98" s="22" t="str">
        <f>IF(AND('[1]observations-276632'!W98&gt;'[1]Methods write-up'!$Q$19,'[1]observations-276632'!W98&lt;'[1]Methods write-up'!$R$19,'[1]observations-276632'!X98&gt;'[1]Methods write-up'!$S$19,'[1]observations-276632'!X98&lt;'[1]Methods write-up'!$T$19),"East Africa","")</f>
        <v/>
      </c>
      <c r="BB98" s="22" t="str">
        <f>IF(AND('[1]observations-276632'!W98&gt;'[1]Methods write-up'!$Q$20,'[1]observations-276632'!W98&lt;'[1]Methods write-up'!$R$20,'[1]observations-276632'!X98&gt;'[1]Methods write-up'!$S$20,'[1]observations-276632'!X98&lt;'[1]Methods write-up'!$T$20),"Temperate seasonal","")</f>
        <v>Temperate seasonal</v>
      </c>
      <c r="BC98" s="22" t="str">
        <f>IF(AND('[1]observations-276632'!W98&gt;'[1]Methods write-up'!$Q$21,'[1]observations-276632'!W98&lt;'[1]Methods write-up'!$R$21,'[1]observations-276632'!X98&gt;'[1]Methods write-up'!$S$21,'[1]observations-276632'!X98&lt;'[1]Methods write-up'!$T$21),"Desert and high aridity","")</f>
        <v/>
      </c>
      <c r="BD98" s="23" t="str">
        <f t="shared" si="7"/>
        <v>Temperate seasonal</v>
      </c>
      <c r="BE98" s="24">
        <f t="shared" si="5"/>
        <v>15</v>
      </c>
      <c r="BF98" s="24">
        <f t="shared" si="6"/>
        <v>9</v>
      </c>
    </row>
    <row r="99" spans="1:58" ht="16.25" customHeight="1" x14ac:dyDescent="0.2">
      <c r="C99" s="14">
        <v>41532</v>
      </c>
      <c r="M99" t="s">
        <v>613</v>
      </c>
      <c r="W99" s="15">
        <v>-25.461771150000001</v>
      </c>
      <c r="X99" s="15">
        <v>30.01440212</v>
      </c>
      <c r="AO99" s="16" t="s">
        <v>140</v>
      </c>
      <c r="AP99" s="17" t="str">
        <f t="shared" si="4"/>
        <v>Post-emergence nest</v>
      </c>
      <c r="AQ99" s="18">
        <v>13</v>
      </c>
      <c r="AT99" s="19" t="s">
        <v>141</v>
      </c>
      <c r="AU99" s="20" t="s">
        <v>104</v>
      </c>
      <c r="AX99" s="22" t="str">
        <f>IF(AND('[1]observations-276632'!W99&gt;'[1]Methods write-up'!$Q$16,'[1]observations-276632'!W99&lt;'[1]Methods write-up'!$R$16,'[1]observations-276632'!X99&gt;'[1]Methods write-up'!$S$16,'[1]observations-276632'!X99&lt;'[1]Methods write-up'!$T$16),"West and Central Africa","")</f>
        <v/>
      </c>
      <c r="AY99" s="22" t="str">
        <f>IF(AND('[1]observations-276632'!W99&gt;'[1]Methods write-up'!$Q$17,'[1]observations-276632'!W99&lt;'[1]Methods write-up'!$R$17,'[1]observations-276632'!X99&gt;'[1]Methods write-up'!$S$17,'[1]observations-276632'!X99&lt;'[1]Methods write-up'!$T$17),"Equatorial tropical forest","")</f>
        <v/>
      </c>
      <c r="AZ99" s="22" t="str">
        <f>IF(AND('[1]observations-276632'!W99&gt;'[1]Methods write-up'!$Q$18,'[1]observations-276632'!W99&lt;'[1]Methods write-up'!$R$18,'[1]observations-276632'!X99&gt;'[1]Methods write-up'!$S$18,'[1]observations-276632'!X99&lt;'[1]Methods write-up'!$T$18),"Somali peninsula","")</f>
        <v/>
      </c>
      <c r="BA99" s="22" t="str">
        <f>IF(AND('[1]observations-276632'!W99&gt;'[1]Methods write-up'!$Q$19,'[1]observations-276632'!W99&lt;'[1]Methods write-up'!$R$19,'[1]observations-276632'!X99&gt;'[1]Methods write-up'!$S$19,'[1]observations-276632'!X99&lt;'[1]Methods write-up'!$T$19),"East Africa","")</f>
        <v/>
      </c>
      <c r="BB99" s="22" t="str">
        <f>IF(AND('[1]observations-276632'!W99&gt;'[1]Methods write-up'!$Q$20,'[1]observations-276632'!W99&lt;'[1]Methods write-up'!$R$20,'[1]observations-276632'!X99&gt;'[1]Methods write-up'!$S$20,'[1]observations-276632'!X99&lt;'[1]Methods write-up'!$T$20),"Temperate seasonal","")</f>
        <v>Temperate seasonal</v>
      </c>
      <c r="BC99" s="22" t="str">
        <f>IF(AND('[1]observations-276632'!W99&gt;'[1]Methods write-up'!$Q$21,'[1]observations-276632'!W99&lt;'[1]Methods write-up'!$R$21,'[1]observations-276632'!X99&gt;'[1]Methods write-up'!$S$21,'[1]observations-276632'!X99&lt;'[1]Methods write-up'!$T$21),"Desert and high aridity","")</f>
        <v/>
      </c>
      <c r="BD99" s="23" t="str">
        <f t="shared" si="7"/>
        <v>Temperate seasonal</v>
      </c>
      <c r="BE99" s="24">
        <f t="shared" si="5"/>
        <v>15</v>
      </c>
      <c r="BF99" s="24">
        <f t="shared" si="6"/>
        <v>9</v>
      </c>
    </row>
    <row r="100" spans="1:58" ht="16.25" customHeight="1" x14ac:dyDescent="0.2">
      <c r="C100" s="14">
        <v>41532</v>
      </c>
      <c r="M100" t="s">
        <v>841</v>
      </c>
      <c r="W100" s="15">
        <v>-25.461771150000001</v>
      </c>
      <c r="X100" s="15">
        <v>30.01440212</v>
      </c>
      <c r="AO100" s="16" t="s">
        <v>110</v>
      </c>
      <c r="AP100" s="17" t="str">
        <f t="shared" si="4"/>
        <v>Nest (foundress)</v>
      </c>
      <c r="AQ100" s="18">
        <v>1</v>
      </c>
      <c r="AX100" s="22" t="str">
        <f>IF(AND('[1]observations-276632'!W100&gt;'[1]Methods write-up'!$Q$16,'[1]observations-276632'!W100&lt;'[1]Methods write-up'!$R$16,'[1]observations-276632'!X100&gt;'[1]Methods write-up'!$S$16,'[1]observations-276632'!X100&lt;'[1]Methods write-up'!$T$16),"West and Central Africa","")</f>
        <v/>
      </c>
      <c r="AY100" s="22" t="str">
        <f>IF(AND('[1]observations-276632'!W100&gt;'[1]Methods write-up'!$Q$17,'[1]observations-276632'!W100&lt;'[1]Methods write-up'!$R$17,'[1]observations-276632'!X100&gt;'[1]Methods write-up'!$S$17,'[1]observations-276632'!X100&lt;'[1]Methods write-up'!$T$17),"Equatorial tropical forest","")</f>
        <v/>
      </c>
      <c r="AZ100" s="22" t="str">
        <f>IF(AND('[1]observations-276632'!W100&gt;'[1]Methods write-up'!$Q$18,'[1]observations-276632'!W100&lt;'[1]Methods write-up'!$R$18,'[1]observations-276632'!X100&gt;'[1]Methods write-up'!$S$18,'[1]observations-276632'!X100&lt;'[1]Methods write-up'!$T$18),"Somali peninsula","")</f>
        <v/>
      </c>
      <c r="BA100" s="22" t="str">
        <f>IF(AND('[1]observations-276632'!W100&gt;'[1]Methods write-up'!$Q$19,'[1]observations-276632'!W100&lt;'[1]Methods write-up'!$R$19,'[1]observations-276632'!X100&gt;'[1]Methods write-up'!$S$19,'[1]observations-276632'!X100&lt;'[1]Methods write-up'!$T$19),"East Africa","")</f>
        <v/>
      </c>
      <c r="BB100" s="22" t="str">
        <f>IF(AND('[1]observations-276632'!W100&gt;'[1]Methods write-up'!$Q$20,'[1]observations-276632'!W100&lt;'[1]Methods write-up'!$R$20,'[1]observations-276632'!X100&gt;'[1]Methods write-up'!$S$20,'[1]observations-276632'!X100&lt;'[1]Methods write-up'!$T$20),"Temperate seasonal","")</f>
        <v>Temperate seasonal</v>
      </c>
      <c r="BC100" s="22" t="str">
        <f>IF(AND('[1]observations-276632'!W100&gt;'[1]Methods write-up'!$Q$21,'[1]observations-276632'!W100&lt;'[1]Methods write-up'!$R$21,'[1]observations-276632'!X100&gt;'[1]Methods write-up'!$S$21,'[1]observations-276632'!X100&lt;'[1]Methods write-up'!$T$21),"Desert and high aridity","")</f>
        <v/>
      </c>
      <c r="BD100" s="23" t="str">
        <f t="shared" si="7"/>
        <v>Temperate seasonal</v>
      </c>
      <c r="BE100" s="24">
        <f t="shared" si="5"/>
        <v>15</v>
      </c>
      <c r="BF100" s="24">
        <f t="shared" si="6"/>
        <v>9</v>
      </c>
    </row>
    <row r="101" spans="1:58" ht="16.25" customHeight="1" x14ac:dyDescent="0.2">
      <c r="C101" s="14">
        <v>41532</v>
      </c>
      <c r="M101" t="s">
        <v>842</v>
      </c>
      <c r="W101" s="15">
        <v>-25.461771150000001</v>
      </c>
      <c r="X101" s="15">
        <v>30.01440212</v>
      </c>
      <c r="AO101" s="16" t="s">
        <v>140</v>
      </c>
      <c r="AP101" s="17" t="str">
        <f t="shared" si="4"/>
        <v>Post-emergence nest</v>
      </c>
      <c r="AQ101" s="18">
        <v>12</v>
      </c>
      <c r="AT101" s="19" t="s">
        <v>141</v>
      </c>
      <c r="AU101" s="20" t="s">
        <v>104</v>
      </c>
      <c r="AX101" s="22" t="str">
        <f>IF(AND('[1]observations-276632'!W101&gt;'[1]Methods write-up'!$Q$16,'[1]observations-276632'!W101&lt;'[1]Methods write-up'!$R$16,'[1]observations-276632'!X101&gt;'[1]Methods write-up'!$S$16,'[1]observations-276632'!X101&lt;'[1]Methods write-up'!$T$16),"West and Central Africa","")</f>
        <v/>
      </c>
      <c r="AY101" s="22" t="str">
        <f>IF(AND('[1]observations-276632'!W101&gt;'[1]Methods write-up'!$Q$17,'[1]observations-276632'!W101&lt;'[1]Methods write-up'!$R$17,'[1]observations-276632'!X101&gt;'[1]Methods write-up'!$S$17,'[1]observations-276632'!X101&lt;'[1]Methods write-up'!$T$17),"Equatorial tropical forest","")</f>
        <v/>
      </c>
      <c r="AZ101" s="22" t="str">
        <f>IF(AND('[1]observations-276632'!W101&gt;'[1]Methods write-up'!$Q$18,'[1]observations-276632'!W101&lt;'[1]Methods write-up'!$R$18,'[1]observations-276632'!X101&gt;'[1]Methods write-up'!$S$18,'[1]observations-276632'!X101&lt;'[1]Methods write-up'!$T$18),"Somali peninsula","")</f>
        <v/>
      </c>
      <c r="BA101" s="22" t="str">
        <f>IF(AND('[1]observations-276632'!W101&gt;'[1]Methods write-up'!$Q$19,'[1]observations-276632'!W101&lt;'[1]Methods write-up'!$R$19,'[1]observations-276632'!X101&gt;'[1]Methods write-up'!$S$19,'[1]observations-276632'!X101&lt;'[1]Methods write-up'!$T$19),"East Africa","")</f>
        <v/>
      </c>
      <c r="BB101" s="22" t="str">
        <f>IF(AND('[1]observations-276632'!W101&gt;'[1]Methods write-up'!$Q$20,'[1]observations-276632'!W101&lt;'[1]Methods write-up'!$R$20,'[1]observations-276632'!X101&gt;'[1]Methods write-up'!$S$20,'[1]observations-276632'!X101&lt;'[1]Methods write-up'!$T$20),"Temperate seasonal","")</f>
        <v>Temperate seasonal</v>
      </c>
      <c r="BC101" s="22" t="str">
        <f>IF(AND('[1]observations-276632'!W101&gt;'[1]Methods write-up'!$Q$21,'[1]observations-276632'!W101&lt;'[1]Methods write-up'!$R$21,'[1]observations-276632'!X101&gt;'[1]Methods write-up'!$S$21,'[1]observations-276632'!X101&lt;'[1]Methods write-up'!$T$21),"Desert and high aridity","")</f>
        <v/>
      </c>
      <c r="BD101" s="23" t="str">
        <f t="shared" si="7"/>
        <v>Temperate seasonal</v>
      </c>
      <c r="BE101" s="24">
        <f t="shared" si="5"/>
        <v>15</v>
      </c>
      <c r="BF101" s="24">
        <f t="shared" si="6"/>
        <v>9</v>
      </c>
    </row>
    <row r="102" spans="1:58" ht="16.25" customHeight="1" x14ac:dyDescent="0.2">
      <c r="A102">
        <v>10913887</v>
      </c>
      <c r="B102" s="13">
        <v>41702</v>
      </c>
      <c r="C102" s="14">
        <v>41702</v>
      </c>
      <c r="E102" t="s">
        <v>113</v>
      </c>
      <c r="F102">
        <v>528390</v>
      </c>
      <c r="G102" t="s">
        <v>843</v>
      </c>
      <c r="H102" t="s">
        <v>844</v>
      </c>
      <c r="I102" t="s">
        <v>845</v>
      </c>
      <c r="J102" t="s">
        <v>846</v>
      </c>
      <c r="K102" t="s">
        <v>62</v>
      </c>
      <c r="L102" t="s">
        <v>63</v>
      </c>
      <c r="M102" t="s">
        <v>847</v>
      </c>
      <c r="N102" t="s">
        <v>848</v>
      </c>
      <c r="P102" t="s">
        <v>753</v>
      </c>
      <c r="Q102" t="s">
        <v>709</v>
      </c>
      <c r="R102">
        <v>5</v>
      </c>
      <c r="S102">
        <v>0</v>
      </c>
      <c r="T102" t="b">
        <v>0</v>
      </c>
      <c r="V102" t="s">
        <v>849</v>
      </c>
      <c r="W102" s="15">
        <v>-33.969410000000003</v>
      </c>
      <c r="X102" s="15">
        <v>22.087759999999999</v>
      </c>
      <c r="Y102">
        <v>1</v>
      </c>
      <c r="AC102">
        <v>1</v>
      </c>
      <c r="AF102" t="b">
        <v>0</v>
      </c>
      <c r="AI102" t="s">
        <v>70</v>
      </c>
      <c r="AJ102" t="s">
        <v>70</v>
      </c>
      <c r="AK102" t="s">
        <v>71</v>
      </c>
      <c r="AL102" t="s">
        <v>72</v>
      </c>
      <c r="AM102">
        <v>346053</v>
      </c>
      <c r="AO102" s="16" t="s">
        <v>73</v>
      </c>
      <c r="AP102" s="17" t="str">
        <f t="shared" si="4"/>
        <v>Off-nest female</v>
      </c>
      <c r="AX102" s="22" t="str">
        <f>IF(AND('[1]observations-276632'!W102&gt;'[1]Methods write-up'!$Q$16,'[1]observations-276632'!W102&lt;'[1]Methods write-up'!$R$16,'[1]observations-276632'!X102&gt;'[1]Methods write-up'!$S$16,'[1]observations-276632'!X102&lt;'[1]Methods write-up'!$T$16),"West and Central Africa","")</f>
        <v/>
      </c>
      <c r="AY102" s="22" t="str">
        <f>IF(AND('[1]observations-276632'!W102&gt;'[1]Methods write-up'!$Q$17,'[1]observations-276632'!W102&lt;'[1]Methods write-up'!$R$17,'[1]observations-276632'!X102&gt;'[1]Methods write-up'!$S$17,'[1]observations-276632'!X102&lt;'[1]Methods write-up'!$T$17),"Equatorial tropical forest","")</f>
        <v/>
      </c>
      <c r="AZ102" s="22" t="str">
        <f>IF(AND('[1]observations-276632'!W102&gt;'[1]Methods write-up'!$Q$18,'[1]observations-276632'!W102&lt;'[1]Methods write-up'!$R$18,'[1]observations-276632'!X102&gt;'[1]Methods write-up'!$S$18,'[1]observations-276632'!X102&lt;'[1]Methods write-up'!$T$18),"Somali peninsula","")</f>
        <v/>
      </c>
      <c r="BA102" s="22" t="str">
        <f>IF(AND('[1]observations-276632'!W102&gt;'[1]Methods write-up'!$Q$19,'[1]observations-276632'!W102&lt;'[1]Methods write-up'!$R$19,'[1]observations-276632'!X102&gt;'[1]Methods write-up'!$S$19,'[1]observations-276632'!X102&lt;'[1]Methods write-up'!$T$19),"East Africa","")</f>
        <v/>
      </c>
      <c r="BB102" s="22" t="str">
        <f>IF(AND('[1]observations-276632'!W102&gt;'[1]Methods write-up'!$Q$20,'[1]observations-276632'!W102&lt;'[1]Methods write-up'!$R$20,'[1]observations-276632'!X102&gt;'[1]Methods write-up'!$S$20,'[1]observations-276632'!X102&lt;'[1]Methods write-up'!$T$20),"Temperate seasonal","")</f>
        <v/>
      </c>
      <c r="BC102" s="22" t="str">
        <f>IF(AND('[1]observations-276632'!W102&gt;'[1]Methods write-up'!$Q$21,'[1]observations-276632'!W102&lt;'[1]Methods write-up'!$R$21,'[1]observations-276632'!X102&gt;'[1]Methods write-up'!$S$21,'[1]observations-276632'!X102&lt;'[1]Methods write-up'!$T$21),"Desert and high aridity","")</f>
        <v/>
      </c>
      <c r="BD102" s="23" t="str">
        <f t="shared" si="7"/>
        <v/>
      </c>
      <c r="BE102" s="24">
        <f t="shared" si="5"/>
        <v>4</v>
      </c>
      <c r="BF102" s="24">
        <f t="shared" si="6"/>
        <v>3</v>
      </c>
    </row>
    <row r="103" spans="1:58" ht="16.25" customHeight="1" x14ac:dyDescent="0.2">
      <c r="A103">
        <v>10930279</v>
      </c>
      <c r="B103" s="13">
        <v>41704</v>
      </c>
      <c r="C103" s="14">
        <v>41704</v>
      </c>
      <c r="E103" t="s">
        <v>113</v>
      </c>
      <c r="F103">
        <v>772266</v>
      </c>
      <c r="G103" t="s">
        <v>831</v>
      </c>
      <c r="H103" t="s">
        <v>832</v>
      </c>
      <c r="I103" t="s">
        <v>850</v>
      </c>
      <c r="J103" t="s">
        <v>851</v>
      </c>
      <c r="K103" t="s">
        <v>62</v>
      </c>
      <c r="L103" t="s">
        <v>63</v>
      </c>
      <c r="M103" t="s">
        <v>852</v>
      </c>
      <c r="N103" t="s">
        <v>853</v>
      </c>
      <c r="P103" t="s">
        <v>854</v>
      </c>
      <c r="Q103" t="s">
        <v>855</v>
      </c>
      <c r="R103">
        <v>4</v>
      </c>
      <c r="S103">
        <v>0</v>
      </c>
      <c r="T103" t="b">
        <v>0</v>
      </c>
      <c r="V103" t="s">
        <v>856</v>
      </c>
      <c r="W103" s="15">
        <v>-25.423380000000002</v>
      </c>
      <c r="X103" s="15">
        <v>30.106059999999999</v>
      </c>
      <c r="Y103">
        <v>1</v>
      </c>
      <c r="AC103">
        <v>1</v>
      </c>
      <c r="AF103" t="b">
        <v>0</v>
      </c>
      <c r="AI103" t="s">
        <v>70</v>
      </c>
      <c r="AJ103" t="s">
        <v>70</v>
      </c>
      <c r="AK103" t="s">
        <v>71</v>
      </c>
      <c r="AL103" t="s">
        <v>72</v>
      </c>
      <c r="AM103">
        <v>346053</v>
      </c>
      <c r="AO103" s="16" t="s">
        <v>442</v>
      </c>
      <c r="AP103" s="17" t="str">
        <f t="shared" si="4"/>
        <v>Dead female</v>
      </c>
      <c r="AX103" s="22" t="str">
        <f>IF(AND('[1]observations-276632'!W103&gt;'[1]Methods write-up'!$Q$16,'[1]observations-276632'!W103&lt;'[1]Methods write-up'!$R$16,'[1]observations-276632'!X103&gt;'[1]Methods write-up'!$S$16,'[1]observations-276632'!X103&lt;'[1]Methods write-up'!$T$16),"West and Central Africa","")</f>
        <v/>
      </c>
      <c r="AY103" s="22" t="str">
        <f>IF(AND('[1]observations-276632'!W103&gt;'[1]Methods write-up'!$Q$17,'[1]observations-276632'!W103&lt;'[1]Methods write-up'!$R$17,'[1]observations-276632'!X103&gt;'[1]Methods write-up'!$S$17,'[1]observations-276632'!X103&lt;'[1]Methods write-up'!$T$17),"Equatorial tropical forest","")</f>
        <v/>
      </c>
      <c r="AZ103" s="22" t="str">
        <f>IF(AND('[1]observations-276632'!W103&gt;'[1]Methods write-up'!$Q$18,'[1]observations-276632'!W103&lt;'[1]Methods write-up'!$R$18,'[1]observations-276632'!X103&gt;'[1]Methods write-up'!$S$18,'[1]observations-276632'!X103&lt;'[1]Methods write-up'!$T$18),"Somali peninsula","")</f>
        <v/>
      </c>
      <c r="BA103" s="22" t="str">
        <f>IF(AND('[1]observations-276632'!W103&gt;'[1]Methods write-up'!$Q$19,'[1]observations-276632'!W103&lt;'[1]Methods write-up'!$R$19,'[1]observations-276632'!X103&gt;'[1]Methods write-up'!$S$19,'[1]observations-276632'!X103&lt;'[1]Methods write-up'!$T$19),"East Africa","")</f>
        <v/>
      </c>
      <c r="BB103" s="22" t="str">
        <f>IF(AND('[1]observations-276632'!W103&gt;'[1]Methods write-up'!$Q$20,'[1]observations-276632'!W103&lt;'[1]Methods write-up'!$R$20,'[1]observations-276632'!X103&gt;'[1]Methods write-up'!$S$20,'[1]observations-276632'!X103&lt;'[1]Methods write-up'!$T$20),"Temperate seasonal","")</f>
        <v>Temperate seasonal</v>
      </c>
      <c r="BC103" s="22" t="str">
        <f>IF(AND('[1]observations-276632'!W103&gt;'[1]Methods write-up'!$Q$21,'[1]observations-276632'!W103&lt;'[1]Methods write-up'!$R$21,'[1]observations-276632'!X103&gt;'[1]Methods write-up'!$S$21,'[1]observations-276632'!X103&lt;'[1]Methods write-up'!$T$21),"Desert and high aridity","")</f>
        <v/>
      </c>
      <c r="BD103" s="23" t="str">
        <f t="shared" si="7"/>
        <v>Temperate seasonal</v>
      </c>
      <c r="BE103" s="24">
        <f t="shared" si="5"/>
        <v>6</v>
      </c>
      <c r="BF103" s="24">
        <f t="shared" si="6"/>
        <v>3</v>
      </c>
    </row>
    <row r="104" spans="1:58" ht="16.25" customHeight="1" x14ac:dyDescent="0.2">
      <c r="A104">
        <v>10945876</v>
      </c>
      <c r="B104" s="13">
        <v>41807</v>
      </c>
      <c r="C104" s="14">
        <v>41807</v>
      </c>
      <c r="E104" t="s">
        <v>811</v>
      </c>
      <c r="F104">
        <v>772266</v>
      </c>
      <c r="G104" t="s">
        <v>831</v>
      </c>
      <c r="H104" t="s">
        <v>832</v>
      </c>
      <c r="I104" t="s">
        <v>857</v>
      </c>
      <c r="J104" t="s">
        <v>858</v>
      </c>
      <c r="K104" t="s">
        <v>62</v>
      </c>
      <c r="L104" t="s">
        <v>63</v>
      </c>
      <c r="M104" t="s">
        <v>859</v>
      </c>
      <c r="N104" t="s">
        <v>860</v>
      </c>
      <c r="P104" t="s">
        <v>854</v>
      </c>
      <c r="Q104" t="s">
        <v>861</v>
      </c>
      <c r="R104">
        <v>1</v>
      </c>
      <c r="S104">
        <v>0</v>
      </c>
      <c r="T104" t="b">
        <v>0</v>
      </c>
      <c r="V104" t="s">
        <v>856</v>
      </c>
      <c r="W104" s="15">
        <v>-25.423380000000002</v>
      </c>
      <c r="X104" s="15">
        <v>30.106059999999999</v>
      </c>
      <c r="Y104">
        <v>1</v>
      </c>
      <c r="AC104">
        <v>1</v>
      </c>
      <c r="AF104" t="b">
        <v>0</v>
      </c>
      <c r="AI104" t="s">
        <v>70</v>
      </c>
      <c r="AJ104" t="s">
        <v>70</v>
      </c>
      <c r="AK104" t="s">
        <v>71</v>
      </c>
      <c r="AL104" t="s">
        <v>72</v>
      </c>
      <c r="AM104">
        <v>346053</v>
      </c>
      <c r="AO104" s="16" t="s">
        <v>862</v>
      </c>
      <c r="AP104" s="17" t="str">
        <f t="shared" si="4"/>
        <v>Larva off nest</v>
      </c>
      <c r="AX104" s="22" t="str">
        <f>IF(AND('[1]observations-276632'!W104&gt;'[1]Methods write-up'!$Q$16,'[1]observations-276632'!W104&lt;'[1]Methods write-up'!$R$16,'[1]observations-276632'!X104&gt;'[1]Methods write-up'!$S$16,'[1]observations-276632'!X104&lt;'[1]Methods write-up'!$T$16),"West and Central Africa","")</f>
        <v/>
      </c>
      <c r="AY104" s="22" t="str">
        <f>IF(AND('[1]observations-276632'!W104&gt;'[1]Methods write-up'!$Q$17,'[1]observations-276632'!W104&lt;'[1]Methods write-up'!$R$17,'[1]observations-276632'!X104&gt;'[1]Methods write-up'!$S$17,'[1]observations-276632'!X104&lt;'[1]Methods write-up'!$T$17),"Equatorial tropical forest","")</f>
        <v/>
      </c>
      <c r="AZ104" s="22" t="str">
        <f>IF(AND('[1]observations-276632'!W104&gt;'[1]Methods write-up'!$Q$18,'[1]observations-276632'!W104&lt;'[1]Methods write-up'!$R$18,'[1]observations-276632'!X104&gt;'[1]Methods write-up'!$S$18,'[1]observations-276632'!X104&lt;'[1]Methods write-up'!$T$18),"Somali peninsula","")</f>
        <v/>
      </c>
      <c r="BA104" s="22" t="str">
        <f>IF(AND('[1]observations-276632'!W104&gt;'[1]Methods write-up'!$Q$19,'[1]observations-276632'!W104&lt;'[1]Methods write-up'!$R$19,'[1]observations-276632'!X104&gt;'[1]Methods write-up'!$S$19,'[1]observations-276632'!X104&lt;'[1]Methods write-up'!$T$19),"East Africa","")</f>
        <v/>
      </c>
      <c r="BB104" s="22" t="str">
        <f>IF(AND('[1]observations-276632'!W104&gt;'[1]Methods write-up'!$Q$20,'[1]observations-276632'!W104&lt;'[1]Methods write-up'!$R$20,'[1]observations-276632'!X104&gt;'[1]Methods write-up'!$S$20,'[1]observations-276632'!X104&lt;'[1]Methods write-up'!$T$20),"Temperate seasonal","")</f>
        <v>Temperate seasonal</v>
      </c>
      <c r="BC104" s="22" t="str">
        <f>IF(AND('[1]observations-276632'!W104&gt;'[1]Methods write-up'!$Q$21,'[1]observations-276632'!W104&lt;'[1]Methods write-up'!$R$21,'[1]observations-276632'!X104&gt;'[1]Methods write-up'!$S$21,'[1]observations-276632'!X104&lt;'[1]Methods write-up'!$T$21),"Desert and high aridity","")</f>
        <v/>
      </c>
      <c r="BD104" s="23" t="str">
        <f t="shared" si="7"/>
        <v>Temperate seasonal</v>
      </c>
      <c r="BE104" s="24">
        <f t="shared" si="5"/>
        <v>17</v>
      </c>
      <c r="BF104" s="24">
        <f t="shared" si="6"/>
        <v>6</v>
      </c>
    </row>
    <row r="105" spans="1:58" ht="16.25" customHeight="1" x14ac:dyDescent="0.2">
      <c r="A105">
        <v>10953170</v>
      </c>
      <c r="B105" s="13">
        <v>41813</v>
      </c>
      <c r="C105" s="14">
        <v>41813</v>
      </c>
      <c r="E105" t="s">
        <v>113</v>
      </c>
      <c r="F105">
        <v>390621</v>
      </c>
      <c r="G105" t="s">
        <v>863</v>
      </c>
      <c r="H105" t="s">
        <v>864</v>
      </c>
      <c r="I105" t="s">
        <v>865</v>
      </c>
      <c r="J105" t="s">
        <v>866</v>
      </c>
      <c r="K105" t="s">
        <v>62</v>
      </c>
      <c r="L105" t="s">
        <v>63</v>
      </c>
      <c r="M105" t="s">
        <v>867</v>
      </c>
      <c r="N105" t="s">
        <v>868</v>
      </c>
      <c r="P105" t="s">
        <v>869</v>
      </c>
      <c r="Q105" t="s">
        <v>870</v>
      </c>
      <c r="R105">
        <v>4</v>
      </c>
      <c r="S105">
        <v>0</v>
      </c>
      <c r="T105" t="b">
        <v>0</v>
      </c>
      <c r="V105" t="s">
        <v>871</v>
      </c>
      <c r="W105" s="15">
        <v>-33.947299999999998</v>
      </c>
      <c r="X105" s="15">
        <v>22.463730000000002</v>
      </c>
      <c r="Y105">
        <v>1</v>
      </c>
      <c r="AC105">
        <v>1</v>
      </c>
      <c r="AF105" t="b">
        <v>0</v>
      </c>
      <c r="AI105" t="s">
        <v>70</v>
      </c>
      <c r="AJ105" t="s">
        <v>70</v>
      </c>
      <c r="AK105" t="s">
        <v>71</v>
      </c>
      <c r="AL105" t="s">
        <v>72</v>
      </c>
      <c r="AM105">
        <v>346053</v>
      </c>
      <c r="AO105" s="16" t="s">
        <v>73</v>
      </c>
      <c r="AP105" s="17" t="str">
        <f t="shared" si="4"/>
        <v>Off-nest female</v>
      </c>
      <c r="AX105" s="22" t="str">
        <f>IF(AND('[1]observations-276632'!W105&gt;'[1]Methods write-up'!$Q$16,'[1]observations-276632'!W105&lt;'[1]Methods write-up'!$R$16,'[1]observations-276632'!X105&gt;'[1]Methods write-up'!$S$16,'[1]observations-276632'!X105&lt;'[1]Methods write-up'!$T$16),"West and Central Africa","")</f>
        <v/>
      </c>
      <c r="AY105" s="22" t="str">
        <f>IF(AND('[1]observations-276632'!W105&gt;'[1]Methods write-up'!$Q$17,'[1]observations-276632'!W105&lt;'[1]Methods write-up'!$R$17,'[1]observations-276632'!X105&gt;'[1]Methods write-up'!$S$17,'[1]observations-276632'!X105&lt;'[1]Methods write-up'!$T$17),"Equatorial tropical forest","")</f>
        <v/>
      </c>
      <c r="AZ105" s="22" t="str">
        <f>IF(AND('[1]observations-276632'!W105&gt;'[1]Methods write-up'!$Q$18,'[1]observations-276632'!W105&lt;'[1]Methods write-up'!$R$18,'[1]observations-276632'!X105&gt;'[1]Methods write-up'!$S$18,'[1]observations-276632'!X105&lt;'[1]Methods write-up'!$T$18),"Somali peninsula","")</f>
        <v/>
      </c>
      <c r="BA105" s="22" t="str">
        <f>IF(AND('[1]observations-276632'!W105&gt;'[1]Methods write-up'!$Q$19,'[1]observations-276632'!W105&lt;'[1]Methods write-up'!$R$19,'[1]observations-276632'!X105&gt;'[1]Methods write-up'!$S$19,'[1]observations-276632'!X105&lt;'[1]Methods write-up'!$T$19),"East Africa","")</f>
        <v/>
      </c>
      <c r="BB105" s="22" t="str">
        <f>IF(AND('[1]observations-276632'!W105&gt;'[1]Methods write-up'!$Q$20,'[1]observations-276632'!W105&lt;'[1]Methods write-up'!$R$20,'[1]observations-276632'!X105&gt;'[1]Methods write-up'!$S$20,'[1]observations-276632'!X105&lt;'[1]Methods write-up'!$T$20),"Temperate seasonal","")</f>
        <v/>
      </c>
      <c r="BC105" s="22" t="str">
        <f>IF(AND('[1]observations-276632'!W105&gt;'[1]Methods write-up'!$Q$21,'[1]observations-276632'!W105&lt;'[1]Methods write-up'!$R$21,'[1]observations-276632'!X105&gt;'[1]Methods write-up'!$S$21,'[1]observations-276632'!X105&lt;'[1]Methods write-up'!$T$21),"Desert and high aridity","")</f>
        <v/>
      </c>
      <c r="BD105" s="23" t="str">
        <f t="shared" si="7"/>
        <v/>
      </c>
      <c r="BE105" s="24">
        <f t="shared" si="5"/>
        <v>23</v>
      </c>
      <c r="BF105" s="24">
        <f t="shared" si="6"/>
        <v>6</v>
      </c>
    </row>
    <row r="106" spans="1:58" ht="16.25" customHeight="1" x14ac:dyDescent="0.2">
      <c r="A106">
        <v>10953205</v>
      </c>
      <c r="B106" s="13">
        <v>41005</v>
      </c>
      <c r="C106" s="14">
        <v>41005</v>
      </c>
      <c r="E106" t="s">
        <v>811</v>
      </c>
      <c r="F106">
        <v>389988</v>
      </c>
      <c r="G106" t="s">
        <v>747</v>
      </c>
      <c r="H106" t="s">
        <v>748</v>
      </c>
      <c r="I106" t="s">
        <v>872</v>
      </c>
      <c r="J106" t="s">
        <v>873</v>
      </c>
      <c r="K106" t="s">
        <v>62</v>
      </c>
      <c r="L106" t="s">
        <v>63</v>
      </c>
      <c r="M106" t="s">
        <v>874</v>
      </c>
      <c r="N106" t="s">
        <v>875</v>
      </c>
      <c r="P106" t="s">
        <v>753</v>
      </c>
      <c r="Q106" t="s">
        <v>876</v>
      </c>
      <c r="R106">
        <v>0</v>
      </c>
      <c r="S106">
        <v>0</v>
      </c>
      <c r="T106" t="b">
        <v>0</v>
      </c>
      <c r="V106" t="s">
        <v>755</v>
      </c>
      <c r="W106" s="15">
        <v>-24.47926</v>
      </c>
      <c r="X106" s="15">
        <v>16.33558</v>
      </c>
      <c r="Y106">
        <v>1</v>
      </c>
      <c r="AC106">
        <v>1</v>
      </c>
      <c r="AF106" t="b">
        <v>0</v>
      </c>
      <c r="AI106" t="s">
        <v>756</v>
      </c>
      <c r="AJ106" t="s">
        <v>756</v>
      </c>
      <c r="AL106" t="s">
        <v>72</v>
      </c>
      <c r="AM106">
        <v>652800</v>
      </c>
      <c r="AO106" s="16" t="s">
        <v>862</v>
      </c>
      <c r="AP106" s="17" t="str">
        <f t="shared" si="4"/>
        <v>Larva off nest</v>
      </c>
      <c r="AX106" s="22" t="str">
        <f>IF(AND('[1]observations-276632'!W106&gt;'[1]Methods write-up'!$Q$16,'[1]observations-276632'!W106&lt;'[1]Methods write-up'!$R$16,'[1]observations-276632'!X106&gt;'[1]Methods write-up'!$S$16,'[1]observations-276632'!X106&lt;'[1]Methods write-up'!$T$16),"West and Central Africa","")</f>
        <v/>
      </c>
      <c r="AY106" s="22" t="str">
        <f>IF(AND('[1]observations-276632'!W106&gt;'[1]Methods write-up'!$Q$17,'[1]observations-276632'!W106&lt;'[1]Methods write-up'!$R$17,'[1]observations-276632'!X106&gt;'[1]Methods write-up'!$S$17,'[1]observations-276632'!X106&lt;'[1]Methods write-up'!$T$17),"Equatorial tropical forest","")</f>
        <v/>
      </c>
      <c r="AZ106" s="22" t="str">
        <f>IF(AND('[1]observations-276632'!W106&gt;'[1]Methods write-up'!$Q$18,'[1]observations-276632'!W106&lt;'[1]Methods write-up'!$R$18,'[1]observations-276632'!X106&gt;'[1]Methods write-up'!$S$18,'[1]observations-276632'!X106&lt;'[1]Methods write-up'!$T$18),"Somali peninsula","")</f>
        <v/>
      </c>
      <c r="BA106" s="22" t="str">
        <f>IF(AND('[1]observations-276632'!W106&gt;'[1]Methods write-up'!$Q$19,'[1]observations-276632'!W106&lt;'[1]Methods write-up'!$R$19,'[1]observations-276632'!X106&gt;'[1]Methods write-up'!$S$19,'[1]observations-276632'!X106&lt;'[1]Methods write-up'!$T$19),"East Africa","")</f>
        <v/>
      </c>
      <c r="BB106" s="22" t="str">
        <f>IF(AND('[1]observations-276632'!W106&gt;'[1]Methods write-up'!$Q$20,'[1]observations-276632'!W106&lt;'[1]Methods write-up'!$R$20,'[1]observations-276632'!X106&gt;'[1]Methods write-up'!$S$20,'[1]observations-276632'!X106&lt;'[1]Methods write-up'!$T$20),"Temperate seasonal","")</f>
        <v/>
      </c>
      <c r="BC106" s="22" t="str">
        <f>IF(AND('[1]observations-276632'!W106&gt;'[1]Methods write-up'!$Q$21,'[1]observations-276632'!W106&lt;'[1]Methods write-up'!$R$21,'[1]observations-276632'!X106&gt;'[1]Methods write-up'!$S$21,'[1]observations-276632'!X106&lt;'[1]Methods write-up'!$T$21),"Desert and high aridity","")</f>
        <v>Desert and high aridity</v>
      </c>
      <c r="BD106" s="23" t="str">
        <f t="shared" si="7"/>
        <v>Desert and high aridity</v>
      </c>
      <c r="BE106" s="24">
        <f t="shared" si="5"/>
        <v>6</v>
      </c>
      <c r="BF106" s="24">
        <f t="shared" si="6"/>
        <v>4</v>
      </c>
    </row>
    <row r="107" spans="1:58" ht="16.25" customHeight="1" x14ac:dyDescent="0.2">
      <c r="A107">
        <v>10969417</v>
      </c>
      <c r="B107" s="13">
        <v>41677</v>
      </c>
      <c r="C107" s="14">
        <v>41677</v>
      </c>
      <c r="E107" t="s">
        <v>113</v>
      </c>
      <c r="F107">
        <v>772460</v>
      </c>
      <c r="G107" t="s">
        <v>877</v>
      </c>
      <c r="H107" t="s">
        <v>878</v>
      </c>
      <c r="I107" t="s">
        <v>879</v>
      </c>
      <c r="J107" t="s">
        <v>880</v>
      </c>
      <c r="K107" t="s">
        <v>62</v>
      </c>
      <c r="L107" t="s">
        <v>63</v>
      </c>
      <c r="M107" t="s">
        <v>881</v>
      </c>
      <c r="N107" t="s">
        <v>882</v>
      </c>
      <c r="P107" t="s">
        <v>883</v>
      </c>
      <c r="Q107" t="s">
        <v>884</v>
      </c>
      <c r="R107">
        <v>4</v>
      </c>
      <c r="S107">
        <v>0</v>
      </c>
      <c r="T107" t="b">
        <v>0</v>
      </c>
      <c r="V107" t="s">
        <v>885</v>
      </c>
      <c r="W107" s="15">
        <v>-33.952599999999997</v>
      </c>
      <c r="X107" s="15">
        <v>22.530200000000001</v>
      </c>
      <c r="Y107">
        <v>1</v>
      </c>
      <c r="AC107">
        <v>1</v>
      </c>
      <c r="AF107" t="b">
        <v>0</v>
      </c>
      <c r="AI107" t="s">
        <v>70</v>
      </c>
      <c r="AJ107" t="s">
        <v>70</v>
      </c>
      <c r="AK107" t="s">
        <v>71</v>
      </c>
      <c r="AL107" t="s">
        <v>72</v>
      </c>
      <c r="AM107">
        <v>346053</v>
      </c>
      <c r="AO107" s="16" t="s">
        <v>140</v>
      </c>
      <c r="AP107" s="17" t="str">
        <f t="shared" si="4"/>
        <v>Post-emergence nest</v>
      </c>
      <c r="AQ107" s="18">
        <v>3</v>
      </c>
      <c r="AT107" s="19" t="s">
        <v>141</v>
      </c>
      <c r="AU107" s="20" t="s">
        <v>104</v>
      </c>
      <c r="AX107" s="22" t="str">
        <f>IF(AND('[1]observations-276632'!W107&gt;'[1]Methods write-up'!$Q$16,'[1]observations-276632'!W107&lt;'[1]Methods write-up'!$R$16,'[1]observations-276632'!X107&gt;'[1]Methods write-up'!$S$16,'[1]observations-276632'!X107&lt;'[1]Methods write-up'!$T$16),"West and Central Africa","")</f>
        <v/>
      </c>
      <c r="AY107" s="22" t="str">
        <f>IF(AND('[1]observations-276632'!W107&gt;'[1]Methods write-up'!$Q$17,'[1]observations-276632'!W107&lt;'[1]Methods write-up'!$R$17,'[1]observations-276632'!X107&gt;'[1]Methods write-up'!$S$17,'[1]observations-276632'!X107&lt;'[1]Methods write-up'!$T$17),"Equatorial tropical forest","")</f>
        <v/>
      </c>
      <c r="AZ107" s="22" t="str">
        <f>IF(AND('[1]observations-276632'!W107&gt;'[1]Methods write-up'!$Q$18,'[1]observations-276632'!W107&lt;'[1]Methods write-up'!$R$18,'[1]observations-276632'!X107&gt;'[1]Methods write-up'!$S$18,'[1]observations-276632'!X107&lt;'[1]Methods write-up'!$T$18),"Somali peninsula","")</f>
        <v/>
      </c>
      <c r="BA107" s="22" t="str">
        <f>IF(AND('[1]observations-276632'!W107&gt;'[1]Methods write-up'!$Q$19,'[1]observations-276632'!W107&lt;'[1]Methods write-up'!$R$19,'[1]observations-276632'!X107&gt;'[1]Methods write-up'!$S$19,'[1]observations-276632'!X107&lt;'[1]Methods write-up'!$T$19),"East Africa","")</f>
        <v/>
      </c>
      <c r="BB107" s="22" t="str">
        <f>IF(AND('[1]observations-276632'!W107&gt;'[1]Methods write-up'!$Q$20,'[1]observations-276632'!W107&lt;'[1]Methods write-up'!$R$20,'[1]observations-276632'!X107&gt;'[1]Methods write-up'!$S$20,'[1]observations-276632'!X107&lt;'[1]Methods write-up'!$T$20),"Temperate seasonal","")</f>
        <v/>
      </c>
      <c r="BC107" s="22" t="str">
        <f>IF(AND('[1]observations-276632'!W107&gt;'[1]Methods write-up'!$Q$21,'[1]observations-276632'!W107&lt;'[1]Methods write-up'!$R$21,'[1]observations-276632'!X107&gt;'[1]Methods write-up'!$S$21,'[1]observations-276632'!X107&lt;'[1]Methods write-up'!$T$21),"Desert and high aridity","")</f>
        <v/>
      </c>
      <c r="BD107" s="23" t="str">
        <f t="shared" si="7"/>
        <v/>
      </c>
      <c r="BE107" s="24">
        <f t="shared" si="5"/>
        <v>7</v>
      </c>
      <c r="BF107" s="24">
        <f t="shared" si="6"/>
        <v>2</v>
      </c>
    </row>
    <row r="108" spans="1:58" ht="16.25" customHeight="1" x14ac:dyDescent="0.2">
      <c r="A108">
        <v>10970495</v>
      </c>
      <c r="B108" s="13">
        <v>41690</v>
      </c>
      <c r="C108" s="14">
        <v>41690</v>
      </c>
      <c r="E108" t="s">
        <v>113</v>
      </c>
      <c r="F108">
        <v>28090</v>
      </c>
      <c r="G108" t="s">
        <v>886</v>
      </c>
      <c r="H108" t="s">
        <v>887</v>
      </c>
      <c r="I108" t="s">
        <v>888</v>
      </c>
      <c r="J108" t="s">
        <v>889</v>
      </c>
      <c r="K108" t="s">
        <v>62</v>
      </c>
      <c r="L108" t="s">
        <v>118</v>
      </c>
      <c r="M108" t="s">
        <v>890</v>
      </c>
      <c r="N108" t="s">
        <v>891</v>
      </c>
      <c r="P108" t="s">
        <v>892</v>
      </c>
      <c r="Q108" t="s">
        <v>893</v>
      </c>
      <c r="R108">
        <v>3</v>
      </c>
      <c r="S108">
        <v>0</v>
      </c>
      <c r="T108" t="b">
        <v>0</v>
      </c>
      <c r="V108" t="s">
        <v>894</v>
      </c>
      <c r="W108" s="15">
        <v>-33.740400000000001</v>
      </c>
      <c r="X108" s="15">
        <v>24.6144</v>
      </c>
      <c r="Y108">
        <v>1</v>
      </c>
      <c r="AC108">
        <v>1</v>
      </c>
      <c r="AF108" t="b">
        <v>0</v>
      </c>
      <c r="AI108" t="s">
        <v>70</v>
      </c>
      <c r="AJ108" t="s">
        <v>70</v>
      </c>
      <c r="AK108" t="s">
        <v>71</v>
      </c>
      <c r="AL108" t="s">
        <v>72</v>
      </c>
      <c r="AM108">
        <v>346053</v>
      </c>
      <c r="AO108" s="16" t="s">
        <v>150</v>
      </c>
      <c r="AP108" s="17" t="str">
        <f t="shared" si="4"/>
        <v>Male (off nest)</v>
      </c>
      <c r="AX108" s="22" t="str">
        <f>IF(AND('[1]observations-276632'!W108&gt;'[1]Methods write-up'!$Q$16,'[1]observations-276632'!W108&lt;'[1]Methods write-up'!$R$16,'[1]observations-276632'!X108&gt;'[1]Methods write-up'!$S$16,'[1]observations-276632'!X108&lt;'[1]Methods write-up'!$T$16),"West and Central Africa","")</f>
        <v/>
      </c>
      <c r="AY108" s="22" t="str">
        <f>IF(AND('[1]observations-276632'!W108&gt;'[1]Methods write-up'!$Q$17,'[1]observations-276632'!W108&lt;'[1]Methods write-up'!$R$17,'[1]observations-276632'!X108&gt;'[1]Methods write-up'!$S$17,'[1]observations-276632'!X108&lt;'[1]Methods write-up'!$T$17),"Equatorial tropical forest","")</f>
        <v/>
      </c>
      <c r="AZ108" s="22" t="str">
        <f>IF(AND('[1]observations-276632'!W108&gt;'[1]Methods write-up'!$Q$18,'[1]observations-276632'!W108&lt;'[1]Methods write-up'!$R$18,'[1]observations-276632'!X108&gt;'[1]Methods write-up'!$S$18,'[1]observations-276632'!X108&lt;'[1]Methods write-up'!$T$18),"Somali peninsula","")</f>
        <v/>
      </c>
      <c r="BA108" s="22" t="str">
        <f>IF(AND('[1]observations-276632'!W108&gt;'[1]Methods write-up'!$Q$19,'[1]observations-276632'!W108&lt;'[1]Methods write-up'!$R$19,'[1]observations-276632'!X108&gt;'[1]Methods write-up'!$S$19,'[1]observations-276632'!X108&lt;'[1]Methods write-up'!$T$19),"East Africa","")</f>
        <v/>
      </c>
      <c r="BB108" s="22" t="str">
        <f>IF(AND('[1]observations-276632'!W108&gt;'[1]Methods write-up'!$Q$20,'[1]observations-276632'!W108&lt;'[1]Methods write-up'!$R$20,'[1]observations-276632'!X108&gt;'[1]Methods write-up'!$S$20,'[1]observations-276632'!X108&lt;'[1]Methods write-up'!$T$20),"Temperate seasonal","")</f>
        <v/>
      </c>
      <c r="BC108" s="22" t="str">
        <f>IF(AND('[1]observations-276632'!W108&gt;'[1]Methods write-up'!$Q$21,'[1]observations-276632'!W108&lt;'[1]Methods write-up'!$R$21,'[1]observations-276632'!X108&gt;'[1]Methods write-up'!$S$21,'[1]observations-276632'!X108&lt;'[1]Methods write-up'!$T$21),"Desert and high aridity","")</f>
        <v/>
      </c>
      <c r="BD108" s="23" t="str">
        <f t="shared" si="7"/>
        <v/>
      </c>
      <c r="BE108" s="24">
        <f t="shared" si="5"/>
        <v>20</v>
      </c>
      <c r="BF108" s="24">
        <f t="shared" si="6"/>
        <v>2</v>
      </c>
    </row>
    <row r="109" spans="1:58" ht="16.25" customHeight="1" x14ac:dyDescent="0.2">
      <c r="A109">
        <v>10973778</v>
      </c>
      <c r="B109" s="13">
        <v>41669</v>
      </c>
      <c r="C109" s="14">
        <v>41669</v>
      </c>
      <c r="E109" t="s">
        <v>113</v>
      </c>
      <c r="F109">
        <v>711873</v>
      </c>
      <c r="G109" t="s">
        <v>895</v>
      </c>
      <c r="H109" t="s">
        <v>896</v>
      </c>
      <c r="I109" t="s">
        <v>897</v>
      </c>
      <c r="J109" t="s">
        <v>898</v>
      </c>
      <c r="K109" t="s">
        <v>62</v>
      </c>
      <c r="L109" t="s">
        <v>63</v>
      </c>
      <c r="M109" t="s">
        <v>899</v>
      </c>
      <c r="N109" t="s">
        <v>900</v>
      </c>
      <c r="P109" t="s">
        <v>854</v>
      </c>
      <c r="Q109" t="s">
        <v>901</v>
      </c>
      <c r="R109">
        <v>4</v>
      </c>
      <c r="S109">
        <v>0</v>
      </c>
      <c r="T109" t="b">
        <v>0</v>
      </c>
      <c r="V109" t="s">
        <v>902</v>
      </c>
      <c r="W109" s="15">
        <v>-33.995016999999997</v>
      </c>
      <c r="X109" s="15">
        <v>22.53312</v>
      </c>
      <c r="Y109">
        <v>1</v>
      </c>
      <c r="AC109">
        <v>1</v>
      </c>
      <c r="AF109" t="b">
        <v>0</v>
      </c>
      <c r="AI109" t="s">
        <v>70</v>
      </c>
      <c r="AJ109" t="s">
        <v>70</v>
      </c>
      <c r="AK109" t="s">
        <v>71</v>
      </c>
      <c r="AL109" t="s">
        <v>72</v>
      </c>
      <c r="AM109">
        <v>346053</v>
      </c>
      <c r="AO109" s="16" t="s">
        <v>172</v>
      </c>
      <c r="AP109" s="17" t="str">
        <f t="shared" si="4"/>
        <v>Nest (foundress)</v>
      </c>
      <c r="AQ109" s="18">
        <v>4</v>
      </c>
      <c r="AT109" s="19" t="s">
        <v>104</v>
      </c>
      <c r="AX109" s="22" t="str">
        <f>IF(AND('[1]observations-276632'!W109&gt;'[1]Methods write-up'!$Q$16,'[1]observations-276632'!W109&lt;'[1]Methods write-up'!$R$16,'[1]observations-276632'!X109&gt;'[1]Methods write-up'!$S$16,'[1]observations-276632'!X109&lt;'[1]Methods write-up'!$T$16),"West and Central Africa","")</f>
        <v/>
      </c>
      <c r="AY109" s="22" t="str">
        <f>IF(AND('[1]observations-276632'!W109&gt;'[1]Methods write-up'!$Q$17,'[1]observations-276632'!W109&lt;'[1]Methods write-up'!$R$17,'[1]observations-276632'!X109&gt;'[1]Methods write-up'!$S$17,'[1]observations-276632'!X109&lt;'[1]Methods write-up'!$T$17),"Equatorial tropical forest","")</f>
        <v/>
      </c>
      <c r="AZ109" s="22" t="str">
        <f>IF(AND('[1]observations-276632'!W109&gt;'[1]Methods write-up'!$Q$18,'[1]observations-276632'!W109&lt;'[1]Methods write-up'!$R$18,'[1]observations-276632'!X109&gt;'[1]Methods write-up'!$S$18,'[1]observations-276632'!X109&lt;'[1]Methods write-up'!$T$18),"Somali peninsula","")</f>
        <v/>
      </c>
      <c r="BA109" s="22" t="str">
        <f>IF(AND('[1]observations-276632'!W109&gt;'[1]Methods write-up'!$Q$19,'[1]observations-276632'!W109&lt;'[1]Methods write-up'!$R$19,'[1]observations-276632'!X109&gt;'[1]Methods write-up'!$S$19,'[1]observations-276632'!X109&lt;'[1]Methods write-up'!$T$19),"East Africa","")</f>
        <v/>
      </c>
      <c r="BB109" s="22" t="str">
        <f>IF(AND('[1]observations-276632'!W109&gt;'[1]Methods write-up'!$Q$20,'[1]observations-276632'!W109&lt;'[1]Methods write-up'!$R$20,'[1]observations-276632'!X109&gt;'[1]Methods write-up'!$S$20,'[1]observations-276632'!X109&lt;'[1]Methods write-up'!$T$20),"Temperate seasonal","")</f>
        <v/>
      </c>
      <c r="BC109" s="22" t="str">
        <f>IF(AND('[1]observations-276632'!W109&gt;'[1]Methods write-up'!$Q$21,'[1]observations-276632'!W109&lt;'[1]Methods write-up'!$R$21,'[1]observations-276632'!X109&gt;'[1]Methods write-up'!$S$21,'[1]observations-276632'!X109&lt;'[1]Methods write-up'!$T$21),"Desert and high aridity","")</f>
        <v/>
      </c>
      <c r="BD109" s="23" t="str">
        <f t="shared" si="7"/>
        <v/>
      </c>
      <c r="BE109" s="24">
        <f t="shared" si="5"/>
        <v>30</v>
      </c>
      <c r="BF109" s="24">
        <f t="shared" si="6"/>
        <v>1</v>
      </c>
    </row>
    <row r="110" spans="1:58" ht="16.25" customHeight="1" x14ac:dyDescent="0.2">
      <c r="A110">
        <v>10988662</v>
      </c>
      <c r="B110" s="13">
        <v>41740</v>
      </c>
      <c r="C110" s="14">
        <v>41740</v>
      </c>
      <c r="E110" t="s">
        <v>113</v>
      </c>
      <c r="F110">
        <v>662724</v>
      </c>
      <c r="G110" t="s">
        <v>903</v>
      </c>
      <c r="H110" t="s">
        <v>904</v>
      </c>
      <c r="I110" t="s">
        <v>905</v>
      </c>
      <c r="J110" t="s">
        <v>906</v>
      </c>
      <c r="K110" t="s">
        <v>62</v>
      </c>
      <c r="L110" t="s">
        <v>63</v>
      </c>
      <c r="M110" t="s">
        <v>907</v>
      </c>
      <c r="N110" t="s">
        <v>908</v>
      </c>
      <c r="P110" t="s">
        <v>854</v>
      </c>
      <c r="Q110" t="s">
        <v>909</v>
      </c>
      <c r="R110">
        <v>0</v>
      </c>
      <c r="S110">
        <v>0</v>
      </c>
      <c r="T110" t="b">
        <v>0</v>
      </c>
      <c r="V110" t="s">
        <v>910</v>
      </c>
      <c r="W110" s="15">
        <v>-30.299479999999999</v>
      </c>
      <c r="X110" s="15">
        <v>30.742730000000002</v>
      </c>
      <c r="Y110">
        <v>1</v>
      </c>
      <c r="AC110">
        <v>1</v>
      </c>
      <c r="AF110" t="b">
        <v>0</v>
      </c>
      <c r="AI110" t="s">
        <v>70</v>
      </c>
      <c r="AJ110" t="s">
        <v>161</v>
      </c>
      <c r="AL110" t="s">
        <v>72</v>
      </c>
      <c r="AM110">
        <v>366867</v>
      </c>
      <c r="AO110" s="16" t="s">
        <v>140</v>
      </c>
      <c r="AP110" s="17" t="str">
        <f t="shared" si="4"/>
        <v>Post-emergence nest</v>
      </c>
      <c r="AQ110" s="18">
        <v>3</v>
      </c>
      <c r="AT110" s="19" t="s">
        <v>141</v>
      </c>
      <c r="AU110" s="20" t="s">
        <v>104</v>
      </c>
      <c r="AV110" s="21" t="s">
        <v>911</v>
      </c>
      <c r="AX110" s="22" t="str">
        <f>IF(AND('[1]observations-276632'!W110&gt;'[1]Methods write-up'!$Q$16,'[1]observations-276632'!W110&lt;'[1]Methods write-up'!$R$16,'[1]observations-276632'!X110&gt;'[1]Methods write-up'!$S$16,'[1]observations-276632'!X110&lt;'[1]Methods write-up'!$T$16),"West and Central Africa","")</f>
        <v/>
      </c>
      <c r="AY110" s="22" t="str">
        <f>IF(AND('[1]observations-276632'!W110&gt;'[1]Methods write-up'!$Q$17,'[1]observations-276632'!W110&lt;'[1]Methods write-up'!$R$17,'[1]observations-276632'!X110&gt;'[1]Methods write-up'!$S$17,'[1]observations-276632'!X110&lt;'[1]Methods write-up'!$T$17),"Equatorial tropical forest","")</f>
        <v/>
      </c>
      <c r="AZ110" s="22" t="str">
        <f>IF(AND('[1]observations-276632'!W110&gt;'[1]Methods write-up'!$Q$18,'[1]observations-276632'!W110&lt;'[1]Methods write-up'!$R$18,'[1]observations-276632'!X110&gt;'[1]Methods write-up'!$S$18,'[1]observations-276632'!X110&lt;'[1]Methods write-up'!$T$18),"Somali peninsula","")</f>
        <v/>
      </c>
      <c r="BA110" s="22" t="str">
        <f>IF(AND('[1]observations-276632'!W110&gt;'[1]Methods write-up'!$Q$19,'[1]observations-276632'!W110&lt;'[1]Methods write-up'!$R$19,'[1]observations-276632'!X110&gt;'[1]Methods write-up'!$S$19,'[1]observations-276632'!X110&lt;'[1]Methods write-up'!$T$19),"East Africa","")</f>
        <v/>
      </c>
      <c r="BB110" s="22" t="str">
        <f>IF(AND('[1]observations-276632'!W110&gt;'[1]Methods write-up'!$Q$20,'[1]observations-276632'!W110&lt;'[1]Methods write-up'!$R$20,'[1]observations-276632'!X110&gt;'[1]Methods write-up'!$S$20,'[1]observations-276632'!X110&lt;'[1]Methods write-up'!$T$20),"Temperate seasonal","")</f>
        <v>Temperate seasonal</v>
      </c>
      <c r="BC110" s="22" t="str">
        <f>IF(AND('[1]observations-276632'!W110&gt;'[1]Methods write-up'!$Q$21,'[1]observations-276632'!W110&lt;'[1]Methods write-up'!$R$21,'[1]observations-276632'!X110&gt;'[1]Methods write-up'!$S$21,'[1]observations-276632'!X110&lt;'[1]Methods write-up'!$T$21),"Desert and high aridity","")</f>
        <v/>
      </c>
      <c r="BD110" s="23" t="str">
        <f t="shared" si="7"/>
        <v>Temperate seasonal</v>
      </c>
      <c r="BE110" s="24">
        <f t="shared" si="5"/>
        <v>11</v>
      </c>
      <c r="BF110" s="24">
        <f t="shared" si="6"/>
        <v>4</v>
      </c>
    </row>
    <row r="111" spans="1:58" ht="16.25" customHeight="1" x14ac:dyDescent="0.2">
      <c r="A111">
        <v>10996429</v>
      </c>
      <c r="B111" s="13">
        <v>41742</v>
      </c>
      <c r="C111" s="14">
        <v>41742</v>
      </c>
      <c r="E111" t="s">
        <v>113</v>
      </c>
      <c r="F111">
        <v>528390</v>
      </c>
      <c r="G111" t="s">
        <v>843</v>
      </c>
      <c r="H111" t="s">
        <v>844</v>
      </c>
      <c r="I111" t="s">
        <v>912</v>
      </c>
      <c r="J111" t="s">
        <v>913</v>
      </c>
      <c r="K111" t="s">
        <v>62</v>
      </c>
      <c r="L111" t="s">
        <v>63</v>
      </c>
      <c r="M111" t="s">
        <v>914</v>
      </c>
      <c r="N111" t="s">
        <v>915</v>
      </c>
      <c r="P111" t="s">
        <v>753</v>
      </c>
      <c r="Q111" t="s">
        <v>916</v>
      </c>
      <c r="R111">
        <v>4</v>
      </c>
      <c r="S111">
        <v>0</v>
      </c>
      <c r="T111" t="b">
        <v>0</v>
      </c>
      <c r="V111" t="s">
        <v>917</v>
      </c>
      <c r="W111" s="15">
        <v>-33.969880000000003</v>
      </c>
      <c r="X111" s="15">
        <v>22.09301</v>
      </c>
      <c r="Y111">
        <v>1</v>
      </c>
      <c r="AC111">
        <v>1</v>
      </c>
      <c r="AF111" t="b">
        <v>0</v>
      </c>
      <c r="AI111" t="s">
        <v>70</v>
      </c>
      <c r="AJ111" t="s">
        <v>70</v>
      </c>
      <c r="AK111" t="s">
        <v>71</v>
      </c>
      <c r="AL111" t="s">
        <v>72</v>
      </c>
      <c r="AM111">
        <v>346053</v>
      </c>
      <c r="AO111" s="16" t="s">
        <v>140</v>
      </c>
      <c r="AP111" s="17" t="str">
        <f t="shared" si="4"/>
        <v>Post-emergence nest</v>
      </c>
      <c r="AQ111" s="18">
        <v>17</v>
      </c>
      <c r="AT111" s="19" t="s">
        <v>141</v>
      </c>
      <c r="AU111" s="20" t="s">
        <v>141</v>
      </c>
      <c r="AX111" s="22" t="str">
        <f>IF(AND('[1]observations-276632'!W111&gt;'[1]Methods write-up'!$Q$16,'[1]observations-276632'!W111&lt;'[1]Methods write-up'!$R$16,'[1]observations-276632'!X111&gt;'[1]Methods write-up'!$S$16,'[1]observations-276632'!X111&lt;'[1]Methods write-up'!$T$16),"West and Central Africa","")</f>
        <v/>
      </c>
      <c r="AY111" s="22" t="str">
        <f>IF(AND('[1]observations-276632'!W111&gt;'[1]Methods write-up'!$Q$17,'[1]observations-276632'!W111&lt;'[1]Methods write-up'!$R$17,'[1]observations-276632'!X111&gt;'[1]Methods write-up'!$S$17,'[1]observations-276632'!X111&lt;'[1]Methods write-up'!$T$17),"Equatorial tropical forest","")</f>
        <v/>
      </c>
      <c r="AZ111" s="22" t="str">
        <f>IF(AND('[1]observations-276632'!W111&gt;'[1]Methods write-up'!$Q$18,'[1]observations-276632'!W111&lt;'[1]Methods write-up'!$R$18,'[1]observations-276632'!X111&gt;'[1]Methods write-up'!$S$18,'[1]observations-276632'!X111&lt;'[1]Methods write-up'!$T$18),"Somali peninsula","")</f>
        <v/>
      </c>
      <c r="BA111" s="22" t="str">
        <f>IF(AND('[1]observations-276632'!W111&gt;'[1]Methods write-up'!$Q$19,'[1]observations-276632'!W111&lt;'[1]Methods write-up'!$R$19,'[1]observations-276632'!X111&gt;'[1]Methods write-up'!$S$19,'[1]observations-276632'!X111&lt;'[1]Methods write-up'!$T$19),"East Africa","")</f>
        <v/>
      </c>
      <c r="BB111" s="22" t="str">
        <f>IF(AND('[1]observations-276632'!W111&gt;'[1]Methods write-up'!$Q$20,'[1]observations-276632'!W111&lt;'[1]Methods write-up'!$R$20,'[1]observations-276632'!X111&gt;'[1]Methods write-up'!$S$20,'[1]observations-276632'!X111&lt;'[1]Methods write-up'!$T$20),"Temperate seasonal","")</f>
        <v/>
      </c>
      <c r="BC111" s="22" t="str">
        <f>IF(AND('[1]observations-276632'!W111&gt;'[1]Methods write-up'!$Q$21,'[1]observations-276632'!W111&lt;'[1]Methods write-up'!$R$21,'[1]observations-276632'!X111&gt;'[1]Methods write-up'!$S$21,'[1]observations-276632'!X111&lt;'[1]Methods write-up'!$T$21),"Desert and high aridity","")</f>
        <v/>
      </c>
      <c r="BD111" s="23" t="str">
        <f t="shared" si="7"/>
        <v/>
      </c>
      <c r="BE111" s="24">
        <f t="shared" si="5"/>
        <v>13</v>
      </c>
      <c r="BF111" s="24">
        <f t="shared" si="6"/>
        <v>4</v>
      </c>
    </row>
    <row r="112" spans="1:58" ht="16.25" customHeight="1" x14ac:dyDescent="0.2">
      <c r="A112">
        <v>11004278</v>
      </c>
      <c r="B112" s="13">
        <v>41791</v>
      </c>
      <c r="C112" s="14">
        <v>41791</v>
      </c>
      <c r="E112" t="s">
        <v>113</v>
      </c>
      <c r="F112">
        <v>659922</v>
      </c>
      <c r="G112" t="s">
        <v>918</v>
      </c>
      <c r="I112" t="s">
        <v>919</v>
      </c>
      <c r="J112" t="s">
        <v>920</v>
      </c>
      <c r="K112" t="s">
        <v>62</v>
      </c>
      <c r="L112" t="s">
        <v>63</v>
      </c>
      <c r="M112" t="s">
        <v>921</v>
      </c>
      <c r="N112" t="s">
        <v>922</v>
      </c>
      <c r="Q112" t="s">
        <v>923</v>
      </c>
      <c r="R112">
        <v>4</v>
      </c>
      <c r="S112">
        <v>0</v>
      </c>
      <c r="T112" t="b">
        <v>0</v>
      </c>
      <c r="V112" t="s">
        <v>924</v>
      </c>
      <c r="W112" s="15">
        <v>-28.376223</v>
      </c>
      <c r="X112" s="15">
        <v>32.417988000000001</v>
      </c>
      <c r="Y112">
        <v>1</v>
      </c>
      <c r="AC112">
        <v>1</v>
      </c>
      <c r="AF112" t="b">
        <v>0</v>
      </c>
      <c r="AI112" t="s">
        <v>70</v>
      </c>
      <c r="AJ112" t="s">
        <v>70</v>
      </c>
      <c r="AK112" t="s">
        <v>71</v>
      </c>
      <c r="AL112" t="s">
        <v>72</v>
      </c>
      <c r="AM112">
        <v>346053</v>
      </c>
      <c r="AO112" s="16" t="s">
        <v>253</v>
      </c>
      <c r="AP112" s="17" t="str">
        <f t="shared" si="4"/>
        <v>Aggregation of females off-nest</v>
      </c>
      <c r="AV112" s="21" t="s">
        <v>925</v>
      </c>
      <c r="AX112" s="22" t="str">
        <f>IF(AND('[1]observations-276632'!W112&gt;'[1]Methods write-up'!$Q$16,'[1]observations-276632'!W112&lt;'[1]Methods write-up'!$R$16,'[1]observations-276632'!X112&gt;'[1]Methods write-up'!$S$16,'[1]observations-276632'!X112&lt;'[1]Methods write-up'!$T$16),"West and Central Africa","")</f>
        <v/>
      </c>
      <c r="AY112" s="22" t="str">
        <f>IF(AND('[1]observations-276632'!W112&gt;'[1]Methods write-up'!$Q$17,'[1]observations-276632'!W112&lt;'[1]Methods write-up'!$R$17,'[1]observations-276632'!X112&gt;'[1]Methods write-up'!$S$17,'[1]observations-276632'!X112&lt;'[1]Methods write-up'!$T$17),"Equatorial tropical forest","")</f>
        <v/>
      </c>
      <c r="AZ112" s="22" t="str">
        <f>IF(AND('[1]observations-276632'!W112&gt;'[1]Methods write-up'!$Q$18,'[1]observations-276632'!W112&lt;'[1]Methods write-up'!$R$18,'[1]observations-276632'!X112&gt;'[1]Methods write-up'!$S$18,'[1]observations-276632'!X112&lt;'[1]Methods write-up'!$T$18),"Somali peninsula","")</f>
        <v/>
      </c>
      <c r="BA112" s="22" t="str">
        <f>IF(AND('[1]observations-276632'!W112&gt;'[1]Methods write-up'!$Q$19,'[1]observations-276632'!W112&lt;'[1]Methods write-up'!$R$19,'[1]observations-276632'!X112&gt;'[1]Methods write-up'!$S$19,'[1]observations-276632'!X112&lt;'[1]Methods write-up'!$T$19),"East Africa","")</f>
        <v/>
      </c>
      <c r="BB112" s="22" t="str">
        <f>IF(AND('[1]observations-276632'!W112&gt;'[1]Methods write-up'!$Q$20,'[1]observations-276632'!W112&lt;'[1]Methods write-up'!$R$20,'[1]observations-276632'!X112&gt;'[1]Methods write-up'!$S$20,'[1]observations-276632'!X112&lt;'[1]Methods write-up'!$T$20),"Temperate seasonal","")</f>
        <v>Temperate seasonal</v>
      </c>
      <c r="BC112" s="22" t="str">
        <f>IF(AND('[1]observations-276632'!W112&gt;'[1]Methods write-up'!$Q$21,'[1]observations-276632'!W112&lt;'[1]Methods write-up'!$R$21,'[1]observations-276632'!X112&gt;'[1]Methods write-up'!$S$21,'[1]observations-276632'!X112&lt;'[1]Methods write-up'!$T$21),"Desert and high aridity","")</f>
        <v/>
      </c>
      <c r="BD112" s="23" t="str">
        <f t="shared" si="7"/>
        <v>Temperate seasonal</v>
      </c>
      <c r="BE112" s="24">
        <f t="shared" si="5"/>
        <v>1</v>
      </c>
      <c r="BF112" s="24">
        <f t="shared" si="6"/>
        <v>6</v>
      </c>
    </row>
    <row r="113" spans="1:58" ht="16.25" customHeight="1" x14ac:dyDescent="0.2">
      <c r="A113">
        <v>11004385</v>
      </c>
      <c r="B113" s="13">
        <v>41831</v>
      </c>
      <c r="C113" s="14">
        <v>41831</v>
      </c>
      <c r="E113" t="s">
        <v>113</v>
      </c>
      <c r="F113">
        <v>389988</v>
      </c>
      <c r="G113" t="s">
        <v>747</v>
      </c>
      <c r="H113" t="s">
        <v>748</v>
      </c>
      <c r="I113" t="s">
        <v>926</v>
      </c>
      <c r="J113" t="s">
        <v>927</v>
      </c>
      <c r="K113" t="s">
        <v>157</v>
      </c>
      <c r="L113" t="s">
        <v>63</v>
      </c>
      <c r="M113" t="s">
        <v>928</v>
      </c>
      <c r="N113" t="s">
        <v>929</v>
      </c>
      <c r="P113" t="s">
        <v>753</v>
      </c>
      <c r="Q113" t="s">
        <v>930</v>
      </c>
      <c r="R113">
        <v>1</v>
      </c>
      <c r="S113">
        <v>0</v>
      </c>
      <c r="T113" t="b">
        <v>0</v>
      </c>
      <c r="V113" t="s">
        <v>755</v>
      </c>
      <c r="W113" s="15">
        <v>-24.47926</v>
      </c>
      <c r="X113" s="15">
        <v>16.33558</v>
      </c>
      <c r="Y113">
        <v>1</v>
      </c>
      <c r="AC113">
        <v>1</v>
      </c>
      <c r="AF113" t="b">
        <v>0</v>
      </c>
      <c r="AI113" t="s">
        <v>756</v>
      </c>
      <c r="AJ113" t="s">
        <v>756</v>
      </c>
      <c r="AL113" t="s">
        <v>72</v>
      </c>
      <c r="AM113">
        <v>652800</v>
      </c>
      <c r="AO113" s="16" t="s">
        <v>818</v>
      </c>
      <c r="AP113" s="17" t="str">
        <f t="shared" si="4"/>
        <v>Abandoned post-emergence nest</v>
      </c>
      <c r="AV113" s="21" t="s">
        <v>931</v>
      </c>
      <c r="AX113" s="22" t="str">
        <f>IF(AND('[1]observations-276632'!W113&gt;'[1]Methods write-up'!$Q$16,'[1]observations-276632'!W113&lt;'[1]Methods write-up'!$R$16,'[1]observations-276632'!X113&gt;'[1]Methods write-up'!$S$16,'[1]observations-276632'!X113&lt;'[1]Methods write-up'!$T$16),"West and Central Africa","")</f>
        <v/>
      </c>
      <c r="AY113" s="22" t="str">
        <f>IF(AND('[1]observations-276632'!W113&gt;'[1]Methods write-up'!$Q$17,'[1]observations-276632'!W113&lt;'[1]Methods write-up'!$R$17,'[1]observations-276632'!X113&gt;'[1]Methods write-up'!$S$17,'[1]observations-276632'!X113&lt;'[1]Methods write-up'!$T$17),"Equatorial tropical forest","")</f>
        <v/>
      </c>
      <c r="AZ113" s="22" t="str">
        <f>IF(AND('[1]observations-276632'!W113&gt;'[1]Methods write-up'!$Q$18,'[1]observations-276632'!W113&lt;'[1]Methods write-up'!$R$18,'[1]observations-276632'!X113&gt;'[1]Methods write-up'!$S$18,'[1]observations-276632'!X113&lt;'[1]Methods write-up'!$T$18),"Somali peninsula","")</f>
        <v/>
      </c>
      <c r="BA113" s="22" t="str">
        <f>IF(AND('[1]observations-276632'!W113&gt;'[1]Methods write-up'!$Q$19,'[1]observations-276632'!W113&lt;'[1]Methods write-up'!$R$19,'[1]observations-276632'!X113&gt;'[1]Methods write-up'!$S$19,'[1]observations-276632'!X113&lt;'[1]Methods write-up'!$T$19),"East Africa","")</f>
        <v/>
      </c>
      <c r="BB113" s="22" t="str">
        <f>IF(AND('[1]observations-276632'!W113&gt;'[1]Methods write-up'!$Q$20,'[1]observations-276632'!W113&lt;'[1]Methods write-up'!$R$20,'[1]observations-276632'!X113&gt;'[1]Methods write-up'!$S$20,'[1]observations-276632'!X113&lt;'[1]Methods write-up'!$T$20),"Temperate seasonal","")</f>
        <v/>
      </c>
      <c r="BC113" s="22" t="str">
        <f>IF(AND('[1]observations-276632'!W113&gt;'[1]Methods write-up'!$Q$21,'[1]observations-276632'!W113&lt;'[1]Methods write-up'!$R$21,'[1]observations-276632'!X113&gt;'[1]Methods write-up'!$S$21,'[1]observations-276632'!X113&lt;'[1]Methods write-up'!$T$21),"Desert and high aridity","")</f>
        <v>Desert and high aridity</v>
      </c>
      <c r="BD113" s="23" t="str">
        <f t="shared" si="7"/>
        <v>Desert and high aridity</v>
      </c>
      <c r="BE113" s="24">
        <f t="shared" si="5"/>
        <v>11</v>
      </c>
      <c r="BF113" s="24">
        <f t="shared" si="6"/>
        <v>7</v>
      </c>
    </row>
    <row r="114" spans="1:58" ht="16.25" customHeight="1" x14ac:dyDescent="0.2">
      <c r="A114">
        <v>11004966</v>
      </c>
      <c r="B114" s="13">
        <v>41793</v>
      </c>
      <c r="C114" s="14">
        <v>41793</v>
      </c>
      <c r="E114" t="s">
        <v>113</v>
      </c>
      <c r="F114">
        <v>67590</v>
      </c>
      <c r="G114" t="s">
        <v>711</v>
      </c>
      <c r="H114" t="s">
        <v>712</v>
      </c>
      <c r="I114" t="s">
        <v>932</v>
      </c>
      <c r="J114" t="s">
        <v>933</v>
      </c>
      <c r="K114" t="s">
        <v>62</v>
      </c>
      <c r="L114" t="s">
        <v>63</v>
      </c>
      <c r="M114" t="s">
        <v>934</v>
      </c>
      <c r="N114" t="s">
        <v>935</v>
      </c>
      <c r="P114" t="s">
        <v>753</v>
      </c>
      <c r="Q114" t="s">
        <v>936</v>
      </c>
      <c r="R114">
        <v>3</v>
      </c>
      <c r="S114">
        <v>0</v>
      </c>
      <c r="T114" t="b">
        <v>0</v>
      </c>
      <c r="V114" t="s">
        <v>719</v>
      </c>
      <c r="W114" s="15">
        <v>-24.405000000000001</v>
      </c>
      <c r="X114" s="15">
        <v>30.814</v>
      </c>
      <c r="Y114">
        <v>110</v>
      </c>
      <c r="AC114">
        <v>110</v>
      </c>
      <c r="AF114" t="b">
        <v>0</v>
      </c>
      <c r="AI114" t="s">
        <v>70</v>
      </c>
      <c r="AJ114" t="s">
        <v>70</v>
      </c>
      <c r="AK114" t="s">
        <v>71</v>
      </c>
      <c r="AL114" t="s">
        <v>72</v>
      </c>
      <c r="AM114">
        <v>346053</v>
      </c>
      <c r="AO114" s="16" t="s">
        <v>73</v>
      </c>
      <c r="AP114" s="17" t="str">
        <f t="shared" si="4"/>
        <v>Off-nest female</v>
      </c>
      <c r="AX114" s="22" t="str">
        <f>IF(AND('[1]observations-276632'!W114&gt;'[1]Methods write-up'!$Q$16,'[1]observations-276632'!W114&lt;'[1]Methods write-up'!$R$16,'[1]observations-276632'!X114&gt;'[1]Methods write-up'!$S$16,'[1]observations-276632'!X114&lt;'[1]Methods write-up'!$T$16),"West and Central Africa","")</f>
        <v/>
      </c>
      <c r="AY114" s="22" t="str">
        <f>IF(AND('[1]observations-276632'!W114&gt;'[1]Methods write-up'!$Q$17,'[1]observations-276632'!W114&lt;'[1]Methods write-up'!$R$17,'[1]observations-276632'!X114&gt;'[1]Methods write-up'!$S$17,'[1]observations-276632'!X114&lt;'[1]Methods write-up'!$T$17),"Equatorial tropical forest","")</f>
        <v/>
      </c>
      <c r="AZ114" s="22" t="str">
        <f>IF(AND('[1]observations-276632'!W114&gt;'[1]Methods write-up'!$Q$18,'[1]observations-276632'!W114&lt;'[1]Methods write-up'!$R$18,'[1]observations-276632'!X114&gt;'[1]Methods write-up'!$S$18,'[1]observations-276632'!X114&lt;'[1]Methods write-up'!$T$18),"Somali peninsula","")</f>
        <v/>
      </c>
      <c r="BA114" s="22" t="str">
        <f>IF(AND('[1]observations-276632'!W114&gt;'[1]Methods write-up'!$Q$19,'[1]observations-276632'!W114&lt;'[1]Methods write-up'!$R$19,'[1]observations-276632'!X114&gt;'[1]Methods write-up'!$S$19,'[1]observations-276632'!X114&lt;'[1]Methods write-up'!$T$19),"East Africa","")</f>
        <v/>
      </c>
      <c r="BB114" s="22" t="str">
        <f>IF(AND('[1]observations-276632'!W114&gt;'[1]Methods write-up'!$Q$20,'[1]observations-276632'!W114&lt;'[1]Methods write-up'!$R$20,'[1]observations-276632'!X114&gt;'[1]Methods write-up'!$S$20,'[1]observations-276632'!X114&lt;'[1]Methods write-up'!$T$20),"Temperate seasonal","")</f>
        <v/>
      </c>
      <c r="BC114" s="22" t="str">
        <f>IF(AND('[1]observations-276632'!W114&gt;'[1]Methods write-up'!$Q$21,'[1]observations-276632'!W114&lt;'[1]Methods write-up'!$R$21,'[1]observations-276632'!X114&gt;'[1]Methods write-up'!$S$21,'[1]observations-276632'!X114&lt;'[1]Methods write-up'!$T$21),"Desert and high aridity","")</f>
        <v/>
      </c>
      <c r="BD114" s="23" t="str">
        <f t="shared" si="7"/>
        <v/>
      </c>
      <c r="BE114" s="24">
        <f t="shared" si="5"/>
        <v>3</v>
      </c>
      <c r="BF114" s="24">
        <f t="shared" si="6"/>
        <v>6</v>
      </c>
    </row>
    <row r="115" spans="1:58" ht="16.25" customHeight="1" x14ac:dyDescent="0.2">
      <c r="A115">
        <v>11008608</v>
      </c>
      <c r="B115" s="13">
        <v>41762</v>
      </c>
      <c r="C115" s="14">
        <v>41762</v>
      </c>
      <c r="E115" t="s">
        <v>113</v>
      </c>
      <c r="F115">
        <v>389988</v>
      </c>
      <c r="G115" t="s">
        <v>747</v>
      </c>
      <c r="H115" t="s">
        <v>748</v>
      </c>
      <c r="I115" t="s">
        <v>937</v>
      </c>
      <c r="J115" t="s">
        <v>938</v>
      </c>
      <c r="K115" t="s">
        <v>157</v>
      </c>
      <c r="L115" t="s">
        <v>63</v>
      </c>
      <c r="M115" t="s">
        <v>939</v>
      </c>
      <c r="N115" t="s">
        <v>940</v>
      </c>
      <c r="P115" t="s">
        <v>753</v>
      </c>
      <c r="Q115" t="s">
        <v>941</v>
      </c>
      <c r="R115">
        <v>2</v>
      </c>
      <c r="S115">
        <v>0</v>
      </c>
      <c r="T115" t="b">
        <v>0</v>
      </c>
      <c r="V115" t="s">
        <v>755</v>
      </c>
      <c r="W115" s="15">
        <v>-24.47926</v>
      </c>
      <c r="X115" s="15">
        <v>16.33558</v>
      </c>
      <c r="Y115">
        <v>1</v>
      </c>
      <c r="AC115">
        <v>1</v>
      </c>
      <c r="AF115" t="b">
        <v>0</v>
      </c>
      <c r="AI115" t="s">
        <v>756</v>
      </c>
      <c r="AJ115" t="s">
        <v>756</v>
      </c>
      <c r="AL115" t="s">
        <v>72</v>
      </c>
      <c r="AM115">
        <v>652800</v>
      </c>
      <c r="AO115" s="16" t="s">
        <v>73</v>
      </c>
      <c r="AP115" s="17" t="str">
        <f t="shared" si="4"/>
        <v>Off-nest female</v>
      </c>
      <c r="AX115" s="22" t="str">
        <f>IF(AND('[1]observations-276632'!W115&gt;'[1]Methods write-up'!$Q$16,'[1]observations-276632'!W115&lt;'[1]Methods write-up'!$R$16,'[1]observations-276632'!X115&gt;'[1]Methods write-up'!$S$16,'[1]observations-276632'!X115&lt;'[1]Methods write-up'!$T$16),"West and Central Africa","")</f>
        <v/>
      </c>
      <c r="AY115" s="22" t="str">
        <f>IF(AND('[1]observations-276632'!W115&gt;'[1]Methods write-up'!$Q$17,'[1]observations-276632'!W115&lt;'[1]Methods write-up'!$R$17,'[1]observations-276632'!X115&gt;'[1]Methods write-up'!$S$17,'[1]observations-276632'!X115&lt;'[1]Methods write-up'!$T$17),"Equatorial tropical forest","")</f>
        <v/>
      </c>
      <c r="AZ115" s="22" t="str">
        <f>IF(AND('[1]observations-276632'!W115&gt;'[1]Methods write-up'!$Q$18,'[1]observations-276632'!W115&lt;'[1]Methods write-up'!$R$18,'[1]observations-276632'!X115&gt;'[1]Methods write-up'!$S$18,'[1]observations-276632'!X115&lt;'[1]Methods write-up'!$T$18),"Somali peninsula","")</f>
        <v/>
      </c>
      <c r="BA115" s="22" t="str">
        <f>IF(AND('[1]observations-276632'!W115&gt;'[1]Methods write-up'!$Q$19,'[1]observations-276632'!W115&lt;'[1]Methods write-up'!$R$19,'[1]observations-276632'!X115&gt;'[1]Methods write-up'!$S$19,'[1]observations-276632'!X115&lt;'[1]Methods write-up'!$T$19),"East Africa","")</f>
        <v/>
      </c>
      <c r="BB115" s="22" t="str">
        <f>IF(AND('[1]observations-276632'!W115&gt;'[1]Methods write-up'!$Q$20,'[1]observations-276632'!W115&lt;'[1]Methods write-up'!$R$20,'[1]observations-276632'!X115&gt;'[1]Methods write-up'!$S$20,'[1]observations-276632'!X115&lt;'[1]Methods write-up'!$T$20),"Temperate seasonal","")</f>
        <v/>
      </c>
      <c r="BC115" s="22" t="str">
        <f>IF(AND('[1]observations-276632'!W115&gt;'[1]Methods write-up'!$Q$21,'[1]observations-276632'!W115&lt;'[1]Methods write-up'!$R$21,'[1]observations-276632'!X115&gt;'[1]Methods write-up'!$S$21,'[1]observations-276632'!X115&lt;'[1]Methods write-up'!$T$21),"Desert and high aridity","")</f>
        <v>Desert and high aridity</v>
      </c>
      <c r="BD115" s="23" t="str">
        <f t="shared" si="7"/>
        <v>Desert and high aridity</v>
      </c>
      <c r="BE115" s="24">
        <f t="shared" si="5"/>
        <v>3</v>
      </c>
      <c r="BF115" s="24">
        <f t="shared" si="6"/>
        <v>5</v>
      </c>
    </row>
    <row r="116" spans="1:58" ht="16.25" customHeight="1" x14ac:dyDescent="0.2">
      <c r="A116">
        <v>11014141</v>
      </c>
      <c r="B116" s="13">
        <v>42049</v>
      </c>
      <c r="C116" s="14">
        <v>42049</v>
      </c>
      <c r="E116" t="s">
        <v>113</v>
      </c>
      <c r="F116">
        <v>389997</v>
      </c>
      <c r="G116" t="s">
        <v>942</v>
      </c>
      <c r="H116" t="s">
        <v>943</v>
      </c>
      <c r="I116" t="s">
        <v>944</v>
      </c>
      <c r="J116" t="s">
        <v>945</v>
      </c>
      <c r="K116" t="s">
        <v>62</v>
      </c>
      <c r="L116" t="s">
        <v>127</v>
      </c>
      <c r="M116" t="s">
        <v>946</v>
      </c>
      <c r="N116" t="s">
        <v>947</v>
      </c>
      <c r="Q116" t="s">
        <v>948</v>
      </c>
      <c r="R116">
        <v>2</v>
      </c>
      <c r="S116">
        <v>0</v>
      </c>
      <c r="T116" t="b">
        <v>0</v>
      </c>
      <c r="V116" t="s">
        <v>949</v>
      </c>
      <c r="W116" s="15">
        <v>-26.234999999999999</v>
      </c>
      <c r="X116" s="15">
        <v>31.178699999999999</v>
      </c>
      <c r="Y116">
        <v>1</v>
      </c>
      <c r="AC116">
        <v>1</v>
      </c>
      <c r="AF116" t="b">
        <v>0</v>
      </c>
      <c r="AI116" t="s">
        <v>950</v>
      </c>
      <c r="AJ116" t="s">
        <v>70</v>
      </c>
      <c r="AK116" t="s">
        <v>71</v>
      </c>
      <c r="AL116" t="s">
        <v>72</v>
      </c>
      <c r="AM116">
        <v>346053</v>
      </c>
      <c r="AO116" s="16" t="s">
        <v>73</v>
      </c>
      <c r="AP116" s="17" t="str">
        <f t="shared" si="4"/>
        <v>Off-nest female</v>
      </c>
      <c r="AX116" s="22" t="str">
        <f>IF(AND('[1]observations-276632'!W116&gt;'[1]Methods write-up'!$Q$16,'[1]observations-276632'!W116&lt;'[1]Methods write-up'!$R$16,'[1]observations-276632'!X116&gt;'[1]Methods write-up'!$S$16,'[1]observations-276632'!X116&lt;'[1]Methods write-up'!$T$16),"West and Central Africa","")</f>
        <v/>
      </c>
      <c r="AY116" s="22" t="str">
        <f>IF(AND('[1]observations-276632'!W116&gt;'[1]Methods write-up'!$Q$17,'[1]observations-276632'!W116&lt;'[1]Methods write-up'!$R$17,'[1]observations-276632'!X116&gt;'[1]Methods write-up'!$S$17,'[1]observations-276632'!X116&lt;'[1]Methods write-up'!$T$17),"Equatorial tropical forest","")</f>
        <v/>
      </c>
      <c r="AZ116" s="22" t="str">
        <f>IF(AND('[1]observations-276632'!W116&gt;'[1]Methods write-up'!$Q$18,'[1]observations-276632'!W116&lt;'[1]Methods write-up'!$R$18,'[1]observations-276632'!X116&gt;'[1]Methods write-up'!$S$18,'[1]observations-276632'!X116&lt;'[1]Methods write-up'!$T$18),"Somali peninsula","")</f>
        <v/>
      </c>
      <c r="BA116" s="22" t="str">
        <f>IF(AND('[1]observations-276632'!W116&gt;'[1]Methods write-up'!$Q$19,'[1]observations-276632'!W116&lt;'[1]Methods write-up'!$R$19,'[1]observations-276632'!X116&gt;'[1]Methods write-up'!$S$19,'[1]observations-276632'!X116&lt;'[1]Methods write-up'!$T$19),"East Africa","")</f>
        <v/>
      </c>
      <c r="BB116" s="22" t="str">
        <f>IF(AND('[1]observations-276632'!W116&gt;'[1]Methods write-up'!$Q$20,'[1]observations-276632'!W116&lt;'[1]Methods write-up'!$R$20,'[1]observations-276632'!X116&gt;'[1]Methods write-up'!$S$20,'[1]observations-276632'!X116&lt;'[1]Methods write-up'!$T$20),"Temperate seasonal","")</f>
        <v>Temperate seasonal</v>
      </c>
      <c r="BC116" s="22" t="str">
        <f>IF(AND('[1]observations-276632'!W116&gt;'[1]Methods write-up'!$Q$21,'[1]observations-276632'!W116&lt;'[1]Methods write-up'!$R$21,'[1]observations-276632'!X116&gt;'[1]Methods write-up'!$S$21,'[1]observations-276632'!X116&lt;'[1]Methods write-up'!$T$21),"Desert and high aridity","")</f>
        <v/>
      </c>
      <c r="BD116" s="23" t="str">
        <f t="shared" si="7"/>
        <v>Temperate seasonal</v>
      </c>
      <c r="BE116" s="24">
        <f t="shared" si="5"/>
        <v>14</v>
      </c>
      <c r="BF116" s="24">
        <f t="shared" si="6"/>
        <v>2</v>
      </c>
    </row>
    <row r="117" spans="1:58" ht="16.25" customHeight="1" x14ac:dyDescent="0.2">
      <c r="A117">
        <v>11040940</v>
      </c>
      <c r="B117" s="13">
        <v>42078</v>
      </c>
      <c r="C117" s="14">
        <v>42078</v>
      </c>
      <c r="E117" t="s">
        <v>113</v>
      </c>
      <c r="F117">
        <v>659922</v>
      </c>
      <c r="G117" t="s">
        <v>918</v>
      </c>
      <c r="I117" t="s">
        <v>951</v>
      </c>
      <c r="J117" t="s">
        <v>952</v>
      </c>
      <c r="K117" t="s">
        <v>62</v>
      </c>
      <c r="L117" t="s">
        <v>63</v>
      </c>
      <c r="M117" t="s">
        <v>953</v>
      </c>
      <c r="N117" t="s">
        <v>954</v>
      </c>
      <c r="P117" t="s">
        <v>955</v>
      </c>
      <c r="Q117" t="s">
        <v>788</v>
      </c>
      <c r="R117">
        <v>1</v>
      </c>
      <c r="S117">
        <v>0</v>
      </c>
      <c r="T117" t="b">
        <v>0</v>
      </c>
      <c r="V117" t="s">
        <v>956</v>
      </c>
      <c r="W117" s="15">
        <v>-28.2605</v>
      </c>
      <c r="X117" s="15">
        <v>32.473599999999998</v>
      </c>
      <c r="Y117">
        <v>1</v>
      </c>
      <c r="AC117">
        <v>1</v>
      </c>
      <c r="AF117" t="b">
        <v>0</v>
      </c>
      <c r="AI117" t="s">
        <v>288</v>
      </c>
      <c r="AJ117" t="s">
        <v>70</v>
      </c>
      <c r="AK117" t="s">
        <v>71</v>
      </c>
      <c r="AL117" t="s">
        <v>72</v>
      </c>
      <c r="AM117">
        <v>346053</v>
      </c>
      <c r="AO117" s="16" t="s">
        <v>73</v>
      </c>
      <c r="AP117" s="17" t="str">
        <f t="shared" si="4"/>
        <v>Off-nest female</v>
      </c>
      <c r="AX117" s="22" t="str">
        <f>IF(AND('[1]observations-276632'!W117&gt;'[1]Methods write-up'!$Q$16,'[1]observations-276632'!W117&lt;'[1]Methods write-up'!$R$16,'[1]observations-276632'!X117&gt;'[1]Methods write-up'!$S$16,'[1]observations-276632'!X117&lt;'[1]Methods write-up'!$T$16),"West and Central Africa","")</f>
        <v/>
      </c>
      <c r="AY117" s="22" t="str">
        <f>IF(AND('[1]observations-276632'!W117&gt;'[1]Methods write-up'!$Q$17,'[1]observations-276632'!W117&lt;'[1]Methods write-up'!$R$17,'[1]observations-276632'!X117&gt;'[1]Methods write-up'!$S$17,'[1]observations-276632'!X117&lt;'[1]Methods write-up'!$T$17),"Equatorial tropical forest","")</f>
        <v/>
      </c>
      <c r="AZ117" s="22" t="str">
        <f>IF(AND('[1]observations-276632'!W117&gt;'[1]Methods write-up'!$Q$18,'[1]observations-276632'!W117&lt;'[1]Methods write-up'!$R$18,'[1]observations-276632'!X117&gt;'[1]Methods write-up'!$S$18,'[1]observations-276632'!X117&lt;'[1]Methods write-up'!$T$18),"Somali peninsula","")</f>
        <v/>
      </c>
      <c r="BA117" s="22" t="str">
        <f>IF(AND('[1]observations-276632'!W117&gt;'[1]Methods write-up'!$Q$19,'[1]observations-276632'!W117&lt;'[1]Methods write-up'!$R$19,'[1]observations-276632'!X117&gt;'[1]Methods write-up'!$S$19,'[1]observations-276632'!X117&lt;'[1]Methods write-up'!$T$19),"East Africa","")</f>
        <v/>
      </c>
      <c r="BB117" s="22" t="str">
        <f>IF(AND('[1]observations-276632'!W117&gt;'[1]Methods write-up'!$Q$20,'[1]observations-276632'!W117&lt;'[1]Methods write-up'!$R$20,'[1]observations-276632'!X117&gt;'[1]Methods write-up'!$S$20,'[1]observations-276632'!X117&lt;'[1]Methods write-up'!$T$20),"Temperate seasonal","")</f>
        <v>Temperate seasonal</v>
      </c>
      <c r="BC117" s="22" t="str">
        <f>IF(AND('[1]observations-276632'!W117&gt;'[1]Methods write-up'!$Q$21,'[1]observations-276632'!W117&lt;'[1]Methods write-up'!$R$21,'[1]observations-276632'!X117&gt;'[1]Methods write-up'!$S$21,'[1]observations-276632'!X117&lt;'[1]Methods write-up'!$T$21),"Desert and high aridity","")</f>
        <v/>
      </c>
      <c r="BD117" s="23" t="str">
        <f t="shared" si="7"/>
        <v>Temperate seasonal</v>
      </c>
      <c r="BE117" s="24">
        <f t="shared" si="5"/>
        <v>15</v>
      </c>
      <c r="BF117" s="24">
        <f t="shared" si="6"/>
        <v>3</v>
      </c>
    </row>
    <row r="118" spans="1:58" ht="16.25" customHeight="1" x14ac:dyDescent="0.2">
      <c r="A118">
        <v>11043313</v>
      </c>
      <c r="B118" s="13">
        <v>40553</v>
      </c>
      <c r="C118" s="14">
        <v>40553</v>
      </c>
      <c r="E118" t="s">
        <v>113</v>
      </c>
      <c r="F118">
        <v>691032</v>
      </c>
      <c r="G118" t="s">
        <v>957</v>
      </c>
      <c r="H118" t="s">
        <v>958</v>
      </c>
      <c r="I118" t="s">
        <v>959</v>
      </c>
      <c r="J118" t="s">
        <v>960</v>
      </c>
      <c r="K118" t="s">
        <v>62</v>
      </c>
      <c r="L118" t="s">
        <v>63</v>
      </c>
      <c r="M118" t="s">
        <v>961</v>
      </c>
      <c r="N118" t="s">
        <v>962</v>
      </c>
      <c r="Q118" t="s">
        <v>963</v>
      </c>
      <c r="R118">
        <v>6</v>
      </c>
      <c r="S118">
        <v>1</v>
      </c>
      <c r="T118" t="b">
        <v>0</v>
      </c>
      <c r="V118" t="s">
        <v>964</v>
      </c>
      <c r="W118" s="15">
        <v>-22.691700000000001</v>
      </c>
      <c r="X118" s="15">
        <v>31.015000000000001</v>
      </c>
      <c r="Y118">
        <v>1</v>
      </c>
      <c r="AC118">
        <v>1</v>
      </c>
      <c r="AF118" t="b">
        <v>0</v>
      </c>
      <c r="AI118" t="s">
        <v>71</v>
      </c>
      <c r="AJ118" t="s">
        <v>70</v>
      </c>
      <c r="AK118" t="s">
        <v>71</v>
      </c>
      <c r="AL118" t="s">
        <v>72</v>
      </c>
      <c r="AM118">
        <v>346053</v>
      </c>
      <c r="AO118" s="16" t="s">
        <v>73</v>
      </c>
      <c r="AP118" s="17" t="str">
        <f t="shared" si="4"/>
        <v>Off-nest female</v>
      </c>
      <c r="AX118" s="22" t="str">
        <f>IF(AND('[1]observations-276632'!W118&gt;'[1]Methods write-up'!$Q$16,'[1]observations-276632'!W118&lt;'[1]Methods write-up'!$R$16,'[1]observations-276632'!X118&gt;'[1]Methods write-up'!$S$16,'[1]observations-276632'!X118&lt;'[1]Methods write-up'!$T$16),"West and Central Africa","")</f>
        <v/>
      </c>
      <c r="AY118" s="22" t="str">
        <f>IF(AND('[1]observations-276632'!W118&gt;'[1]Methods write-up'!$Q$17,'[1]observations-276632'!W118&lt;'[1]Methods write-up'!$R$17,'[1]observations-276632'!X118&gt;'[1]Methods write-up'!$S$17,'[1]observations-276632'!X118&lt;'[1]Methods write-up'!$T$17),"Equatorial tropical forest","")</f>
        <v/>
      </c>
      <c r="AZ118" s="22" t="str">
        <f>IF(AND('[1]observations-276632'!W118&gt;'[1]Methods write-up'!$Q$18,'[1]observations-276632'!W118&lt;'[1]Methods write-up'!$R$18,'[1]observations-276632'!X118&gt;'[1]Methods write-up'!$S$18,'[1]observations-276632'!X118&lt;'[1]Methods write-up'!$T$18),"Somali peninsula","")</f>
        <v/>
      </c>
      <c r="BA118" s="22" t="str">
        <f>IF(AND('[1]observations-276632'!W118&gt;'[1]Methods write-up'!$Q$19,'[1]observations-276632'!W118&lt;'[1]Methods write-up'!$R$19,'[1]observations-276632'!X118&gt;'[1]Methods write-up'!$S$19,'[1]observations-276632'!X118&lt;'[1]Methods write-up'!$T$19),"East Africa","")</f>
        <v/>
      </c>
      <c r="BB118" s="22" t="str">
        <f>IF(AND('[1]observations-276632'!W118&gt;'[1]Methods write-up'!$Q$20,'[1]observations-276632'!W118&lt;'[1]Methods write-up'!$R$20,'[1]observations-276632'!X118&gt;'[1]Methods write-up'!$S$20,'[1]observations-276632'!X118&lt;'[1]Methods write-up'!$T$20),"Temperate seasonal","")</f>
        <v/>
      </c>
      <c r="BC118" s="22" t="str">
        <f>IF(AND('[1]observations-276632'!W118&gt;'[1]Methods write-up'!$Q$21,'[1]observations-276632'!W118&lt;'[1]Methods write-up'!$R$21,'[1]observations-276632'!X118&gt;'[1]Methods write-up'!$S$21,'[1]observations-276632'!X118&lt;'[1]Methods write-up'!$T$21),"Desert and high aridity","")</f>
        <v/>
      </c>
      <c r="BD118" s="23" t="str">
        <f t="shared" si="7"/>
        <v/>
      </c>
      <c r="BE118" s="24">
        <f t="shared" si="5"/>
        <v>10</v>
      </c>
      <c r="BF118" s="24">
        <f t="shared" si="6"/>
        <v>1</v>
      </c>
    </row>
    <row r="119" spans="1:58" ht="16.25" customHeight="1" x14ac:dyDescent="0.2">
      <c r="A119">
        <v>11043402</v>
      </c>
      <c r="B119" s="13">
        <v>42086</v>
      </c>
      <c r="C119" s="14">
        <v>42086</v>
      </c>
      <c r="E119" t="s">
        <v>113</v>
      </c>
      <c r="F119">
        <v>191332</v>
      </c>
      <c r="G119" t="s">
        <v>965</v>
      </c>
      <c r="H119" t="s">
        <v>966</v>
      </c>
      <c r="I119" t="s">
        <v>967</v>
      </c>
      <c r="J119" t="s">
        <v>968</v>
      </c>
      <c r="K119" t="s">
        <v>62</v>
      </c>
      <c r="L119" t="s">
        <v>63</v>
      </c>
      <c r="M119" t="s">
        <v>969</v>
      </c>
      <c r="N119" t="s">
        <v>970</v>
      </c>
      <c r="Q119" t="s">
        <v>971</v>
      </c>
      <c r="R119">
        <v>1</v>
      </c>
      <c r="S119">
        <v>0</v>
      </c>
      <c r="T119" t="b">
        <v>0</v>
      </c>
      <c r="V119" t="s">
        <v>972</v>
      </c>
      <c r="W119" s="15">
        <v>-26.235109999999999</v>
      </c>
      <c r="X119" s="15">
        <v>31.178336000000002</v>
      </c>
      <c r="Y119">
        <v>1</v>
      </c>
      <c r="AC119">
        <v>1</v>
      </c>
      <c r="AF119" t="b">
        <v>0</v>
      </c>
      <c r="AI119" t="s">
        <v>161</v>
      </c>
      <c r="AJ119" t="s">
        <v>161</v>
      </c>
      <c r="AL119" t="s">
        <v>72</v>
      </c>
      <c r="AM119">
        <v>366867</v>
      </c>
      <c r="AO119" s="16" t="s">
        <v>140</v>
      </c>
      <c r="AP119" s="17" t="str">
        <f t="shared" si="4"/>
        <v>Post-emergence nest</v>
      </c>
      <c r="AQ119" s="18">
        <v>7</v>
      </c>
      <c r="AT119" s="19" t="s">
        <v>141</v>
      </c>
      <c r="AU119" s="20" t="s">
        <v>104</v>
      </c>
      <c r="AV119" s="21" t="s">
        <v>431</v>
      </c>
      <c r="AX119" s="22" t="str">
        <f>IF(AND('[1]observations-276632'!W119&gt;'[1]Methods write-up'!$Q$16,'[1]observations-276632'!W119&lt;'[1]Methods write-up'!$R$16,'[1]observations-276632'!X119&gt;'[1]Methods write-up'!$S$16,'[1]observations-276632'!X119&lt;'[1]Methods write-up'!$T$16),"West and Central Africa","")</f>
        <v/>
      </c>
      <c r="AY119" s="22" t="str">
        <f>IF(AND('[1]observations-276632'!W119&gt;'[1]Methods write-up'!$Q$17,'[1]observations-276632'!W119&lt;'[1]Methods write-up'!$R$17,'[1]observations-276632'!X119&gt;'[1]Methods write-up'!$S$17,'[1]observations-276632'!X119&lt;'[1]Methods write-up'!$T$17),"Equatorial tropical forest","")</f>
        <v/>
      </c>
      <c r="AZ119" s="22" t="str">
        <f>IF(AND('[1]observations-276632'!W119&gt;'[1]Methods write-up'!$Q$18,'[1]observations-276632'!W119&lt;'[1]Methods write-up'!$R$18,'[1]observations-276632'!X119&gt;'[1]Methods write-up'!$S$18,'[1]observations-276632'!X119&lt;'[1]Methods write-up'!$T$18),"Somali peninsula","")</f>
        <v/>
      </c>
      <c r="BA119" s="22" t="str">
        <f>IF(AND('[1]observations-276632'!W119&gt;'[1]Methods write-up'!$Q$19,'[1]observations-276632'!W119&lt;'[1]Methods write-up'!$R$19,'[1]observations-276632'!X119&gt;'[1]Methods write-up'!$S$19,'[1]observations-276632'!X119&lt;'[1]Methods write-up'!$T$19),"East Africa","")</f>
        <v/>
      </c>
      <c r="BB119" s="22" t="str">
        <f>IF(AND('[1]observations-276632'!W119&gt;'[1]Methods write-up'!$Q$20,'[1]observations-276632'!W119&lt;'[1]Methods write-up'!$R$20,'[1]observations-276632'!X119&gt;'[1]Methods write-up'!$S$20,'[1]observations-276632'!X119&lt;'[1]Methods write-up'!$T$20),"Temperate seasonal","")</f>
        <v>Temperate seasonal</v>
      </c>
      <c r="BC119" s="22" t="str">
        <f>IF(AND('[1]observations-276632'!W119&gt;'[1]Methods write-up'!$Q$21,'[1]observations-276632'!W119&lt;'[1]Methods write-up'!$R$21,'[1]observations-276632'!X119&gt;'[1]Methods write-up'!$S$21,'[1]observations-276632'!X119&lt;'[1]Methods write-up'!$T$21),"Desert and high aridity","")</f>
        <v/>
      </c>
      <c r="BD119" s="23" t="str">
        <f t="shared" si="7"/>
        <v>Temperate seasonal</v>
      </c>
      <c r="BE119" s="24">
        <f t="shared" si="5"/>
        <v>23</v>
      </c>
      <c r="BF119" s="24">
        <f t="shared" si="6"/>
        <v>3</v>
      </c>
    </row>
    <row r="120" spans="1:58" ht="16.25" customHeight="1" x14ac:dyDescent="0.2">
      <c r="A120">
        <v>11062514</v>
      </c>
      <c r="B120" s="13">
        <v>42193</v>
      </c>
      <c r="C120" s="14">
        <v>42193</v>
      </c>
      <c r="E120" t="s">
        <v>113</v>
      </c>
      <c r="F120">
        <v>389988</v>
      </c>
      <c r="G120" t="s">
        <v>747</v>
      </c>
      <c r="H120" t="s">
        <v>748</v>
      </c>
      <c r="I120" t="s">
        <v>973</v>
      </c>
      <c r="J120" t="s">
        <v>974</v>
      </c>
      <c r="K120" t="s">
        <v>157</v>
      </c>
      <c r="L120" t="s">
        <v>63</v>
      </c>
      <c r="M120" t="s">
        <v>975</v>
      </c>
      <c r="N120" t="s">
        <v>976</v>
      </c>
      <c r="Q120" t="s">
        <v>977</v>
      </c>
      <c r="R120">
        <v>2</v>
      </c>
      <c r="S120">
        <v>0</v>
      </c>
      <c r="T120" t="b">
        <v>0</v>
      </c>
      <c r="V120" t="s">
        <v>755</v>
      </c>
      <c r="W120" s="15">
        <v>-24.4589231</v>
      </c>
      <c r="X120" s="15">
        <v>16.316739800000001</v>
      </c>
      <c r="Y120">
        <v>1</v>
      </c>
      <c r="AC120">
        <v>1</v>
      </c>
      <c r="AF120" t="b">
        <v>0</v>
      </c>
      <c r="AI120" t="s">
        <v>756</v>
      </c>
      <c r="AJ120" t="s">
        <v>756</v>
      </c>
      <c r="AL120" t="s">
        <v>72</v>
      </c>
      <c r="AM120">
        <v>652800</v>
      </c>
      <c r="AO120" s="16" t="s">
        <v>253</v>
      </c>
      <c r="AP120" s="17" t="str">
        <f t="shared" si="4"/>
        <v>Aggregation of females off-nest</v>
      </c>
      <c r="AQ120" s="18">
        <v>101</v>
      </c>
      <c r="AV120" s="21" t="s">
        <v>978</v>
      </c>
      <c r="AX120" s="22" t="str">
        <f>IF(AND('[1]observations-276632'!W120&gt;'[1]Methods write-up'!$Q$16,'[1]observations-276632'!W120&lt;'[1]Methods write-up'!$R$16,'[1]observations-276632'!X120&gt;'[1]Methods write-up'!$S$16,'[1]observations-276632'!X120&lt;'[1]Methods write-up'!$T$16),"West and Central Africa","")</f>
        <v/>
      </c>
      <c r="AY120" s="22" t="str">
        <f>IF(AND('[1]observations-276632'!W120&gt;'[1]Methods write-up'!$Q$17,'[1]observations-276632'!W120&lt;'[1]Methods write-up'!$R$17,'[1]observations-276632'!X120&gt;'[1]Methods write-up'!$S$17,'[1]observations-276632'!X120&lt;'[1]Methods write-up'!$T$17),"Equatorial tropical forest","")</f>
        <v/>
      </c>
      <c r="AZ120" s="22" t="str">
        <f>IF(AND('[1]observations-276632'!W120&gt;'[1]Methods write-up'!$Q$18,'[1]observations-276632'!W120&lt;'[1]Methods write-up'!$R$18,'[1]observations-276632'!X120&gt;'[1]Methods write-up'!$S$18,'[1]observations-276632'!X120&lt;'[1]Methods write-up'!$T$18),"Somali peninsula","")</f>
        <v/>
      </c>
      <c r="BA120" s="22" t="str">
        <f>IF(AND('[1]observations-276632'!W120&gt;'[1]Methods write-up'!$Q$19,'[1]observations-276632'!W120&lt;'[1]Methods write-up'!$R$19,'[1]observations-276632'!X120&gt;'[1]Methods write-up'!$S$19,'[1]observations-276632'!X120&lt;'[1]Methods write-up'!$T$19),"East Africa","")</f>
        <v/>
      </c>
      <c r="BB120" s="22" t="str">
        <f>IF(AND('[1]observations-276632'!W120&gt;'[1]Methods write-up'!$Q$20,'[1]observations-276632'!W120&lt;'[1]Methods write-up'!$R$20,'[1]observations-276632'!X120&gt;'[1]Methods write-up'!$S$20,'[1]observations-276632'!X120&lt;'[1]Methods write-up'!$T$20),"Temperate seasonal","")</f>
        <v/>
      </c>
      <c r="BC120" s="22" t="str">
        <f>IF(AND('[1]observations-276632'!W120&gt;'[1]Methods write-up'!$Q$21,'[1]observations-276632'!W120&lt;'[1]Methods write-up'!$R$21,'[1]observations-276632'!X120&gt;'[1]Methods write-up'!$S$21,'[1]observations-276632'!X120&lt;'[1]Methods write-up'!$T$21),"Desert and high aridity","")</f>
        <v>Desert and high aridity</v>
      </c>
      <c r="BD120" s="23" t="str">
        <f t="shared" si="7"/>
        <v>Desert and high aridity</v>
      </c>
      <c r="BE120" s="24">
        <f t="shared" si="5"/>
        <v>8</v>
      </c>
      <c r="BF120" s="24">
        <f t="shared" si="6"/>
        <v>7</v>
      </c>
    </row>
    <row r="121" spans="1:58" ht="16.25" customHeight="1" x14ac:dyDescent="0.2">
      <c r="A121">
        <v>11067177</v>
      </c>
      <c r="B121" s="13">
        <v>42106</v>
      </c>
      <c r="C121" s="14">
        <v>42106</v>
      </c>
      <c r="E121" t="s">
        <v>811</v>
      </c>
      <c r="F121">
        <v>389997</v>
      </c>
      <c r="G121" t="s">
        <v>942</v>
      </c>
      <c r="H121" t="s">
        <v>943</v>
      </c>
      <c r="I121" t="s">
        <v>979</v>
      </c>
      <c r="J121" t="s">
        <v>980</v>
      </c>
      <c r="K121" t="s">
        <v>62</v>
      </c>
      <c r="L121" t="s">
        <v>127</v>
      </c>
      <c r="M121" t="s">
        <v>981</v>
      </c>
      <c r="N121" t="s">
        <v>982</v>
      </c>
      <c r="Q121" t="s">
        <v>983</v>
      </c>
      <c r="R121">
        <v>2</v>
      </c>
      <c r="S121">
        <v>0</v>
      </c>
      <c r="T121" t="b">
        <v>0</v>
      </c>
      <c r="V121" t="s">
        <v>984</v>
      </c>
      <c r="W121" s="15">
        <v>-33.939908000000003</v>
      </c>
      <c r="X121" s="15">
        <v>22.476879</v>
      </c>
      <c r="Y121">
        <v>1</v>
      </c>
      <c r="AC121">
        <v>1</v>
      </c>
      <c r="AF121" t="b">
        <v>0</v>
      </c>
      <c r="AI121" t="s">
        <v>70</v>
      </c>
      <c r="AJ121" t="s">
        <v>70</v>
      </c>
      <c r="AK121" t="s">
        <v>71</v>
      </c>
      <c r="AL121" t="s">
        <v>72</v>
      </c>
      <c r="AM121">
        <v>346053</v>
      </c>
      <c r="AO121" s="16" t="s">
        <v>140</v>
      </c>
      <c r="AP121" s="17" t="str">
        <f t="shared" si="4"/>
        <v>Post-emergence nest</v>
      </c>
      <c r="AQ121" s="18">
        <v>8</v>
      </c>
      <c r="AT121" s="19" t="s">
        <v>141</v>
      </c>
      <c r="AU121" s="20" t="s">
        <v>141</v>
      </c>
      <c r="AV121" s="21" t="s">
        <v>985</v>
      </c>
      <c r="AX121" s="22" t="str">
        <f>IF(AND('[1]observations-276632'!W121&gt;'[1]Methods write-up'!$Q$16,'[1]observations-276632'!W121&lt;'[1]Methods write-up'!$R$16,'[1]observations-276632'!X121&gt;'[1]Methods write-up'!$S$16,'[1]observations-276632'!X121&lt;'[1]Methods write-up'!$T$16),"West and Central Africa","")</f>
        <v/>
      </c>
      <c r="AY121" s="22" t="str">
        <f>IF(AND('[1]observations-276632'!W121&gt;'[1]Methods write-up'!$Q$17,'[1]observations-276632'!W121&lt;'[1]Methods write-up'!$R$17,'[1]observations-276632'!X121&gt;'[1]Methods write-up'!$S$17,'[1]observations-276632'!X121&lt;'[1]Methods write-up'!$T$17),"Equatorial tropical forest","")</f>
        <v/>
      </c>
      <c r="AZ121" s="22" t="str">
        <f>IF(AND('[1]observations-276632'!W121&gt;'[1]Methods write-up'!$Q$18,'[1]observations-276632'!W121&lt;'[1]Methods write-up'!$R$18,'[1]observations-276632'!X121&gt;'[1]Methods write-up'!$S$18,'[1]observations-276632'!X121&lt;'[1]Methods write-up'!$T$18),"Somali peninsula","")</f>
        <v/>
      </c>
      <c r="BA121" s="22" t="str">
        <f>IF(AND('[1]observations-276632'!W121&gt;'[1]Methods write-up'!$Q$19,'[1]observations-276632'!W121&lt;'[1]Methods write-up'!$R$19,'[1]observations-276632'!X121&gt;'[1]Methods write-up'!$S$19,'[1]observations-276632'!X121&lt;'[1]Methods write-up'!$T$19),"East Africa","")</f>
        <v/>
      </c>
      <c r="BB121" s="22" t="str">
        <f>IF(AND('[1]observations-276632'!W121&gt;'[1]Methods write-up'!$Q$20,'[1]observations-276632'!W121&lt;'[1]Methods write-up'!$R$20,'[1]observations-276632'!X121&gt;'[1]Methods write-up'!$S$20,'[1]observations-276632'!X121&lt;'[1]Methods write-up'!$T$20),"Temperate seasonal","")</f>
        <v/>
      </c>
      <c r="BC121" s="22" t="str">
        <f>IF(AND('[1]observations-276632'!W121&gt;'[1]Methods write-up'!$Q$21,'[1]observations-276632'!W121&lt;'[1]Methods write-up'!$R$21,'[1]observations-276632'!X121&gt;'[1]Methods write-up'!$S$21,'[1]observations-276632'!X121&lt;'[1]Methods write-up'!$T$21),"Desert and high aridity","")</f>
        <v/>
      </c>
      <c r="BD121" s="23" t="str">
        <f t="shared" si="7"/>
        <v/>
      </c>
      <c r="BE121" s="24">
        <f t="shared" si="5"/>
        <v>12</v>
      </c>
      <c r="BF121" s="24">
        <f t="shared" si="6"/>
        <v>4</v>
      </c>
    </row>
    <row r="122" spans="1:58" ht="16.25" customHeight="1" x14ac:dyDescent="0.2">
      <c r="A122">
        <v>11072867</v>
      </c>
      <c r="B122" s="13">
        <v>41940</v>
      </c>
      <c r="C122" s="14">
        <v>41940</v>
      </c>
      <c r="E122" t="s">
        <v>113</v>
      </c>
      <c r="F122">
        <v>679321</v>
      </c>
      <c r="G122" t="s">
        <v>478</v>
      </c>
      <c r="H122" t="s">
        <v>479</v>
      </c>
      <c r="I122" t="s">
        <v>986</v>
      </c>
      <c r="J122" t="s">
        <v>987</v>
      </c>
      <c r="K122" t="s">
        <v>62</v>
      </c>
      <c r="L122" t="s">
        <v>63</v>
      </c>
      <c r="M122" t="s">
        <v>988</v>
      </c>
      <c r="N122" t="s">
        <v>989</v>
      </c>
      <c r="P122" t="s">
        <v>990</v>
      </c>
      <c r="Q122" t="s">
        <v>991</v>
      </c>
      <c r="R122">
        <v>3</v>
      </c>
      <c r="S122">
        <v>0</v>
      </c>
      <c r="T122" t="b">
        <v>0</v>
      </c>
      <c r="V122" t="s">
        <v>992</v>
      </c>
      <c r="W122" s="15">
        <v>-27.5442</v>
      </c>
      <c r="X122" s="15">
        <v>32.6768</v>
      </c>
      <c r="Y122">
        <v>1</v>
      </c>
      <c r="AC122">
        <v>1</v>
      </c>
      <c r="AF122" t="b">
        <v>0</v>
      </c>
      <c r="AI122" t="s">
        <v>70</v>
      </c>
      <c r="AJ122" t="s">
        <v>70</v>
      </c>
      <c r="AK122" t="s">
        <v>71</v>
      </c>
      <c r="AL122" t="s">
        <v>72</v>
      </c>
      <c r="AM122">
        <v>346053</v>
      </c>
      <c r="AO122" s="16" t="s">
        <v>172</v>
      </c>
      <c r="AP122" s="17" t="str">
        <f t="shared" si="4"/>
        <v>Nest (foundress)</v>
      </c>
      <c r="AQ122" s="18">
        <v>1</v>
      </c>
      <c r="AT122" s="19" t="s">
        <v>141</v>
      </c>
      <c r="AX122" s="22" t="str">
        <f>IF(AND('[1]observations-276632'!W122&gt;'[1]Methods write-up'!$Q$16,'[1]observations-276632'!W122&lt;'[1]Methods write-up'!$R$16,'[1]observations-276632'!X122&gt;'[1]Methods write-up'!$S$16,'[1]observations-276632'!X122&lt;'[1]Methods write-up'!$T$16),"West and Central Africa","")</f>
        <v/>
      </c>
      <c r="AY122" s="22" t="str">
        <f>IF(AND('[1]observations-276632'!W122&gt;'[1]Methods write-up'!$Q$17,'[1]observations-276632'!W122&lt;'[1]Methods write-up'!$R$17,'[1]observations-276632'!X122&gt;'[1]Methods write-up'!$S$17,'[1]observations-276632'!X122&lt;'[1]Methods write-up'!$T$17),"Equatorial tropical forest","")</f>
        <v/>
      </c>
      <c r="AZ122" s="22" t="str">
        <f>IF(AND('[1]observations-276632'!W122&gt;'[1]Methods write-up'!$Q$18,'[1]observations-276632'!W122&lt;'[1]Methods write-up'!$R$18,'[1]observations-276632'!X122&gt;'[1]Methods write-up'!$S$18,'[1]observations-276632'!X122&lt;'[1]Methods write-up'!$T$18),"Somali peninsula","")</f>
        <v/>
      </c>
      <c r="BA122" s="22" t="str">
        <f>IF(AND('[1]observations-276632'!W122&gt;'[1]Methods write-up'!$Q$19,'[1]observations-276632'!W122&lt;'[1]Methods write-up'!$R$19,'[1]observations-276632'!X122&gt;'[1]Methods write-up'!$S$19,'[1]observations-276632'!X122&lt;'[1]Methods write-up'!$T$19),"East Africa","")</f>
        <v/>
      </c>
      <c r="BB122" s="22" t="str">
        <f>IF(AND('[1]observations-276632'!W122&gt;'[1]Methods write-up'!$Q$20,'[1]observations-276632'!W122&lt;'[1]Methods write-up'!$R$20,'[1]observations-276632'!X122&gt;'[1]Methods write-up'!$S$20,'[1]observations-276632'!X122&lt;'[1]Methods write-up'!$T$20),"Temperate seasonal","")</f>
        <v>Temperate seasonal</v>
      </c>
      <c r="BC122" s="22" t="str">
        <f>IF(AND('[1]observations-276632'!W122&gt;'[1]Methods write-up'!$Q$21,'[1]observations-276632'!W122&lt;'[1]Methods write-up'!$R$21,'[1]observations-276632'!X122&gt;'[1]Methods write-up'!$S$21,'[1]observations-276632'!X122&lt;'[1]Methods write-up'!$T$21),"Desert and high aridity","")</f>
        <v/>
      </c>
      <c r="BD122" s="23" t="str">
        <f t="shared" si="7"/>
        <v>Temperate seasonal</v>
      </c>
      <c r="BE122" s="24">
        <f t="shared" si="5"/>
        <v>28</v>
      </c>
      <c r="BF122" s="24">
        <f t="shared" si="6"/>
        <v>10</v>
      </c>
    </row>
    <row r="123" spans="1:58" ht="16.25" customHeight="1" x14ac:dyDescent="0.2">
      <c r="C123" s="14">
        <v>41940</v>
      </c>
      <c r="M123" t="s">
        <v>182</v>
      </c>
      <c r="W123" s="15">
        <v>-27.5442</v>
      </c>
      <c r="X123" s="15">
        <v>32.6768</v>
      </c>
      <c r="AO123" s="16" t="s">
        <v>172</v>
      </c>
      <c r="AP123" s="17" t="str">
        <f t="shared" si="4"/>
        <v>Nest (foundress)</v>
      </c>
      <c r="AQ123" s="18">
        <v>1</v>
      </c>
      <c r="AX123" s="22" t="str">
        <f>IF(AND('[1]observations-276632'!W123&gt;'[1]Methods write-up'!$Q$16,'[1]observations-276632'!W123&lt;'[1]Methods write-up'!$R$16,'[1]observations-276632'!X123&gt;'[1]Methods write-up'!$S$16,'[1]observations-276632'!X123&lt;'[1]Methods write-up'!$T$16),"West and Central Africa","")</f>
        <v/>
      </c>
      <c r="AY123" s="22" t="str">
        <f>IF(AND('[1]observations-276632'!W123&gt;'[1]Methods write-up'!$Q$17,'[1]observations-276632'!W123&lt;'[1]Methods write-up'!$R$17,'[1]observations-276632'!X123&gt;'[1]Methods write-up'!$S$17,'[1]observations-276632'!X123&lt;'[1]Methods write-up'!$T$17),"Equatorial tropical forest","")</f>
        <v/>
      </c>
      <c r="AZ123" s="22" t="str">
        <f>IF(AND('[1]observations-276632'!W123&gt;'[1]Methods write-up'!$Q$18,'[1]observations-276632'!W123&lt;'[1]Methods write-up'!$R$18,'[1]observations-276632'!X123&gt;'[1]Methods write-up'!$S$18,'[1]observations-276632'!X123&lt;'[1]Methods write-up'!$T$18),"Somali peninsula","")</f>
        <v/>
      </c>
      <c r="BA123" s="22" t="str">
        <f>IF(AND('[1]observations-276632'!W123&gt;'[1]Methods write-up'!$Q$19,'[1]observations-276632'!W123&lt;'[1]Methods write-up'!$R$19,'[1]observations-276632'!X123&gt;'[1]Methods write-up'!$S$19,'[1]observations-276632'!X123&lt;'[1]Methods write-up'!$T$19),"East Africa","")</f>
        <v/>
      </c>
      <c r="BB123" s="22" t="str">
        <f>IF(AND('[1]observations-276632'!W123&gt;'[1]Methods write-up'!$Q$20,'[1]observations-276632'!W123&lt;'[1]Methods write-up'!$R$20,'[1]observations-276632'!X123&gt;'[1]Methods write-up'!$S$20,'[1]observations-276632'!X123&lt;'[1]Methods write-up'!$T$20),"Temperate seasonal","")</f>
        <v>Temperate seasonal</v>
      </c>
      <c r="BC123" s="22" t="str">
        <f>IF(AND('[1]observations-276632'!W123&gt;'[1]Methods write-up'!$Q$21,'[1]observations-276632'!W123&lt;'[1]Methods write-up'!$R$21,'[1]observations-276632'!X123&gt;'[1]Methods write-up'!$S$21,'[1]observations-276632'!X123&lt;'[1]Methods write-up'!$T$21),"Desert and high aridity","")</f>
        <v/>
      </c>
      <c r="BD123" s="23" t="str">
        <f t="shared" si="7"/>
        <v>Temperate seasonal</v>
      </c>
      <c r="BE123" s="24">
        <f t="shared" si="5"/>
        <v>28</v>
      </c>
      <c r="BF123" s="24">
        <f t="shared" si="6"/>
        <v>10</v>
      </c>
    </row>
    <row r="124" spans="1:58" ht="16.25" customHeight="1" x14ac:dyDescent="0.2">
      <c r="A124">
        <v>11091470</v>
      </c>
      <c r="B124" s="13">
        <v>42092</v>
      </c>
      <c r="C124" s="14">
        <v>42092</v>
      </c>
      <c r="E124" t="s">
        <v>113</v>
      </c>
      <c r="F124">
        <v>389988</v>
      </c>
      <c r="G124" t="s">
        <v>747</v>
      </c>
      <c r="H124" t="s">
        <v>748</v>
      </c>
      <c r="I124" t="s">
        <v>993</v>
      </c>
      <c r="J124" t="s">
        <v>994</v>
      </c>
      <c r="K124" t="s">
        <v>157</v>
      </c>
      <c r="L124" t="s">
        <v>63</v>
      </c>
      <c r="M124" t="s">
        <v>995</v>
      </c>
      <c r="N124" t="s">
        <v>996</v>
      </c>
      <c r="Q124" t="s">
        <v>754</v>
      </c>
      <c r="R124">
        <v>5</v>
      </c>
      <c r="S124">
        <v>0</v>
      </c>
      <c r="T124" t="b">
        <v>0</v>
      </c>
      <c r="V124" t="s">
        <v>755</v>
      </c>
      <c r="W124" s="15">
        <v>-24.44405167</v>
      </c>
      <c r="X124" s="15">
        <v>16.170806670000001</v>
      </c>
      <c r="Y124">
        <v>1</v>
      </c>
      <c r="AC124">
        <v>1</v>
      </c>
      <c r="AF124" t="b">
        <v>0</v>
      </c>
      <c r="AI124" t="s">
        <v>756</v>
      </c>
      <c r="AJ124" t="s">
        <v>756</v>
      </c>
      <c r="AL124" t="s">
        <v>72</v>
      </c>
      <c r="AM124">
        <v>652800</v>
      </c>
      <c r="AO124" s="16" t="s">
        <v>73</v>
      </c>
      <c r="AP124" s="17" t="str">
        <f t="shared" si="4"/>
        <v>Off-nest female</v>
      </c>
      <c r="AX124" s="22" t="str">
        <f>IF(AND('[1]observations-276632'!W124&gt;'[1]Methods write-up'!$Q$16,'[1]observations-276632'!W124&lt;'[1]Methods write-up'!$R$16,'[1]observations-276632'!X124&gt;'[1]Methods write-up'!$S$16,'[1]observations-276632'!X124&lt;'[1]Methods write-up'!$T$16),"West and Central Africa","")</f>
        <v/>
      </c>
      <c r="AY124" s="22" t="str">
        <f>IF(AND('[1]observations-276632'!W124&gt;'[1]Methods write-up'!$Q$17,'[1]observations-276632'!W124&lt;'[1]Methods write-up'!$R$17,'[1]observations-276632'!X124&gt;'[1]Methods write-up'!$S$17,'[1]observations-276632'!X124&lt;'[1]Methods write-up'!$T$17),"Equatorial tropical forest","")</f>
        <v/>
      </c>
      <c r="AZ124" s="22" t="str">
        <f>IF(AND('[1]observations-276632'!W124&gt;'[1]Methods write-up'!$Q$18,'[1]observations-276632'!W124&lt;'[1]Methods write-up'!$R$18,'[1]observations-276632'!X124&gt;'[1]Methods write-up'!$S$18,'[1]observations-276632'!X124&lt;'[1]Methods write-up'!$T$18),"Somali peninsula","")</f>
        <v/>
      </c>
      <c r="BA124" s="22" t="str">
        <f>IF(AND('[1]observations-276632'!W124&gt;'[1]Methods write-up'!$Q$19,'[1]observations-276632'!W124&lt;'[1]Methods write-up'!$R$19,'[1]observations-276632'!X124&gt;'[1]Methods write-up'!$S$19,'[1]observations-276632'!X124&lt;'[1]Methods write-up'!$T$19),"East Africa","")</f>
        <v/>
      </c>
      <c r="BB124" s="22" t="str">
        <f>IF(AND('[1]observations-276632'!W124&gt;'[1]Methods write-up'!$Q$20,'[1]observations-276632'!W124&lt;'[1]Methods write-up'!$R$20,'[1]observations-276632'!X124&gt;'[1]Methods write-up'!$S$20,'[1]observations-276632'!X124&lt;'[1]Methods write-up'!$T$20),"Temperate seasonal","")</f>
        <v/>
      </c>
      <c r="BC124" s="22" t="str">
        <f>IF(AND('[1]observations-276632'!W124&gt;'[1]Methods write-up'!$Q$21,'[1]observations-276632'!W124&lt;'[1]Methods write-up'!$R$21,'[1]observations-276632'!X124&gt;'[1]Methods write-up'!$S$21,'[1]observations-276632'!X124&lt;'[1]Methods write-up'!$T$21),"Desert and high aridity","")</f>
        <v>Desert and high aridity</v>
      </c>
      <c r="BD124" s="23" t="str">
        <f t="shared" si="7"/>
        <v>Desert and high aridity</v>
      </c>
      <c r="BE124" s="24">
        <f t="shared" si="5"/>
        <v>29</v>
      </c>
      <c r="BF124" s="24">
        <f t="shared" si="6"/>
        <v>3</v>
      </c>
    </row>
    <row r="125" spans="1:58" ht="16.25" customHeight="1" x14ac:dyDescent="0.2">
      <c r="A125">
        <v>11091503</v>
      </c>
      <c r="B125" s="13">
        <v>42092</v>
      </c>
      <c r="C125" s="14">
        <v>42092</v>
      </c>
      <c r="E125" t="s">
        <v>113</v>
      </c>
      <c r="F125">
        <v>389988</v>
      </c>
      <c r="G125" t="s">
        <v>747</v>
      </c>
      <c r="H125" t="s">
        <v>748</v>
      </c>
      <c r="I125" t="s">
        <v>997</v>
      </c>
      <c r="J125" t="s">
        <v>998</v>
      </c>
      <c r="K125" t="s">
        <v>157</v>
      </c>
      <c r="L125" t="s">
        <v>63</v>
      </c>
      <c r="M125" t="s">
        <v>999</v>
      </c>
      <c r="N125" t="s">
        <v>1000</v>
      </c>
      <c r="Q125" t="s">
        <v>761</v>
      </c>
      <c r="R125">
        <v>3</v>
      </c>
      <c r="S125">
        <v>0</v>
      </c>
      <c r="T125" t="b">
        <v>0</v>
      </c>
      <c r="V125" t="s">
        <v>1001</v>
      </c>
      <c r="W125" s="15">
        <v>-24.444115</v>
      </c>
      <c r="X125" s="15">
        <v>16.170743330000001</v>
      </c>
      <c r="Y125">
        <v>1</v>
      </c>
      <c r="AC125">
        <v>1</v>
      </c>
      <c r="AF125" t="b">
        <v>0</v>
      </c>
      <c r="AI125" t="s">
        <v>756</v>
      </c>
      <c r="AJ125" t="s">
        <v>756</v>
      </c>
      <c r="AL125" t="s">
        <v>72</v>
      </c>
      <c r="AM125">
        <v>652800</v>
      </c>
      <c r="AO125" s="16" t="s">
        <v>140</v>
      </c>
      <c r="AP125" s="17" t="str">
        <f t="shared" si="4"/>
        <v>Post-emergence nest</v>
      </c>
      <c r="AQ125" s="18">
        <v>30</v>
      </c>
      <c r="AT125" s="19" t="s">
        <v>141</v>
      </c>
      <c r="AU125" s="20" t="s">
        <v>104</v>
      </c>
      <c r="AX125" s="22" t="str">
        <f>IF(AND('[1]observations-276632'!W125&gt;'[1]Methods write-up'!$Q$16,'[1]observations-276632'!W125&lt;'[1]Methods write-up'!$R$16,'[1]observations-276632'!X125&gt;'[1]Methods write-up'!$S$16,'[1]observations-276632'!X125&lt;'[1]Methods write-up'!$T$16),"West and Central Africa","")</f>
        <v/>
      </c>
      <c r="AY125" s="22" t="str">
        <f>IF(AND('[1]observations-276632'!W125&gt;'[1]Methods write-up'!$Q$17,'[1]observations-276632'!W125&lt;'[1]Methods write-up'!$R$17,'[1]observations-276632'!X125&gt;'[1]Methods write-up'!$S$17,'[1]observations-276632'!X125&lt;'[1]Methods write-up'!$T$17),"Equatorial tropical forest","")</f>
        <v/>
      </c>
      <c r="AZ125" s="22" t="str">
        <f>IF(AND('[1]observations-276632'!W125&gt;'[1]Methods write-up'!$Q$18,'[1]observations-276632'!W125&lt;'[1]Methods write-up'!$R$18,'[1]observations-276632'!X125&gt;'[1]Methods write-up'!$S$18,'[1]observations-276632'!X125&lt;'[1]Methods write-up'!$T$18),"Somali peninsula","")</f>
        <v/>
      </c>
      <c r="BA125" s="22" t="str">
        <f>IF(AND('[1]observations-276632'!W125&gt;'[1]Methods write-up'!$Q$19,'[1]observations-276632'!W125&lt;'[1]Methods write-up'!$R$19,'[1]observations-276632'!X125&gt;'[1]Methods write-up'!$S$19,'[1]observations-276632'!X125&lt;'[1]Methods write-up'!$T$19),"East Africa","")</f>
        <v/>
      </c>
      <c r="BB125" s="22" t="str">
        <f>IF(AND('[1]observations-276632'!W125&gt;'[1]Methods write-up'!$Q$20,'[1]observations-276632'!W125&lt;'[1]Methods write-up'!$R$20,'[1]observations-276632'!X125&gt;'[1]Methods write-up'!$S$20,'[1]observations-276632'!X125&lt;'[1]Methods write-up'!$T$20),"Temperate seasonal","")</f>
        <v/>
      </c>
      <c r="BC125" s="22" t="str">
        <f>IF(AND('[1]observations-276632'!W125&gt;'[1]Methods write-up'!$Q$21,'[1]observations-276632'!W125&lt;'[1]Methods write-up'!$R$21,'[1]observations-276632'!X125&gt;'[1]Methods write-up'!$S$21,'[1]observations-276632'!X125&lt;'[1]Methods write-up'!$T$21),"Desert and high aridity","")</f>
        <v>Desert and high aridity</v>
      </c>
      <c r="BD125" s="23" t="str">
        <f t="shared" si="7"/>
        <v>Desert and high aridity</v>
      </c>
      <c r="BE125" s="24">
        <f t="shared" si="5"/>
        <v>29</v>
      </c>
      <c r="BF125" s="24">
        <f t="shared" si="6"/>
        <v>3</v>
      </c>
    </row>
    <row r="126" spans="1:58" ht="16.25" customHeight="1" x14ac:dyDescent="0.2">
      <c r="A126">
        <v>11091582</v>
      </c>
      <c r="B126" s="13">
        <v>42093</v>
      </c>
      <c r="C126" s="14">
        <v>42093</v>
      </c>
      <c r="E126" t="s">
        <v>113</v>
      </c>
      <c r="F126">
        <v>389988</v>
      </c>
      <c r="G126" t="s">
        <v>747</v>
      </c>
      <c r="H126" t="s">
        <v>748</v>
      </c>
      <c r="I126" t="s">
        <v>1002</v>
      </c>
      <c r="J126" t="s">
        <v>1003</v>
      </c>
      <c r="K126" t="s">
        <v>157</v>
      </c>
      <c r="L126" t="s">
        <v>63</v>
      </c>
      <c r="M126" t="s">
        <v>1004</v>
      </c>
      <c r="N126" t="s">
        <v>1005</v>
      </c>
      <c r="Q126" t="s">
        <v>761</v>
      </c>
      <c r="R126">
        <v>4</v>
      </c>
      <c r="S126">
        <v>0</v>
      </c>
      <c r="T126" t="b">
        <v>0</v>
      </c>
      <c r="V126" t="s">
        <v>755</v>
      </c>
      <c r="W126" s="15">
        <v>-24.47973833</v>
      </c>
      <c r="X126" s="15">
        <v>16.335674999999998</v>
      </c>
      <c r="Y126">
        <v>1</v>
      </c>
      <c r="AC126">
        <v>1</v>
      </c>
      <c r="AF126" t="b">
        <v>0</v>
      </c>
      <c r="AI126" t="s">
        <v>756</v>
      </c>
      <c r="AJ126" t="s">
        <v>756</v>
      </c>
      <c r="AL126" t="s">
        <v>72</v>
      </c>
      <c r="AM126">
        <v>652800</v>
      </c>
      <c r="AO126" s="16" t="s">
        <v>110</v>
      </c>
      <c r="AP126" s="17" t="str">
        <f t="shared" si="4"/>
        <v>Nest (foundress)</v>
      </c>
      <c r="AQ126" s="18">
        <v>3</v>
      </c>
      <c r="AT126" s="19" t="s">
        <v>104</v>
      </c>
      <c r="AX126" s="22" t="str">
        <f>IF(AND('[1]observations-276632'!W126&gt;'[1]Methods write-up'!$Q$16,'[1]observations-276632'!W126&lt;'[1]Methods write-up'!$R$16,'[1]observations-276632'!X126&gt;'[1]Methods write-up'!$S$16,'[1]observations-276632'!X126&lt;'[1]Methods write-up'!$T$16),"West and Central Africa","")</f>
        <v/>
      </c>
      <c r="AY126" s="22" t="str">
        <f>IF(AND('[1]observations-276632'!W126&gt;'[1]Methods write-up'!$Q$17,'[1]observations-276632'!W126&lt;'[1]Methods write-up'!$R$17,'[1]observations-276632'!X126&gt;'[1]Methods write-up'!$S$17,'[1]observations-276632'!X126&lt;'[1]Methods write-up'!$T$17),"Equatorial tropical forest","")</f>
        <v/>
      </c>
      <c r="AZ126" s="22" t="str">
        <f>IF(AND('[1]observations-276632'!W126&gt;'[1]Methods write-up'!$Q$18,'[1]observations-276632'!W126&lt;'[1]Methods write-up'!$R$18,'[1]observations-276632'!X126&gt;'[1]Methods write-up'!$S$18,'[1]observations-276632'!X126&lt;'[1]Methods write-up'!$T$18),"Somali peninsula","")</f>
        <v/>
      </c>
      <c r="BA126" s="22" t="str">
        <f>IF(AND('[1]observations-276632'!W126&gt;'[1]Methods write-up'!$Q$19,'[1]observations-276632'!W126&lt;'[1]Methods write-up'!$R$19,'[1]observations-276632'!X126&gt;'[1]Methods write-up'!$S$19,'[1]observations-276632'!X126&lt;'[1]Methods write-up'!$T$19),"East Africa","")</f>
        <v/>
      </c>
      <c r="BB126" s="22" t="str">
        <f>IF(AND('[1]observations-276632'!W126&gt;'[1]Methods write-up'!$Q$20,'[1]observations-276632'!W126&lt;'[1]Methods write-up'!$R$20,'[1]observations-276632'!X126&gt;'[1]Methods write-up'!$S$20,'[1]observations-276632'!X126&lt;'[1]Methods write-up'!$T$20),"Temperate seasonal","")</f>
        <v/>
      </c>
      <c r="BC126" s="22" t="str">
        <f>IF(AND('[1]observations-276632'!W126&gt;'[1]Methods write-up'!$Q$21,'[1]observations-276632'!W126&lt;'[1]Methods write-up'!$R$21,'[1]observations-276632'!X126&gt;'[1]Methods write-up'!$S$21,'[1]observations-276632'!X126&lt;'[1]Methods write-up'!$T$21),"Desert and high aridity","")</f>
        <v>Desert and high aridity</v>
      </c>
      <c r="BD126" s="23" t="str">
        <f t="shared" si="7"/>
        <v>Desert and high aridity</v>
      </c>
      <c r="BE126" s="24">
        <f t="shared" si="5"/>
        <v>30</v>
      </c>
      <c r="BF126" s="24">
        <f t="shared" si="6"/>
        <v>3</v>
      </c>
    </row>
    <row r="127" spans="1:58" ht="16.25" customHeight="1" x14ac:dyDescent="0.2">
      <c r="A127">
        <v>11092692</v>
      </c>
      <c r="B127" s="13">
        <v>42096</v>
      </c>
      <c r="C127" s="14">
        <v>42096</v>
      </c>
      <c r="E127" t="s">
        <v>113</v>
      </c>
      <c r="F127">
        <v>389988</v>
      </c>
      <c r="G127" t="s">
        <v>747</v>
      </c>
      <c r="H127" t="s">
        <v>748</v>
      </c>
      <c r="I127" t="s">
        <v>1006</v>
      </c>
      <c r="J127" t="s">
        <v>1007</v>
      </c>
      <c r="K127" t="s">
        <v>157</v>
      </c>
      <c r="L127" t="s">
        <v>63</v>
      </c>
      <c r="M127" t="s">
        <v>1008</v>
      </c>
      <c r="N127" t="s">
        <v>1009</v>
      </c>
      <c r="Q127" t="s">
        <v>754</v>
      </c>
      <c r="R127">
        <v>3</v>
      </c>
      <c r="S127">
        <v>0</v>
      </c>
      <c r="T127" t="b">
        <v>0</v>
      </c>
      <c r="V127" t="s">
        <v>1010</v>
      </c>
      <c r="W127" s="15">
        <v>-24.262333330000001</v>
      </c>
      <c r="X127" s="15">
        <v>16.233219999999999</v>
      </c>
      <c r="Y127">
        <v>1</v>
      </c>
      <c r="AC127">
        <v>1</v>
      </c>
      <c r="AF127" t="b">
        <v>0</v>
      </c>
      <c r="AI127" t="s">
        <v>756</v>
      </c>
      <c r="AJ127" t="s">
        <v>756</v>
      </c>
      <c r="AL127" t="s">
        <v>72</v>
      </c>
      <c r="AM127">
        <v>652800</v>
      </c>
      <c r="AO127" s="16" t="s">
        <v>73</v>
      </c>
      <c r="AP127" s="17" t="str">
        <f t="shared" si="4"/>
        <v>Off-nest female</v>
      </c>
      <c r="AX127" s="22" t="str">
        <f>IF(AND('[1]observations-276632'!W127&gt;'[1]Methods write-up'!$Q$16,'[1]observations-276632'!W127&lt;'[1]Methods write-up'!$R$16,'[1]observations-276632'!X127&gt;'[1]Methods write-up'!$S$16,'[1]observations-276632'!X127&lt;'[1]Methods write-up'!$T$16),"West and Central Africa","")</f>
        <v/>
      </c>
      <c r="AY127" s="22" t="str">
        <f>IF(AND('[1]observations-276632'!W127&gt;'[1]Methods write-up'!$Q$17,'[1]observations-276632'!W127&lt;'[1]Methods write-up'!$R$17,'[1]observations-276632'!X127&gt;'[1]Methods write-up'!$S$17,'[1]observations-276632'!X127&lt;'[1]Methods write-up'!$T$17),"Equatorial tropical forest","")</f>
        <v/>
      </c>
      <c r="AZ127" s="22" t="str">
        <f>IF(AND('[1]observations-276632'!W127&gt;'[1]Methods write-up'!$Q$18,'[1]observations-276632'!W127&lt;'[1]Methods write-up'!$R$18,'[1]observations-276632'!X127&gt;'[1]Methods write-up'!$S$18,'[1]observations-276632'!X127&lt;'[1]Methods write-up'!$T$18),"Somali peninsula","")</f>
        <v/>
      </c>
      <c r="BA127" s="22" t="str">
        <f>IF(AND('[1]observations-276632'!W127&gt;'[1]Methods write-up'!$Q$19,'[1]observations-276632'!W127&lt;'[1]Methods write-up'!$R$19,'[1]observations-276632'!X127&gt;'[1]Methods write-up'!$S$19,'[1]observations-276632'!X127&lt;'[1]Methods write-up'!$T$19),"East Africa","")</f>
        <v/>
      </c>
      <c r="BB127" s="22" t="str">
        <f>IF(AND('[1]observations-276632'!W127&gt;'[1]Methods write-up'!$Q$20,'[1]observations-276632'!W127&lt;'[1]Methods write-up'!$R$20,'[1]observations-276632'!X127&gt;'[1]Methods write-up'!$S$20,'[1]observations-276632'!X127&lt;'[1]Methods write-up'!$T$20),"Temperate seasonal","")</f>
        <v/>
      </c>
      <c r="BC127" s="22" t="str">
        <f>IF(AND('[1]observations-276632'!W127&gt;'[1]Methods write-up'!$Q$21,'[1]observations-276632'!W127&lt;'[1]Methods write-up'!$R$21,'[1]observations-276632'!X127&gt;'[1]Methods write-up'!$S$21,'[1]observations-276632'!X127&lt;'[1]Methods write-up'!$T$21),"Desert and high aridity","")</f>
        <v>Desert and high aridity</v>
      </c>
      <c r="BD127" s="23" t="str">
        <f t="shared" si="7"/>
        <v>Desert and high aridity</v>
      </c>
      <c r="BE127" s="24">
        <f t="shared" si="5"/>
        <v>2</v>
      </c>
      <c r="BF127" s="24">
        <f t="shared" si="6"/>
        <v>4</v>
      </c>
    </row>
    <row r="128" spans="1:58" ht="16.25" customHeight="1" x14ac:dyDescent="0.2">
      <c r="A128">
        <v>11093815</v>
      </c>
      <c r="B128" s="13">
        <v>42100</v>
      </c>
      <c r="C128" s="14">
        <v>42100</v>
      </c>
      <c r="E128" t="s">
        <v>113</v>
      </c>
      <c r="F128">
        <v>632306</v>
      </c>
      <c r="G128" t="s">
        <v>1011</v>
      </c>
      <c r="H128" t="s">
        <v>1012</v>
      </c>
      <c r="I128" t="s">
        <v>1013</v>
      </c>
      <c r="J128" t="s">
        <v>1014</v>
      </c>
      <c r="K128" t="s">
        <v>62</v>
      </c>
      <c r="L128" t="s">
        <v>63</v>
      </c>
      <c r="M128" t="s">
        <v>1015</v>
      </c>
      <c r="N128" t="s">
        <v>1016</v>
      </c>
      <c r="Q128" t="s">
        <v>1017</v>
      </c>
      <c r="R128">
        <v>3</v>
      </c>
      <c r="S128">
        <v>1</v>
      </c>
      <c r="T128" t="b">
        <v>0</v>
      </c>
      <c r="V128" t="s">
        <v>1018</v>
      </c>
      <c r="W128" s="15">
        <v>-24.556989999999999</v>
      </c>
      <c r="X128" s="15">
        <v>25.963709999999999</v>
      </c>
      <c r="Y128">
        <v>1</v>
      </c>
      <c r="AC128">
        <v>1</v>
      </c>
      <c r="AF128" t="b">
        <v>0</v>
      </c>
      <c r="AI128" t="s">
        <v>71</v>
      </c>
      <c r="AJ128" t="s">
        <v>70</v>
      </c>
      <c r="AK128" t="s">
        <v>71</v>
      </c>
      <c r="AL128" t="s">
        <v>72</v>
      </c>
      <c r="AM128">
        <v>346053</v>
      </c>
      <c r="AO128" s="16" t="s">
        <v>73</v>
      </c>
      <c r="AP128" s="17" t="str">
        <f t="shared" si="4"/>
        <v>Off-nest female</v>
      </c>
      <c r="AX128" s="22" t="str">
        <f>IF(AND('[1]observations-276632'!W128&gt;'[1]Methods write-up'!$Q$16,'[1]observations-276632'!W128&lt;'[1]Methods write-up'!$R$16,'[1]observations-276632'!X128&gt;'[1]Methods write-up'!$S$16,'[1]observations-276632'!X128&lt;'[1]Methods write-up'!$T$16),"West and Central Africa","")</f>
        <v/>
      </c>
      <c r="AY128" s="22" t="str">
        <f>IF(AND('[1]observations-276632'!W128&gt;'[1]Methods write-up'!$Q$17,'[1]observations-276632'!W128&lt;'[1]Methods write-up'!$R$17,'[1]observations-276632'!X128&gt;'[1]Methods write-up'!$S$17,'[1]observations-276632'!X128&lt;'[1]Methods write-up'!$T$17),"Equatorial tropical forest","")</f>
        <v/>
      </c>
      <c r="AZ128" s="22" t="str">
        <f>IF(AND('[1]observations-276632'!W128&gt;'[1]Methods write-up'!$Q$18,'[1]observations-276632'!W128&lt;'[1]Methods write-up'!$R$18,'[1]observations-276632'!X128&gt;'[1]Methods write-up'!$S$18,'[1]observations-276632'!X128&lt;'[1]Methods write-up'!$T$18),"Somali peninsula","")</f>
        <v/>
      </c>
      <c r="BA128" s="22" t="str">
        <f>IF(AND('[1]observations-276632'!W128&gt;'[1]Methods write-up'!$Q$19,'[1]observations-276632'!W128&lt;'[1]Methods write-up'!$R$19,'[1]observations-276632'!X128&gt;'[1]Methods write-up'!$S$19,'[1]observations-276632'!X128&lt;'[1]Methods write-up'!$T$19),"East Africa","")</f>
        <v/>
      </c>
      <c r="BB128" s="22" t="str">
        <f>IF(AND('[1]observations-276632'!W128&gt;'[1]Methods write-up'!$Q$20,'[1]observations-276632'!W128&lt;'[1]Methods write-up'!$R$20,'[1]observations-276632'!X128&gt;'[1]Methods write-up'!$S$20,'[1]observations-276632'!X128&lt;'[1]Methods write-up'!$T$20),"Temperate seasonal","")</f>
        <v/>
      </c>
      <c r="BC128" s="22" t="str">
        <f>IF(AND('[1]observations-276632'!W128&gt;'[1]Methods write-up'!$Q$21,'[1]observations-276632'!W128&lt;'[1]Methods write-up'!$R$21,'[1]observations-276632'!X128&gt;'[1]Methods write-up'!$S$21,'[1]observations-276632'!X128&lt;'[1]Methods write-up'!$T$21),"Desert and high aridity","")</f>
        <v/>
      </c>
      <c r="BD128" s="23" t="str">
        <f t="shared" si="7"/>
        <v/>
      </c>
      <c r="BE128" s="24">
        <f t="shared" si="5"/>
        <v>6</v>
      </c>
      <c r="BF128" s="24">
        <f t="shared" si="6"/>
        <v>4</v>
      </c>
    </row>
    <row r="129" spans="1:58" ht="16.25" customHeight="1" x14ac:dyDescent="0.2">
      <c r="A129">
        <v>11097391</v>
      </c>
      <c r="B129" s="13">
        <v>42122</v>
      </c>
      <c r="C129" s="14">
        <v>42122</v>
      </c>
      <c r="E129" t="s">
        <v>113</v>
      </c>
      <c r="F129">
        <v>7682</v>
      </c>
      <c r="G129" t="s">
        <v>693</v>
      </c>
      <c r="H129" t="s">
        <v>694</v>
      </c>
      <c r="I129" t="s">
        <v>1019</v>
      </c>
      <c r="J129" t="s">
        <v>1020</v>
      </c>
      <c r="K129" t="s">
        <v>62</v>
      </c>
      <c r="L129" t="s">
        <v>98</v>
      </c>
      <c r="M129" t="s">
        <v>1021</v>
      </c>
      <c r="N129" t="s">
        <v>1022</v>
      </c>
      <c r="Q129" t="s">
        <v>1023</v>
      </c>
      <c r="R129">
        <v>3</v>
      </c>
      <c r="S129">
        <v>1</v>
      </c>
      <c r="T129" t="b">
        <v>0</v>
      </c>
      <c r="V129" t="s">
        <v>1024</v>
      </c>
      <c r="W129" s="15">
        <v>-25.828600000000002</v>
      </c>
      <c r="X129" s="15">
        <v>27.480039999999999</v>
      </c>
      <c r="Y129">
        <v>1</v>
      </c>
      <c r="AC129">
        <v>1</v>
      </c>
      <c r="AF129" t="b">
        <v>0</v>
      </c>
      <c r="AI129" t="s">
        <v>71</v>
      </c>
      <c r="AJ129" t="s">
        <v>70</v>
      </c>
      <c r="AK129" t="s">
        <v>71</v>
      </c>
      <c r="AL129" t="s">
        <v>72</v>
      </c>
      <c r="AM129">
        <v>346053</v>
      </c>
      <c r="AO129" s="16" t="s">
        <v>73</v>
      </c>
      <c r="AP129" s="17" t="str">
        <f t="shared" si="4"/>
        <v>Off-nest female</v>
      </c>
      <c r="AX129" s="22" t="str">
        <f>IF(AND('[1]observations-276632'!W129&gt;'[1]Methods write-up'!$Q$16,'[1]observations-276632'!W129&lt;'[1]Methods write-up'!$R$16,'[1]observations-276632'!X129&gt;'[1]Methods write-up'!$S$16,'[1]observations-276632'!X129&lt;'[1]Methods write-up'!$T$16),"West and Central Africa","")</f>
        <v/>
      </c>
      <c r="AY129" s="22" t="str">
        <f>IF(AND('[1]observations-276632'!W129&gt;'[1]Methods write-up'!$Q$17,'[1]observations-276632'!W129&lt;'[1]Methods write-up'!$R$17,'[1]observations-276632'!X129&gt;'[1]Methods write-up'!$S$17,'[1]observations-276632'!X129&lt;'[1]Methods write-up'!$T$17),"Equatorial tropical forest","")</f>
        <v/>
      </c>
      <c r="AZ129" s="22" t="str">
        <f>IF(AND('[1]observations-276632'!W129&gt;'[1]Methods write-up'!$Q$18,'[1]observations-276632'!W129&lt;'[1]Methods write-up'!$R$18,'[1]observations-276632'!X129&gt;'[1]Methods write-up'!$S$18,'[1]observations-276632'!X129&lt;'[1]Methods write-up'!$T$18),"Somali peninsula","")</f>
        <v/>
      </c>
      <c r="BA129" s="22" t="str">
        <f>IF(AND('[1]observations-276632'!W129&gt;'[1]Methods write-up'!$Q$19,'[1]observations-276632'!W129&lt;'[1]Methods write-up'!$R$19,'[1]observations-276632'!X129&gt;'[1]Methods write-up'!$S$19,'[1]observations-276632'!X129&lt;'[1]Methods write-up'!$T$19),"East Africa","")</f>
        <v/>
      </c>
      <c r="BB129" s="22" t="str">
        <f>IF(AND('[1]observations-276632'!W129&gt;'[1]Methods write-up'!$Q$20,'[1]observations-276632'!W129&lt;'[1]Methods write-up'!$R$20,'[1]observations-276632'!X129&gt;'[1]Methods write-up'!$S$20,'[1]observations-276632'!X129&lt;'[1]Methods write-up'!$T$20),"Temperate seasonal","")</f>
        <v>Temperate seasonal</v>
      </c>
      <c r="BC129" s="22" t="str">
        <f>IF(AND('[1]observations-276632'!W129&gt;'[1]Methods write-up'!$Q$21,'[1]observations-276632'!W129&lt;'[1]Methods write-up'!$R$21,'[1]observations-276632'!X129&gt;'[1]Methods write-up'!$S$21,'[1]observations-276632'!X129&lt;'[1]Methods write-up'!$T$21),"Desert and high aridity","")</f>
        <v/>
      </c>
      <c r="BD129" s="23" t="str">
        <f t="shared" si="7"/>
        <v>Temperate seasonal</v>
      </c>
      <c r="BE129" s="24">
        <f t="shared" si="5"/>
        <v>28</v>
      </c>
      <c r="BF129" s="24">
        <f t="shared" si="6"/>
        <v>4</v>
      </c>
    </row>
    <row r="130" spans="1:58" ht="16.25" customHeight="1" x14ac:dyDescent="0.2">
      <c r="A130">
        <v>11106348</v>
      </c>
      <c r="B130" s="13">
        <v>42096</v>
      </c>
      <c r="C130" s="14">
        <v>42096</v>
      </c>
      <c r="E130" t="s">
        <v>113</v>
      </c>
      <c r="F130">
        <v>389988</v>
      </c>
      <c r="G130" t="s">
        <v>747</v>
      </c>
      <c r="H130" t="s">
        <v>748</v>
      </c>
      <c r="I130" t="s">
        <v>1025</v>
      </c>
      <c r="J130" t="s">
        <v>1026</v>
      </c>
      <c r="K130" t="s">
        <v>157</v>
      </c>
      <c r="L130" t="s">
        <v>63</v>
      </c>
      <c r="M130" t="s">
        <v>1027</v>
      </c>
      <c r="N130" t="s">
        <v>1028</v>
      </c>
      <c r="Q130" t="s">
        <v>754</v>
      </c>
      <c r="R130">
        <v>3</v>
      </c>
      <c r="S130">
        <v>0</v>
      </c>
      <c r="T130" t="b">
        <v>0</v>
      </c>
      <c r="V130" t="s">
        <v>1010</v>
      </c>
      <c r="W130" s="15">
        <v>-24.263030000000001</v>
      </c>
      <c r="X130" s="15">
        <v>16.229189999999999</v>
      </c>
      <c r="Y130">
        <v>1</v>
      </c>
      <c r="AC130">
        <v>1</v>
      </c>
      <c r="AF130" t="b">
        <v>0</v>
      </c>
      <c r="AI130" t="s">
        <v>756</v>
      </c>
      <c r="AJ130" t="s">
        <v>756</v>
      </c>
      <c r="AL130" t="s">
        <v>72</v>
      </c>
      <c r="AM130">
        <v>652800</v>
      </c>
      <c r="AO130" s="16" t="s">
        <v>73</v>
      </c>
      <c r="AP130" s="17" t="str">
        <f t="shared" ref="AP130:AP193" si="8">IF(COUNTIF(AO130,"*foundress*"),"Nest (foundress)",AO130)</f>
        <v>Off-nest female</v>
      </c>
      <c r="AX130" s="22" t="str">
        <f>IF(AND('[1]observations-276632'!W130&gt;'[1]Methods write-up'!$Q$16,'[1]observations-276632'!W130&lt;'[1]Methods write-up'!$R$16,'[1]observations-276632'!X130&gt;'[1]Methods write-up'!$S$16,'[1]observations-276632'!X130&lt;'[1]Methods write-up'!$T$16),"West and Central Africa","")</f>
        <v/>
      </c>
      <c r="AY130" s="22" t="str">
        <f>IF(AND('[1]observations-276632'!W130&gt;'[1]Methods write-up'!$Q$17,'[1]observations-276632'!W130&lt;'[1]Methods write-up'!$R$17,'[1]observations-276632'!X130&gt;'[1]Methods write-up'!$S$17,'[1]observations-276632'!X130&lt;'[1]Methods write-up'!$T$17),"Equatorial tropical forest","")</f>
        <v/>
      </c>
      <c r="AZ130" s="22" t="str">
        <f>IF(AND('[1]observations-276632'!W130&gt;'[1]Methods write-up'!$Q$18,'[1]observations-276632'!W130&lt;'[1]Methods write-up'!$R$18,'[1]observations-276632'!X130&gt;'[1]Methods write-up'!$S$18,'[1]observations-276632'!X130&lt;'[1]Methods write-up'!$T$18),"Somali peninsula","")</f>
        <v/>
      </c>
      <c r="BA130" s="22" t="str">
        <f>IF(AND('[1]observations-276632'!W130&gt;'[1]Methods write-up'!$Q$19,'[1]observations-276632'!W130&lt;'[1]Methods write-up'!$R$19,'[1]observations-276632'!X130&gt;'[1]Methods write-up'!$S$19,'[1]observations-276632'!X130&lt;'[1]Methods write-up'!$T$19),"East Africa","")</f>
        <v/>
      </c>
      <c r="BB130" s="22" t="str">
        <f>IF(AND('[1]observations-276632'!W130&gt;'[1]Methods write-up'!$Q$20,'[1]observations-276632'!W130&lt;'[1]Methods write-up'!$R$20,'[1]observations-276632'!X130&gt;'[1]Methods write-up'!$S$20,'[1]observations-276632'!X130&lt;'[1]Methods write-up'!$T$20),"Temperate seasonal","")</f>
        <v/>
      </c>
      <c r="BC130" s="22" t="str">
        <f>IF(AND('[1]observations-276632'!W130&gt;'[1]Methods write-up'!$Q$21,'[1]observations-276632'!W130&lt;'[1]Methods write-up'!$R$21,'[1]observations-276632'!X130&gt;'[1]Methods write-up'!$S$21,'[1]observations-276632'!X130&lt;'[1]Methods write-up'!$T$21),"Desert and high aridity","")</f>
        <v>Desert and high aridity</v>
      </c>
      <c r="BD130" s="23" t="str">
        <f t="shared" si="7"/>
        <v>Desert and high aridity</v>
      </c>
      <c r="BE130" s="24">
        <f t="shared" ref="BE130:BE193" si="9">DAY(C130)</f>
        <v>2</v>
      </c>
      <c r="BF130" s="24">
        <f t="shared" ref="BF130:BF193" si="10">MONTH(C130)</f>
        <v>4</v>
      </c>
    </row>
    <row r="131" spans="1:58" ht="16.25" customHeight="1" x14ac:dyDescent="0.2">
      <c r="A131">
        <v>11109406</v>
      </c>
      <c r="B131" s="13">
        <v>42268</v>
      </c>
      <c r="C131" s="14">
        <v>42268</v>
      </c>
      <c r="E131" t="s">
        <v>113</v>
      </c>
      <c r="F131">
        <v>390621</v>
      </c>
      <c r="G131" t="s">
        <v>863</v>
      </c>
      <c r="H131" t="s">
        <v>864</v>
      </c>
      <c r="I131" t="s">
        <v>1029</v>
      </c>
      <c r="J131" t="s">
        <v>1030</v>
      </c>
      <c r="K131" t="s">
        <v>62</v>
      </c>
      <c r="L131" t="s">
        <v>63</v>
      </c>
      <c r="M131" t="s">
        <v>1031</v>
      </c>
      <c r="N131" t="s">
        <v>1032</v>
      </c>
      <c r="P131" t="s">
        <v>869</v>
      </c>
      <c r="Q131" t="s">
        <v>1033</v>
      </c>
      <c r="R131">
        <v>4</v>
      </c>
      <c r="S131">
        <v>1</v>
      </c>
      <c r="T131" t="b">
        <v>0</v>
      </c>
      <c r="V131" t="s">
        <v>871</v>
      </c>
      <c r="W131" s="15">
        <v>-33.947405000000003</v>
      </c>
      <c r="X131" s="15">
        <v>22.464017999999999</v>
      </c>
      <c r="Y131">
        <v>1</v>
      </c>
      <c r="AC131">
        <v>1</v>
      </c>
      <c r="AF131" t="b">
        <v>0</v>
      </c>
      <c r="AI131" t="s">
        <v>71</v>
      </c>
      <c r="AJ131" t="s">
        <v>70</v>
      </c>
      <c r="AK131" t="s">
        <v>71</v>
      </c>
      <c r="AL131" t="s">
        <v>72</v>
      </c>
      <c r="AM131">
        <v>346053</v>
      </c>
      <c r="AO131" s="16" t="s">
        <v>73</v>
      </c>
      <c r="AP131" s="17" t="str">
        <f t="shared" si="8"/>
        <v>Off-nest female</v>
      </c>
      <c r="AX131" s="22" t="str">
        <f>IF(AND('[1]observations-276632'!W131&gt;'[1]Methods write-up'!$Q$16,'[1]observations-276632'!W131&lt;'[1]Methods write-up'!$R$16,'[1]observations-276632'!X131&gt;'[1]Methods write-up'!$S$16,'[1]observations-276632'!X131&lt;'[1]Methods write-up'!$T$16),"West and Central Africa","")</f>
        <v/>
      </c>
      <c r="AY131" s="22" t="str">
        <f>IF(AND('[1]observations-276632'!W131&gt;'[1]Methods write-up'!$Q$17,'[1]observations-276632'!W131&lt;'[1]Methods write-up'!$R$17,'[1]observations-276632'!X131&gt;'[1]Methods write-up'!$S$17,'[1]observations-276632'!X131&lt;'[1]Methods write-up'!$T$17),"Equatorial tropical forest","")</f>
        <v/>
      </c>
      <c r="AZ131" s="22" t="str">
        <f>IF(AND('[1]observations-276632'!W131&gt;'[1]Methods write-up'!$Q$18,'[1]observations-276632'!W131&lt;'[1]Methods write-up'!$R$18,'[1]observations-276632'!X131&gt;'[1]Methods write-up'!$S$18,'[1]observations-276632'!X131&lt;'[1]Methods write-up'!$T$18),"Somali peninsula","")</f>
        <v/>
      </c>
      <c r="BA131" s="22" t="str">
        <f>IF(AND('[1]observations-276632'!W131&gt;'[1]Methods write-up'!$Q$19,'[1]observations-276632'!W131&lt;'[1]Methods write-up'!$R$19,'[1]observations-276632'!X131&gt;'[1]Methods write-up'!$S$19,'[1]observations-276632'!X131&lt;'[1]Methods write-up'!$T$19),"East Africa","")</f>
        <v/>
      </c>
      <c r="BB131" s="22" t="str">
        <f>IF(AND('[1]observations-276632'!W131&gt;'[1]Methods write-up'!$Q$20,'[1]observations-276632'!W131&lt;'[1]Methods write-up'!$R$20,'[1]observations-276632'!X131&gt;'[1]Methods write-up'!$S$20,'[1]observations-276632'!X131&lt;'[1]Methods write-up'!$T$20),"Temperate seasonal","")</f>
        <v/>
      </c>
      <c r="BC131" s="22" t="str">
        <f>IF(AND('[1]observations-276632'!W131&gt;'[1]Methods write-up'!$Q$21,'[1]observations-276632'!W131&lt;'[1]Methods write-up'!$R$21,'[1]observations-276632'!X131&gt;'[1]Methods write-up'!$S$21,'[1]observations-276632'!X131&lt;'[1]Methods write-up'!$T$21),"Desert and high aridity","")</f>
        <v/>
      </c>
      <c r="BD131" s="23" t="str">
        <f t="shared" ref="BD131:BD194" si="11">AX131&amp;AY131&amp;AZ131&amp;BA131&amp;BB131&amp;BC131</f>
        <v/>
      </c>
      <c r="BE131" s="24">
        <f t="shared" si="9"/>
        <v>21</v>
      </c>
      <c r="BF131" s="24">
        <f t="shared" si="10"/>
        <v>9</v>
      </c>
    </row>
    <row r="132" spans="1:58" ht="16.25" customHeight="1" x14ac:dyDescent="0.2">
      <c r="A132">
        <v>11109464</v>
      </c>
      <c r="B132" s="13">
        <v>42006</v>
      </c>
      <c r="C132" s="14">
        <v>42006</v>
      </c>
      <c r="E132" t="s">
        <v>113</v>
      </c>
      <c r="F132">
        <v>389997</v>
      </c>
      <c r="G132" t="s">
        <v>942</v>
      </c>
      <c r="H132" t="s">
        <v>943</v>
      </c>
      <c r="I132" t="s">
        <v>1034</v>
      </c>
      <c r="J132" t="s">
        <v>1035</v>
      </c>
      <c r="K132" t="s">
        <v>62</v>
      </c>
      <c r="L132" t="s">
        <v>127</v>
      </c>
      <c r="M132" t="s">
        <v>1036</v>
      </c>
      <c r="N132" t="s">
        <v>1037</v>
      </c>
      <c r="Q132" t="s">
        <v>983</v>
      </c>
      <c r="R132">
        <v>3</v>
      </c>
      <c r="S132">
        <v>0</v>
      </c>
      <c r="T132" t="b">
        <v>0</v>
      </c>
      <c r="V132" t="s">
        <v>984</v>
      </c>
      <c r="W132" s="15">
        <v>-33.939908000000003</v>
      </c>
      <c r="X132" s="15">
        <v>22.476879</v>
      </c>
      <c r="Y132">
        <v>1</v>
      </c>
      <c r="AC132">
        <v>1</v>
      </c>
      <c r="AF132" t="b">
        <v>0</v>
      </c>
      <c r="AI132" t="s">
        <v>70</v>
      </c>
      <c r="AJ132" t="s">
        <v>70</v>
      </c>
      <c r="AK132" t="s">
        <v>71</v>
      </c>
      <c r="AL132" t="s">
        <v>72</v>
      </c>
      <c r="AM132">
        <v>346053</v>
      </c>
      <c r="AO132" s="16" t="s">
        <v>73</v>
      </c>
      <c r="AP132" s="17" t="str">
        <f t="shared" si="8"/>
        <v>Off-nest female</v>
      </c>
      <c r="AX132" s="22" t="str">
        <f>IF(AND('[1]observations-276632'!W132&gt;'[1]Methods write-up'!$Q$16,'[1]observations-276632'!W132&lt;'[1]Methods write-up'!$R$16,'[1]observations-276632'!X132&gt;'[1]Methods write-up'!$S$16,'[1]observations-276632'!X132&lt;'[1]Methods write-up'!$T$16),"West and Central Africa","")</f>
        <v/>
      </c>
      <c r="AY132" s="22" t="str">
        <f>IF(AND('[1]observations-276632'!W132&gt;'[1]Methods write-up'!$Q$17,'[1]observations-276632'!W132&lt;'[1]Methods write-up'!$R$17,'[1]observations-276632'!X132&gt;'[1]Methods write-up'!$S$17,'[1]observations-276632'!X132&lt;'[1]Methods write-up'!$T$17),"Equatorial tropical forest","")</f>
        <v/>
      </c>
      <c r="AZ132" s="22" t="str">
        <f>IF(AND('[1]observations-276632'!W132&gt;'[1]Methods write-up'!$Q$18,'[1]observations-276632'!W132&lt;'[1]Methods write-up'!$R$18,'[1]observations-276632'!X132&gt;'[1]Methods write-up'!$S$18,'[1]observations-276632'!X132&lt;'[1]Methods write-up'!$T$18),"Somali peninsula","")</f>
        <v/>
      </c>
      <c r="BA132" s="22" t="str">
        <f>IF(AND('[1]observations-276632'!W132&gt;'[1]Methods write-up'!$Q$19,'[1]observations-276632'!W132&lt;'[1]Methods write-up'!$R$19,'[1]observations-276632'!X132&gt;'[1]Methods write-up'!$S$19,'[1]observations-276632'!X132&lt;'[1]Methods write-up'!$T$19),"East Africa","")</f>
        <v/>
      </c>
      <c r="BB132" s="22" t="str">
        <f>IF(AND('[1]observations-276632'!W132&gt;'[1]Methods write-up'!$Q$20,'[1]observations-276632'!W132&lt;'[1]Methods write-up'!$R$20,'[1]observations-276632'!X132&gt;'[1]Methods write-up'!$S$20,'[1]observations-276632'!X132&lt;'[1]Methods write-up'!$T$20),"Temperate seasonal","")</f>
        <v/>
      </c>
      <c r="BC132" s="22" t="str">
        <f>IF(AND('[1]observations-276632'!W132&gt;'[1]Methods write-up'!$Q$21,'[1]observations-276632'!W132&lt;'[1]Methods write-up'!$R$21,'[1]observations-276632'!X132&gt;'[1]Methods write-up'!$S$21,'[1]observations-276632'!X132&lt;'[1]Methods write-up'!$T$21),"Desert and high aridity","")</f>
        <v/>
      </c>
      <c r="BD132" s="23" t="str">
        <f t="shared" si="11"/>
        <v/>
      </c>
      <c r="BE132" s="24">
        <f t="shared" si="9"/>
        <v>2</v>
      </c>
      <c r="BF132" s="24">
        <f t="shared" si="10"/>
        <v>1</v>
      </c>
    </row>
    <row r="133" spans="1:58" ht="16.25" customHeight="1" x14ac:dyDescent="0.2">
      <c r="A133">
        <v>11110153</v>
      </c>
      <c r="B133" s="13">
        <v>42099</v>
      </c>
      <c r="C133" s="14">
        <v>42099</v>
      </c>
      <c r="E133" t="s">
        <v>113</v>
      </c>
      <c r="F133">
        <v>389988</v>
      </c>
      <c r="G133" t="s">
        <v>747</v>
      </c>
      <c r="H133" t="s">
        <v>748</v>
      </c>
      <c r="I133" t="s">
        <v>1038</v>
      </c>
      <c r="J133" t="s">
        <v>1039</v>
      </c>
      <c r="K133" t="s">
        <v>157</v>
      </c>
      <c r="L133" t="s">
        <v>63</v>
      </c>
      <c r="M133" t="s">
        <v>1040</v>
      </c>
      <c r="N133" t="s">
        <v>1041</v>
      </c>
      <c r="Q133" t="s">
        <v>761</v>
      </c>
      <c r="R133">
        <v>4</v>
      </c>
      <c r="S133">
        <v>0</v>
      </c>
      <c r="T133" t="b">
        <v>0</v>
      </c>
      <c r="V133" t="s">
        <v>755</v>
      </c>
      <c r="W133" s="15">
        <v>-24.429043329999999</v>
      </c>
      <c r="X133" s="15">
        <v>16.354209999999998</v>
      </c>
      <c r="Y133">
        <v>1</v>
      </c>
      <c r="AC133">
        <v>1</v>
      </c>
      <c r="AF133" t="b">
        <v>0</v>
      </c>
      <c r="AI133" t="s">
        <v>756</v>
      </c>
      <c r="AJ133" t="s">
        <v>756</v>
      </c>
      <c r="AL133" t="s">
        <v>72</v>
      </c>
      <c r="AM133">
        <v>652800</v>
      </c>
      <c r="AO133" s="16" t="s">
        <v>140</v>
      </c>
      <c r="AP133" s="17" t="str">
        <f t="shared" si="8"/>
        <v>Post-emergence nest</v>
      </c>
      <c r="AQ133" s="18">
        <v>48</v>
      </c>
      <c r="AT133" s="19" t="s">
        <v>141</v>
      </c>
      <c r="AU133" s="20" t="s">
        <v>104</v>
      </c>
      <c r="AX133" s="22" t="str">
        <f>IF(AND('[1]observations-276632'!W133&gt;'[1]Methods write-up'!$Q$16,'[1]observations-276632'!W133&lt;'[1]Methods write-up'!$R$16,'[1]observations-276632'!X133&gt;'[1]Methods write-up'!$S$16,'[1]observations-276632'!X133&lt;'[1]Methods write-up'!$T$16),"West and Central Africa","")</f>
        <v/>
      </c>
      <c r="AY133" s="22" t="str">
        <f>IF(AND('[1]observations-276632'!W133&gt;'[1]Methods write-up'!$Q$17,'[1]observations-276632'!W133&lt;'[1]Methods write-up'!$R$17,'[1]observations-276632'!X133&gt;'[1]Methods write-up'!$S$17,'[1]observations-276632'!X133&lt;'[1]Methods write-up'!$T$17),"Equatorial tropical forest","")</f>
        <v/>
      </c>
      <c r="AZ133" s="22" t="str">
        <f>IF(AND('[1]observations-276632'!W133&gt;'[1]Methods write-up'!$Q$18,'[1]observations-276632'!W133&lt;'[1]Methods write-up'!$R$18,'[1]observations-276632'!X133&gt;'[1]Methods write-up'!$S$18,'[1]observations-276632'!X133&lt;'[1]Methods write-up'!$T$18),"Somali peninsula","")</f>
        <v/>
      </c>
      <c r="BA133" s="22" t="str">
        <f>IF(AND('[1]observations-276632'!W133&gt;'[1]Methods write-up'!$Q$19,'[1]observations-276632'!W133&lt;'[1]Methods write-up'!$R$19,'[1]observations-276632'!X133&gt;'[1]Methods write-up'!$S$19,'[1]observations-276632'!X133&lt;'[1]Methods write-up'!$T$19),"East Africa","")</f>
        <v/>
      </c>
      <c r="BB133" s="22" t="str">
        <f>IF(AND('[1]observations-276632'!W133&gt;'[1]Methods write-up'!$Q$20,'[1]observations-276632'!W133&lt;'[1]Methods write-up'!$R$20,'[1]observations-276632'!X133&gt;'[1]Methods write-up'!$S$20,'[1]observations-276632'!X133&lt;'[1]Methods write-up'!$T$20),"Temperate seasonal","")</f>
        <v/>
      </c>
      <c r="BC133" s="22" t="str">
        <f>IF(AND('[1]observations-276632'!W133&gt;'[1]Methods write-up'!$Q$21,'[1]observations-276632'!W133&lt;'[1]Methods write-up'!$R$21,'[1]observations-276632'!X133&gt;'[1]Methods write-up'!$S$21,'[1]observations-276632'!X133&lt;'[1]Methods write-up'!$T$21),"Desert and high aridity","")</f>
        <v>Desert and high aridity</v>
      </c>
      <c r="BD133" s="23" t="str">
        <f t="shared" si="11"/>
        <v>Desert and high aridity</v>
      </c>
      <c r="BE133" s="24">
        <f t="shared" si="9"/>
        <v>5</v>
      </c>
      <c r="BF133" s="24">
        <f t="shared" si="10"/>
        <v>4</v>
      </c>
    </row>
    <row r="134" spans="1:58" ht="16.25" customHeight="1" x14ac:dyDescent="0.2">
      <c r="A134">
        <v>11110171</v>
      </c>
      <c r="B134" s="13">
        <v>42099</v>
      </c>
      <c r="C134" s="14">
        <v>42099</v>
      </c>
      <c r="E134" t="s">
        <v>113</v>
      </c>
      <c r="F134">
        <v>389988</v>
      </c>
      <c r="G134" t="s">
        <v>747</v>
      </c>
      <c r="H134" t="s">
        <v>748</v>
      </c>
      <c r="I134" t="s">
        <v>1042</v>
      </c>
      <c r="J134" t="s">
        <v>1043</v>
      </c>
      <c r="K134" t="s">
        <v>157</v>
      </c>
      <c r="L134" t="s">
        <v>63</v>
      </c>
      <c r="M134" t="s">
        <v>1044</v>
      </c>
      <c r="N134" t="s">
        <v>1045</v>
      </c>
      <c r="Q134" t="s">
        <v>761</v>
      </c>
      <c r="R134">
        <v>3</v>
      </c>
      <c r="S134">
        <v>0</v>
      </c>
      <c r="T134" t="b">
        <v>0</v>
      </c>
      <c r="V134" t="s">
        <v>755</v>
      </c>
      <c r="W134" s="15">
        <v>-24.414145000000001</v>
      </c>
      <c r="X134" s="15">
        <v>16.336771670000001</v>
      </c>
      <c r="Y134">
        <v>1</v>
      </c>
      <c r="AC134">
        <v>1</v>
      </c>
      <c r="AF134" t="b">
        <v>0</v>
      </c>
      <c r="AI134" t="s">
        <v>756</v>
      </c>
      <c r="AJ134" t="s">
        <v>756</v>
      </c>
      <c r="AL134" t="s">
        <v>72</v>
      </c>
      <c r="AM134">
        <v>652800</v>
      </c>
      <c r="AO134" s="16" t="s">
        <v>140</v>
      </c>
      <c r="AP134" s="17" t="str">
        <f t="shared" si="8"/>
        <v>Post-emergence nest</v>
      </c>
      <c r="AQ134" s="18">
        <v>52</v>
      </c>
      <c r="AT134" s="19" t="s">
        <v>141</v>
      </c>
      <c r="AU134" s="20" t="s">
        <v>104</v>
      </c>
      <c r="AX134" s="22" t="str">
        <f>IF(AND('[1]observations-276632'!W134&gt;'[1]Methods write-up'!$Q$16,'[1]observations-276632'!W134&lt;'[1]Methods write-up'!$R$16,'[1]observations-276632'!X134&gt;'[1]Methods write-up'!$S$16,'[1]observations-276632'!X134&lt;'[1]Methods write-up'!$T$16),"West and Central Africa","")</f>
        <v/>
      </c>
      <c r="AY134" s="22" t="str">
        <f>IF(AND('[1]observations-276632'!W134&gt;'[1]Methods write-up'!$Q$17,'[1]observations-276632'!W134&lt;'[1]Methods write-up'!$R$17,'[1]observations-276632'!X134&gt;'[1]Methods write-up'!$S$17,'[1]observations-276632'!X134&lt;'[1]Methods write-up'!$T$17),"Equatorial tropical forest","")</f>
        <v/>
      </c>
      <c r="AZ134" s="22" t="str">
        <f>IF(AND('[1]observations-276632'!W134&gt;'[1]Methods write-up'!$Q$18,'[1]observations-276632'!W134&lt;'[1]Methods write-up'!$R$18,'[1]observations-276632'!X134&gt;'[1]Methods write-up'!$S$18,'[1]observations-276632'!X134&lt;'[1]Methods write-up'!$T$18),"Somali peninsula","")</f>
        <v/>
      </c>
      <c r="BA134" s="22" t="str">
        <f>IF(AND('[1]observations-276632'!W134&gt;'[1]Methods write-up'!$Q$19,'[1]observations-276632'!W134&lt;'[1]Methods write-up'!$R$19,'[1]observations-276632'!X134&gt;'[1]Methods write-up'!$S$19,'[1]observations-276632'!X134&lt;'[1]Methods write-up'!$T$19),"East Africa","")</f>
        <v/>
      </c>
      <c r="BB134" s="22" t="str">
        <f>IF(AND('[1]observations-276632'!W134&gt;'[1]Methods write-up'!$Q$20,'[1]observations-276632'!W134&lt;'[1]Methods write-up'!$R$20,'[1]observations-276632'!X134&gt;'[1]Methods write-up'!$S$20,'[1]observations-276632'!X134&lt;'[1]Methods write-up'!$T$20),"Temperate seasonal","")</f>
        <v/>
      </c>
      <c r="BC134" s="22" t="str">
        <f>IF(AND('[1]observations-276632'!W134&gt;'[1]Methods write-up'!$Q$21,'[1]observations-276632'!W134&lt;'[1]Methods write-up'!$R$21,'[1]observations-276632'!X134&gt;'[1]Methods write-up'!$S$21,'[1]observations-276632'!X134&lt;'[1]Methods write-up'!$T$21),"Desert and high aridity","")</f>
        <v>Desert and high aridity</v>
      </c>
      <c r="BD134" s="23" t="str">
        <f t="shared" si="11"/>
        <v>Desert and high aridity</v>
      </c>
      <c r="BE134" s="24">
        <f t="shared" si="9"/>
        <v>5</v>
      </c>
      <c r="BF134" s="24">
        <f t="shared" si="10"/>
        <v>4</v>
      </c>
    </row>
    <row r="135" spans="1:58" ht="16.25" customHeight="1" x14ac:dyDescent="0.2">
      <c r="A135">
        <v>11111792</v>
      </c>
      <c r="B135" s="13">
        <v>41403</v>
      </c>
      <c r="C135" s="14">
        <v>41403</v>
      </c>
      <c r="E135" t="s">
        <v>113</v>
      </c>
      <c r="F135">
        <v>679321</v>
      </c>
      <c r="G135" t="s">
        <v>478</v>
      </c>
      <c r="H135" t="s">
        <v>479</v>
      </c>
      <c r="I135" t="s">
        <v>1046</v>
      </c>
      <c r="J135" t="s">
        <v>1047</v>
      </c>
      <c r="K135" t="s">
        <v>62</v>
      </c>
      <c r="L135" t="s">
        <v>63</v>
      </c>
      <c r="M135" t="s">
        <v>1048</v>
      </c>
      <c r="N135" t="s">
        <v>1049</v>
      </c>
      <c r="Q135" t="s">
        <v>1050</v>
      </c>
      <c r="R135">
        <v>3</v>
      </c>
      <c r="S135">
        <v>0</v>
      </c>
      <c r="T135" t="b">
        <v>0</v>
      </c>
      <c r="V135" t="s">
        <v>1051</v>
      </c>
      <c r="W135" s="15">
        <v>-26.956795100000001</v>
      </c>
      <c r="X135" s="15">
        <v>32.831854399999997</v>
      </c>
      <c r="Y135">
        <v>1</v>
      </c>
      <c r="AC135">
        <v>1</v>
      </c>
      <c r="AF135" t="b">
        <v>0</v>
      </c>
      <c r="AI135" t="s">
        <v>71</v>
      </c>
      <c r="AJ135" t="s">
        <v>70</v>
      </c>
      <c r="AK135" t="s">
        <v>71</v>
      </c>
      <c r="AL135" t="s">
        <v>72</v>
      </c>
      <c r="AM135">
        <v>346053</v>
      </c>
      <c r="AO135" s="16" t="s">
        <v>140</v>
      </c>
      <c r="AP135" s="17" t="str">
        <f t="shared" si="8"/>
        <v>Post-emergence nest</v>
      </c>
      <c r="AQ135" s="18">
        <v>20</v>
      </c>
      <c r="AT135" s="19" t="s">
        <v>141</v>
      </c>
      <c r="AU135" s="20" t="s">
        <v>104</v>
      </c>
      <c r="AV135" s="21" t="s">
        <v>1052</v>
      </c>
      <c r="AX135" s="22" t="str">
        <f>IF(AND('[1]observations-276632'!W135&gt;'[1]Methods write-up'!$Q$16,'[1]observations-276632'!W135&lt;'[1]Methods write-up'!$R$16,'[1]observations-276632'!X135&gt;'[1]Methods write-up'!$S$16,'[1]observations-276632'!X135&lt;'[1]Methods write-up'!$T$16),"West and Central Africa","")</f>
        <v/>
      </c>
      <c r="AY135" s="22" t="str">
        <f>IF(AND('[1]observations-276632'!W135&gt;'[1]Methods write-up'!$Q$17,'[1]observations-276632'!W135&lt;'[1]Methods write-up'!$R$17,'[1]observations-276632'!X135&gt;'[1]Methods write-up'!$S$17,'[1]observations-276632'!X135&lt;'[1]Methods write-up'!$T$17),"Equatorial tropical forest","")</f>
        <v/>
      </c>
      <c r="AZ135" s="22" t="str">
        <f>IF(AND('[1]observations-276632'!W135&gt;'[1]Methods write-up'!$Q$18,'[1]observations-276632'!W135&lt;'[1]Methods write-up'!$R$18,'[1]observations-276632'!X135&gt;'[1]Methods write-up'!$S$18,'[1]observations-276632'!X135&lt;'[1]Methods write-up'!$T$18),"Somali peninsula","")</f>
        <v/>
      </c>
      <c r="BA135" s="22" t="str">
        <f>IF(AND('[1]observations-276632'!W135&gt;'[1]Methods write-up'!$Q$19,'[1]observations-276632'!W135&lt;'[1]Methods write-up'!$R$19,'[1]observations-276632'!X135&gt;'[1]Methods write-up'!$S$19,'[1]observations-276632'!X135&lt;'[1]Methods write-up'!$T$19),"East Africa","")</f>
        <v/>
      </c>
      <c r="BB135" s="22" t="str">
        <f>IF(AND('[1]observations-276632'!W135&gt;'[1]Methods write-up'!$Q$20,'[1]observations-276632'!W135&lt;'[1]Methods write-up'!$R$20,'[1]observations-276632'!X135&gt;'[1]Methods write-up'!$S$20,'[1]observations-276632'!X135&lt;'[1]Methods write-up'!$T$20),"Temperate seasonal","")</f>
        <v>Temperate seasonal</v>
      </c>
      <c r="BC135" s="22" t="str">
        <f>IF(AND('[1]observations-276632'!W135&gt;'[1]Methods write-up'!$Q$21,'[1]observations-276632'!W135&lt;'[1]Methods write-up'!$R$21,'[1]observations-276632'!X135&gt;'[1]Methods write-up'!$S$21,'[1]observations-276632'!X135&lt;'[1]Methods write-up'!$T$21),"Desert and high aridity","")</f>
        <v/>
      </c>
      <c r="BD135" s="23" t="str">
        <f t="shared" si="11"/>
        <v>Temperate seasonal</v>
      </c>
      <c r="BE135" s="24">
        <f t="shared" si="9"/>
        <v>9</v>
      </c>
      <c r="BF135" s="24">
        <f t="shared" si="10"/>
        <v>5</v>
      </c>
    </row>
    <row r="136" spans="1:58" ht="16.25" customHeight="1" x14ac:dyDescent="0.2">
      <c r="A136">
        <v>11117517</v>
      </c>
      <c r="B136" s="13">
        <v>42133</v>
      </c>
      <c r="C136" s="14">
        <v>42133</v>
      </c>
      <c r="E136" t="s">
        <v>113</v>
      </c>
      <c r="F136">
        <v>659922</v>
      </c>
      <c r="G136" t="s">
        <v>918</v>
      </c>
      <c r="I136" t="s">
        <v>1053</v>
      </c>
      <c r="J136" t="s">
        <v>1054</v>
      </c>
      <c r="K136" t="s">
        <v>62</v>
      </c>
      <c r="L136" t="s">
        <v>63</v>
      </c>
      <c r="M136" t="s">
        <v>1055</v>
      </c>
      <c r="N136" t="s">
        <v>1056</v>
      </c>
      <c r="P136" t="s">
        <v>1057</v>
      </c>
      <c r="Q136" t="s">
        <v>788</v>
      </c>
      <c r="R136">
        <v>2</v>
      </c>
      <c r="S136">
        <v>0</v>
      </c>
      <c r="T136" t="b">
        <v>0</v>
      </c>
      <c r="V136" t="s">
        <v>924</v>
      </c>
      <c r="W136" s="15">
        <v>-28.376201699999999</v>
      </c>
      <c r="X136" s="15">
        <v>32.417957399999999</v>
      </c>
      <c r="Y136">
        <v>1</v>
      </c>
      <c r="AC136">
        <v>1</v>
      </c>
      <c r="AF136" t="b">
        <v>0</v>
      </c>
      <c r="AI136" t="s">
        <v>70</v>
      </c>
      <c r="AJ136" t="s">
        <v>70</v>
      </c>
      <c r="AK136" t="s">
        <v>71</v>
      </c>
      <c r="AL136" t="s">
        <v>72</v>
      </c>
      <c r="AM136">
        <v>346053</v>
      </c>
      <c r="AO136" s="16" t="s">
        <v>73</v>
      </c>
      <c r="AP136" s="17" t="str">
        <f t="shared" si="8"/>
        <v>Off-nest female</v>
      </c>
      <c r="AX136" s="22" t="str">
        <f>IF(AND('[1]observations-276632'!W136&gt;'[1]Methods write-up'!$Q$16,'[1]observations-276632'!W136&lt;'[1]Methods write-up'!$R$16,'[1]observations-276632'!X136&gt;'[1]Methods write-up'!$S$16,'[1]observations-276632'!X136&lt;'[1]Methods write-up'!$T$16),"West and Central Africa","")</f>
        <v/>
      </c>
      <c r="AY136" s="22" t="str">
        <f>IF(AND('[1]observations-276632'!W136&gt;'[1]Methods write-up'!$Q$17,'[1]observations-276632'!W136&lt;'[1]Methods write-up'!$R$17,'[1]observations-276632'!X136&gt;'[1]Methods write-up'!$S$17,'[1]observations-276632'!X136&lt;'[1]Methods write-up'!$T$17),"Equatorial tropical forest","")</f>
        <v/>
      </c>
      <c r="AZ136" s="22" t="str">
        <f>IF(AND('[1]observations-276632'!W136&gt;'[1]Methods write-up'!$Q$18,'[1]observations-276632'!W136&lt;'[1]Methods write-up'!$R$18,'[1]observations-276632'!X136&gt;'[1]Methods write-up'!$S$18,'[1]observations-276632'!X136&lt;'[1]Methods write-up'!$T$18),"Somali peninsula","")</f>
        <v/>
      </c>
      <c r="BA136" s="22" t="str">
        <f>IF(AND('[1]observations-276632'!W136&gt;'[1]Methods write-up'!$Q$19,'[1]observations-276632'!W136&lt;'[1]Methods write-up'!$R$19,'[1]observations-276632'!X136&gt;'[1]Methods write-up'!$S$19,'[1]observations-276632'!X136&lt;'[1]Methods write-up'!$T$19),"East Africa","")</f>
        <v/>
      </c>
      <c r="BB136" s="22" t="str">
        <f>IF(AND('[1]observations-276632'!W136&gt;'[1]Methods write-up'!$Q$20,'[1]observations-276632'!W136&lt;'[1]Methods write-up'!$R$20,'[1]observations-276632'!X136&gt;'[1]Methods write-up'!$S$20,'[1]observations-276632'!X136&lt;'[1]Methods write-up'!$T$20),"Temperate seasonal","")</f>
        <v>Temperate seasonal</v>
      </c>
      <c r="BC136" s="22" t="str">
        <f>IF(AND('[1]observations-276632'!W136&gt;'[1]Methods write-up'!$Q$21,'[1]observations-276632'!W136&lt;'[1]Methods write-up'!$R$21,'[1]observations-276632'!X136&gt;'[1]Methods write-up'!$S$21,'[1]observations-276632'!X136&lt;'[1]Methods write-up'!$T$21),"Desert and high aridity","")</f>
        <v/>
      </c>
      <c r="BD136" s="23" t="str">
        <f t="shared" si="11"/>
        <v>Temperate seasonal</v>
      </c>
      <c r="BE136" s="24">
        <f t="shared" si="9"/>
        <v>9</v>
      </c>
      <c r="BF136" s="24">
        <f t="shared" si="10"/>
        <v>5</v>
      </c>
    </row>
    <row r="137" spans="1:58" ht="16.25" customHeight="1" x14ac:dyDescent="0.2">
      <c r="A137">
        <v>11119041</v>
      </c>
      <c r="B137" s="13">
        <v>42257</v>
      </c>
      <c r="C137" s="14">
        <v>42257</v>
      </c>
      <c r="E137" t="s">
        <v>113</v>
      </c>
      <c r="F137">
        <v>97441</v>
      </c>
      <c r="G137" t="s">
        <v>1058</v>
      </c>
      <c r="H137" t="s">
        <v>1059</v>
      </c>
      <c r="I137" t="s">
        <v>1060</v>
      </c>
      <c r="J137" t="s">
        <v>1061</v>
      </c>
      <c r="K137" t="s">
        <v>62</v>
      </c>
      <c r="L137" t="s">
        <v>63</v>
      </c>
      <c r="M137" t="s">
        <v>1062</v>
      </c>
      <c r="N137" t="s">
        <v>1063</v>
      </c>
      <c r="P137" t="s">
        <v>1064</v>
      </c>
      <c r="Q137" t="s">
        <v>1065</v>
      </c>
      <c r="R137">
        <v>3</v>
      </c>
      <c r="S137">
        <v>0</v>
      </c>
      <c r="T137" t="b">
        <v>0</v>
      </c>
      <c r="V137" t="s">
        <v>1066</v>
      </c>
      <c r="W137" s="15">
        <v>-22.707529999999998</v>
      </c>
      <c r="X137" s="15">
        <v>30.794540000000001</v>
      </c>
      <c r="Y137">
        <v>1</v>
      </c>
      <c r="AC137">
        <v>1</v>
      </c>
      <c r="AF137" t="b">
        <v>0</v>
      </c>
      <c r="AI137" t="s">
        <v>71</v>
      </c>
      <c r="AJ137" t="s">
        <v>70</v>
      </c>
      <c r="AK137" t="s">
        <v>71</v>
      </c>
      <c r="AL137" t="s">
        <v>72</v>
      </c>
      <c r="AM137">
        <v>346053</v>
      </c>
      <c r="AO137" s="16" t="s">
        <v>1067</v>
      </c>
      <c r="AP137" s="17" t="str">
        <f t="shared" si="8"/>
        <v>Hibernation cluster</v>
      </c>
      <c r="AQ137" s="18" t="s">
        <v>1068</v>
      </c>
      <c r="AV137" s="21" t="s">
        <v>1069</v>
      </c>
      <c r="AX137" s="22" t="str">
        <f>IF(AND('[1]observations-276632'!W137&gt;'[1]Methods write-up'!$Q$16,'[1]observations-276632'!W137&lt;'[1]Methods write-up'!$R$16,'[1]observations-276632'!X137&gt;'[1]Methods write-up'!$S$16,'[1]observations-276632'!X137&lt;'[1]Methods write-up'!$T$16),"West and Central Africa","")</f>
        <v/>
      </c>
      <c r="AY137" s="22" t="str">
        <f>IF(AND('[1]observations-276632'!W137&gt;'[1]Methods write-up'!$Q$17,'[1]observations-276632'!W137&lt;'[1]Methods write-up'!$R$17,'[1]observations-276632'!X137&gt;'[1]Methods write-up'!$S$17,'[1]observations-276632'!X137&lt;'[1]Methods write-up'!$T$17),"Equatorial tropical forest","")</f>
        <v/>
      </c>
      <c r="AZ137" s="22" t="str">
        <f>IF(AND('[1]observations-276632'!W137&gt;'[1]Methods write-up'!$Q$18,'[1]observations-276632'!W137&lt;'[1]Methods write-up'!$R$18,'[1]observations-276632'!X137&gt;'[1]Methods write-up'!$S$18,'[1]observations-276632'!X137&lt;'[1]Methods write-up'!$T$18),"Somali peninsula","")</f>
        <v/>
      </c>
      <c r="BA137" s="22" t="str">
        <f>IF(AND('[1]observations-276632'!W137&gt;'[1]Methods write-up'!$Q$19,'[1]observations-276632'!W137&lt;'[1]Methods write-up'!$R$19,'[1]observations-276632'!X137&gt;'[1]Methods write-up'!$S$19,'[1]observations-276632'!X137&lt;'[1]Methods write-up'!$T$19),"East Africa","")</f>
        <v/>
      </c>
      <c r="BB137" s="22" t="str">
        <f>IF(AND('[1]observations-276632'!W137&gt;'[1]Methods write-up'!$Q$20,'[1]observations-276632'!W137&lt;'[1]Methods write-up'!$R$20,'[1]observations-276632'!X137&gt;'[1]Methods write-up'!$S$20,'[1]observations-276632'!X137&lt;'[1]Methods write-up'!$T$20),"Temperate seasonal","")</f>
        <v/>
      </c>
      <c r="BC137" s="22" t="str">
        <f>IF(AND('[1]observations-276632'!W137&gt;'[1]Methods write-up'!$Q$21,'[1]observations-276632'!W137&lt;'[1]Methods write-up'!$R$21,'[1]observations-276632'!X137&gt;'[1]Methods write-up'!$S$21,'[1]observations-276632'!X137&lt;'[1]Methods write-up'!$T$21),"Desert and high aridity","")</f>
        <v/>
      </c>
      <c r="BD137" s="23" t="str">
        <f t="shared" si="11"/>
        <v/>
      </c>
      <c r="BE137" s="24">
        <f t="shared" si="9"/>
        <v>10</v>
      </c>
      <c r="BF137" s="24">
        <f t="shared" si="10"/>
        <v>9</v>
      </c>
    </row>
    <row r="138" spans="1:58" ht="16.25" customHeight="1" x14ac:dyDescent="0.2">
      <c r="A138">
        <v>11125712</v>
      </c>
      <c r="B138" s="13">
        <v>42310</v>
      </c>
      <c r="C138" s="14">
        <v>42310</v>
      </c>
      <c r="E138" t="s">
        <v>113</v>
      </c>
      <c r="F138">
        <v>389997</v>
      </c>
      <c r="G138" t="s">
        <v>942</v>
      </c>
      <c r="H138" t="s">
        <v>943</v>
      </c>
      <c r="I138" t="s">
        <v>1070</v>
      </c>
      <c r="J138" t="s">
        <v>1071</v>
      </c>
      <c r="K138" t="s">
        <v>62</v>
      </c>
      <c r="L138" t="s">
        <v>127</v>
      </c>
      <c r="M138" t="s">
        <v>1072</v>
      </c>
      <c r="N138" t="s">
        <v>1073</v>
      </c>
      <c r="Q138" t="s">
        <v>1074</v>
      </c>
      <c r="R138">
        <v>2</v>
      </c>
      <c r="S138">
        <v>0</v>
      </c>
      <c r="T138" t="b">
        <v>0</v>
      </c>
      <c r="V138" t="s">
        <v>1075</v>
      </c>
      <c r="W138" s="15">
        <v>-23.828402000000001</v>
      </c>
      <c r="X138" s="15">
        <v>30.219341</v>
      </c>
      <c r="Y138">
        <v>1</v>
      </c>
      <c r="AC138">
        <v>1</v>
      </c>
      <c r="AF138" t="b">
        <v>0</v>
      </c>
      <c r="AI138" t="s">
        <v>950</v>
      </c>
      <c r="AJ138" t="s">
        <v>70</v>
      </c>
      <c r="AK138" t="s">
        <v>71</v>
      </c>
      <c r="AL138" t="s">
        <v>72</v>
      </c>
      <c r="AM138">
        <v>346053</v>
      </c>
      <c r="AO138" s="16" t="s">
        <v>73</v>
      </c>
      <c r="AP138" s="17" t="str">
        <f t="shared" si="8"/>
        <v>Off-nest female</v>
      </c>
      <c r="AX138" s="22" t="str">
        <f>IF(AND('[1]observations-276632'!W138&gt;'[1]Methods write-up'!$Q$16,'[1]observations-276632'!W138&lt;'[1]Methods write-up'!$R$16,'[1]observations-276632'!X138&gt;'[1]Methods write-up'!$S$16,'[1]observations-276632'!X138&lt;'[1]Methods write-up'!$T$16),"West and Central Africa","")</f>
        <v/>
      </c>
      <c r="AY138" s="22" t="str">
        <f>IF(AND('[1]observations-276632'!W138&gt;'[1]Methods write-up'!$Q$17,'[1]observations-276632'!W138&lt;'[1]Methods write-up'!$R$17,'[1]observations-276632'!X138&gt;'[1]Methods write-up'!$S$17,'[1]observations-276632'!X138&lt;'[1]Methods write-up'!$T$17),"Equatorial tropical forest","")</f>
        <v/>
      </c>
      <c r="AZ138" s="22" t="str">
        <f>IF(AND('[1]observations-276632'!W138&gt;'[1]Methods write-up'!$Q$18,'[1]observations-276632'!W138&lt;'[1]Methods write-up'!$R$18,'[1]observations-276632'!X138&gt;'[1]Methods write-up'!$S$18,'[1]observations-276632'!X138&lt;'[1]Methods write-up'!$T$18),"Somali peninsula","")</f>
        <v/>
      </c>
      <c r="BA138" s="22" t="str">
        <f>IF(AND('[1]observations-276632'!W138&gt;'[1]Methods write-up'!$Q$19,'[1]observations-276632'!W138&lt;'[1]Methods write-up'!$R$19,'[1]observations-276632'!X138&gt;'[1]Methods write-up'!$S$19,'[1]observations-276632'!X138&lt;'[1]Methods write-up'!$T$19),"East Africa","")</f>
        <v/>
      </c>
      <c r="BB138" s="22" t="str">
        <f>IF(AND('[1]observations-276632'!W138&gt;'[1]Methods write-up'!$Q$20,'[1]observations-276632'!W138&lt;'[1]Methods write-up'!$R$20,'[1]observations-276632'!X138&gt;'[1]Methods write-up'!$S$20,'[1]observations-276632'!X138&lt;'[1]Methods write-up'!$T$20),"Temperate seasonal","")</f>
        <v/>
      </c>
      <c r="BC138" s="22" t="str">
        <f>IF(AND('[1]observations-276632'!W138&gt;'[1]Methods write-up'!$Q$21,'[1]observations-276632'!W138&lt;'[1]Methods write-up'!$R$21,'[1]observations-276632'!X138&gt;'[1]Methods write-up'!$S$21,'[1]observations-276632'!X138&lt;'[1]Methods write-up'!$T$21),"Desert and high aridity","")</f>
        <v/>
      </c>
      <c r="BD138" s="23" t="str">
        <f t="shared" si="11"/>
        <v/>
      </c>
      <c r="BE138" s="24">
        <f t="shared" si="9"/>
        <v>2</v>
      </c>
      <c r="BF138" s="24">
        <f t="shared" si="10"/>
        <v>11</v>
      </c>
    </row>
    <row r="139" spans="1:58" ht="16.25" customHeight="1" x14ac:dyDescent="0.2">
      <c r="A139">
        <v>11129565</v>
      </c>
      <c r="B139" s="13">
        <v>42272</v>
      </c>
      <c r="C139" s="14">
        <v>42272</v>
      </c>
      <c r="E139" t="s">
        <v>113</v>
      </c>
      <c r="F139">
        <v>389988</v>
      </c>
      <c r="G139" t="s">
        <v>747</v>
      </c>
      <c r="H139" t="s">
        <v>748</v>
      </c>
      <c r="I139" t="s">
        <v>1076</v>
      </c>
      <c r="J139" t="s">
        <v>1077</v>
      </c>
      <c r="K139" t="s">
        <v>157</v>
      </c>
      <c r="L139" t="s">
        <v>63</v>
      </c>
      <c r="M139" t="s">
        <v>1078</v>
      </c>
      <c r="N139" t="s">
        <v>1079</v>
      </c>
      <c r="Q139" t="s">
        <v>754</v>
      </c>
      <c r="R139">
        <v>2</v>
      </c>
      <c r="S139">
        <v>0</v>
      </c>
      <c r="T139" t="b">
        <v>0</v>
      </c>
      <c r="V139" t="s">
        <v>755</v>
      </c>
      <c r="W139" s="15">
        <v>-24.412430000000001</v>
      </c>
      <c r="X139" s="15">
        <v>16.337003330000002</v>
      </c>
      <c r="Y139">
        <v>1</v>
      </c>
      <c r="AC139">
        <v>1</v>
      </c>
      <c r="AF139" t="b">
        <v>0</v>
      </c>
      <c r="AI139" t="s">
        <v>756</v>
      </c>
      <c r="AJ139" t="s">
        <v>756</v>
      </c>
      <c r="AL139" t="s">
        <v>72</v>
      </c>
      <c r="AM139">
        <v>652800</v>
      </c>
      <c r="AO139" s="16" t="s">
        <v>73</v>
      </c>
      <c r="AP139" s="17" t="str">
        <f t="shared" si="8"/>
        <v>Off-nest female</v>
      </c>
      <c r="AX139" s="22" t="str">
        <f>IF(AND('[1]observations-276632'!W139&gt;'[1]Methods write-up'!$Q$16,'[1]observations-276632'!W139&lt;'[1]Methods write-up'!$R$16,'[1]observations-276632'!X139&gt;'[1]Methods write-up'!$S$16,'[1]observations-276632'!X139&lt;'[1]Methods write-up'!$T$16),"West and Central Africa","")</f>
        <v/>
      </c>
      <c r="AY139" s="22" t="str">
        <f>IF(AND('[1]observations-276632'!W139&gt;'[1]Methods write-up'!$Q$17,'[1]observations-276632'!W139&lt;'[1]Methods write-up'!$R$17,'[1]observations-276632'!X139&gt;'[1]Methods write-up'!$S$17,'[1]observations-276632'!X139&lt;'[1]Methods write-up'!$T$17),"Equatorial tropical forest","")</f>
        <v/>
      </c>
      <c r="AZ139" s="22" t="str">
        <f>IF(AND('[1]observations-276632'!W139&gt;'[1]Methods write-up'!$Q$18,'[1]observations-276632'!W139&lt;'[1]Methods write-up'!$R$18,'[1]observations-276632'!X139&gt;'[1]Methods write-up'!$S$18,'[1]observations-276632'!X139&lt;'[1]Methods write-up'!$T$18),"Somali peninsula","")</f>
        <v/>
      </c>
      <c r="BA139" s="22" t="str">
        <f>IF(AND('[1]observations-276632'!W139&gt;'[1]Methods write-up'!$Q$19,'[1]observations-276632'!W139&lt;'[1]Methods write-up'!$R$19,'[1]observations-276632'!X139&gt;'[1]Methods write-up'!$S$19,'[1]observations-276632'!X139&lt;'[1]Methods write-up'!$T$19),"East Africa","")</f>
        <v/>
      </c>
      <c r="BB139" s="22" t="str">
        <f>IF(AND('[1]observations-276632'!W139&gt;'[1]Methods write-up'!$Q$20,'[1]observations-276632'!W139&lt;'[1]Methods write-up'!$R$20,'[1]observations-276632'!X139&gt;'[1]Methods write-up'!$S$20,'[1]observations-276632'!X139&lt;'[1]Methods write-up'!$T$20),"Temperate seasonal","")</f>
        <v/>
      </c>
      <c r="BC139" s="22" t="str">
        <f>IF(AND('[1]observations-276632'!W139&gt;'[1]Methods write-up'!$Q$21,'[1]observations-276632'!W139&lt;'[1]Methods write-up'!$R$21,'[1]observations-276632'!X139&gt;'[1]Methods write-up'!$S$21,'[1]observations-276632'!X139&lt;'[1]Methods write-up'!$T$21),"Desert and high aridity","")</f>
        <v>Desert and high aridity</v>
      </c>
      <c r="BD139" s="23" t="str">
        <f t="shared" si="11"/>
        <v>Desert and high aridity</v>
      </c>
      <c r="BE139" s="24">
        <f t="shared" si="9"/>
        <v>25</v>
      </c>
      <c r="BF139" s="24">
        <f t="shared" si="10"/>
        <v>9</v>
      </c>
    </row>
    <row r="140" spans="1:58" ht="16.25" customHeight="1" x14ac:dyDescent="0.2">
      <c r="A140">
        <v>11134970</v>
      </c>
      <c r="B140" s="13">
        <v>41988</v>
      </c>
      <c r="C140" s="14">
        <v>41988</v>
      </c>
      <c r="E140" t="s">
        <v>113</v>
      </c>
      <c r="F140">
        <v>389988</v>
      </c>
      <c r="G140" t="s">
        <v>747</v>
      </c>
      <c r="H140" t="s">
        <v>748</v>
      </c>
      <c r="I140" t="s">
        <v>1080</v>
      </c>
      <c r="J140" t="s">
        <v>1081</v>
      </c>
      <c r="K140" t="s">
        <v>157</v>
      </c>
      <c r="L140" t="s">
        <v>63</v>
      </c>
      <c r="M140" t="s">
        <v>1082</v>
      </c>
      <c r="N140" t="s">
        <v>1083</v>
      </c>
      <c r="P140" t="s">
        <v>753</v>
      </c>
      <c r="Q140" t="s">
        <v>1084</v>
      </c>
      <c r="R140">
        <v>3</v>
      </c>
      <c r="S140">
        <v>0</v>
      </c>
      <c r="T140" t="b">
        <v>0</v>
      </c>
      <c r="V140" t="s">
        <v>755</v>
      </c>
      <c r="W140" s="15">
        <v>-24.4589231</v>
      </c>
      <c r="X140" s="15">
        <v>16.316739800000001</v>
      </c>
      <c r="Y140">
        <v>1</v>
      </c>
      <c r="AC140">
        <v>1</v>
      </c>
      <c r="AF140" t="b">
        <v>0</v>
      </c>
      <c r="AI140" t="s">
        <v>756</v>
      </c>
      <c r="AJ140" t="s">
        <v>756</v>
      </c>
      <c r="AL140" t="s">
        <v>72</v>
      </c>
      <c r="AM140">
        <v>652800</v>
      </c>
      <c r="AO140" s="16" t="s">
        <v>73</v>
      </c>
      <c r="AP140" s="17" t="str">
        <f t="shared" si="8"/>
        <v>Off-nest female</v>
      </c>
      <c r="AX140" s="22" t="str">
        <f>IF(AND('[1]observations-276632'!W140&gt;'[1]Methods write-up'!$Q$16,'[1]observations-276632'!W140&lt;'[1]Methods write-up'!$R$16,'[1]observations-276632'!X140&gt;'[1]Methods write-up'!$S$16,'[1]observations-276632'!X140&lt;'[1]Methods write-up'!$T$16),"West and Central Africa","")</f>
        <v/>
      </c>
      <c r="AY140" s="22" t="str">
        <f>IF(AND('[1]observations-276632'!W140&gt;'[1]Methods write-up'!$Q$17,'[1]observations-276632'!W140&lt;'[1]Methods write-up'!$R$17,'[1]observations-276632'!X140&gt;'[1]Methods write-up'!$S$17,'[1]observations-276632'!X140&lt;'[1]Methods write-up'!$T$17),"Equatorial tropical forest","")</f>
        <v/>
      </c>
      <c r="AZ140" s="22" t="str">
        <f>IF(AND('[1]observations-276632'!W140&gt;'[1]Methods write-up'!$Q$18,'[1]observations-276632'!W140&lt;'[1]Methods write-up'!$R$18,'[1]observations-276632'!X140&gt;'[1]Methods write-up'!$S$18,'[1]observations-276632'!X140&lt;'[1]Methods write-up'!$T$18),"Somali peninsula","")</f>
        <v/>
      </c>
      <c r="BA140" s="22" t="str">
        <f>IF(AND('[1]observations-276632'!W140&gt;'[1]Methods write-up'!$Q$19,'[1]observations-276632'!W140&lt;'[1]Methods write-up'!$R$19,'[1]observations-276632'!X140&gt;'[1]Methods write-up'!$S$19,'[1]observations-276632'!X140&lt;'[1]Methods write-up'!$T$19),"East Africa","")</f>
        <v/>
      </c>
      <c r="BB140" s="22" t="str">
        <f>IF(AND('[1]observations-276632'!W140&gt;'[1]Methods write-up'!$Q$20,'[1]observations-276632'!W140&lt;'[1]Methods write-up'!$R$20,'[1]observations-276632'!X140&gt;'[1]Methods write-up'!$S$20,'[1]observations-276632'!X140&lt;'[1]Methods write-up'!$T$20),"Temperate seasonal","")</f>
        <v/>
      </c>
      <c r="BC140" s="22" t="str">
        <f>IF(AND('[1]observations-276632'!W140&gt;'[1]Methods write-up'!$Q$21,'[1]observations-276632'!W140&lt;'[1]Methods write-up'!$R$21,'[1]observations-276632'!X140&gt;'[1]Methods write-up'!$S$21,'[1]observations-276632'!X140&lt;'[1]Methods write-up'!$T$21),"Desert and high aridity","")</f>
        <v>Desert and high aridity</v>
      </c>
      <c r="BD140" s="23" t="str">
        <f t="shared" si="11"/>
        <v>Desert and high aridity</v>
      </c>
      <c r="BE140" s="24">
        <f t="shared" si="9"/>
        <v>15</v>
      </c>
      <c r="BF140" s="24">
        <f t="shared" si="10"/>
        <v>12</v>
      </c>
    </row>
    <row r="141" spans="1:58" ht="16.25" customHeight="1" x14ac:dyDescent="0.2">
      <c r="A141">
        <v>11138621</v>
      </c>
      <c r="B141" s="13">
        <v>42028</v>
      </c>
      <c r="C141" s="14">
        <v>42028</v>
      </c>
      <c r="E141" t="s">
        <v>113</v>
      </c>
      <c r="F141">
        <v>765687</v>
      </c>
      <c r="G141" t="s">
        <v>1085</v>
      </c>
      <c r="I141" t="s">
        <v>1086</v>
      </c>
      <c r="J141" t="s">
        <v>1087</v>
      </c>
      <c r="K141" t="s">
        <v>62</v>
      </c>
      <c r="L141" t="s">
        <v>63</v>
      </c>
      <c r="M141" t="s">
        <v>1088</v>
      </c>
      <c r="N141" t="s">
        <v>1089</v>
      </c>
      <c r="Q141" t="s">
        <v>1065</v>
      </c>
      <c r="R141">
        <v>6</v>
      </c>
      <c r="S141">
        <v>0</v>
      </c>
      <c r="T141" t="b">
        <v>0</v>
      </c>
      <c r="V141" t="s">
        <v>1090</v>
      </c>
      <c r="W141" s="15">
        <v>-25.229399999999998</v>
      </c>
      <c r="X141" s="15">
        <v>27.032299999999999</v>
      </c>
      <c r="Y141">
        <v>1</v>
      </c>
      <c r="AC141">
        <v>1</v>
      </c>
      <c r="AF141" t="b">
        <v>0</v>
      </c>
      <c r="AI141" t="s">
        <v>70</v>
      </c>
      <c r="AJ141" t="s">
        <v>70</v>
      </c>
      <c r="AK141" t="s">
        <v>71</v>
      </c>
      <c r="AL141" t="s">
        <v>72</v>
      </c>
      <c r="AM141">
        <v>346053</v>
      </c>
      <c r="AO141" s="16" t="s">
        <v>140</v>
      </c>
      <c r="AP141" s="17" t="str">
        <f t="shared" si="8"/>
        <v>Post-emergence nest</v>
      </c>
      <c r="AQ141" s="18">
        <v>9</v>
      </c>
      <c r="AT141" s="19" t="s">
        <v>141</v>
      </c>
      <c r="AU141" s="20" t="s">
        <v>104</v>
      </c>
      <c r="AX141" s="22" t="str">
        <f>IF(AND('[1]observations-276632'!W141&gt;'[1]Methods write-up'!$Q$16,'[1]observations-276632'!W141&lt;'[1]Methods write-up'!$R$16,'[1]observations-276632'!X141&gt;'[1]Methods write-up'!$S$16,'[1]observations-276632'!X141&lt;'[1]Methods write-up'!$T$16),"West and Central Africa","")</f>
        <v/>
      </c>
      <c r="AY141" s="22" t="str">
        <f>IF(AND('[1]observations-276632'!W141&gt;'[1]Methods write-up'!$Q$17,'[1]observations-276632'!W141&lt;'[1]Methods write-up'!$R$17,'[1]observations-276632'!X141&gt;'[1]Methods write-up'!$S$17,'[1]observations-276632'!X141&lt;'[1]Methods write-up'!$T$17),"Equatorial tropical forest","")</f>
        <v/>
      </c>
      <c r="AZ141" s="22" t="str">
        <f>IF(AND('[1]observations-276632'!W141&gt;'[1]Methods write-up'!$Q$18,'[1]observations-276632'!W141&lt;'[1]Methods write-up'!$R$18,'[1]observations-276632'!X141&gt;'[1]Methods write-up'!$S$18,'[1]observations-276632'!X141&lt;'[1]Methods write-up'!$T$18),"Somali peninsula","")</f>
        <v/>
      </c>
      <c r="BA141" s="22" t="str">
        <f>IF(AND('[1]observations-276632'!W141&gt;'[1]Methods write-up'!$Q$19,'[1]observations-276632'!W141&lt;'[1]Methods write-up'!$R$19,'[1]observations-276632'!X141&gt;'[1]Methods write-up'!$S$19,'[1]observations-276632'!X141&lt;'[1]Methods write-up'!$T$19),"East Africa","")</f>
        <v/>
      </c>
      <c r="BB141" s="22" t="str">
        <f>IF(AND('[1]observations-276632'!W141&gt;'[1]Methods write-up'!$Q$20,'[1]observations-276632'!W141&lt;'[1]Methods write-up'!$R$20,'[1]observations-276632'!X141&gt;'[1]Methods write-up'!$S$20,'[1]observations-276632'!X141&lt;'[1]Methods write-up'!$T$20),"Temperate seasonal","")</f>
        <v>Temperate seasonal</v>
      </c>
      <c r="BC141" s="22" t="str">
        <f>IF(AND('[1]observations-276632'!W141&gt;'[1]Methods write-up'!$Q$21,'[1]observations-276632'!W141&lt;'[1]Methods write-up'!$R$21,'[1]observations-276632'!X141&gt;'[1]Methods write-up'!$S$21,'[1]observations-276632'!X141&lt;'[1]Methods write-up'!$T$21),"Desert and high aridity","")</f>
        <v/>
      </c>
      <c r="BD141" s="23" t="str">
        <f t="shared" si="11"/>
        <v>Temperate seasonal</v>
      </c>
      <c r="BE141" s="24">
        <f t="shared" si="9"/>
        <v>24</v>
      </c>
      <c r="BF141" s="24">
        <f t="shared" si="10"/>
        <v>1</v>
      </c>
    </row>
    <row r="142" spans="1:58" ht="16.25" customHeight="1" x14ac:dyDescent="0.2">
      <c r="A142">
        <v>11146162</v>
      </c>
      <c r="B142" s="13">
        <v>42295</v>
      </c>
      <c r="C142" s="14">
        <v>42295</v>
      </c>
      <c r="E142" t="s">
        <v>113</v>
      </c>
      <c r="F142">
        <v>762608</v>
      </c>
      <c r="G142" t="s">
        <v>1091</v>
      </c>
      <c r="H142" t="s">
        <v>1092</v>
      </c>
      <c r="I142" t="s">
        <v>1093</v>
      </c>
      <c r="J142" t="s">
        <v>1094</v>
      </c>
      <c r="K142" t="s">
        <v>62</v>
      </c>
      <c r="L142" t="s">
        <v>63</v>
      </c>
      <c r="M142" t="s">
        <v>1095</v>
      </c>
      <c r="N142" t="s">
        <v>1096</v>
      </c>
      <c r="P142" t="s">
        <v>1097</v>
      </c>
      <c r="Q142" t="s">
        <v>1098</v>
      </c>
      <c r="R142">
        <v>5</v>
      </c>
      <c r="S142">
        <v>0</v>
      </c>
      <c r="T142" t="b">
        <v>0</v>
      </c>
      <c r="V142" t="s">
        <v>1099</v>
      </c>
      <c r="W142" s="15">
        <v>-25.719882250000001</v>
      </c>
      <c r="X142" s="15">
        <v>28.203710789999999</v>
      </c>
      <c r="Y142">
        <v>1</v>
      </c>
      <c r="AC142">
        <v>29936</v>
      </c>
      <c r="AD142" t="s">
        <v>839</v>
      </c>
      <c r="AF142" t="b">
        <v>1</v>
      </c>
      <c r="AI142" t="s">
        <v>71</v>
      </c>
      <c r="AJ142" t="s">
        <v>70</v>
      </c>
      <c r="AK142" t="s">
        <v>71</v>
      </c>
      <c r="AL142" t="s">
        <v>72</v>
      </c>
      <c r="AM142">
        <v>346053</v>
      </c>
      <c r="AO142" s="16" t="s">
        <v>172</v>
      </c>
      <c r="AP142" s="17" t="str">
        <f t="shared" si="8"/>
        <v>Nest (foundress)</v>
      </c>
      <c r="AQ142" s="18">
        <v>1</v>
      </c>
      <c r="AT142" s="19" t="s">
        <v>104</v>
      </c>
      <c r="AX142" s="22" t="str">
        <f>IF(AND('[1]observations-276632'!W142&gt;'[1]Methods write-up'!$Q$16,'[1]observations-276632'!W142&lt;'[1]Methods write-up'!$R$16,'[1]observations-276632'!X142&gt;'[1]Methods write-up'!$S$16,'[1]observations-276632'!X142&lt;'[1]Methods write-up'!$T$16),"West and Central Africa","")</f>
        <v/>
      </c>
      <c r="AY142" s="22" t="str">
        <f>IF(AND('[1]observations-276632'!W142&gt;'[1]Methods write-up'!$Q$17,'[1]observations-276632'!W142&lt;'[1]Methods write-up'!$R$17,'[1]observations-276632'!X142&gt;'[1]Methods write-up'!$S$17,'[1]observations-276632'!X142&lt;'[1]Methods write-up'!$T$17),"Equatorial tropical forest","")</f>
        <v/>
      </c>
      <c r="AZ142" s="22" t="str">
        <f>IF(AND('[1]observations-276632'!W142&gt;'[1]Methods write-up'!$Q$18,'[1]observations-276632'!W142&lt;'[1]Methods write-up'!$R$18,'[1]observations-276632'!X142&gt;'[1]Methods write-up'!$S$18,'[1]observations-276632'!X142&lt;'[1]Methods write-up'!$T$18),"Somali peninsula","")</f>
        <v/>
      </c>
      <c r="BA142" s="22" t="str">
        <f>IF(AND('[1]observations-276632'!W142&gt;'[1]Methods write-up'!$Q$19,'[1]observations-276632'!W142&lt;'[1]Methods write-up'!$R$19,'[1]observations-276632'!X142&gt;'[1]Methods write-up'!$S$19,'[1]observations-276632'!X142&lt;'[1]Methods write-up'!$T$19),"East Africa","")</f>
        <v/>
      </c>
      <c r="BB142" s="22" t="str">
        <f>IF(AND('[1]observations-276632'!W142&gt;'[1]Methods write-up'!$Q$20,'[1]observations-276632'!W142&lt;'[1]Methods write-up'!$R$20,'[1]observations-276632'!X142&gt;'[1]Methods write-up'!$S$20,'[1]observations-276632'!X142&lt;'[1]Methods write-up'!$T$20),"Temperate seasonal","")</f>
        <v>Temperate seasonal</v>
      </c>
      <c r="BC142" s="22" t="str">
        <f>IF(AND('[1]observations-276632'!W142&gt;'[1]Methods write-up'!$Q$21,'[1]observations-276632'!W142&lt;'[1]Methods write-up'!$R$21,'[1]observations-276632'!X142&gt;'[1]Methods write-up'!$S$21,'[1]observations-276632'!X142&lt;'[1]Methods write-up'!$T$21),"Desert and high aridity","")</f>
        <v/>
      </c>
      <c r="BD142" s="23" t="str">
        <f t="shared" si="11"/>
        <v>Temperate seasonal</v>
      </c>
      <c r="BE142" s="24">
        <f t="shared" si="9"/>
        <v>18</v>
      </c>
      <c r="BF142" s="24">
        <f t="shared" si="10"/>
        <v>10</v>
      </c>
    </row>
    <row r="143" spans="1:58" ht="16.25" customHeight="1" x14ac:dyDescent="0.2">
      <c r="A143">
        <v>11154666</v>
      </c>
      <c r="B143" s="13">
        <v>42028</v>
      </c>
      <c r="C143" s="14">
        <v>42028</v>
      </c>
      <c r="E143" t="s">
        <v>113</v>
      </c>
      <c r="F143">
        <v>774111</v>
      </c>
      <c r="G143" t="s">
        <v>1100</v>
      </c>
      <c r="I143" t="s">
        <v>1101</v>
      </c>
      <c r="J143" t="s">
        <v>1102</v>
      </c>
      <c r="K143" t="s">
        <v>157</v>
      </c>
      <c r="L143" t="s">
        <v>63</v>
      </c>
      <c r="M143" t="s">
        <v>1103</v>
      </c>
      <c r="N143" t="s">
        <v>1104</v>
      </c>
      <c r="P143" t="s">
        <v>1105</v>
      </c>
      <c r="Q143" t="s">
        <v>1106</v>
      </c>
      <c r="R143">
        <v>3</v>
      </c>
      <c r="S143">
        <v>0</v>
      </c>
      <c r="T143" t="b">
        <v>0</v>
      </c>
      <c r="V143" t="s">
        <v>1107</v>
      </c>
      <c r="W143" s="15">
        <v>-30.032647999999998</v>
      </c>
      <c r="X143" s="15">
        <v>25.780453999999999</v>
      </c>
      <c r="Y143">
        <v>1</v>
      </c>
      <c r="AC143">
        <v>1</v>
      </c>
      <c r="AF143" t="b">
        <v>0</v>
      </c>
      <c r="AI143" t="s">
        <v>756</v>
      </c>
      <c r="AJ143" t="s">
        <v>756</v>
      </c>
      <c r="AL143" t="s">
        <v>72</v>
      </c>
      <c r="AM143">
        <v>652800</v>
      </c>
      <c r="AO143" s="16" t="s">
        <v>73</v>
      </c>
      <c r="AP143" s="17" t="str">
        <f t="shared" si="8"/>
        <v>Off-nest female</v>
      </c>
      <c r="AX143" s="22" t="str">
        <f>IF(AND('[1]observations-276632'!W143&gt;'[1]Methods write-up'!$Q$16,'[1]observations-276632'!W143&lt;'[1]Methods write-up'!$R$16,'[1]observations-276632'!X143&gt;'[1]Methods write-up'!$S$16,'[1]observations-276632'!X143&lt;'[1]Methods write-up'!$T$16),"West and Central Africa","")</f>
        <v/>
      </c>
      <c r="AY143" s="22" t="str">
        <f>IF(AND('[1]observations-276632'!W143&gt;'[1]Methods write-up'!$Q$17,'[1]observations-276632'!W143&lt;'[1]Methods write-up'!$R$17,'[1]observations-276632'!X143&gt;'[1]Methods write-up'!$S$17,'[1]observations-276632'!X143&lt;'[1]Methods write-up'!$T$17),"Equatorial tropical forest","")</f>
        <v/>
      </c>
      <c r="AZ143" s="22" t="str">
        <f>IF(AND('[1]observations-276632'!W143&gt;'[1]Methods write-up'!$Q$18,'[1]observations-276632'!W143&lt;'[1]Methods write-up'!$R$18,'[1]observations-276632'!X143&gt;'[1]Methods write-up'!$S$18,'[1]observations-276632'!X143&lt;'[1]Methods write-up'!$T$18),"Somali peninsula","")</f>
        <v/>
      </c>
      <c r="BA143" s="22" t="str">
        <f>IF(AND('[1]observations-276632'!W143&gt;'[1]Methods write-up'!$Q$19,'[1]observations-276632'!W143&lt;'[1]Methods write-up'!$R$19,'[1]observations-276632'!X143&gt;'[1]Methods write-up'!$S$19,'[1]observations-276632'!X143&lt;'[1]Methods write-up'!$T$19),"East Africa","")</f>
        <v/>
      </c>
      <c r="BB143" s="22" t="str">
        <f>IF(AND('[1]observations-276632'!W143&gt;'[1]Methods write-up'!$Q$20,'[1]observations-276632'!W143&lt;'[1]Methods write-up'!$R$20,'[1]observations-276632'!X143&gt;'[1]Methods write-up'!$S$20,'[1]observations-276632'!X143&lt;'[1]Methods write-up'!$T$20),"Temperate seasonal","")</f>
        <v/>
      </c>
      <c r="BC143" s="22" t="str">
        <f>IF(AND('[1]observations-276632'!W143&gt;'[1]Methods write-up'!$Q$21,'[1]observations-276632'!W143&lt;'[1]Methods write-up'!$R$21,'[1]observations-276632'!X143&gt;'[1]Methods write-up'!$S$21,'[1]observations-276632'!X143&lt;'[1]Methods write-up'!$T$21),"Desert and high aridity","")</f>
        <v/>
      </c>
      <c r="BD143" s="23" t="str">
        <f t="shared" si="11"/>
        <v/>
      </c>
      <c r="BE143" s="24">
        <f t="shared" si="9"/>
        <v>24</v>
      </c>
      <c r="BF143" s="24">
        <f t="shared" si="10"/>
        <v>1</v>
      </c>
    </row>
    <row r="144" spans="1:58" ht="16.25" customHeight="1" x14ac:dyDescent="0.2">
      <c r="A144">
        <v>11159342</v>
      </c>
      <c r="B144" s="13">
        <v>42358</v>
      </c>
      <c r="C144" s="14">
        <v>42358</v>
      </c>
      <c r="E144" t="s">
        <v>113</v>
      </c>
      <c r="F144">
        <v>390621</v>
      </c>
      <c r="G144" t="s">
        <v>863</v>
      </c>
      <c r="H144" t="s">
        <v>864</v>
      </c>
      <c r="I144" t="s">
        <v>1108</v>
      </c>
      <c r="J144" t="s">
        <v>1109</v>
      </c>
      <c r="K144" t="s">
        <v>62</v>
      </c>
      <c r="L144" t="s">
        <v>63</v>
      </c>
      <c r="M144" t="s">
        <v>1110</v>
      </c>
      <c r="N144" t="s">
        <v>1111</v>
      </c>
      <c r="Q144" t="s">
        <v>870</v>
      </c>
      <c r="R144">
        <v>3</v>
      </c>
      <c r="S144">
        <v>0</v>
      </c>
      <c r="T144" t="b">
        <v>0</v>
      </c>
      <c r="V144" t="s">
        <v>1112</v>
      </c>
      <c r="W144" s="15">
        <v>-33.943239800000001</v>
      </c>
      <c r="X144" s="15">
        <v>22.476061300000001</v>
      </c>
      <c r="Y144">
        <v>1</v>
      </c>
      <c r="AC144">
        <v>1</v>
      </c>
      <c r="AF144" t="b">
        <v>0</v>
      </c>
      <c r="AI144" t="s">
        <v>71</v>
      </c>
      <c r="AJ144" t="s">
        <v>70</v>
      </c>
      <c r="AK144" t="s">
        <v>71</v>
      </c>
      <c r="AL144" t="s">
        <v>72</v>
      </c>
      <c r="AM144">
        <v>346053</v>
      </c>
      <c r="AO144" s="16" t="s">
        <v>73</v>
      </c>
      <c r="AP144" s="17" t="str">
        <f t="shared" si="8"/>
        <v>Off-nest female</v>
      </c>
      <c r="AX144" s="22" t="str">
        <f>IF(AND('[1]observations-276632'!W144&gt;'[1]Methods write-up'!$Q$16,'[1]observations-276632'!W144&lt;'[1]Methods write-up'!$R$16,'[1]observations-276632'!X144&gt;'[1]Methods write-up'!$S$16,'[1]observations-276632'!X144&lt;'[1]Methods write-up'!$T$16),"West and Central Africa","")</f>
        <v/>
      </c>
      <c r="AY144" s="22" t="str">
        <f>IF(AND('[1]observations-276632'!W144&gt;'[1]Methods write-up'!$Q$17,'[1]observations-276632'!W144&lt;'[1]Methods write-up'!$R$17,'[1]observations-276632'!X144&gt;'[1]Methods write-up'!$S$17,'[1]observations-276632'!X144&lt;'[1]Methods write-up'!$T$17),"Equatorial tropical forest","")</f>
        <v/>
      </c>
      <c r="AZ144" s="22" t="str">
        <f>IF(AND('[1]observations-276632'!W144&gt;'[1]Methods write-up'!$Q$18,'[1]observations-276632'!W144&lt;'[1]Methods write-up'!$R$18,'[1]observations-276632'!X144&gt;'[1]Methods write-up'!$S$18,'[1]observations-276632'!X144&lt;'[1]Methods write-up'!$T$18),"Somali peninsula","")</f>
        <v/>
      </c>
      <c r="BA144" s="22" t="str">
        <f>IF(AND('[1]observations-276632'!W144&gt;'[1]Methods write-up'!$Q$19,'[1]observations-276632'!W144&lt;'[1]Methods write-up'!$R$19,'[1]observations-276632'!X144&gt;'[1]Methods write-up'!$S$19,'[1]observations-276632'!X144&lt;'[1]Methods write-up'!$T$19),"East Africa","")</f>
        <v/>
      </c>
      <c r="BB144" s="22" t="str">
        <f>IF(AND('[1]observations-276632'!W144&gt;'[1]Methods write-up'!$Q$20,'[1]observations-276632'!W144&lt;'[1]Methods write-up'!$R$20,'[1]observations-276632'!X144&gt;'[1]Methods write-up'!$S$20,'[1]observations-276632'!X144&lt;'[1]Methods write-up'!$T$20),"Temperate seasonal","")</f>
        <v/>
      </c>
      <c r="BC144" s="22" t="str">
        <f>IF(AND('[1]observations-276632'!W144&gt;'[1]Methods write-up'!$Q$21,'[1]observations-276632'!W144&lt;'[1]Methods write-up'!$R$21,'[1]observations-276632'!X144&gt;'[1]Methods write-up'!$S$21,'[1]observations-276632'!X144&lt;'[1]Methods write-up'!$T$21),"Desert and high aridity","")</f>
        <v/>
      </c>
      <c r="BD144" s="23" t="str">
        <f t="shared" si="11"/>
        <v/>
      </c>
      <c r="BE144" s="24">
        <f t="shared" si="9"/>
        <v>20</v>
      </c>
      <c r="BF144" s="24">
        <f t="shared" si="10"/>
        <v>12</v>
      </c>
    </row>
    <row r="145" spans="1:58" ht="16.25" customHeight="1" x14ac:dyDescent="0.2">
      <c r="A145">
        <v>11177318</v>
      </c>
      <c r="B145" s="13">
        <v>42441</v>
      </c>
      <c r="C145" s="14">
        <v>42441</v>
      </c>
      <c r="E145" t="s">
        <v>113</v>
      </c>
      <c r="F145">
        <v>528390</v>
      </c>
      <c r="G145" t="s">
        <v>843</v>
      </c>
      <c r="H145" t="s">
        <v>844</v>
      </c>
      <c r="I145" t="s">
        <v>1113</v>
      </c>
      <c r="J145" t="s">
        <v>1114</v>
      </c>
      <c r="K145" t="s">
        <v>62</v>
      </c>
      <c r="L145" t="s">
        <v>63</v>
      </c>
      <c r="M145" t="s">
        <v>1115</v>
      </c>
      <c r="N145" t="s">
        <v>1116</v>
      </c>
      <c r="P145" t="s">
        <v>1117</v>
      </c>
      <c r="Q145" t="s">
        <v>1118</v>
      </c>
      <c r="R145">
        <v>4</v>
      </c>
      <c r="S145">
        <v>0</v>
      </c>
      <c r="T145" t="b">
        <v>0</v>
      </c>
      <c r="V145" t="s">
        <v>1119</v>
      </c>
      <c r="W145" s="15">
        <v>-33.966464000000002</v>
      </c>
      <c r="X145" s="15">
        <v>22.09085</v>
      </c>
      <c r="Y145">
        <v>1</v>
      </c>
      <c r="AC145">
        <v>1</v>
      </c>
      <c r="AF145" t="b">
        <v>0</v>
      </c>
      <c r="AI145" t="s">
        <v>70</v>
      </c>
      <c r="AJ145" t="s">
        <v>70</v>
      </c>
      <c r="AK145" t="s">
        <v>71</v>
      </c>
      <c r="AL145" t="s">
        <v>72</v>
      </c>
      <c r="AM145">
        <v>346053</v>
      </c>
      <c r="AO145" s="16" t="s">
        <v>150</v>
      </c>
      <c r="AP145" s="17" t="str">
        <f t="shared" si="8"/>
        <v>Male (off nest)</v>
      </c>
      <c r="AX145" s="22" t="str">
        <f>IF(AND('[1]observations-276632'!W145&gt;'[1]Methods write-up'!$Q$16,'[1]observations-276632'!W145&lt;'[1]Methods write-up'!$R$16,'[1]observations-276632'!X145&gt;'[1]Methods write-up'!$S$16,'[1]observations-276632'!X145&lt;'[1]Methods write-up'!$T$16),"West and Central Africa","")</f>
        <v/>
      </c>
      <c r="AY145" s="22" t="str">
        <f>IF(AND('[1]observations-276632'!W145&gt;'[1]Methods write-up'!$Q$17,'[1]observations-276632'!W145&lt;'[1]Methods write-up'!$R$17,'[1]observations-276632'!X145&gt;'[1]Methods write-up'!$S$17,'[1]observations-276632'!X145&lt;'[1]Methods write-up'!$T$17),"Equatorial tropical forest","")</f>
        <v/>
      </c>
      <c r="AZ145" s="22" t="str">
        <f>IF(AND('[1]observations-276632'!W145&gt;'[1]Methods write-up'!$Q$18,'[1]observations-276632'!W145&lt;'[1]Methods write-up'!$R$18,'[1]observations-276632'!X145&gt;'[1]Methods write-up'!$S$18,'[1]observations-276632'!X145&lt;'[1]Methods write-up'!$T$18),"Somali peninsula","")</f>
        <v/>
      </c>
      <c r="BA145" s="22" t="str">
        <f>IF(AND('[1]observations-276632'!W145&gt;'[1]Methods write-up'!$Q$19,'[1]observations-276632'!W145&lt;'[1]Methods write-up'!$R$19,'[1]observations-276632'!X145&gt;'[1]Methods write-up'!$S$19,'[1]observations-276632'!X145&lt;'[1]Methods write-up'!$T$19),"East Africa","")</f>
        <v/>
      </c>
      <c r="BB145" s="22" t="str">
        <f>IF(AND('[1]observations-276632'!W145&gt;'[1]Methods write-up'!$Q$20,'[1]observations-276632'!W145&lt;'[1]Methods write-up'!$R$20,'[1]observations-276632'!X145&gt;'[1]Methods write-up'!$S$20,'[1]observations-276632'!X145&lt;'[1]Methods write-up'!$T$20),"Temperate seasonal","")</f>
        <v/>
      </c>
      <c r="BC145" s="22" t="str">
        <f>IF(AND('[1]observations-276632'!W145&gt;'[1]Methods write-up'!$Q$21,'[1]observations-276632'!W145&lt;'[1]Methods write-up'!$R$21,'[1]observations-276632'!X145&gt;'[1]Methods write-up'!$S$21,'[1]observations-276632'!X145&lt;'[1]Methods write-up'!$T$21),"Desert and high aridity","")</f>
        <v/>
      </c>
      <c r="BD145" s="23" t="str">
        <f t="shared" si="11"/>
        <v/>
      </c>
      <c r="BE145" s="24">
        <f t="shared" si="9"/>
        <v>12</v>
      </c>
      <c r="BF145" s="24">
        <f t="shared" si="10"/>
        <v>3</v>
      </c>
    </row>
    <row r="146" spans="1:58" ht="16.25" customHeight="1" x14ac:dyDescent="0.2">
      <c r="A146">
        <v>11178961</v>
      </c>
      <c r="B146" s="13">
        <v>42378</v>
      </c>
      <c r="C146" s="14">
        <v>42378</v>
      </c>
      <c r="E146" t="s">
        <v>113</v>
      </c>
      <c r="F146">
        <v>662724</v>
      </c>
      <c r="G146" t="s">
        <v>903</v>
      </c>
      <c r="H146" t="s">
        <v>904</v>
      </c>
      <c r="I146" t="s">
        <v>1120</v>
      </c>
      <c r="J146" t="s">
        <v>1121</v>
      </c>
      <c r="K146" t="s">
        <v>62</v>
      </c>
      <c r="L146" t="s">
        <v>63</v>
      </c>
      <c r="M146" t="s">
        <v>1122</v>
      </c>
      <c r="N146" t="s">
        <v>1123</v>
      </c>
      <c r="Q146" t="s">
        <v>1124</v>
      </c>
      <c r="R146">
        <v>4</v>
      </c>
      <c r="S146">
        <v>0</v>
      </c>
      <c r="T146" t="b">
        <v>0</v>
      </c>
      <c r="V146" t="s">
        <v>910</v>
      </c>
      <c r="W146" s="15">
        <v>-30.299479999999999</v>
      </c>
      <c r="X146" s="15">
        <v>30.742730000000002</v>
      </c>
      <c r="Y146">
        <v>1</v>
      </c>
      <c r="AC146">
        <v>1</v>
      </c>
      <c r="AF146" t="b">
        <v>0</v>
      </c>
      <c r="AI146" t="s">
        <v>70</v>
      </c>
      <c r="AJ146" t="s">
        <v>70</v>
      </c>
      <c r="AK146" t="s">
        <v>71</v>
      </c>
      <c r="AL146" t="s">
        <v>72</v>
      </c>
      <c r="AM146">
        <v>346053</v>
      </c>
      <c r="AO146" s="16" t="s">
        <v>73</v>
      </c>
      <c r="AP146" s="17" t="str">
        <f t="shared" si="8"/>
        <v>Off-nest female</v>
      </c>
      <c r="AX146" s="22" t="str">
        <f>IF(AND('[1]observations-276632'!W146&gt;'[1]Methods write-up'!$Q$16,'[1]observations-276632'!W146&lt;'[1]Methods write-up'!$R$16,'[1]observations-276632'!X146&gt;'[1]Methods write-up'!$S$16,'[1]observations-276632'!X146&lt;'[1]Methods write-up'!$T$16),"West and Central Africa","")</f>
        <v/>
      </c>
      <c r="AY146" s="22" t="str">
        <f>IF(AND('[1]observations-276632'!W146&gt;'[1]Methods write-up'!$Q$17,'[1]observations-276632'!W146&lt;'[1]Methods write-up'!$R$17,'[1]observations-276632'!X146&gt;'[1]Methods write-up'!$S$17,'[1]observations-276632'!X146&lt;'[1]Methods write-up'!$T$17),"Equatorial tropical forest","")</f>
        <v/>
      </c>
      <c r="AZ146" s="22" t="str">
        <f>IF(AND('[1]observations-276632'!W146&gt;'[1]Methods write-up'!$Q$18,'[1]observations-276632'!W146&lt;'[1]Methods write-up'!$R$18,'[1]observations-276632'!X146&gt;'[1]Methods write-up'!$S$18,'[1]observations-276632'!X146&lt;'[1]Methods write-up'!$T$18),"Somali peninsula","")</f>
        <v/>
      </c>
      <c r="BA146" s="22" t="str">
        <f>IF(AND('[1]observations-276632'!W146&gt;'[1]Methods write-up'!$Q$19,'[1]observations-276632'!W146&lt;'[1]Methods write-up'!$R$19,'[1]observations-276632'!X146&gt;'[1]Methods write-up'!$S$19,'[1]observations-276632'!X146&lt;'[1]Methods write-up'!$T$19),"East Africa","")</f>
        <v/>
      </c>
      <c r="BB146" s="22" t="str">
        <f>IF(AND('[1]observations-276632'!W146&gt;'[1]Methods write-up'!$Q$20,'[1]observations-276632'!W146&lt;'[1]Methods write-up'!$R$20,'[1]observations-276632'!X146&gt;'[1]Methods write-up'!$S$20,'[1]observations-276632'!X146&lt;'[1]Methods write-up'!$T$20),"Temperate seasonal","")</f>
        <v>Temperate seasonal</v>
      </c>
      <c r="BC146" s="22" t="str">
        <f>IF(AND('[1]observations-276632'!W146&gt;'[1]Methods write-up'!$Q$21,'[1]observations-276632'!W146&lt;'[1]Methods write-up'!$R$21,'[1]observations-276632'!X146&gt;'[1]Methods write-up'!$S$21,'[1]observations-276632'!X146&lt;'[1]Methods write-up'!$T$21),"Desert and high aridity","")</f>
        <v/>
      </c>
      <c r="BD146" s="23" t="str">
        <f t="shared" si="11"/>
        <v>Temperate seasonal</v>
      </c>
      <c r="BE146" s="24">
        <f t="shared" si="9"/>
        <v>9</v>
      </c>
      <c r="BF146" s="24">
        <f t="shared" si="10"/>
        <v>1</v>
      </c>
    </row>
    <row r="147" spans="1:58" ht="16.25" customHeight="1" x14ac:dyDescent="0.2">
      <c r="A147">
        <v>11191543</v>
      </c>
      <c r="B147" s="13">
        <v>42642</v>
      </c>
      <c r="C147" s="14">
        <v>42642</v>
      </c>
      <c r="E147" t="s">
        <v>113</v>
      </c>
      <c r="F147">
        <v>390621</v>
      </c>
      <c r="G147" t="s">
        <v>863</v>
      </c>
      <c r="H147" t="s">
        <v>864</v>
      </c>
      <c r="I147" t="s">
        <v>1125</v>
      </c>
      <c r="J147" t="s">
        <v>1126</v>
      </c>
      <c r="K147" t="s">
        <v>62</v>
      </c>
      <c r="L147" t="s">
        <v>63</v>
      </c>
      <c r="M147" t="s">
        <v>1127</v>
      </c>
      <c r="N147" t="s">
        <v>1128</v>
      </c>
      <c r="P147" t="s">
        <v>869</v>
      </c>
      <c r="Q147" t="s">
        <v>1129</v>
      </c>
      <c r="R147">
        <v>2</v>
      </c>
      <c r="S147">
        <v>0</v>
      </c>
      <c r="T147" t="b">
        <v>0</v>
      </c>
      <c r="V147" t="s">
        <v>871</v>
      </c>
      <c r="W147" s="15">
        <v>-33.941865</v>
      </c>
      <c r="X147" s="15">
        <v>22.46170167</v>
      </c>
      <c r="Y147">
        <v>1</v>
      </c>
      <c r="AC147">
        <v>1</v>
      </c>
      <c r="AF147" t="b">
        <v>0</v>
      </c>
      <c r="AI147" t="s">
        <v>70</v>
      </c>
      <c r="AJ147" t="s">
        <v>70</v>
      </c>
      <c r="AK147" t="s">
        <v>71</v>
      </c>
      <c r="AL147" t="s">
        <v>72</v>
      </c>
      <c r="AM147">
        <v>346053</v>
      </c>
      <c r="AO147" s="16" t="s">
        <v>73</v>
      </c>
      <c r="AP147" s="17" t="str">
        <f t="shared" si="8"/>
        <v>Off-nest female</v>
      </c>
      <c r="AX147" s="22" t="str">
        <f>IF(AND('[1]observations-276632'!W147&gt;'[1]Methods write-up'!$Q$16,'[1]observations-276632'!W147&lt;'[1]Methods write-up'!$R$16,'[1]observations-276632'!X147&gt;'[1]Methods write-up'!$S$16,'[1]observations-276632'!X147&lt;'[1]Methods write-up'!$T$16),"West and Central Africa","")</f>
        <v/>
      </c>
      <c r="AY147" s="22" t="str">
        <f>IF(AND('[1]observations-276632'!W147&gt;'[1]Methods write-up'!$Q$17,'[1]observations-276632'!W147&lt;'[1]Methods write-up'!$R$17,'[1]observations-276632'!X147&gt;'[1]Methods write-up'!$S$17,'[1]observations-276632'!X147&lt;'[1]Methods write-up'!$T$17),"Equatorial tropical forest","")</f>
        <v/>
      </c>
      <c r="AZ147" s="22" t="str">
        <f>IF(AND('[1]observations-276632'!W147&gt;'[1]Methods write-up'!$Q$18,'[1]observations-276632'!W147&lt;'[1]Methods write-up'!$R$18,'[1]observations-276632'!X147&gt;'[1]Methods write-up'!$S$18,'[1]observations-276632'!X147&lt;'[1]Methods write-up'!$T$18),"Somali peninsula","")</f>
        <v/>
      </c>
      <c r="BA147" s="22" t="str">
        <f>IF(AND('[1]observations-276632'!W147&gt;'[1]Methods write-up'!$Q$19,'[1]observations-276632'!W147&lt;'[1]Methods write-up'!$R$19,'[1]observations-276632'!X147&gt;'[1]Methods write-up'!$S$19,'[1]observations-276632'!X147&lt;'[1]Methods write-up'!$T$19),"East Africa","")</f>
        <v/>
      </c>
      <c r="BB147" s="22" t="str">
        <f>IF(AND('[1]observations-276632'!W147&gt;'[1]Methods write-up'!$Q$20,'[1]observations-276632'!W147&lt;'[1]Methods write-up'!$R$20,'[1]observations-276632'!X147&gt;'[1]Methods write-up'!$S$20,'[1]observations-276632'!X147&lt;'[1]Methods write-up'!$T$20),"Temperate seasonal","")</f>
        <v/>
      </c>
      <c r="BC147" s="22" t="str">
        <f>IF(AND('[1]observations-276632'!W147&gt;'[1]Methods write-up'!$Q$21,'[1]observations-276632'!W147&lt;'[1]Methods write-up'!$R$21,'[1]observations-276632'!X147&gt;'[1]Methods write-up'!$S$21,'[1]observations-276632'!X147&lt;'[1]Methods write-up'!$T$21),"Desert and high aridity","")</f>
        <v/>
      </c>
      <c r="BD147" s="23" t="str">
        <f t="shared" si="11"/>
        <v/>
      </c>
      <c r="BE147" s="24">
        <f t="shared" si="9"/>
        <v>29</v>
      </c>
      <c r="BF147" s="24">
        <f t="shared" si="10"/>
        <v>9</v>
      </c>
    </row>
    <row r="148" spans="1:58" ht="16.25" customHeight="1" x14ac:dyDescent="0.2">
      <c r="A148">
        <v>11192657</v>
      </c>
      <c r="B148" s="13">
        <v>42357</v>
      </c>
      <c r="C148" s="14">
        <v>42357</v>
      </c>
      <c r="E148" t="s">
        <v>113</v>
      </c>
      <c r="F148">
        <v>389988</v>
      </c>
      <c r="G148" t="s">
        <v>747</v>
      </c>
      <c r="H148" t="s">
        <v>748</v>
      </c>
      <c r="I148" t="s">
        <v>1130</v>
      </c>
      <c r="J148" t="s">
        <v>1131</v>
      </c>
      <c r="K148" t="s">
        <v>157</v>
      </c>
      <c r="L148" t="s">
        <v>63</v>
      </c>
      <c r="M148" t="s">
        <v>1132</v>
      </c>
      <c r="N148" t="s">
        <v>1133</v>
      </c>
      <c r="Q148" t="s">
        <v>754</v>
      </c>
      <c r="R148">
        <v>3</v>
      </c>
      <c r="S148">
        <v>0</v>
      </c>
      <c r="T148" t="b">
        <v>0</v>
      </c>
      <c r="V148" t="s">
        <v>755</v>
      </c>
      <c r="W148" s="15">
        <v>-24.479581</v>
      </c>
      <c r="X148" s="15">
        <v>16.3358639</v>
      </c>
      <c r="Y148">
        <v>1</v>
      </c>
      <c r="AC148">
        <v>1</v>
      </c>
      <c r="AF148" t="b">
        <v>0</v>
      </c>
      <c r="AI148" t="s">
        <v>756</v>
      </c>
      <c r="AJ148" t="s">
        <v>756</v>
      </c>
      <c r="AL148" t="s">
        <v>72</v>
      </c>
      <c r="AM148">
        <v>652800</v>
      </c>
      <c r="AO148" s="16" t="s">
        <v>73</v>
      </c>
      <c r="AP148" s="17" t="str">
        <f t="shared" si="8"/>
        <v>Off-nest female</v>
      </c>
      <c r="AX148" s="22" t="str">
        <f>IF(AND('[1]observations-276632'!W148&gt;'[1]Methods write-up'!$Q$16,'[1]observations-276632'!W148&lt;'[1]Methods write-up'!$R$16,'[1]observations-276632'!X148&gt;'[1]Methods write-up'!$S$16,'[1]observations-276632'!X148&lt;'[1]Methods write-up'!$T$16),"West and Central Africa","")</f>
        <v/>
      </c>
      <c r="AY148" s="22" t="str">
        <f>IF(AND('[1]observations-276632'!W148&gt;'[1]Methods write-up'!$Q$17,'[1]observations-276632'!W148&lt;'[1]Methods write-up'!$R$17,'[1]observations-276632'!X148&gt;'[1]Methods write-up'!$S$17,'[1]observations-276632'!X148&lt;'[1]Methods write-up'!$T$17),"Equatorial tropical forest","")</f>
        <v/>
      </c>
      <c r="AZ148" s="22" t="str">
        <f>IF(AND('[1]observations-276632'!W148&gt;'[1]Methods write-up'!$Q$18,'[1]observations-276632'!W148&lt;'[1]Methods write-up'!$R$18,'[1]observations-276632'!X148&gt;'[1]Methods write-up'!$S$18,'[1]observations-276632'!X148&lt;'[1]Methods write-up'!$T$18),"Somali peninsula","")</f>
        <v/>
      </c>
      <c r="BA148" s="22" t="str">
        <f>IF(AND('[1]observations-276632'!W148&gt;'[1]Methods write-up'!$Q$19,'[1]observations-276632'!W148&lt;'[1]Methods write-up'!$R$19,'[1]observations-276632'!X148&gt;'[1]Methods write-up'!$S$19,'[1]observations-276632'!X148&lt;'[1]Methods write-up'!$T$19),"East Africa","")</f>
        <v/>
      </c>
      <c r="BB148" s="22" t="str">
        <f>IF(AND('[1]observations-276632'!W148&gt;'[1]Methods write-up'!$Q$20,'[1]observations-276632'!W148&lt;'[1]Methods write-up'!$R$20,'[1]observations-276632'!X148&gt;'[1]Methods write-up'!$S$20,'[1]observations-276632'!X148&lt;'[1]Methods write-up'!$T$20),"Temperate seasonal","")</f>
        <v/>
      </c>
      <c r="BC148" s="22" t="str">
        <f>IF(AND('[1]observations-276632'!W148&gt;'[1]Methods write-up'!$Q$21,'[1]observations-276632'!W148&lt;'[1]Methods write-up'!$R$21,'[1]observations-276632'!X148&gt;'[1]Methods write-up'!$S$21,'[1]observations-276632'!X148&lt;'[1]Methods write-up'!$T$21),"Desert and high aridity","")</f>
        <v>Desert and high aridity</v>
      </c>
      <c r="BD148" s="23" t="str">
        <f t="shared" si="11"/>
        <v>Desert and high aridity</v>
      </c>
      <c r="BE148" s="24">
        <f t="shared" si="9"/>
        <v>19</v>
      </c>
      <c r="BF148" s="24">
        <f t="shared" si="10"/>
        <v>12</v>
      </c>
    </row>
    <row r="149" spans="1:58" ht="16.25" customHeight="1" x14ac:dyDescent="0.2">
      <c r="A149">
        <v>11198369</v>
      </c>
      <c r="B149" s="13">
        <v>42358</v>
      </c>
      <c r="C149" s="14">
        <v>42358</v>
      </c>
      <c r="E149" t="s">
        <v>811</v>
      </c>
      <c r="F149">
        <v>389988</v>
      </c>
      <c r="G149" t="s">
        <v>747</v>
      </c>
      <c r="H149" t="s">
        <v>748</v>
      </c>
      <c r="I149" t="s">
        <v>1134</v>
      </c>
      <c r="J149" t="s">
        <v>1135</v>
      </c>
      <c r="K149" t="s">
        <v>157</v>
      </c>
      <c r="L149" t="s">
        <v>63</v>
      </c>
      <c r="M149" t="s">
        <v>1136</v>
      </c>
      <c r="N149" t="s">
        <v>1137</v>
      </c>
      <c r="Q149" t="s">
        <v>754</v>
      </c>
      <c r="R149">
        <v>1</v>
      </c>
      <c r="S149">
        <v>0</v>
      </c>
      <c r="T149" t="b">
        <v>0</v>
      </c>
      <c r="V149" t="s">
        <v>1138</v>
      </c>
      <c r="W149" s="15">
        <v>-24.262540000000001</v>
      </c>
      <c r="X149" s="15">
        <v>16.232363329999998</v>
      </c>
      <c r="Y149">
        <v>1</v>
      </c>
      <c r="AC149">
        <v>1</v>
      </c>
      <c r="AF149" t="b">
        <v>0</v>
      </c>
      <c r="AI149" t="s">
        <v>756</v>
      </c>
      <c r="AJ149" t="s">
        <v>756</v>
      </c>
      <c r="AL149" t="s">
        <v>72</v>
      </c>
      <c r="AM149">
        <v>652800</v>
      </c>
      <c r="AO149" s="16" t="s">
        <v>73</v>
      </c>
      <c r="AP149" s="17" t="str">
        <f t="shared" si="8"/>
        <v>Off-nest female</v>
      </c>
      <c r="AX149" s="22" t="str">
        <f>IF(AND('[1]observations-276632'!W149&gt;'[1]Methods write-up'!$Q$16,'[1]observations-276632'!W149&lt;'[1]Methods write-up'!$R$16,'[1]observations-276632'!X149&gt;'[1]Methods write-up'!$S$16,'[1]observations-276632'!X149&lt;'[1]Methods write-up'!$T$16),"West and Central Africa","")</f>
        <v/>
      </c>
      <c r="AY149" s="22" t="str">
        <f>IF(AND('[1]observations-276632'!W149&gt;'[1]Methods write-up'!$Q$17,'[1]observations-276632'!W149&lt;'[1]Methods write-up'!$R$17,'[1]observations-276632'!X149&gt;'[1]Methods write-up'!$S$17,'[1]observations-276632'!X149&lt;'[1]Methods write-up'!$T$17),"Equatorial tropical forest","")</f>
        <v/>
      </c>
      <c r="AZ149" s="22" t="str">
        <f>IF(AND('[1]observations-276632'!W149&gt;'[1]Methods write-up'!$Q$18,'[1]observations-276632'!W149&lt;'[1]Methods write-up'!$R$18,'[1]observations-276632'!X149&gt;'[1]Methods write-up'!$S$18,'[1]observations-276632'!X149&lt;'[1]Methods write-up'!$T$18),"Somali peninsula","")</f>
        <v/>
      </c>
      <c r="BA149" s="22" t="str">
        <f>IF(AND('[1]observations-276632'!W149&gt;'[1]Methods write-up'!$Q$19,'[1]observations-276632'!W149&lt;'[1]Methods write-up'!$R$19,'[1]observations-276632'!X149&gt;'[1]Methods write-up'!$S$19,'[1]observations-276632'!X149&lt;'[1]Methods write-up'!$T$19),"East Africa","")</f>
        <v/>
      </c>
      <c r="BB149" s="22" t="str">
        <f>IF(AND('[1]observations-276632'!W149&gt;'[1]Methods write-up'!$Q$20,'[1]observations-276632'!W149&lt;'[1]Methods write-up'!$R$20,'[1]observations-276632'!X149&gt;'[1]Methods write-up'!$S$20,'[1]observations-276632'!X149&lt;'[1]Methods write-up'!$T$20),"Temperate seasonal","")</f>
        <v/>
      </c>
      <c r="BC149" s="22" t="str">
        <f>IF(AND('[1]observations-276632'!W149&gt;'[1]Methods write-up'!$Q$21,'[1]observations-276632'!W149&lt;'[1]Methods write-up'!$R$21,'[1]observations-276632'!X149&gt;'[1]Methods write-up'!$S$21,'[1]observations-276632'!X149&lt;'[1]Methods write-up'!$T$21),"Desert and high aridity","")</f>
        <v>Desert and high aridity</v>
      </c>
      <c r="BD149" s="23" t="str">
        <f t="shared" si="11"/>
        <v>Desert and high aridity</v>
      </c>
      <c r="BE149" s="24">
        <f t="shared" si="9"/>
        <v>20</v>
      </c>
      <c r="BF149" s="24">
        <f t="shared" si="10"/>
        <v>12</v>
      </c>
    </row>
    <row r="150" spans="1:58" ht="16.25" customHeight="1" x14ac:dyDescent="0.2">
      <c r="A150">
        <v>11199846</v>
      </c>
      <c r="B150" t="s">
        <v>1139</v>
      </c>
      <c r="C150" s="14">
        <v>43207</v>
      </c>
      <c r="D150" t="s">
        <v>1140</v>
      </c>
      <c r="E150" t="s">
        <v>113</v>
      </c>
      <c r="F150">
        <v>662724</v>
      </c>
      <c r="G150" t="s">
        <v>903</v>
      </c>
      <c r="H150" t="s">
        <v>904</v>
      </c>
      <c r="I150" t="s">
        <v>1141</v>
      </c>
      <c r="J150" t="s">
        <v>1142</v>
      </c>
      <c r="K150" t="s">
        <v>62</v>
      </c>
      <c r="L150" t="s">
        <v>63</v>
      </c>
      <c r="M150" t="s">
        <v>1143</v>
      </c>
      <c r="N150" t="s">
        <v>1144</v>
      </c>
      <c r="Q150" s="26" t="s">
        <v>1145</v>
      </c>
      <c r="R150">
        <v>5</v>
      </c>
      <c r="S150">
        <v>0</v>
      </c>
      <c r="T150" t="b">
        <v>0</v>
      </c>
      <c r="V150" t="s">
        <v>1146</v>
      </c>
      <c r="W150" s="15">
        <v>-30.301184169999999</v>
      </c>
      <c r="X150" s="15">
        <v>30.742553090000001</v>
      </c>
      <c r="Y150">
        <v>1</v>
      </c>
      <c r="AC150">
        <v>1</v>
      </c>
      <c r="AF150" t="b">
        <v>0</v>
      </c>
      <c r="AI150" t="s">
        <v>70</v>
      </c>
      <c r="AJ150" t="s">
        <v>70</v>
      </c>
      <c r="AK150" t="s">
        <v>71</v>
      </c>
      <c r="AL150" t="s">
        <v>72</v>
      </c>
      <c r="AM150">
        <v>346053</v>
      </c>
      <c r="AO150" s="16" t="s">
        <v>73</v>
      </c>
      <c r="AP150" s="17" t="str">
        <f t="shared" si="8"/>
        <v>Off-nest female</v>
      </c>
      <c r="AX150" s="22" t="str">
        <f>IF(AND('[1]observations-276632'!W150&gt;'[1]Methods write-up'!$Q$16,'[1]observations-276632'!W150&lt;'[1]Methods write-up'!$R$16,'[1]observations-276632'!X150&gt;'[1]Methods write-up'!$S$16,'[1]observations-276632'!X150&lt;'[1]Methods write-up'!$T$16),"West and Central Africa","")</f>
        <v/>
      </c>
      <c r="AY150" s="22" t="str">
        <f>IF(AND('[1]observations-276632'!W150&gt;'[1]Methods write-up'!$Q$17,'[1]observations-276632'!W150&lt;'[1]Methods write-up'!$R$17,'[1]observations-276632'!X150&gt;'[1]Methods write-up'!$S$17,'[1]observations-276632'!X150&lt;'[1]Methods write-up'!$T$17),"Equatorial tropical forest","")</f>
        <v/>
      </c>
      <c r="AZ150" s="22" t="str">
        <f>IF(AND('[1]observations-276632'!W150&gt;'[1]Methods write-up'!$Q$18,'[1]observations-276632'!W150&lt;'[1]Methods write-up'!$R$18,'[1]observations-276632'!X150&gt;'[1]Methods write-up'!$S$18,'[1]observations-276632'!X150&lt;'[1]Methods write-up'!$T$18),"Somali peninsula","")</f>
        <v/>
      </c>
      <c r="BA150" s="22" t="str">
        <f>IF(AND('[1]observations-276632'!W150&gt;'[1]Methods write-up'!$Q$19,'[1]observations-276632'!W150&lt;'[1]Methods write-up'!$R$19,'[1]observations-276632'!X150&gt;'[1]Methods write-up'!$S$19,'[1]observations-276632'!X150&lt;'[1]Methods write-up'!$T$19),"East Africa","")</f>
        <v/>
      </c>
      <c r="BB150" s="22" t="str">
        <f>IF(AND('[1]observations-276632'!W150&gt;'[1]Methods write-up'!$Q$20,'[1]observations-276632'!W150&lt;'[1]Methods write-up'!$R$20,'[1]observations-276632'!X150&gt;'[1]Methods write-up'!$S$20,'[1]observations-276632'!X150&lt;'[1]Methods write-up'!$T$20),"Temperate seasonal","")</f>
        <v>Temperate seasonal</v>
      </c>
      <c r="BC150" s="22" t="str">
        <f>IF(AND('[1]observations-276632'!W150&gt;'[1]Methods write-up'!$Q$21,'[1]observations-276632'!W150&lt;'[1]Methods write-up'!$R$21,'[1]observations-276632'!X150&gt;'[1]Methods write-up'!$S$21,'[1]observations-276632'!X150&lt;'[1]Methods write-up'!$T$21),"Desert and high aridity","")</f>
        <v/>
      </c>
      <c r="BD150" s="23" t="str">
        <f t="shared" si="11"/>
        <v>Temperate seasonal</v>
      </c>
      <c r="BE150" s="24">
        <f t="shared" si="9"/>
        <v>17</v>
      </c>
      <c r="BF150" s="24">
        <f t="shared" si="10"/>
        <v>4</v>
      </c>
    </row>
    <row r="151" spans="1:58" ht="16.25" customHeight="1" x14ac:dyDescent="0.2">
      <c r="A151">
        <v>11202922</v>
      </c>
      <c r="B151" s="13">
        <v>42432</v>
      </c>
      <c r="C151" s="14">
        <v>42432</v>
      </c>
      <c r="E151" t="s">
        <v>113</v>
      </c>
      <c r="F151">
        <v>389997</v>
      </c>
      <c r="G151" t="s">
        <v>942</v>
      </c>
      <c r="H151" t="s">
        <v>943</v>
      </c>
      <c r="I151" t="s">
        <v>1147</v>
      </c>
      <c r="J151" t="s">
        <v>1148</v>
      </c>
      <c r="K151" t="s">
        <v>62</v>
      </c>
      <c r="L151" t="s">
        <v>127</v>
      </c>
      <c r="M151" t="s">
        <v>1149</v>
      </c>
      <c r="N151" t="s">
        <v>1150</v>
      </c>
      <c r="Q151" t="s">
        <v>1151</v>
      </c>
      <c r="R151">
        <v>2</v>
      </c>
      <c r="S151">
        <v>0</v>
      </c>
      <c r="T151" t="b">
        <v>0</v>
      </c>
      <c r="V151" t="s">
        <v>1152</v>
      </c>
      <c r="W151" s="15">
        <v>-25.9481</v>
      </c>
      <c r="X151" s="15">
        <v>31.133800000000001</v>
      </c>
      <c r="Y151">
        <v>1</v>
      </c>
      <c r="AC151">
        <v>1</v>
      </c>
      <c r="AF151" t="b">
        <v>0</v>
      </c>
      <c r="AI151" t="s">
        <v>288</v>
      </c>
      <c r="AJ151" t="s">
        <v>70</v>
      </c>
      <c r="AK151" t="s">
        <v>71</v>
      </c>
      <c r="AL151" t="s">
        <v>72</v>
      </c>
      <c r="AM151">
        <v>346053</v>
      </c>
      <c r="AO151" s="16" t="s">
        <v>140</v>
      </c>
      <c r="AP151" s="17" t="str">
        <f t="shared" si="8"/>
        <v>Post-emergence nest</v>
      </c>
      <c r="AQ151" s="18">
        <v>9</v>
      </c>
      <c r="AT151" s="19" t="s">
        <v>141</v>
      </c>
      <c r="AU151" s="20" t="s">
        <v>104</v>
      </c>
      <c r="AX151" s="22" t="str">
        <f>IF(AND('[1]observations-276632'!W151&gt;'[1]Methods write-up'!$Q$16,'[1]observations-276632'!W151&lt;'[1]Methods write-up'!$R$16,'[1]observations-276632'!X151&gt;'[1]Methods write-up'!$S$16,'[1]observations-276632'!X151&lt;'[1]Methods write-up'!$T$16),"West and Central Africa","")</f>
        <v/>
      </c>
      <c r="AY151" s="22" t="str">
        <f>IF(AND('[1]observations-276632'!W151&gt;'[1]Methods write-up'!$Q$17,'[1]observations-276632'!W151&lt;'[1]Methods write-up'!$R$17,'[1]observations-276632'!X151&gt;'[1]Methods write-up'!$S$17,'[1]observations-276632'!X151&lt;'[1]Methods write-up'!$T$17),"Equatorial tropical forest","")</f>
        <v/>
      </c>
      <c r="AZ151" s="22" t="str">
        <f>IF(AND('[1]observations-276632'!W151&gt;'[1]Methods write-up'!$Q$18,'[1]observations-276632'!W151&lt;'[1]Methods write-up'!$R$18,'[1]observations-276632'!X151&gt;'[1]Methods write-up'!$S$18,'[1]observations-276632'!X151&lt;'[1]Methods write-up'!$T$18),"Somali peninsula","")</f>
        <v/>
      </c>
      <c r="BA151" s="22" t="str">
        <f>IF(AND('[1]observations-276632'!W151&gt;'[1]Methods write-up'!$Q$19,'[1]observations-276632'!W151&lt;'[1]Methods write-up'!$R$19,'[1]observations-276632'!X151&gt;'[1]Methods write-up'!$S$19,'[1]observations-276632'!X151&lt;'[1]Methods write-up'!$T$19),"East Africa","")</f>
        <v/>
      </c>
      <c r="BB151" s="22" t="str">
        <f>IF(AND('[1]observations-276632'!W151&gt;'[1]Methods write-up'!$Q$20,'[1]observations-276632'!W151&lt;'[1]Methods write-up'!$R$20,'[1]observations-276632'!X151&gt;'[1]Methods write-up'!$S$20,'[1]observations-276632'!X151&lt;'[1]Methods write-up'!$T$20),"Temperate seasonal","")</f>
        <v>Temperate seasonal</v>
      </c>
      <c r="BC151" s="22" t="str">
        <f>IF(AND('[1]observations-276632'!W151&gt;'[1]Methods write-up'!$Q$21,'[1]observations-276632'!W151&lt;'[1]Methods write-up'!$R$21,'[1]observations-276632'!X151&gt;'[1]Methods write-up'!$S$21,'[1]observations-276632'!X151&lt;'[1]Methods write-up'!$T$21),"Desert and high aridity","")</f>
        <v/>
      </c>
      <c r="BD151" s="23" t="str">
        <f t="shared" si="11"/>
        <v>Temperate seasonal</v>
      </c>
      <c r="BE151" s="24">
        <f t="shared" si="9"/>
        <v>3</v>
      </c>
      <c r="BF151" s="24">
        <f t="shared" si="10"/>
        <v>3</v>
      </c>
    </row>
    <row r="152" spans="1:58" ht="16.25" customHeight="1" x14ac:dyDescent="0.2">
      <c r="A152">
        <v>11205776</v>
      </c>
      <c r="B152" s="13">
        <v>42365</v>
      </c>
      <c r="C152" s="14">
        <v>42365</v>
      </c>
      <c r="E152" t="s">
        <v>811</v>
      </c>
      <c r="F152">
        <v>191332</v>
      </c>
      <c r="G152" t="s">
        <v>965</v>
      </c>
      <c r="H152" t="s">
        <v>966</v>
      </c>
      <c r="I152" t="s">
        <v>1153</v>
      </c>
      <c r="J152" t="s">
        <v>1154</v>
      </c>
      <c r="K152" t="s">
        <v>62</v>
      </c>
      <c r="L152" t="s">
        <v>63</v>
      </c>
      <c r="M152" t="s">
        <v>1155</v>
      </c>
      <c r="N152" t="s">
        <v>1156</v>
      </c>
      <c r="P152" t="s">
        <v>1157</v>
      </c>
      <c r="Q152" t="s">
        <v>1158</v>
      </c>
      <c r="R152">
        <v>1</v>
      </c>
      <c r="S152">
        <v>0</v>
      </c>
      <c r="T152" t="b">
        <v>0</v>
      </c>
      <c r="V152" t="s">
        <v>1159</v>
      </c>
      <c r="W152" s="15">
        <v>-26.180878</v>
      </c>
      <c r="X152" s="15">
        <v>31.997530000000001</v>
      </c>
      <c r="Y152">
        <v>1</v>
      </c>
      <c r="AC152">
        <v>1</v>
      </c>
      <c r="AF152" t="b">
        <v>0</v>
      </c>
      <c r="AI152" t="s">
        <v>161</v>
      </c>
      <c r="AJ152" t="s">
        <v>161</v>
      </c>
      <c r="AL152" t="s">
        <v>72</v>
      </c>
      <c r="AM152">
        <v>366867</v>
      </c>
      <c r="AO152" s="16" t="s">
        <v>73</v>
      </c>
      <c r="AP152" s="17" t="str">
        <f t="shared" si="8"/>
        <v>Off-nest female</v>
      </c>
      <c r="AX152" s="22" t="str">
        <f>IF(AND('[1]observations-276632'!W152&gt;'[1]Methods write-up'!$Q$16,'[1]observations-276632'!W152&lt;'[1]Methods write-up'!$R$16,'[1]observations-276632'!X152&gt;'[1]Methods write-up'!$S$16,'[1]observations-276632'!X152&lt;'[1]Methods write-up'!$T$16),"West and Central Africa","")</f>
        <v/>
      </c>
      <c r="AY152" s="22" t="str">
        <f>IF(AND('[1]observations-276632'!W152&gt;'[1]Methods write-up'!$Q$17,'[1]observations-276632'!W152&lt;'[1]Methods write-up'!$R$17,'[1]observations-276632'!X152&gt;'[1]Methods write-up'!$S$17,'[1]observations-276632'!X152&lt;'[1]Methods write-up'!$T$17),"Equatorial tropical forest","")</f>
        <v/>
      </c>
      <c r="AZ152" s="22" t="str">
        <f>IF(AND('[1]observations-276632'!W152&gt;'[1]Methods write-up'!$Q$18,'[1]observations-276632'!W152&lt;'[1]Methods write-up'!$R$18,'[1]observations-276632'!X152&gt;'[1]Methods write-up'!$S$18,'[1]observations-276632'!X152&lt;'[1]Methods write-up'!$T$18),"Somali peninsula","")</f>
        <v/>
      </c>
      <c r="BA152" s="22" t="str">
        <f>IF(AND('[1]observations-276632'!W152&gt;'[1]Methods write-up'!$Q$19,'[1]observations-276632'!W152&lt;'[1]Methods write-up'!$R$19,'[1]observations-276632'!X152&gt;'[1]Methods write-up'!$S$19,'[1]observations-276632'!X152&lt;'[1]Methods write-up'!$T$19),"East Africa","")</f>
        <v/>
      </c>
      <c r="BB152" s="22" t="str">
        <f>IF(AND('[1]observations-276632'!W152&gt;'[1]Methods write-up'!$Q$20,'[1]observations-276632'!W152&lt;'[1]Methods write-up'!$R$20,'[1]observations-276632'!X152&gt;'[1]Methods write-up'!$S$20,'[1]observations-276632'!X152&lt;'[1]Methods write-up'!$T$20),"Temperate seasonal","")</f>
        <v>Temperate seasonal</v>
      </c>
      <c r="BC152" s="22" t="str">
        <f>IF(AND('[1]observations-276632'!W152&gt;'[1]Methods write-up'!$Q$21,'[1]observations-276632'!W152&lt;'[1]Methods write-up'!$R$21,'[1]observations-276632'!X152&gt;'[1]Methods write-up'!$S$21,'[1]observations-276632'!X152&lt;'[1]Methods write-up'!$T$21),"Desert and high aridity","")</f>
        <v/>
      </c>
      <c r="BD152" s="23" t="str">
        <f t="shared" si="11"/>
        <v>Temperate seasonal</v>
      </c>
      <c r="BE152" s="24">
        <f t="shared" si="9"/>
        <v>27</v>
      </c>
      <c r="BF152" s="24">
        <f t="shared" si="10"/>
        <v>12</v>
      </c>
    </row>
    <row r="153" spans="1:58" ht="16.25" customHeight="1" x14ac:dyDescent="0.2">
      <c r="A153">
        <v>11206631</v>
      </c>
      <c r="B153" s="13">
        <v>42485</v>
      </c>
      <c r="C153" s="14">
        <v>42485</v>
      </c>
      <c r="E153" t="s">
        <v>811</v>
      </c>
      <c r="F153">
        <v>662724</v>
      </c>
      <c r="G153" t="s">
        <v>903</v>
      </c>
      <c r="H153" t="s">
        <v>904</v>
      </c>
      <c r="I153" t="s">
        <v>1160</v>
      </c>
      <c r="J153" t="s">
        <v>1161</v>
      </c>
      <c r="K153" t="s">
        <v>62</v>
      </c>
      <c r="L153" t="s">
        <v>63</v>
      </c>
      <c r="M153" t="s">
        <v>1162</v>
      </c>
      <c r="N153" t="s">
        <v>1163</v>
      </c>
      <c r="Q153" t="s">
        <v>1164</v>
      </c>
      <c r="R153">
        <v>1</v>
      </c>
      <c r="S153">
        <v>0</v>
      </c>
      <c r="T153" t="b">
        <v>0</v>
      </c>
      <c r="V153" t="s">
        <v>910</v>
      </c>
      <c r="W153" s="15">
        <v>-30.299479999999999</v>
      </c>
      <c r="X153" s="15">
        <v>30.742730000000002</v>
      </c>
      <c r="Y153">
        <v>1</v>
      </c>
      <c r="AC153">
        <v>1</v>
      </c>
      <c r="AF153" t="b">
        <v>0</v>
      </c>
      <c r="AI153" t="s">
        <v>70</v>
      </c>
      <c r="AJ153" t="s">
        <v>70</v>
      </c>
      <c r="AK153" t="s">
        <v>71</v>
      </c>
      <c r="AL153" t="s">
        <v>72</v>
      </c>
      <c r="AM153">
        <v>346053</v>
      </c>
      <c r="AO153" s="16" t="s">
        <v>73</v>
      </c>
      <c r="AP153" s="17" t="str">
        <f t="shared" si="8"/>
        <v>Off-nest female</v>
      </c>
      <c r="AX153" s="22" t="str">
        <f>IF(AND('[1]observations-276632'!W153&gt;'[1]Methods write-up'!$Q$16,'[1]observations-276632'!W153&lt;'[1]Methods write-up'!$R$16,'[1]observations-276632'!X153&gt;'[1]Methods write-up'!$S$16,'[1]observations-276632'!X153&lt;'[1]Methods write-up'!$T$16),"West and Central Africa","")</f>
        <v/>
      </c>
      <c r="AY153" s="22" t="str">
        <f>IF(AND('[1]observations-276632'!W153&gt;'[1]Methods write-up'!$Q$17,'[1]observations-276632'!W153&lt;'[1]Methods write-up'!$R$17,'[1]observations-276632'!X153&gt;'[1]Methods write-up'!$S$17,'[1]observations-276632'!X153&lt;'[1]Methods write-up'!$T$17),"Equatorial tropical forest","")</f>
        <v/>
      </c>
      <c r="AZ153" s="22" t="str">
        <f>IF(AND('[1]observations-276632'!W153&gt;'[1]Methods write-up'!$Q$18,'[1]observations-276632'!W153&lt;'[1]Methods write-up'!$R$18,'[1]observations-276632'!X153&gt;'[1]Methods write-up'!$S$18,'[1]observations-276632'!X153&lt;'[1]Methods write-up'!$T$18),"Somali peninsula","")</f>
        <v/>
      </c>
      <c r="BA153" s="22" t="str">
        <f>IF(AND('[1]observations-276632'!W153&gt;'[1]Methods write-up'!$Q$19,'[1]observations-276632'!W153&lt;'[1]Methods write-up'!$R$19,'[1]observations-276632'!X153&gt;'[1]Methods write-up'!$S$19,'[1]observations-276632'!X153&lt;'[1]Methods write-up'!$T$19),"East Africa","")</f>
        <v/>
      </c>
      <c r="BB153" s="22" t="str">
        <f>IF(AND('[1]observations-276632'!W153&gt;'[1]Methods write-up'!$Q$20,'[1]observations-276632'!W153&lt;'[1]Methods write-up'!$R$20,'[1]observations-276632'!X153&gt;'[1]Methods write-up'!$S$20,'[1]observations-276632'!X153&lt;'[1]Methods write-up'!$T$20),"Temperate seasonal","")</f>
        <v>Temperate seasonal</v>
      </c>
      <c r="BC153" s="22" t="str">
        <f>IF(AND('[1]observations-276632'!W153&gt;'[1]Methods write-up'!$Q$21,'[1]observations-276632'!W153&lt;'[1]Methods write-up'!$R$21,'[1]observations-276632'!X153&gt;'[1]Methods write-up'!$S$21,'[1]observations-276632'!X153&lt;'[1]Methods write-up'!$T$21),"Desert and high aridity","")</f>
        <v/>
      </c>
      <c r="BD153" s="23" t="str">
        <f t="shared" si="11"/>
        <v>Temperate seasonal</v>
      </c>
      <c r="BE153" s="24">
        <f t="shared" si="9"/>
        <v>25</v>
      </c>
      <c r="BF153" s="24">
        <f t="shared" si="10"/>
        <v>4</v>
      </c>
    </row>
    <row r="154" spans="1:58" ht="16.25" customHeight="1" x14ac:dyDescent="0.2">
      <c r="A154">
        <v>11208334</v>
      </c>
      <c r="B154" t="s">
        <v>1165</v>
      </c>
      <c r="C154" s="14">
        <v>43207</v>
      </c>
      <c r="D154" t="s">
        <v>1166</v>
      </c>
      <c r="E154" t="s">
        <v>57</v>
      </c>
      <c r="F154">
        <v>632684</v>
      </c>
      <c r="G154" t="s">
        <v>1167</v>
      </c>
      <c r="H154" t="s">
        <v>1168</v>
      </c>
      <c r="I154" t="s">
        <v>1169</v>
      </c>
      <c r="J154" t="s">
        <v>1170</v>
      </c>
      <c r="K154" t="s">
        <v>62</v>
      </c>
      <c r="L154" t="s">
        <v>63</v>
      </c>
      <c r="M154" t="s">
        <v>1171</v>
      </c>
      <c r="N154" t="s">
        <v>1172</v>
      </c>
      <c r="Q154" t="s">
        <v>1173</v>
      </c>
      <c r="R154">
        <v>5</v>
      </c>
      <c r="S154">
        <v>0</v>
      </c>
      <c r="T154" t="b">
        <v>0</v>
      </c>
      <c r="V154" t="s">
        <v>1174</v>
      </c>
      <c r="W154" s="15">
        <v>-18.955403860000001</v>
      </c>
      <c r="X154" s="15">
        <v>32.684516989999999</v>
      </c>
      <c r="Y154">
        <v>49</v>
      </c>
      <c r="AC154">
        <v>49</v>
      </c>
      <c r="AF154" t="b">
        <v>0</v>
      </c>
      <c r="AI154" t="s">
        <v>70</v>
      </c>
      <c r="AJ154" t="s">
        <v>70</v>
      </c>
      <c r="AK154" t="s">
        <v>71</v>
      </c>
      <c r="AL154" t="s">
        <v>72</v>
      </c>
      <c r="AM154">
        <v>346053</v>
      </c>
      <c r="AO154" s="16" t="s">
        <v>140</v>
      </c>
      <c r="AP154" s="17" t="str">
        <f t="shared" si="8"/>
        <v>Post-emergence nest</v>
      </c>
      <c r="AQ154" s="18">
        <v>4</v>
      </c>
      <c r="AT154" s="19" t="s">
        <v>141</v>
      </c>
      <c r="AU154" s="20" t="s">
        <v>104</v>
      </c>
      <c r="AX154" s="22" t="str">
        <f>IF(AND('[1]observations-276632'!W154&gt;'[1]Methods write-up'!$Q$16,'[1]observations-276632'!W154&lt;'[1]Methods write-up'!$R$16,'[1]observations-276632'!X154&gt;'[1]Methods write-up'!$S$16,'[1]observations-276632'!X154&lt;'[1]Methods write-up'!$T$16),"West and Central Africa","")</f>
        <v/>
      </c>
      <c r="AY154" s="22" t="str">
        <f>IF(AND('[1]observations-276632'!W154&gt;'[1]Methods write-up'!$Q$17,'[1]observations-276632'!W154&lt;'[1]Methods write-up'!$R$17,'[1]observations-276632'!X154&gt;'[1]Methods write-up'!$S$17,'[1]observations-276632'!X154&lt;'[1]Methods write-up'!$T$17),"Equatorial tropical forest","")</f>
        <v/>
      </c>
      <c r="AZ154" s="22" t="str">
        <f>IF(AND('[1]observations-276632'!W154&gt;'[1]Methods write-up'!$Q$18,'[1]observations-276632'!W154&lt;'[1]Methods write-up'!$R$18,'[1]observations-276632'!X154&gt;'[1]Methods write-up'!$S$18,'[1]observations-276632'!X154&lt;'[1]Methods write-up'!$T$18),"Somali peninsula","")</f>
        <v/>
      </c>
      <c r="BA154" s="22" t="str">
        <f>IF(AND('[1]observations-276632'!W154&gt;'[1]Methods write-up'!$Q$19,'[1]observations-276632'!W154&lt;'[1]Methods write-up'!$R$19,'[1]observations-276632'!X154&gt;'[1]Methods write-up'!$S$19,'[1]observations-276632'!X154&lt;'[1]Methods write-up'!$T$19),"East Africa","")</f>
        <v/>
      </c>
      <c r="BB154" s="22" t="str">
        <f>IF(AND('[1]observations-276632'!W154&gt;'[1]Methods write-up'!$Q$20,'[1]observations-276632'!W154&lt;'[1]Methods write-up'!$R$20,'[1]observations-276632'!X154&gt;'[1]Methods write-up'!$S$20,'[1]observations-276632'!X154&lt;'[1]Methods write-up'!$T$20),"Temperate seasonal","")</f>
        <v/>
      </c>
      <c r="BC154" s="22" t="str">
        <f>IF(AND('[1]observations-276632'!W154&gt;'[1]Methods write-up'!$Q$21,'[1]observations-276632'!W154&lt;'[1]Methods write-up'!$R$21,'[1]observations-276632'!X154&gt;'[1]Methods write-up'!$S$21,'[1]observations-276632'!X154&lt;'[1]Methods write-up'!$T$21),"Desert and high aridity","")</f>
        <v/>
      </c>
      <c r="BD154" s="23" t="str">
        <f t="shared" si="11"/>
        <v/>
      </c>
      <c r="BE154" s="24">
        <f t="shared" si="9"/>
        <v>17</v>
      </c>
      <c r="BF154" s="24">
        <f t="shared" si="10"/>
        <v>4</v>
      </c>
    </row>
    <row r="155" spans="1:58" ht="16.25" customHeight="1" x14ac:dyDescent="0.2">
      <c r="A155">
        <v>11212321</v>
      </c>
      <c r="B155" s="13">
        <v>42476</v>
      </c>
      <c r="C155" s="14">
        <v>42476</v>
      </c>
      <c r="E155" t="s">
        <v>113</v>
      </c>
      <c r="F155">
        <v>129251</v>
      </c>
      <c r="G155" t="s">
        <v>775</v>
      </c>
      <c r="H155" t="s">
        <v>776</v>
      </c>
      <c r="I155" t="s">
        <v>1175</v>
      </c>
      <c r="J155" t="s">
        <v>1176</v>
      </c>
      <c r="K155" t="s">
        <v>62</v>
      </c>
      <c r="L155" t="s">
        <v>63</v>
      </c>
      <c r="M155" t="s">
        <v>1177</v>
      </c>
      <c r="N155" t="s">
        <v>1178</v>
      </c>
      <c r="Q155" t="s">
        <v>1179</v>
      </c>
      <c r="R155">
        <v>4</v>
      </c>
      <c r="S155">
        <v>0</v>
      </c>
      <c r="T155" t="b">
        <v>0</v>
      </c>
      <c r="V155" t="s">
        <v>1180</v>
      </c>
      <c r="W155" s="15">
        <v>-32.600200000000001</v>
      </c>
      <c r="X155" s="15">
        <v>26.91882</v>
      </c>
      <c r="Y155">
        <v>1</v>
      </c>
      <c r="AC155">
        <v>1</v>
      </c>
      <c r="AF155" t="b">
        <v>0</v>
      </c>
      <c r="AI155" t="s">
        <v>70</v>
      </c>
      <c r="AJ155" t="s">
        <v>70</v>
      </c>
      <c r="AK155" t="s">
        <v>71</v>
      </c>
      <c r="AL155" t="s">
        <v>72</v>
      </c>
      <c r="AM155">
        <v>346053</v>
      </c>
      <c r="AO155" s="16" t="s">
        <v>73</v>
      </c>
      <c r="AP155" s="17" t="str">
        <f t="shared" si="8"/>
        <v>Off-nest female</v>
      </c>
      <c r="AX155" s="22" t="str">
        <f>IF(AND('[1]observations-276632'!W155&gt;'[1]Methods write-up'!$Q$16,'[1]observations-276632'!W155&lt;'[1]Methods write-up'!$R$16,'[1]observations-276632'!X155&gt;'[1]Methods write-up'!$S$16,'[1]observations-276632'!X155&lt;'[1]Methods write-up'!$T$16),"West and Central Africa","")</f>
        <v/>
      </c>
      <c r="AY155" s="22" t="str">
        <f>IF(AND('[1]observations-276632'!W155&gt;'[1]Methods write-up'!$Q$17,'[1]observations-276632'!W155&lt;'[1]Methods write-up'!$R$17,'[1]observations-276632'!X155&gt;'[1]Methods write-up'!$S$17,'[1]observations-276632'!X155&lt;'[1]Methods write-up'!$T$17),"Equatorial tropical forest","")</f>
        <v/>
      </c>
      <c r="AZ155" s="22" t="str">
        <f>IF(AND('[1]observations-276632'!W155&gt;'[1]Methods write-up'!$Q$18,'[1]observations-276632'!W155&lt;'[1]Methods write-up'!$R$18,'[1]observations-276632'!X155&gt;'[1]Methods write-up'!$S$18,'[1]observations-276632'!X155&lt;'[1]Methods write-up'!$T$18),"Somali peninsula","")</f>
        <v/>
      </c>
      <c r="BA155" s="22" t="str">
        <f>IF(AND('[1]observations-276632'!W155&gt;'[1]Methods write-up'!$Q$19,'[1]observations-276632'!W155&lt;'[1]Methods write-up'!$R$19,'[1]observations-276632'!X155&gt;'[1]Methods write-up'!$S$19,'[1]observations-276632'!X155&lt;'[1]Methods write-up'!$T$19),"East Africa","")</f>
        <v/>
      </c>
      <c r="BB155" s="22" t="str">
        <f>IF(AND('[1]observations-276632'!W155&gt;'[1]Methods write-up'!$Q$20,'[1]observations-276632'!W155&lt;'[1]Methods write-up'!$R$20,'[1]observations-276632'!X155&gt;'[1]Methods write-up'!$S$20,'[1]observations-276632'!X155&lt;'[1]Methods write-up'!$T$20),"Temperate seasonal","")</f>
        <v/>
      </c>
      <c r="BC155" s="22" t="str">
        <f>IF(AND('[1]observations-276632'!W155&gt;'[1]Methods write-up'!$Q$21,'[1]observations-276632'!W155&lt;'[1]Methods write-up'!$R$21,'[1]observations-276632'!X155&gt;'[1]Methods write-up'!$S$21,'[1]observations-276632'!X155&lt;'[1]Methods write-up'!$T$21),"Desert and high aridity","")</f>
        <v/>
      </c>
      <c r="BD155" s="23" t="str">
        <f t="shared" si="11"/>
        <v/>
      </c>
      <c r="BE155" s="24">
        <f t="shared" si="9"/>
        <v>16</v>
      </c>
      <c r="BF155" s="24">
        <f t="shared" si="10"/>
        <v>4</v>
      </c>
    </row>
    <row r="156" spans="1:58" ht="16.25" customHeight="1" x14ac:dyDescent="0.2">
      <c r="A156">
        <v>11246869</v>
      </c>
      <c r="B156" s="13">
        <v>42497</v>
      </c>
      <c r="C156" s="14">
        <v>42497</v>
      </c>
      <c r="E156" t="s">
        <v>113</v>
      </c>
      <c r="F156">
        <v>659922</v>
      </c>
      <c r="G156" t="s">
        <v>918</v>
      </c>
      <c r="I156" t="s">
        <v>1181</v>
      </c>
      <c r="J156" t="s">
        <v>1182</v>
      </c>
      <c r="K156" t="s">
        <v>62</v>
      </c>
      <c r="L156" t="s">
        <v>63</v>
      </c>
      <c r="M156" t="s">
        <v>1183</v>
      </c>
      <c r="N156" t="s">
        <v>1184</v>
      </c>
      <c r="Q156" t="s">
        <v>1185</v>
      </c>
      <c r="R156">
        <v>2</v>
      </c>
      <c r="S156">
        <v>0</v>
      </c>
      <c r="T156" t="b">
        <v>0</v>
      </c>
      <c r="V156" t="s">
        <v>1186</v>
      </c>
      <c r="W156" s="15">
        <v>-28.960196</v>
      </c>
      <c r="X156" s="15">
        <v>31.756506000000002</v>
      </c>
      <c r="Y156">
        <v>1</v>
      </c>
      <c r="AC156">
        <v>1</v>
      </c>
      <c r="AF156" t="b">
        <v>0</v>
      </c>
      <c r="AI156" t="s">
        <v>71</v>
      </c>
      <c r="AJ156" t="s">
        <v>70</v>
      </c>
      <c r="AK156" t="s">
        <v>71</v>
      </c>
      <c r="AL156" t="s">
        <v>72</v>
      </c>
      <c r="AM156">
        <v>346053</v>
      </c>
      <c r="AO156" s="16" t="s">
        <v>140</v>
      </c>
      <c r="AP156" s="17" t="str">
        <f t="shared" si="8"/>
        <v>Post-emergence nest</v>
      </c>
      <c r="AQ156" s="18">
        <v>6</v>
      </c>
      <c r="AT156" s="19" t="s">
        <v>141</v>
      </c>
      <c r="AU156" s="20" t="s">
        <v>104</v>
      </c>
      <c r="AX156" s="22" t="str">
        <f>IF(AND('[1]observations-276632'!W156&gt;'[1]Methods write-up'!$Q$16,'[1]observations-276632'!W156&lt;'[1]Methods write-up'!$R$16,'[1]observations-276632'!X156&gt;'[1]Methods write-up'!$S$16,'[1]observations-276632'!X156&lt;'[1]Methods write-up'!$T$16),"West and Central Africa","")</f>
        <v/>
      </c>
      <c r="AY156" s="22" t="str">
        <f>IF(AND('[1]observations-276632'!W156&gt;'[1]Methods write-up'!$Q$17,'[1]observations-276632'!W156&lt;'[1]Methods write-up'!$R$17,'[1]observations-276632'!X156&gt;'[1]Methods write-up'!$S$17,'[1]observations-276632'!X156&lt;'[1]Methods write-up'!$T$17),"Equatorial tropical forest","")</f>
        <v/>
      </c>
      <c r="AZ156" s="22" t="str">
        <f>IF(AND('[1]observations-276632'!W156&gt;'[1]Methods write-up'!$Q$18,'[1]observations-276632'!W156&lt;'[1]Methods write-up'!$R$18,'[1]observations-276632'!X156&gt;'[1]Methods write-up'!$S$18,'[1]observations-276632'!X156&lt;'[1]Methods write-up'!$T$18),"Somali peninsula","")</f>
        <v/>
      </c>
      <c r="BA156" s="22" t="str">
        <f>IF(AND('[1]observations-276632'!W156&gt;'[1]Methods write-up'!$Q$19,'[1]observations-276632'!W156&lt;'[1]Methods write-up'!$R$19,'[1]observations-276632'!X156&gt;'[1]Methods write-up'!$S$19,'[1]observations-276632'!X156&lt;'[1]Methods write-up'!$T$19),"East Africa","")</f>
        <v/>
      </c>
      <c r="BB156" s="22" t="str">
        <f>IF(AND('[1]observations-276632'!W156&gt;'[1]Methods write-up'!$Q$20,'[1]observations-276632'!W156&lt;'[1]Methods write-up'!$R$20,'[1]observations-276632'!X156&gt;'[1]Methods write-up'!$S$20,'[1]observations-276632'!X156&lt;'[1]Methods write-up'!$T$20),"Temperate seasonal","")</f>
        <v>Temperate seasonal</v>
      </c>
      <c r="BC156" s="22" t="str">
        <f>IF(AND('[1]observations-276632'!W156&gt;'[1]Methods write-up'!$Q$21,'[1]observations-276632'!W156&lt;'[1]Methods write-up'!$R$21,'[1]observations-276632'!X156&gt;'[1]Methods write-up'!$S$21,'[1]observations-276632'!X156&lt;'[1]Methods write-up'!$T$21),"Desert and high aridity","")</f>
        <v/>
      </c>
      <c r="BD156" s="23" t="str">
        <f t="shared" si="11"/>
        <v>Temperate seasonal</v>
      </c>
      <c r="BE156" s="24">
        <f t="shared" si="9"/>
        <v>7</v>
      </c>
      <c r="BF156" s="24">
        <f t="shared" si="10"/>
        <v>5</v>
      </c>
    </row>
    <row r="157" spans="1:58" ht="16.25" customHeight="1" x14ac:dyDescent="0.2">
      <c r="A157">
        <v>11249481</v>
      </c>
      <c r="B157" s="13">
        <v>42847</v>
      </c>
      <c r="C157" s="14">
        <v>42847</v>
      </c>
      <c r="E157" t="s">
        <v>113</v>
      </c>
      <c r="F157">
        <v>659922</v>
      </c>
      <c r="G157" t="s">
        <v>918</v>
      </c>
      <c r="I157" t="s">
        <v>1187</v>
      </c>
      <c r="J157" t="s">
        <v>1188</v>
      </c>
      <c r="K157" t="s">
        <v>62</v>
      </c>
      <c r="L157" t="s">
        <v>63</v>
      </c>
      <c r="M157" t="s">
        <v>1189</v>
      </c>
      <c r="N157" t="s">
        <v>1190</v>
      </c>
      <c r="P157" t="s">
        <v>708</v>
      </c>
      <c r="Q157" t="s">
        <v>1191</v>
      </c>
      <c r="R157">
        <v>2</v>
      </c>
      <c r="S157">
        <v>0</v>
      </c>
      <c r="T157" t="b">
        <v>0</v>
      </c>
      <c r="V157" t="s">
        <v>1192</v>
      </c>
      <c r="W157" s="15">
        <v>-25.745000000000001</v>
      </c>
      <c r="X157" s="15">
        <v>28.248999999999999</v>
      </c>
      <c r="Y157">
        <v>110</v>
      </c>
      <c r="AC157">
        <v>110</v>
      </c>
      <c r="AF157" t="b">
        <v>0</v>
      </c>
      <c r="AI157" t="s">
        <v>71</v>
      </c>
      <c r="AJ157" t="s">
        <v>70</v>
      </c>
      <c r="AK157" t="s">
        <v>71</v>
      </c>
      <c r="AL157" t="s">
        <v>72</v>
      </c>
      <c r="AM157">
        <v>346053</v>
      </c>
      <c r="AO157" s="16" t="s">
        <v>1067</v>
      </c>
      <c r="AP157" s="17" t="str">
        <f t="shared" si="8"/>
        <v>Hibernation cluster</v>
      </c>
      <c r="AQ157" s="18">
        <v>15</v>
      </c>
      <c r="AT157" s="19" t="s">
        <v>141</v>
      </c>
      <c r="AU157" s="20" t="s">
        <v>141</v>
      </c>
      <c r="AV157" s="21" t="s">
        <v>1193</v>
      </c>
      <c r="AX157" s="22" t="str">
        <f>IF(AND('[1]observations-276632'!W157&gt;'[1]Methods write-up'!$Q$16,'[1]observations-276632'!W157&lt;'[1]Methods write-up'!$R$16,'[1]observations-276632'!X157&gt;'[1]Methods write-up'!$S$16,'[1]observations-276632'!X157&lt;'[1]Methods write-up'!$T$16),"West and Central Africa","")</f>
        <v/>
      </c>
      <c r="AY157" s="22" t="str">
        <f>IF(AND('[1]observations-276632'!W157&gt;'[1]Methods write-up'!$Q$17,'[1]observations-276632'!W157&lt;'[1]Methods write-up'!$R$17,'[1]observations-276632'!X157&gt;'[1]Methods write-up'!$S$17,'[1]observations-276632'!X157&lt;'[1]Methods write-up'!$T$17),"Equatorial tropical forest","")</f>
        <v/>
      </c>
      <c r="AZ157" s="22" t="str">
        <f>IF(AND('[1]observations-276632'!W157&gt;'[1]Methods write-up'!$Q$18,'[1]observations-276632'!W157&lt;'[1]Methods write-up'!$R$18,'[1]observations-276632'!X157&gt;'[1]Methods write-up'!$S$18,'[1]observations-276632'!X157&lt;'[1]Methods write-up'!$T$18),"Somali peninsula","")</f>
        <v/>
      </c>
      <c r="BA157" s="22" t="str">
        <f>IF(AND('[1]observations-276632'!W157&gt;'[1]Methods write-up'!$Q$19,'[1]observations-276632'!W157&lt;'[1]Methods write-up'!$R$19,'[1]observations-276632'!X157&gt;'[1]Methods write-up'!$S$19,'[1]observations-276632'!X157&lt;'[1]Methods write-up'!$T$19),"East Africa","")</f>
        <v/>
      </c>
      <c r="BB157" s="22" t="str">
        <f>IF(AND('[1]observations-276632'!W157&gt;'[1]Methods write-up'!$Q$20,'[1]observations-276632'!W157&lt;'[1]Methods write-up'!$R$20,'[1]observations-276632'!X157&gt;'[1]Methods write-up'!$S$20,'[1]observations-276632'!X157&lt;'[1]Methods write-up'!$T$20),"Temperate seasonal","")</f>
        <v>Temperate seasonal</v>
      </c>
      <c r="BC157" s="22" t="str">
        <f>IF(AND('[1]observations-276632'!W157&gt;'[1]Methods write-up'!$Q$21,'[1]observations-276632'!W157&lt;'[1]Methods write-up'!$R$21,'[1]observations-276632'!X157&gt;'[1]Methods write-up'!$S$21,'[1]observations-276632'!X157&lt;'[1]Methods write-up'!$T$21),"Desert and high aridity","")</f>
        <v/>
      </c>
      <c r="BD157" s="23" t="str">
        <f t="shared" si="11"/>
        <v>Temperate seasonal</v>
      </c>
      <c r="BE157" s="24">
        <f t="shared" si="9"/>
        <v>22</v>
      </c>
      <c r="BF157" s="24">
        <f t="shared" si="10"/>
        <v>4</v>
      </c>
    </row>
    <row r="158" spans="1:58" ht="16.25" customHeight="1" x14ac:dyDescent="0.2">
      <c r="A158">
        <v>11275468</v>
      </c>
      <c r="B158" s="13">
        <v>42492</v>
      </c>
      <c r="C158" s="14">
        <v>42492</v>
      </c>
      <c r="E158" t="s">
        <v>811</v>
      </c>
      <c r="F158">
        <v>662724</v>
      </c>
      <c r="G158" t="s">
        <v>903</v>
      </c>
      <c r="H158" t="s">
        <v>904</v>
      </c>
      <c r="I158" t="s">
        <v>1194</v>
      </c>
      <c r="J158" t="s">
        <v>1195</v>
      </c>
      <c r="K158" t="s">
        <v>62</v>
      </c>
      <c r="L158" t="s">
        <v>63</v>
      </c>
      <c r="M158" t="s">
        <v>1196</v>
      </c>
      <c r="N158" t="s">
        <v>1197</v>
      </c>
      <c r="Q158" t="s">
        <v>1198</v>
      </c>
      <c r="R158">
        <v>2</v>
      </c>
      <c r="S158">
        <v>0</v>
      </c>
      <c r="T158" t="b">
        <v>0</v>
      </c>
      <c r="V158" t="s">
        <v>910</v>
      </c>
      <c r="W158" s="15">
        <v>-30.299479999999999</v>
      </c>
      <c r="X158" s="15">
        <v>30.742730000000002</v>
      </c>
      <c r="Y158">
        <v>1</v>
      </c>
      <c r="AC158">
        <v>1</v>
      </c>
      <c r="AF158" t="b">
        <v>0</v>
      </c>
      <c r="AI158" t="s">
        <v>70</v>
      </c>
      <c r="AJ158" t="s">
        <v>70</v>
      </c>
      <c r="AK158" t="s">
        <v>71</v>
      </c>
      <c r="AL158" t="s">
        <v>72</v>
      </c>
      <c r="AM158">
        <v>346053</v>
      </c>
      <c r="AO158" s="16" t="s">
        <v>73</v>
      </c>
      <c r="AP158" s="17" t="str">
        <f t="shared" si="8"/>
        <v>Off-nest female</v>
      </c>
      <c r="AX158" s="22" t="str">
        <f>IF(AND('[1]observations-276632'!W158&gt;'[1]Methods write-up'!$Q$16,'[1]observations-276632'!W158&lt;'[1]Methods write-up'!$R$16,'[1]observations-276632'!X158&gt;'[1]Methods write-up'!$S$16,'[1]observations-276632'!X158&lt;'[1]Methods write-up'!$T$16),"West and Central Africa","")</f>
        <v/>
      </c>
      <c r="AY158" s="22" t="str">
        <f>IF(AND('[1]observations-276632'!W158&gt;'[1]Methods write-up'!$Q$17,'[1]observations-276632'!W158&lt;'[1]Methods write-up'!$R$17,'[1]observations-276632'!X158&gt;'[1]Methods write-up'!$S$17,'[1]observations-276632'!X158&lt;'[1]Methods write-up'!$T$17),"Equatorial tropical forest","")</f>
        <v/>
      </c>
      <c r="AZ158" s="22" t="str">
        <f>IF(AND('[1]observations-276632'!W158&gt;'[1]Methods write-up'!$Q$18,'[1]observations-276632'!W158&lt;'[1]Methods write-up'!$R$18,'[1]observations-276632'!X158&gt;'[1]Methods write-up'!$S$18,'[1]observations-276632'!X158&lt;'[1]Methods write-up'!$T$18),"Somali peninsula","")</f>
        <v/>
      </c>
      <c r="BA158" s="22" t="str">
        <f>IF(AND('[1]observations-276632'!W158&gt;'[1]Methods write-up'!$Q$19,'[1]observations-276632'!W158&lt;'[1]Methods write-up'!$R$19,'[1]observations-276632'!X158&gt;'[1]Methods write-up'!$S$19,'[1]observations-276632'!X158&lt;'[1]Methods write-up'!$T$19),"East Africa","")</f>
        <v/>
      </c>
      <c r="BB158" s="22" t="str">
        <f>IF(AND('[1]observations-276632'!W158&gt;'[1]Methods write-up'!$Q$20,'[1]observations-276632'!W158&lt;'[1]Methods write-up'!$R$20,'[1]observations-276632'!X158&gt;'[1]Methods write-up'!$S$20,'[1]observations-276632'!X158&lt;'[1]Methods write-up'!$T$20),"Temperate seasonal","")</f>
        <v>Temperate seasonal</v>
      </c>
      <c r="BC158" s="22" t="str">
        <f>IF(AND('[1]observations-276632'!W158&gt;'[1]Methods write-up'!$Q$21,'[1]observations-276632'!W158&lt;'[1]Methods write-up'!$R$21,'[1]observations-276632'!X158&gt;'[1]Methods write-up'!$S$21,'[1]observations-276632'!X158&lt;'[1]Methods write-up'!$T$21),"Desert and high aridity","")</f>
        <v/>
      </c>
      <c r="BD158" s="23" t="str">
        <f t="shared" si="11"/>
        <v>Temperate seasonal</v>
      </c>
      <c r="BE158" s="24">
        <f t="shared" si="9"/>
        <v>2</v>
      </c>
      <c r="BF158" s="24">
        <f t="shared" si="10"/>
        <v>5</v>
      </c>
    </row>
    <row r="159" spans="1:58" ht="16.25" customHeight="1" x14ac:dyDescent="0.2">
      <c r="A159">
        <v>11281256</v>
      </c>
      <c r="B159" s="13">
        <v>42741</v>
      </c>
      <c r="C159" s="14">
        <v>42741</v>
      </c>
      <c r="E159" t="s">
        <v>113</v>
      </c>
      <c r="F159">
        <v>662724</v>
      </c>
      <c r="G159" t="s">
        <v>903</v>
      </c>
      <c r="H159" t="s">
        <v>904</v>
      </c>
      <c r="I159" t="s">
        <v>1199</v>
      </c>
      <c r="J159" t="s">
        <v>1200</v>
      </c>
      <c r="K159" t="s">
        <v>62</v>
      </c>
      <c r="L159" t="s">
        <v>63</v>
      </c>
      <c r="M159" t="s">
        <v>1201</v>
      </c>
      <c r="N159" t="s">
        <v>1202</v>
      </c>
      <c r="P159" t="s">
        <v>708</v>
      </c>
      <c r="Q159" t="s">
        <v>1203</v>
      </c>
      <c r="R159">
        <v>3</v>
      </c>
      <c r="S159">
        <v>0</v>
      </c>
      <c r="T159" t="b">
        <v>0</v>
      </c>
      <c r="V159" t="s">
        <v>910</v>
      </c>
      <c r="W159" s="15">
        <v>-30.299479999999999</v>
      </c>
      <c r="X159" s="15">
        <v>30.742730000000002</v>
      </c>
      <c r="Y159">
        <v>1</v>
      </c>
      <c r="AC159">
        <v>1</v>
      </c>
      <c r="AF159" t="b">
        <v>0</v>
      </c>
      <c r="AI159" t="s">
        <v>70</v>
      </c>
      <c r="AJ159" t="s">
        <v>70</v>
      </c>
      <c r="AK159" t="s">
        <v>71</v>
      </c>
      <c r="AL159" t="s">
        <v>72</v>
      </c>
      <c r="AM159">
        <v>346053</v>
      </c>
      <c r="AO159" s="16" t="s">
        <v>140</v>
      </c>
      <c r="AP159" s="17" t="str">
        <f t="shared" si="8"/>
        <v>Post-emergence nest</v>
      </c>
      <c r="AQ159" s="18">
        <v>3</v>
      </c>
      <c r="AT159" s="19" t="s">
        <v>141</v>
      </c>
      <c r="AU159" s="20" t="s">
        <v>104</v>
      </c>
      <c r="AX159" s="22" t="str">
        <f>IF(AND('[1]observations-276632'!W159&gt;'[1]Methods write-up'!$Q$16,'[1]observations-276632'!W159&lt;'[1]Methods write-up'!$R$16,'[1]observations-276632'!X159&gt;'[1]Methods write-up'!$S$16,'[1]observations-276632'!X159&lt;'[1]Methods write-up'!$T$16),"West and Central Africa","")</f>
        <v/>
      </c>
      <c r="AY159" s="22" t="str">
        <f>IF(AND('[1]observations-276632'!W159&gt;'[1]Methods write-up'!$Q$17,'[1]observations-276632'!W159&lt;'[1]Methods write-up'!$R$17,'[1]observations-276632'!X159&gt;'[1]Methods write-up'!$S$17,'[1]observations-276632'!X159&lt;'[1]Methods write-up'!$T$17),"Equatorial tropical forest","")</f>
        <v/>
      </c>
      <c r="AZ159" s="22" t="str">
        <f>IF(AND('[1]observations-276632'!W159&gt;'[1]Methods write-up'!$Q$18,'[1]observations-276632'!W159&lt;'[1]Methods write-up'!$R$18,'[1]observations-276632'!X159&gt;'[1]Methods write-up'!$S$18,'[1]observations-276632'!X159&lt;'[1]Methods write-up'!$T$18),"Somali peninsula","")</f>
        <v/>
      </c>
      <c r="BA159" s="22" t="str">
        <f>IF(AND('[1]observations-276632'!W159&gt;'[1]Methods write-up'!$Q$19,'[1]observations-276632'!W159&lt;'[1]Methods write-up'!$R$19,'[1]observations-276632'!X159&gt;'[1]Methods write-up'!$S$19,'[1]observations-276632'!X159&lt;'[1]Methods write-up'!$T$19),"East Africa","")</f>
        <v/>
      </c>
      <c r="BB159" s="22" t="str">
        <f>IF(AND('[1]observations-276632'!W159&gt;'[1]Methods write-up'!$Q$20,'[1]observations-276632'!W159&lt;'[1]Methods write-up'!$R$20,'[1]observations-276632'!X159&gt;'[1]Methods write-up'!$S$20,'[1]observations-276632'!X159&lt;'[1]Methods write-up'!$T$20),"Temperate seasonal","")</f>
        <v>Temperate seasonal</v>
      </c>
      <c r="BC159" s="22" t="str">
        <f>IF(AND('[1]observations-276632'!W159&gt;'[1]Methods write-up'!$Q$21,'[1]observations-276632'!W159&lt;'[1]Methods write-up'!$R$21,'[1]observations-276632'!X159&gt;'[1]Methods write-up'!$S$21,'[1]observations-276632'!X159&lt;'[1]Methods write-up'!$T$21),"Desert and high aridity","")</f>
        <v/>
      </c>
      <c r="BD159" s="23" t="str">
        <f t="shared" si="11"/>
        <v>Temperate seasonal</v>
      </c>
      <c r="BE159" s="24">
        <f t="shared" si="9"/>
        <v>6</v>
      </c>
      <c r="BF159" s="24">
        <f t="shared" si="10"/>
        <v>1</v>
      </c>
    </row>
    <row r="160" spans="1:58" ht="16.25" customHeight="1" x14ac:dyDescent="0.2">
      <c r="A160">
        <v>11290746</v>
      </c>
      <c r="B160" s="13">
        <v>42588</v>
      </c>
      <c r="C160" s="14">
        <v>42588</v>
      </c>
      <c r="E160" t="s">
        <v>113</v>
      </c>
      <c r="F160">
        <v>660508</v>
      </c>
      <c r="G160" t="s">
        <v>1204</v>
      </c>
      <c r="H160" t="s">
        <v>1205</v>
      </c>
      <c r="I160" t="s">
        <v>1206</v>
      </c>
      <c r="J160" t="s">
        <v>1207</v>
      </c>
      <c r="K160" t="s">
        <v>62</v>
      </c>
      <c r="L160" t="s">
        <v>63</v>
      </c>
      <c r="M160" t="s">
        <v>1208</v>
      </c>
      <c r="N160" t="s">
        <v>1209</v>
      </c>
      <c r="Q160" t="s">
        <v>1210</v>
      </c>
      <c r="R160">
        <v>4</v>
      </c>
      <c r="S160">
        <v>0</v>
      </c>
      <c r="T160" t="b">
        <v>0</v>
      </c>
      <c r="V160" t="s">
        <v>1211</v>
      </c>
      <c r="W160" s="15">
        <v>-28.123049999999999</v>
      </c>
      <c r="X160" s="15">
        <v>16.890830000000001</v>
      </c>
      <c r="Y160">
        <v>1</v>
      </c>
      <c r="AC160">
        <v>1</v>
      </c>
      <c r="AF160" t="b">
        <v>0</v>
      </c>
      <c r="AI160" t="s">
        <v>70</v>
      </c>
      <c r="AJ160" t="s">
        <v>70</v>
      </c>
      <c r="AK160" t="s">
        <v>71</v>
      </c>
      <c r="AL160" t="s">
        <v>72</v>
      </c>
      <c r="AM160">
        <v>346053</v>
      </c>
      <c r="AO160" s="16" t="s">
        <v>110</v>
      </c>
      <c r="AP160" s="17" t="str">
        <f t="shared" si="8"/>
        <v>Nest (foundress)</v>
      </c>
      <c r="AQ160" s="18">
        <v>1</v>
      </c>
      <c r="AV160" s="21" t="s">
        <v>1212</v>
      </c>
      <c r="AX160" s="22" t="str">
        <f>IF(AND('[1]observations-276632'!W160&gt;'[1]Methods write-up'!$Q$16,'[1]observations-276632'!W160&lt;'[1]Methods write-up'!$R$16,'[1]observations-276632'!X160&gt;'[1]Methods write-up'!$S$16,'[1]observations-276632'!X160&lt;'[1]Methods write-up'!$T$16),"West and Central Africa","")</f>
        <v/>
      </c>
      <c r="AY160" s="22" t="str">
        <f>IF(AND('[1]observations-276632'!W160&gt;'[1]Methods write-up'!$Q$17,'[1]observations-276632'!W160&lt;'[1]Methods write-up'!$R$17,'[1]observations-276632'!X160&gt;'[1]Methods write-up'!$S$17,'[1]observations-276632'!X160&lt;'[1]Methods write-up'!$T$17),"Equatorial tropical forest","")</f>
        <v/>
      </c>
      <c r="AZ160" s="22" t="str">
        <f>IF(AND('[1]observations-276632'!W160&gt;'[1]Methods write-up'!$Q$18,'[1]observations-276632'!W160&lt;'[1]Methods write-up'!$R$18,'[1]observations-276632'!X160&gt;'[1]Methods write-up'!$S$18,'[1]observations-276632'!X160&lt;'[1]Methods write-up'!$T$18),"Somali peninsula","")</f>
        <v/>
      </c>
      <c r="BA160" s="22" t="str">
        <f>IF(AND('[1]observations-276632'!W160&gt;'[1]Methods write-up'!$Q$19,'[1]observations-276632'!W160&lt;'[1]Methods write-up'!$R$19,'[1]observations-276632'!X160&gt;'[1]Methods write-up'!$S$19,'[1]observations-276632'!X160&lt;'[1]Methods write-up'!$T$19),"East Africa","")</f>
        <v/>
      </c>
      <c r="BB160" s="22" t="str">
        <f>IF(AND('[1]observations-276632'!W160&gt;'[1]Methods write-up'!$Q$20,'[1]observations-276632'!W160&lt;'[1]Methods write-up'!$R$20,'[1]observations-276632'!X160&gt;'[1]Methods write-up'!$S$20,'[1]observations-276632'!X160&lt;'[1]Methods write-up'!$T$20),"Temperate seasonal","")</f>
        <v/>
      </c>
      <c r="BC160" s="22" t="str">
        <f>IF(AND('[1]observations-276632'!W160&gt;'[1]Methods write-up'!$Q$21,'[1]observations-276632'!W160&lt;'[1]Methods write-up'!$R$21,'[1]observations-276632'!X160&gt;'[1]Methods write-up'!$S$21,'[1]observations-276632'!X160&lt;'[1]Methods write-up'!$T$21),"Desert and high aridity","")</f>
        <v>Desert and high aridity</v>
      </c>
      <c r="BD160" s="23" t="str">
        <f t="shared" si="11"/>
        <v>Desert and high aridity</v>
      </c>
      <c r="BE160" s="24">
        <f t="shared" si="9"/>
        <v>6</v>
      </c>
      <c r="BF160" s="24">
        <f t="shared" si="10"/>
        <v>8</v>
      </c>
    </row>
    <row r="161" spans="3:58" ht="16.25" customHeight="1" x14ac:dyDescent="0.2">
      <c r="C161" s="14">
        <v>42588</v>
      </c>
      <c r="M161" t="s">
        <v>1213</v>
      </c>
      <c r="W161" s="15">
        <v>-28.123049999999999</v>
      </c>
      <c r="X161" s="15">
        <v>16.890830000000001</v>
      </c>
      <c r="AO161" s="16" t="s">
        <v>140</v>
      </c>
      <c r="AP161" s="17" t="str">
        <f t="shared" si="8"/>
        <v>Post-emergence nest</v>
      </c>
      <c r="AQ161" s="18">
        <v>5</v>
      </c>
      <c r="AT161" s="19" t="s">
        <v>141</v>
      </c>
      <c r="AU161" s="20" t="s">
        <v>315</v>
      </c>
      <c r="AX161" s="22" t="str">
        <f>IF(AND('[1]observations-276632'!W161&gt;'[1]Methods write-up'!$Q$16,'[1]observations-276632'!W161&lt;'[1]Methods write-up'!$R$16,'[1]observations-276632'!X161&gt;'[1]Methods write-up'!$S$16,'[1]observations-276632'!X161&lt;'[1]Methods write-up'!$T$16),"West and Central Africa","")</f>
        <v/>
      </c>
      <c r="AY161" s="22" t="str">
        <f>IF(AND('[1]observations-276632'!W161&gt;'[1]Methods write-up'!$Q$17,'[1]observations-276632'!W161&lt;'[1]Methods write-up'!$R$17,'[1]observations-276632'!X161&gt;'[1]Methods write-up'!$S$17,'[1]observations-276632'!X161&lt;'[1]Methods write-up'!$T$17),"Equatorial tropical forest","")</f>
        <v/>
      </c>
      <c r="AZ161" s="22" t="str">
        <f>IF(AND('[1]observations-276632'!W161&gt;'[1]Methods write-up'!$Q$18,'[1]observations-276632'!W161&lt;'[1]Methods write-up'!$R$18,'[1]observations-276632'!X161&gt;'[1]Methods write-up'!$S$18,'[1]observations-276632'!X161&lt;'[1]Methods write-up'!$T$18),"Somali peninsula","")</f>
        <v/>
      </c>
      <c r="BA161" s="22" t="str">
        <f>IF(AND('[1]observations-276632'!W161&gt;'[1]Methods write-up'!$Q$19,'[1]observations-276632'!W161&lt;'[1]Methods write-up'!$R$19,'[1]observations-276632'!X161&gt;'[1]Methods write-up'!$S$19,'[1]observations-276632'!X161&lt;'[1]Methods write-up'!$T$19),"East Africa","")</f>
        <v/>
      </c>
      <c r="BB161" s="22" t="str">
        <f>IF(AND('[1]observations-276632'!W161&gt;'[1]Methods write-up'!$Q$20,'[1]observations-276632'!W161&lt;'[1]Methods write-up'!$R$20,'[1]observations-276632'!X161&gt;'[1]Methods write-up'!$S$20,'[1]observations-276632'!X161&lt;'[1]Methods write-up'!$T$20),"Temperate seasonal","")</f>
        <v/>
      </c>
      <c r="BC161" s="22" t="str">
        <f>IF(AND('[1]observations-276632'!W161&gt;'[1]Methods write-up'!$Q$21,'[1]observations-276632'!W161&lt;'[1]Methods write-up'!$R$21,'[1]observations-276632'!X161&gt;'[1]Methods write-up'!$S$21,'[1]observations-276632'!X161&lt;'[1]Methods write-up'!$T$21),"Desert and high aridity","")</f>
        <v>Desert and high aridity</v>
      </c>
      <c r="BD161" s="23" t="str">
        <f t="shared" si="11"/>
        <v>Desert and high aridity</v>
      </c>
      <c r="BE161" s="24">
        <f t="shared" si="9"/>
        <v>6</v>
      </c>
      <c r="BF161" s="24">
        <f t="shared" si="10"/>
        <v>8</v>
      </c>
    </row>
    <row r="162" spans="3:58" ht="16.25" customHeight="1" x14ac:dyDescent="0.2">
      <c r="C162" s="14">
        <v>42588</v>
      </c>
      <c r="M162" t="s">
        <v>1214</v>
      </c>
      <c r="W162" s="15">
        <v>-28.123049999999999</v>
      </c>
      <c r="X162" s="15">
        <v>16.890830000000001</v>
      </c>
      <c r="AO162" s="16" t="s">
        <v>140</v>
      </c>
      <c r="AP162" s="17" t="str">
        <f t="shared" si="8"/>
        <v>Post-emergence nest</v>
      </c>
      <c r="AQ162" s="18">
        <v>2</v>
      </c>
      <c r="AT162" s="19" t="s">
        <v>141</v>
      </c>
      <c r="AU162" s="20" t="s">
        <v>315</v>
      </c>
      <c r="AX162" s="22" t="str">
        <f>IF(AND('[1]observations-276632'!W162&gt;'[1]Methods write-up'!$Q$16,'[1]observations-276632'!W162&lt;'[1]Methods write-up'!$R$16,'[1]observations-276632'!X162&gt;'[1]Methods write-up'!$S$16,'[1]observations-276632'!X162&lt;'[1]Methods write-up'!$T$16),"West and Central Africa","")</f>
        <v/>
      </c>
      <c r="AY162" s="22" t="str">
        <f>IF(AND('[1]observations-276632'!W162&gt;'[1]Methods write-up'!$Q$17,'[1]observations-276632'!W162&lt;'[1]Methods write-up'!$R$17,'[1]observations-276632'!X162&gt;'[1]Methods write-up'!$S$17,'[1]observations-276632'!X162&lt;'[1]Methods write-up'!$T$17),"Equatorial tropical forest","")</f>
        <v/>
      </c>
      <c r="AZ162" s="22" t="str">
        <f>IF(AND('[1]observations-276632'!W162&gt;'[1]Methods write-up'!$Q$18,'[1]observations-276632'!W162&lt;'[1]Methods write-up'!$R$18,'[1]observations-276632'!X162&gt;'[1]Methods write-up'!$S$18,'[1]observations-276632'!X162&lt;'[1]Methods write-up'!$T$18),"Somali peninsula","")</f>
        <v/>
      </c>
      <c r="BA162" s="22" t="str">
        <f>IF(AND('[1]observations-276632'!W162&gt;'[1]Methods write-up'!$Q$19,'[1]observations-276632'!W162&lt;'[1]Methods write-up'!$R$19,'[1]observations-276632'!X162&gt;'[1]Methods write-up'!$S$19,'[1]observations-276632'!X162&lt;'[1]Methods write-up'!$T$19),"East Africa","")</f>
        <v/>
      </c>
      <c r="BB162" s="22" t="str">
        <f>IF(AND('[1]observations-276632'!W162&gt;'[1]Methods write-up'!$Q$20,'[1]observations-276632'!W162&lt;'[1]Methods write-up'!$R$20,'[1]observations-276632'!X162&gt;'[1]Methods write-up'!$S$20,'[1]observations-276632'!X162&lt;'[1]Methods write-up'!$T$20),"Temperate seasonal","")</f>
        <v/>
      </c>
      <c r="BC162" s="22" t="str">
        <f>IF(AND('[1]observations-276632'!W162&gt;'[1]Methods write-up'!$Q$21,'[1]observations-276632'!W162&lt;'[1]Methods write-up'!$R$21,'[1]observations-276632'!X162&gt;'[1]Methods write-up'!$S$21,'[1]observations-276632'!X162&lt;'[1]Methods write-up'!$T$21),"Desert and high aridity","")</f>
        <v>Desert and high aridity</v>
      </c>
      <c r="BD162" s="23" t="str">
        <f t="shared" si="11"/>
        <v>Desert and high aridity</v>
      </c>
      <c r="BE162" s="24">
        <f t="shared" si="9"/>
        <v>6</v>
      </c>
      <c r="BF162" s="24">
        <f t="shared" si="10"/>
        <v>8</v>
      </c>
    </row>
    <row r="163" spans="3:58" ht="16.25" customHeight="1" x14ac:dyDescent="0.2">
      <c r="C163" s="14">
        <v>42588</v>
      </c>
      <c r="M163" t="s">
        <v>1215</v>
      </c>
      <c r="W163" s="15">
        <v>-28.123049999999999</v>
      </c>
      <c r="X163" s="15">
        <v>16.890830000000001</v>
      </c>
      <c r="AO163" s="16" t="s">
        <v>110</v>
      </c>
      <c r="AP163" s="17" t="str">
        <f t="shared" si="8"/>
        <v>Nest (foundress)</v>
      </c>
      <c r="AQ163" s="18">
        <v>1</v>
      </c>
      <c r="AX163" s="22" t="str">
        <f>IF(AND('[1]observations-276632'!W163&gt;'[1]Methods write-up'!$Q$16,'[1]observations-276632'!W163&lt;'[1]Methods write-up'!$R$16,'[1]observations-276632'!X163&gt;'[1]Methods write-up'!$S$16,'[1]observations-276632'!X163&lt;'[1]Methods write-up'!$T$16),"West and Central Africa","")</f>
        <v/>
      </c>
      <c r="AY163" s="22" t="str">
        <f>IF(AND('[1]observations-276632'!W163&gt;'[1]Methods write-up'!$Q$17,'[1]observations-276632'!W163&lt;'[1]Methods write-up'!$R$17,'[1]observations-276632'!X163&gt;'[1]Methods write-up'!$S$17,'[1]observations-276632'!X163&lt;'[1]Methods write-up'!$T$17),"Equatorial tropical forest","")</f>
        <v/>
      </c>
      <c r="AZ163" s="22" t="str">
        <f>IF(AND('[1]observations-276632'!W163&gt;'[1]Methods write-up'!$Q$18,'[1]observations-276632'!W163&lt;'[1]Methods write-up'!$R$18,'[1]observations-276632'!X163&gt;'[1]Methods write-up'!$S$18,'[1]observations-276632'!X163&lt;'[1]Methods write-up'!$T$18),"Somali peninsula","")</f>
        <v/>
      </c>
      <c r="BA163" s="22" t="str">
        <f>IF(AND('[1]observations-276632'!W163&gt;'[1]Methods write-up'!$Q$19,'[1]observations-276632'!W163&lt;'[1]Methods write-up'!$R$19,'[1]observations-276632'!X163&gt;'[1]Methods write-up'!$S$19,'[1]observations-276632'!X163&lt;'[1]Methods write-up'!$T$19),"East Africa","")</f>
        <v/>
      </c>
      <c r="BB163" s="22" t="str">
        <f>IF(AND('[1]observations-276632'!W163&gt;'[1]Methods write-up'!$Q$20,'[1]observations-276632'!W163&lt;'[1]Methods write-up'!$R$20,'[1]observations-276632'!X163&gt;'[1]Methods write-up'!$S$20,'[1]observations-276632'!X163&lt;'[1]Methods write-up'!$T$20),"Temperate seasonal","")</f>
        <v/>
      </c>
      <c r="BC163" s="22" t="str">
        <f>IF(AND('[1]observations-276632'!W163&gt;'[1]Methods write-up'!$Q$21,'[1]observations-276632'!W163&lt;'[1]Methods write-up'!$R$21,'[1]observations-276632'!X163&gt;'[1]Methods write-up'!$S$21,'[1]observations-276632'!X163&lt;'[1]Methods write-up'!$T$21),"Desert and high aridity","")</f>
        <v>Desert and high aridity</v>
      </c>
      <c r="BD163" s="23" t="str">
        <f t="shared" si="11"/>
        <v>Desert and high aridity</v>
      </c>
      <c r="BE163" s="24">
        <f t="shared" si="9"/>
        <v>6</v>
      </c>
      <c r="BF163" s="24">
        <f t="shared" si="10"/>
        <v>8</v>
      </c>
    </row>
    <row r="164" spans="3:58" ht="16.25" customHeight="1" x14ac:dyDescent="0.2">
      <c r="C164" s="14">
        <v>42588</v>
      </c>
      <c r="M164" t="s">
        <v>1216</v>
      </c>
      <c r="W164" s="15">
        <v>-28.123049999999999</v>
      </c>
      <c r="X164" s="15">
        <v>16.890830000000001</v>
      </c>
      <c r="AO164" s="16" t="s">
        <v>110</v>
      </c>
      <c r="AP164" s="17" t="str">
        <f t="shared" si="8"/>
        <v>Nest (foundress)</v>
      </c>
      <c r="AQ164" s="18">
        <v>2</v>
      </c>
      <c r="AX164" s="22" t="str">
        <f>IF(AND('[1]observations-276632'!W164&gt;'[1]Methods write-up'!$Q$16,'[1]observations-276632'!W164&lt;'[1]Methods write-up'!$R$16,'[1]observations-276632'!X164&gt;'[1]Methods write-up'!$S$16,'[1]observations-276632'!X164&lt;'[1]Methods write-up'!$T$16),"West and Central Africa","")</f>
        <v/>
      </c>
      <c r="AY164" s="22" t="str">
        <f>IF(AND('[1]observations-276632'!W164&gt;'[1]Methods write-up'!$Q$17,'[1]observations-276632'!W164&lt;'[1]Methods write-up'!$R$17,'[1]observations-276632'!X164&gt;'[1]Methods write-up'!$S$17,'[1]observations-276632'!X164&lt;'[1]Methods write-up'!$T$17),"Equatorial tropical forest","")</f>
        <v/>
      </c>
      <c r="AZ164" s="22" t="str">
        <f>IF(AND('[1]observations-276632'!W164&gt;'[1]Methods write-up'!$Q$18,'[1]observations-276632'!W164&lt;'[1]Methods write-up'!$R$18,'[1]observations-276632'!X164&gt;'[1]Methods write-up'!$S$18,'[1]observations-276632'!X164&lt;'[1]Methods write-up'!$T$18),"Somali peninsula","")</f>
        <v/>
      </c>
      <c r="BA164" s="22" t="str">
        <f>IF(AND('[1]observations-276632'!W164&gt;'[1]Methods write-up'!$Q$19,'[1]observations-276632'!W164&lt;'[1]Methods write-up'!$R$19,'[1]observations-276632'!X164&gt;'[1]Methods write-up'!$S$19,'[1]observations-276632'!X164&lt;'[1]Methods write-up'!$T$19),"East Africa","")</f>
        <v/>
      </c>
      <c r="BB164" s="22" t="str">
        <f>IF(AND('[1]observations-276632'!W164&gt;'[1]Methods write-up'!$Q$20,'[1]observations-276632'!W164&lt;'[1]Methods write-up'!$R$20,'[1]observations-276632'!X164&gt;'[1]Methods write-up'!$S$20,'[1]observations-276632'!X164&lt;'[1]Methods write-up'!$T$20),"Temperate seasonal","")</f>
        <v/>
      </c>
      <c r="BC164" s="22" t="str">
        <f>IF(AND('[1]observations-276632'!W164&gt;'[1]Methods write-up'!$Q$21,'[1]observations-276632'!W164&lt;'[1]Methods write-up'!$R$21,'[1]observations-276632'!X164&gt;'[1]Methods write-up'!$S$21,'[1]observations-276632'!X164&lt;'[1]Methods write-up'!$T$21),"Desert and high aridity","")</f>
        <v>Desert and high aridity</v>
      </c>
      <c r="BD164" s="23" t="str">
        <f t="shared" si="11"/>
        <v>Desert and high aridity</v>
      </c>
      <c r="BE164" s="24">
        <f t="shared" si="9"/>
        <v>6</v>
      </c>
      <c r="BF164" s="24">
        <f t="shared" si="10"/>
        <v>8</v>
      </c>
    </row>
    <row r="165" spans="3:58" ht="16.25" customHeight="1" x14ac:dyDescent="0.2">
      <c r="C165" s="14">
        <v>42588</v>
      </c>
      <c r="M165" t="s">
        <v>1217</v>
      </c>
      <c r="W165" s="15">
        <v>-28.123049999999999</v>
      </c>
      <c r="X165" s="15">
        <v>16.890830000000001</v>
      </c>
      <c r="AO165" s="16" t="s">
        <v>110</v>
      </c>
      <c r="AP165" s="17" t="str">
        <f t="shared" si="8"/>
        <v>Nest (foundress)</v>
      </c>
      <c r="AQ165" s="18">
        <v>2</v>
      </c>
      <c r="AX165" s="22" t="str">
        <f>IF(AND('[1]observations-276632'!W165&gt;'[1]Methods write-up'!$Q$16,'[1]observations-276632'!W165&lt;'[1]Methods write-up'!$R$16,'[1]observations-276632'!X165&gt;'[1]Methods write-up'!$S$16,'[1]observations-276632'!X165&lt;'[1]Methods write-up'!$T$16),"West and Central Africa","")</f>
        <v/>
      </c>
      <c r="AY165" s="22" t="str">
        <f>IF(AND('[1]observations-276632'!W165&gt;'[1]Methods write-up'!$Q$17,'[1]observations-276632'!W165&lt;'[1]Methods write-up'!$R$17,'[1]observations-276632'!X165&gt;'[1]Methods write-up'!$S$17,'[1]observations-276632'!X165&lt;'[1]Methods write-up'!$T$17),"Equatorial tropical forest","")</f>
        <v/>
      </c>
      <c r="AZ165" s="22" t="str">
        <f>IF(AND('[1]observations-276632'!W165&gt;'[1]Methods write-up'!$Q$18,'[1]observations-276632'!W165&lt;'[1]Methods write-up'!$R$18,'[1]observations-276632'!X165&gt;'[1]Methods write-up'!$S$18,'[1]observations-276632'!X165&lt;'[1]Methods write-up'!$T$18),"Somali peninsula","")</f>
        <v/>
      </c>
      <c r="BA165" s="22" t="str">
        <f>IF(AND('[1]observations-276632'!W165&gt;'[1]Methods write-up'!$Q$19,'[1]observations-276632'!W165&lt;'[1]Methods write-up'!$R$19,'[1]observations-276632'!X165&gt;'[1]Methods write-up'!$S$19,'[1]observations-276632'!X165&lt;'[1]Methods write-up'!$T$19),"East Africa","")</f>
        <v/>
      </c>
      <c r="BB165" s="22" t="str">
        <f>IF(AND('[1]observations-276632'!W165&gt;'[1]Methods write-up'!$Q$20,'[1]observations-276632'!W165&lt;'[1]Methods write-up'!$R$20,'[1]observations-276632'!X165&gt;'[1]Methods write-up'!$S$20,'[1]observations-276632'!X165&lt;'[1]Methods write-up'!$T$20),"Temperate seasonal","")</f>
        <v/>
      </c>
      <c r="BC165" s="22" t="str">
        <f>IF(AND('[1]observations-276632'!W165&gt;'[1]Methods write-up'!$Q$21,'[1]observations-276632'!W165&lt;'[1]Methods write-up'!$R$21,'[1]observations-276632'!X165&gt;'[1]Methods write-up'!$S$21,'[1]observations-276632'!X165&lt;'[1]Methods write-up'!$T$21),"Desert and high aridity","")</f>
        <v>Desert and high aridity</v>
      </c>
      <c r="BD165" s="23" t="str">
        <f t="shared" si="11"/>
        <v>Desert and high aridity</v>
      </c>
      <c r="BE165" s="24">
        <f t="shared" si="9"/>
        <v>6</v>
      </c>
      <c r="BF165" s="24">
        <f t="shared" si="10"/>
        <v>8</v>
      </c>
    </row>
    <row r="166" spans="3:58" ht="16.25" customHeight="1" x14ac:dyDescent="0.2">
      <c r="C166" s="14">
        <v>42588</v>
      </c>
      <c r="M166" t="s">
        <v>1218</v>
      </c>
      <c r="W166" s="15">
        <v>-28.123049999999999</v>
      </c>
      <c r="X166" s="15">
        <v>16.890830000000001</v>
      </c>
      <c r="AO166" s="16" t="s">
        <v>140</v>
      </c>
      <c r="AP166" s="17" t="str">
        <f t="shared" si="8"/>
        <v>Post-emergence nest</v>
      </c>
      <c r="AQ166" s="18">
        <v>2</v>
      </c>
      <c r="AT166" s="19" t="s">
        <v>141</v>
      </c>
      <c r="AU166" s="20" t="s">
        <v>315</v>
      </c>
      <c r="AX166" s="22" t="str">
        <f>IF(AND('[1]observations-276632'!W166&gt;'[1]Methods write-up'!$Q$16,'[1]observations-276632'!W166&lt;'[1]Methods write-up'!$R$16,'[1]observations-276632'!X166&gt;'[1]Methods write-up'!$S$16,'[1]observations-276632'!X166&lt;'[1]Methods write-up'!$T$16),"West and Central Africa","")</f>
        <v/>
      </c>
      <c r="AY166" s="22" t="str">
        <f>IF(AND('[1]observations-276632'!W166&gt;'[1]Methods write-up'!$Q$17,'[1]observations-276632'!W166&lt;'[1]Methods write-up'!$R$17,'[1]observations-276632'!X166&gt;'[1]Methods write-up'!$S$17,'[1]observations-276632'!X166&lt;'[1]Methods write-up'!$T$17),"Equatorial tropical forest","")</f>
        <v/>
      </c>
      <c r="AZ166" s="22" t="str">
        <f>IF(AND('[1]observations-276632'!W166&gt;'[1]Methods write-up'!$Q$18,'[1]observations-276632'!W166&lt;'[1]Methods write-up'!$R$18,'[1]observations-276632'!X166&gt;'[1]Methods write-up'!$S$18,'[1]observations-276632'!X166&lt;'[1]Methods write-up'!$T$18),"Somali peninsula","")</f>
        <v/>
      </c>
      <c r="BA166" s="22" t="str">
        <f>IF(AND('[1]observations-276632'!W166&gt;'[1]Methods write-up'!$Q$19,'[1]observations-276632'!W166&lt;'[1]Methods write-up'!$R$19,'[1]observations-276632'!X166&gt;'[1]Methods write-up'!$S$19,'[1]observations-276632'!X166&lt;'[1]Methods write-up'!$T$19),"East Africa","")</f>
        <v/>
      </c>
      <c r="BB166" s="22" t="str">
        <f>IF(AND('[1]observations-276632'!W166&gt;'[1]Methods write-up'!$Q$20,'[1]observations-276632'!W166&lt;'[1]Methods write-up'!$R$20,'[1]observations-276632'!X166&gt;'[1]Methods write-up'!$S$20,'[1]observations-276632'!X166&lt;'[1]Methods write-up'!$T$20),"Temperate seasonal","")</f>
        <v/>
      </c>
      <c r="BC166" s="22" t="str">
        <f>IF(AND('[1]observations-276632'!W166&gt;'[1]Methods write-up'!$Q$21,'[1]observations-276632'!W166&lt;'[1]Methods write-up'!$R$21,'[1]observations-276632'!X166&gt;'[1]Methods write-up'!$S$21,'[1]observations-276632'!X166&lt;'[1]Methods write-up'!$T$21),"Desert and high aridity","")</f>
        <v>Desert and high aridity</v>
      </c>
      <c r="BD166" s="23" t="str">
        <f t="shared" si="11"/>
        <v>Desert and high aridity</v>
      </c>
      <c r="BE166" s="24">
        <f t="shared" si="9"/>
        <v>6</v>
      </c>
      <c r="BF166" s="24">
        <f t="shared" si="10"/>
        <v>8</v>
      </c>
    </row>
    <row r="167" spans="3:58" ht="16.25" customHeight="1" x14ac:dyDescent="0.2">
      <c r="C167" s="14">
        <v>42588</v>
      </c>
      <c r="M167" t="s">
        <v>1219</v>
      </c>
      <c r="W167" s="15">
        <v>-28.123049999999999</v>
      </c>
      <c r="X167" s="15">
        <v>16.890830000000001</v>
      </c>
      <c r="AO167" s="16" t="s">
        <v>140</v>
      </c>
      <c r="AP167" s="17" t="str">
        <f t="shared" si="8"/>
        <v>Post-emergence nest</v>
      </c>
      <c r="AQ167" s="18">
        <v>6</v>
      </c>
      <c r="AT167" s="19" t="s">
        <v>141</v>
      </c>
      <c r="AU167" s="20" t="s">
        <v>315</v>
      </c>
      <c r="AX167" s="22" t="str">
        <f>IF(AND('[1]observations-276632'!W167&gt;'[1]Methods write-up'!$Q$16,'[1]observations-276632'!W167&lt;'[1]Methods write-up'!$R$16,'[1]observations-276632'!X167&gt;'[1]Methods write-up'!$S$16,'[1]observations-276632'!X167&lt;'[1]Methods write-up'!$T$16),"West and Central Africa","")</f>
        <v/>
      </c>
      <c r="AY167" s="22" t="str">
        <f>IF(AND('[1]observations-276632'!W167&gt;'[1]Methods write-up'!$Q$17,'[1]observations-276632'!W167&lt;'[1]Methods write-up'!$R$17,'[1]observations-276632'!X167&gt;'[1]Methods write-up'!$S$17,'[1]observations-276632'!X167&lt;'[1]Methods write-up'!$T$17),"Equatorial tropical forest","")</f>
        <v/>
      </c>
      <c r="AZ167" s="22" t="str">
        <f>IF(AND('[1]observations-276632'!W167&gt;'[1]Methods write-up'!$Q$18,'[1]observations-276632'!W167&lt;'[1]Methods write-up'!$R$18,'[1]observations-276632'!X167&gt;'[1]Methods write-up'!$S$18,'[1]observations-276632'!X167&lt;'[1]Methods write-up'!$T$18),"Somali peninsula","")</f>
        <v/>
      </c>
      <c r="BA167" s="22" t="str">
        <f>IF(AND('[1]observations-276632'!W167&gt;'[1]Methods write-up'!$Q$19,'[1]observations-276632'!W167&lt;'[1]Methods write-up'!$R$19,'[1]observations-276632'!X167&gt;'[1]Methods write-up'!$S$19,'[1]observations-276632'!X167&lt;'[1]Methods write-up'!$T$19),"East Africa","")</f>
        <v/>
      </c>
      <c r="BB167" s="22" t="str">
        <f>IF(AND('[1]observations-276632'!W167&gt;'[1]Methods write-up'!$Q$20,'[1]observations-276632'!W167&lt;'[1]Methods write-up'!$R$20,'[1]observations-276632'!X167&gt;'[1]Methods write-up'!$S$20,'[1]observations-276632'!X167&lt;'[1]Methods write-up'!$T$20),"Temperate seasonal","")</f>
        <v/>
      </c>
      <c r="BC167" s="22" t="str">
        <f>IF(AND('[1]observations-276632'!W167&gt;'[1]Methods write-up'!$Q$21,'[1]observations-276632'!W167&lt;'[1]Methods write-up'!$R$21,'[1]observations-276632'!X167&gt;'[1]Methods write-up'!$S$21,'[1]observations-276632'!X167&lt;'[1]Methods write-up'!$T$21),"Desert and high aridity","")</f>
        <v>Desert and high aridity</v>
      </c>
      <c r="BD167" s="23" t="str">
        <f t="shared" si="11"/>
        <v>Desert and high aridity</v>
      </c>
      <c r="BE167" s="24">
        <f t="shared" si="9"/>
        <v>6</v>
      </c>
      <c r="BF167" s="24">
        <f t="shared" si="10"/>
        <v>8</v>
      </c>
    </row>
    <row r="168" spans="3:58" ht="16.25" customHeight="1" x14ac:dyDescent="0.2">
      <c r="C168" s="14">
        <v>42588</v>
      </c>
      <c r="M168" t="s">
        <v>1220</v>
      </c>
      <c r="W168" s="15">
        <v>-28.123049999999999</v>
      </c>
      <c r="X168" s="15">
        <v>16.890830000000001</v>
      </c>
      <c r="AO168" s="16" t="s">
        <v>140</v>
      </c>
      <c r="AP168" s="17" t="str">
        <f t="shared" si="8"/>
        <v>Post-emergence nest</v>
      </c>
      <c r="AQ168" s="18">
        <v>5</v>
      </c>
      <c r="AT168" s="19" t="s">
        <v>141</v>
      </c>
      <c r="AU168" s="20" t="s">
        <v>315</v>
      </c>
      <c r="AX168" s="22" t="str">
        <f>IF(AND('[1]observations-276632'!W168&gt;'[1]Methods write-up'!$Q$16,'[1]observations-276632'!W168&lt;'[1]Methods write-up'!$R$16,'[1]observations-276632'!X168&gt;'[1]Methods write-up'!$S$16,'[1]observations-276632'!X168&lt;'[1]Methods write-up'!$T$16),"West and Central Africa","")</f>
        <v/>
      </c>
      <c r="AY168" s="22" t="str">
        <f>IF(AND('[1]observations-276632'!W168&gt;'[1]Methods write-up'!$Q$17,'[1]observations-276632'!W168&lt;'[1]Methods write-up'!$R$17,'[1]observations-276632'!X168&gt;'[1]Methods write-up'!$S$17,'[1]observations-276632'!X168&lt;'[1]Methods write-up'!$T$17),"Equatorial tropical forest","")</f>
        <v/>
      </c>
      <c r="AZ168" s="22" t="str">
        <f>IF(AND('[1]observations-276632'!W168&gt;'[1]Methods write-up'!$Q$18,'[1]observations-276632'!W168&lt;'[1]Methods write-up'!$R$18,'[1]observations-276632'!X168&gt;'[1]Methods write-up'!$S$18,'[1]observations-276632'!X168&lt;'[1]Methods write-up'!$T$18),"Somali peninsula","")</f>
        <v/>
      </c>
      <c r="BA168" s="22" t="str">
        <f>IF(AND('[1]observations-276632'!W168&gt;'[1]Methods write-up'!$Q$19,'[1]observations-276632'!W168&lt;'[1]Methods write-up'!$R$19,'[1]observations-276632'!X168&gt;'[1]Methods write-up'!$S$19,'[1]observations-276632'!X168&lt;'[1]Methods write-up'!$T$19),"East Africa","")</f>
        <v/>
      </c>
      <c r="BB168" s="22" t="str">
        <f>IF(AND('[1]observations-276632'!W168&gt;'[1]Methods write-up'!$Q$20,'[1]observations-276632'!W168&lt;'[1]Methods write-up'!$R$20,'[1]observations-276632'!X168&gt;'[1]Methods write-up'!$S$20,'[1]observations-276632'!X168&lt;'[1]Methods write-up'!$T$20),"Temperate seasonal","")</f>
        <v/>
      </c>
      <c r="BC168" s="22" t="str">
        <f>IF(AND('[1]observations-276632'!W168&gt;'[1]Methods write-up'!$Q$21,'[1]observations-276632'!W168&lt;'[1]Methods write-up'!$R$21,'[1]observations-276632'!X168&gt;'[1]Methods write-up'!$S$21,'[1]observations-276632'!X168&lt;'[1]Methods write-up'!$T$21),"Desert and high aridity","")</f>
        <v>Desert and high aridity</v>
      </c>
      <c r="BD168" s="23" t="str">
        <f t="shared" si="11"/>
        <v>Desert and high aridity</v>
      </c>
      <c r="BE168" s="24">
        <f t="shared" si="9"/>
        <v>6</v>
      </c>
      <c r="BF168" s="24">
        <f t="shared" si="10"/>
        <v>8</v>
      </c>
    </row>
    <row r="169" spans="3:58" ht="16.25" customHeight="1" x14ac:dyDescent="0.2">
      <c r="C169" s="14">
        <v>42588</v>
      </c>
      <c r="M169" t="s">
        <v>1221</v>
      </c>
      <c r="W169" s="15">
        <v>-28.123049999999999</v>
      </c>
      <c r="X169" s="15">
        <v>16.890830000000001</v>
      </c>
      <c r="AO169" s="16" t="s">
        <v>172</v>
      </c>
      <c r="AP169" s="17" t="str">
        <f t="shared" si="8"/>
        <v>Nest (foundress)</v>
      </c>
      <c r="AQ169" s="18">
        <v>4</v>
      </c>
      <c r="AT169" s="19" t="s">
        <v>141</v>
      </c>
      <c r="AX169" s="22" t="str">
        <f>IF(AND('[1]observations-276632'!W169&gt;'[1]Methods write-up'!$Q$16,'[1]observations-276632'!W169&lt;'[1]Methods write-up'!$R$16,'[1]observations-276632'!X169&gt;'[1]Methods write-up'!$S$16,'[1]observations-276632'!X169&lt;'[1]Methods write-up'!$T$16),"West and Central Africa","")</f>
        <v/>
      </c>
      <c r="AY169" s="22" t="str">
        <f>IF(AND('[1]observations-276632'!W169&gt;'[1]Methods write-up'!$Q$17,'[1]observations-276632'!W169&lt;'[1]Methods write-up'!$R$17,'[1]observations-276632'!X169&gt;'[1]Methods write-up'!$S$17,'[1]observations-276632'!X169&lt;'[1]Methods write-up'!$T$17),"Equatorial tropical forest","")</f>
        <v/>
      </c>
      <c r="AZ169" s="22" t="str">
        <f>IF(AND('[1]observations-276632'!W169&gt;'[1]Methods write-up'!$Q$18,'[1]observations-276632'!W169&lt;'[1]Methods write-up'!$R$18,'[1]observations-276632'!X169&gt;'[1]Methods write-up'!$S$18,'[1]observations-276632'!X169&lt;'[1]Methods write-up'!$T$18),"Somali peninsula","")</f>
        <v/>
      </c>
      <c r="BA169" s="22" t="str">
        <f>IF(AND('[1]observations-276632'!W169&gt;'[1]Methods write-up'!$Q$19,'[1]observations-276632'!W169&lt;'[1]Methods write-up'!$R$19,'[1]observations-276632'!X169&gt;'[1]Methods write-up'!$S$19,'[1]observations-276632'!X169&lt;'[1]Methods write-up'!$T$19),"East Africa","")</f>
        <v/>
      </c>
      <c r="BB169" s="22" t="str">
        <f>IF(AND('[1]observations-276632'!W169&gt;'[1]Methods write-up'!$Q$20,'[1]observations-276632'!W169&lt;'[1]Methods write-up'!$R$20,'[1]observations-276632'!X169&gt;'[1]Methods write-up'!$S$20,'[1]observations-276632'!X169&lt;'[1]Methods write-up'!$T$20),"Temperate seasonal","")</f>
        <v/>
      </c>
      <c r="BC169" s="22" t="str">
        <f>IF(AND('[1]observations-276632'!W169&gt;'[1]Methods write-up'!$Q$21,'[1]observations-276632'!W169&lt;'[1]Methods write-up'!$R$21,'[1]observations-276632'!X169&gt;'[1]Methods write-up'!$S$21,'[1]observations-276632'!X169&lt;'[1]Methods write-up'!$T$21),"Desert and high aridity","")</f>
        <v>Desert and high aridity</v>
      </c>
      <c r="BD169" s="23" t="str">
        <f t="shared" si="11"/>
        <v>Desert and high aridity</v>
      </c>
      <c r="BE169" s="24">
        <f t="shared" si="9"/>
        <v>6</v>
      </c>
      <c r="BF169" s="24">
        <f t="shared" si="10"/>
        <v>8</v>
      </c>
    </row>
    <row r="170" spans="3:58" ht="16.25" customHeight="1" x14ac:dyDescent="0.2">
      <c r="C170" s="14">
        <v>42588</v>
      </c>
      <c r="M170" t="s">
        <v>1222</v>
      </c>
      <c r="W170" s="15">
        <v>-28.123049999999999</v>
      </c>
      <c r="X170" s="15">
        <v>16.890830000000001</v>
      </c>
      <c r="AO170" s="16" t="s">
        <v>140</v>
      </c>
      <c r="AP170" s="17" t="str">
        <f t="shared" si="8"/>
        <v>Post-emergence nest</v>
      </c>
      <c r="AQ170" s="18">
        <v>2</v>
      </c>
      <c r="AT170" s="19" t="s">
        <v>141</v>
      </c>
      <c r="AU170" s="20" t="s">
        <v>315</v>
      </c>
      <c r="AX170" s="22" t="str">
        <f>IF(AND('[1]observations-276632'!W170&gt;'[1]Methods write-up'!$Q$16,'[1]observations-276632'!W170&lt;'[1]Methods write-up'!$R$16,'[1]observations-276632'!X170&gt;'[1]Methods write-up'!$S$16,'[1]observations-276632'!X170&lt;'[1]Methods write-up'!$T$16),"West and Central Africa","")</f>
        <v/>
      </c>
      <c r="AY170" s="22" t="str">
        <f>IF(AND('[1]observations-276632'!W170&gt;'[1]Methods write-up'!$Q$17,'[1]observations-276632'!W170&lt;'[1]Methods write-up'!$R$17,'[1]observations-276632'!X170&gt;'[1]Methods write-up'!$S$17,'[1]observations-276632'!X170&lt;'[1]Methods write-up'!$T$17),"Equatorial tropical forest","")</f>
        <v/>
      </c>
      <c r="AZ170" s="22" t="str">
        <f>IF(AND('[1]observations-276632'!W170&gt;'[1]Methods write-up'!$Q$18,'[1]observations-276632'!W170&lt;'[1]Methods write-up'!$R$18,'[1]observations-276632'!X170&gt;'[1]Methods write-up'!$S$18,'[1]observations-276632'!X170&lt;'[1]Methods write-up'!$T$18),"Somali peninsula","")</f>
        <v/>
      </c>
      <c r="BA170" s="22" t="str">
        <f>IF(AND('[1]observations-276632'!W170&gt;'[1]Methods write-up'!$Q$19,'[1]observations-276632'!W170&lt;'[1]Methods write-up'!$R$19,'[1]observations-276632'!X170&gt;'[1]Methods write-up'!$S$19,'[1]observations-276632'!X170&lt;'[1]Methods write-up'!$T$19),"East Africa","")</f>
        <v/>
      </c>
      <c r="BB170" s="22" t="str">
        <f>IF(AND('[1]observations-276632'!W170&gt;'[1]Methods write-up'!$Q$20,'[1]observations-276632'!W170&lt;'[1]Methods write-up'!$R$20,'[1]observations-276632'!X170&gt;'[1]Methods write-up'!$S$20,'[1]observations-276632'!X170&lt;'[1]Methods write-up'!$T$20),"Temperate seasonal","")</f>
        <v/>
      </c>
      <c r="BC170" s="22" t="str">
        <f>IF(AND('[1]observations-276632'!W170&gt;'[1]Methods write-up'!$Q$21,'[1]observations-276632'!W170&lt;'[1]Methods write-up'!$R$21,'[1]observations-276632'!X170&gt;'[1]Methods write-up'!$S$21,'[1]observations-276632'!X170&lt;'[1]Methods write-up'!$T$21),"Desert and high aridity","")</f>
        <v>Desert and high aridity</v>
      </c>
      <c r="BD170" s="23" t="str">
        <f t="shared" si="11"/>
        <v>Desert and high aridity</v>
      </c>
      <c r="BE170" s="24">
        <f t="shared" si="9"/>
        <v>6</v>
      </c>
      <c r="BF170" s="24">
        <f t="shared" si="10"/>
        <v>8</v>
      </c>
    </row>
    <row r="171" spans="3:58" ht="16.25" customHeight="1" x14ac:dyDescent="0.2">
      <c r="C171" s="14">
        <v>42588</v>
      </c>
      <c r="M171" t="s">
        <v>1223</v>
      </c>
      <c r="W171" s="15">
        <v>-28.123049999999999</v>
      </c>
      <c r="X171" s="15">
        <v>16.890830000000001</v>
      </c>
      <c r="AO171" s="16" t="s">
        <v>110</v>
      </c>
      <c r="AP171" s="17" t="str">
        <f t="shared" si="8"/>
        <v>Nest (foundress)</v>
      </c>
      <c r="AQ171" s="18">
        <v>2</v>
      </c>
      <c r="AX171" s="22" t="str">
        <f>IF(AND('[1]observations-276632'!W171&gt;'[1]Methods write-up'!$Q$16,'[1]observations-276632'!W171&lt;'[1]Methods write-up'!$R$16,'[1]observations-276632'!X171&gt;'[1]Methods write-up'!$S$16,'[1]observations-276632'!X171&lt;'[1]Methods write-up'!$T$16),"West and Central Africa","")</f>
        <v/>
      </c>
      <c r="AY171" s="22" t="str">
        <f>IF(AND('[1]observations-276632'!W171&gt;'[1]Methods write-up'!$Q$17,'[1]observations-276632'!W171&lt;'[1]Methods write-up'!$R$17,'[1]observations-276632'!X171&gt;'[1]Methods write-up'!$S$17,'[1]observations-276632'!X171&lt;'[1]Methods write-up'!$T$17),"Equatorial tropical forest","")</f>
        <v/>
      </c>
      <c r="AZ171" s="22" t="str">
        <f>IF(AND('[1]observations-276632'!W171&gt;'[1]Methods write-up'!$Q$18,'[1]observations-276632'!W171&lt;'[1]Methods write-up'!$R$18,'[1]observations-276632'!X171&gt;'[1]Methods write-up'!$S$18,'[1]observations-276632'!X171&lt;'[1]Methods write-up'!$T$18),"Somali peninsula","")</f>
        <v/>
      </c>
      <c r="BA171" s="22" t="str">
        <f>IF(AND('[1]observations-276632'!W171&gt;'[1]Methods write-up'!$Q$19,'[1]observations-276632'!W171&lt;'[1]Methods write-up'!$R$19,'[1]observations-276632'!X171&gt;'[1]Methods write-up'!$S$19,'[1]observations-276632'!X171&lt;'[1]Methods write-up'!$T$19),"East Africa","")</f>
        <v/>
      </c>
      <c r="BB171" s="22" t="str">
        <f>IF(AND('[1]observations-276632'!W171&gt;'[1]Methods write-up'!$Q$20,'[1]observations-276632'!W171&lt;'[1]Methods write-up'!$R$20,'[1]observations-276632'!X171&gt;'[1]Methods write-up'!$S$20,'[1]observations-276632'!X171&lt;'[1]Methods write-up'!$T$20),"Temperate seasonal","")</f>
        <v/>
      </c>
      <c r="BC171" s="22" t="str">
        <f>IF(AND('[1]observations-276632'!W171&gt;'[1]Methods write-up'!$Q$21,'[1]observations-276632'!W171&lt;'[1]Methods write-up'!$R$21,'[1]observations-276632'!X171&gt;'[1]Methods write-up'!$S$21,'[1]observations-276632'!X171&lt;'[1]Methods write-up'!$T$21),"Desert and high aridity","")</f>
        <v>Desert and high aridity</v>
      </c>
      <c r="BD171" s="23" t="str">
        <f t="shared" si="11"/>
        <v>Desert and high aridity</v>
      </c>
      <c r="BE171" s="24">
        <f t="shared" si="9"/>
        <v>6</v>
      </c>
      <c r="BF171" s="24">
        <f t="shared" si="10"/>
        <v>8</v>
      </c>
    </row>
    <row r="172" spans="3:58" ht="16.25" customHeight="1" x14ac:dyDescent="0.2">
      <c r="C172" s="14">
        <v>42588</v>
      </c>
      <c r="M172" t="s">
        <v>1224</v>
      </c>
      <c r="W172" s="15">
        <v>-28.123049999999999</v>
      </c>
      <c r="X172" s="15">
        <v>16.890830000000001</v>
      </c>
      <c r="AO172" s="16" t="s">
        <v>110</v>
      </c>
      <c r="AP172" s="17" t="str">
        <f t="shared" si="8"/>
        <v>Nest (foundress)</v>
      </c>
      <c r="AQ172" s="18">
        <v>1</v>
      </c>
      <c r="AX172" s="22" t="str">
        <f>IF(AND('[1]observations-276632'!W172&gt;'[1]Methods write-up'!$Q$16,'[1]observations-276632'!W172&lt;'[1]Methods write-up'!$R$16,'[1]observations-276632'!X172&gt;'[1]Methods write-up'!$S$16,'[1]observations-276632'!X172&lt;'[1]Methods write-up'!$T$16),"West and Central Africa","")</f>
        <v/>
      </c>
      <c r="AY172" s="22" t="str">
        <f>IF(AND('[1]observations-276632'!W172&gt;'[1]Methods write-up'!$Q$17,'[1]observations-276632'!W172&lt;'[1]Methods write-up'!$R$17,'[1]observations-276632'!X172&gt;'[1]Methods write-up'!$S$17,'[1]observations-276632'!X172&lt;'[1]Methods write-up'!$T$17),"Equatorial tropical forest","")</f>
        <v/>
      </c>
      <c r="AZ172" s="22" t="str">
        <f>IF(AND('[1]observations-276632'!W172&gt;'[1]Methods write-up'!$Q$18,'[1]observations-276632'!W172&lt;'[1]Methods write-up'!$R$18,'[1]observations-276632'!X172&gt;'[1]Methods write-up'!$S$18,'[1]observations-276632'!X172&lt;'[1]Methods write-up'!$T$18),"Somali peninsula","")</f>
        <v/>
      </c>
      <c r="BA172" s="22" t="str">
        <f>IF(AND('[1]observations-276632'!W172&gt;'[1]Methods write-up'!$Q$19,'[1]observations-276632'!W172&lt;'[1]Methods write-up'!$R$19,'[1]observations-276632'!X172&gt;'[1]Methods write-up'!$S$19,'[1]observations-276632'!X172&lt;'[1]Methods write-up'!$T$19),"East Africa","")</f>
        <v/>
      </c>
      <c r="BB172" s="22" t="str">
        <f>IF(AND('[1]observations-276632'!W172&gt;'[1]Methods write-up'!$Q$20,'[1]observations-276632'!W172&lt;'[1]Methods write-up'!$R$20,'[1]observations-276632'!X172&gt;'[1]Methods write-up'!$S$20,'[1]observations-276632'!X172&lt;'[1]Methods write-up'!$T$20),"Temperate seasonal","")</f>
        <v/>
      </c>
      <c r="BC172" s="22" t="str">
        <f>IF(AND('[1]observations-276632'!W172&gt;'[1]Methods write-up'!$Q$21,'[1]observations-276632'!W172&lt;'[1]Methods write-up'!$R$21,'[1]observations-276632'!X172&gt;'[1]Methods write-up'!$S$21,'[1]observations-276632'!X172&lt;'[1]Methods write-up'!$T$21),"Desert and high aridity","")</f>
        <v>Desert and high aridity</v>
      </c>
      <c r="BD172" s="23" t="str">
        <f t="shared" si="11"/>
        <v>Desert and high aridity</v>
      </c>
      <c r="BE172" s="24">
        <f t="shared" si="9"/>
        <v>6</v>
      </c>
      <c r="BF172" s="24">
        <f t="shared" si="10"/>
        <v>8</v>
      </c>
    </row>
    <row r="173" spans="3:58" ht="16.25" customHeight="1" x14ac:dyDescent="0.2">
      <c r="C173" s="14">
        <v>42588</v>
      </c>
      <c r="M173" t="s">
        <v>1225</v>
      </c>
      <c r="W173" s="15">
        <v>-28.123049999999999</v>
      </c>
      <c r="X173" s="15">
        <v>16.890830000000001</v>
      </c>
      <c r="AO173" s="16" t="s">
        <v>110</v>
      </c>
      <c r="AP173" s="17" t="str">
        <f t="shared" si="8"/>
        <v>Nest (foundress)</v>
      </c>
      <c r="AQ173" s="18">
        <v>1</v>
      </c>
      <c r="AX173" s="22" t="str">
        <f>IF(AND('[1]observations-276632'!W173&gt;'[1]Methods write-up'!$Q$16,'[1]observations-276632'!W173&lt;'[1]Methods write-up'!$R$16,'[1]observations-276632'!X173&gt;'[1]Methods write-up'!$S$16,'[1]observations-276632'!X173&lt;'[1]Methods write-up'!$T$16),"West and Central Africa","")</f>
        <v/>
      </c>
      <c r="AY173" s="22" t="str">
        <f>IF(AND('[1]observations-276632'!W173&gt;'[1]Methods write-up'!$Q$17,'[1]observations-276632'!W173&lt;'[1]Methods write-up'!$R$17,'[1]observations-276632'!X173&gt;'[1]Methods write-up'!$S$17,'[1]observations-276632'!X173&lt;'[1]Methods write-up'!$T$17),"Equatorial tropical forest","")</f>
        <v/>
      </c>
      <c r="AZ173" s="22" t="str">
        <f>IF(AND('[1]observations-276632'!W173&gt;'[1]Methods write-up'!$Q$18,'[1]observations-276632'!W173&lt;'[1]Methods write-up'!$R$18,'[1]observations-276632'!X173&gt;'[1]Methods write-up'!$S$18,'[1]observations-276632'!X173&lt;'[1]Methods write-up'!$T$18),"Somali peninsula","")</f>
        <v/>
      </c>
      <c r="BA173" s="22" t="str">
        <f>IF(AND('[1]observations-276632'!W173&gt;'[1]Methods write-up'!$Q$19,'[1]observations-276632'!W173&lt;'[1]Methods write-up'!$R$19,'[1]observations-276632'!X173&gt;'[1]Methods write-up'!$S$19,'[1]observations-276632'!X173&lt;'[1]Methods write-up'!$T$19),"East Africa","")</f>
        <v/>
      </c>
      <c r="BB173" s="22" t="str">
        <f>IF(AND('[1]observations-276632'!W173&gt;'[1]Methods write-up'!$Q$20,'[1]observations-276632'!W173&lt;'[1]Methods write-up'!$R$20,'[1]observations-276632'!X173&gt;'[1]Methods write-up'!$S$20,'[1]observations-276632'!X173&lt;'[1]Methods write-up'!$T$20),"Temperate seasonal","")</f>
        <v/>
      </c>
      <c r="BC173" s="22" t="str">
        <f>IF(AND('[1]observations-276632'!W173&gt;'[1]Methods write-up'!$Q$21,'[1]observations-276632'!W173&lt;'[1]Methods write-up'!$R$21,'[1]observations-276632'!X173&gt;'[1]Methods write-up'!$S$21,'[1]observations-276632'!X173&lt;'[1]Methods write-up'!$T$21),"Desert and high aridity","")</f>
        <v>Desert and high aridity</v>
      </c>
      <c r="BD173" s="23" t="str">
        <f t="shared" si="11"/>
        <v>Desert and high aridity</v>
      </c>
      <c r="BE173" s="24">
        <f t="shared" si="9"/>
        <v>6</v>
      </c>
      <c r="BF173" s="24">
        <f t="shared" si="10"/>
        <v>8</v>
      </c>
    </row>
    <row r="174" spans="3:58" ht="16.25" customHeight="1" x14ac:dyDescent="0.2">
      <c r="C174" s="14">
        <v>42588</v>
      </c>
      <c r="M174" t="s">
        <v>1226</v>
      </c>
      <c r="W174" s="15">
        <v>-28.123049999999999</v>
      </c>
      <c r="X174" s="15">
        <v>16.890830000000001</v>
      </c>
      <c r="AO174" s="16" t="s">
        <v>172</v>
      </c>
      <c r="AP174" s="17" t="str">
        <f t="shared" si="8"/>
        <v>Nest (foundress)</v>
      </c>
      <c r="AQ174" s="18">
        <v>3</v>
      </c>
      <c r="AX174" s="22" t="str">
        <f>IF(AND('[1]observations-276632'!W174&gt;'[1]Methods write-up'!$Q$16,'[1]observations-276632'!W174&lt;'[1]Methods write-up'!$R$16,'[1]observations-276632'!X174&gt;'[1]Methods write-up'!$S$16,'[1]observations-276632'!X174&lt;'[1]Methods write-up'!$T$16),"West and Central Africa","")</f>
        <v/>
      </c>
      <c r="AY174" s="22" t="str">
        <f>IF(AND('[1]observations-276632'!W174&gt;'[1]Methods write-up'!$Q$17,'[1]observations-276632'!W174&lt;'[1]Methods write-up'!$R$17,'[1]observations-276632'!X174&gt;'[1]Methods write-up'!$S$17,'[1]observations-276632'!X174&lt;'[1]Methods write-up'!$T$17),"Equatorial tropical forest","")</f>
        <v/>
      </c>
      <c r="AZ174" s="22" t="str">
        <f>IF(AND('[1]observations-276632'!W174&gt;'[1]Methods write-up'!$Q$18,'[1]observations-276632'!W174&lt;'[1]Methods write-up'!$R$18,'[1]observations-276632'!X174&gt;'[1]Methods write-up'!$S$18,'[1]observations-276632'!X174&lt;'[1]Methods write-up'!$T$18),"Somali peninsula","")</f>
        <v/>
      </c>
      <c r="BA174" s="22" t="str">
        <f>IF(AND('[1]observations-276632'!W174&gt;'[1]Methods write-up'!$Q$19,'[1]observations-276632'!W174&lt;'[1]Methods write-up'!$R$19,'[1]observations-276632'!X174&gt;'[1]Methods write-up'!$S$19,'[1]observations-276632'!X174&lt;'[1]Methods write-up'!$T$19),"East Africa","")</f>
        <v/>
      </c>
      <c r="BB174" s="22" t="str">
        <f>IF(AND('[1]observations-276632'!W174&gt;'[1]Methods write-up'!$Q$20,'[1]observations-276632'!W174&lt;'[1]Methods write-up'!$R$20,'[1]observations-276632'!X174&gt;'[1]Methods write-up'!$S$20,'[1]observations-276632'!X174&lt;'[1]Methods write-up'!$T$20),"Temperate seasonal","")</f>
        <v/>
      </c>
      <c r="BC174" s="22" t="str">
        <f>IF(AND('[1]observations-276632'!W174&gt;'[1]Methods write-up'!$Q$21,'[1]observations-276632'!W174&lt;'[1]Methods write-up'!$R$21,'[1]observations-276632'!X174&gt;'[1]Methods write-up'!$S$21,'[1]observations-276632'!X174&lt;'[1]Methods write-up'!$T$21),"Desert and high aridity","")</f>
        <v>Desert and high aridity</v>
      </c>
      <c r="BD174" s="23" t="str">
        <f t="shared" si="11"/>
        <v>Desert and high aridity</v>
      </c>
      <c r="BE174" s="24">
        <f t="shared" si="9"/>
        <v>6</v>
      </c>
      <c r="BF174" s="24">
        <f t="shared" si="10"/>
        <v>8</v>
      </c>
    </row>
    <row r="175" spans="3:58" ht="16.25" customHeight="1" x14ac:dyDescent="0.2">
      <c r="C175" s="14">
        <v>42588</v>
      </c>
      <c r="M175" t="s">
        <v>1227</v>
      </c>
      <c r="W175" s="15">
        <v>-28.123049999999999</v>
      </c>
      <c r="X175" s="15">
        <v>16.890830000000001</v>
      </c>
      <c r="AO175" s="16" t="s">
        <v>110</v>
      </c>
      <c r="AP175" s="17" t="str">
        <f t="shared" si="8"/>
        <v>Nest (foundress)</v>
      </c>
      <c r="AQ175" s="18">
        <v>1</v>
      </c>
      <c r="AX175" s="22" t="str">
        <f>IF(AND('[1]observations-276632'!W175&gt;'[1]Methods write-up'!$Q$16,'[1]observations-276632'!W175&lt;'[1]Methods write-up'!$R$16,'[1]observations-276632'!X175&gt;'[1]Methods write-up'!$S$16,'[1]observations-276632'!X175&lt;'[1]Methods write-up'!$T$16),"West and Central Africa","")</f>
        <v/>
      </c>
      <c r="AY175" s="22" t="str">
        <f>IF(AND('[1]observations-276632'!W175&gt;'[1]Methods write-up'!$Q$17,'[1]observations-276632'!W175&lt;'[1]Methods write-up'!$R$17,'[1]observations-276632'!X175&gt;'[1]Methods write-up'!$S$17,'[1]observations-276632'!X175&lt;'[1]Methods write-up'!$T$17),"Equatorial tropical forest","")</f>
        <v/>
      </c>
      <c r="AZ175" s="22" t="str">
        <f>IF(AND('[1]observations-276632'!W175&gt;'[1]Methods write-up'!$Q$18,'[1]observations-276632'!W175&lt;'[1]Methods write-up'!$R$18,'[1]observations-276632'!X175&gt;'[1]Methods write-up'!$S$18,'[1]observations-276632'!X175&lt;'[1]Methods write-up'!$T$18),"Somali peninsula","")</f>
        <v/>
      </c>
      <c r="BA175" s="22" t="str">
        <f>IF(AND('[1]observations-276632'!W175&gt;'[1]Methods write-up'!$Q$19,'[1]observations-276632'!W175&lt;'[1]Methods write-up'!$R$19,'[1]observations-276632'!X175&gt;'[1]Methods write-up'!$S$19,'[1]observations-276632'!X175&lt;'[1]Methods write-up'!$T$19),"East Africa","")</f>
        <v/>
      </c>
      <c r="BB175" s="22" t="str">
        <f>IF(AND('[1]observations-276632'!W175&gt;'[1]Methods write-up'!$Q$20,'[1]observations-276632'!W175&lt;'[1]Methods write-up'!$R$20,'[1]observations-276632'!X175&gt;'[1]Methods write-up'!$S$20,'[1]observations-276632'!X175&lt;'[1]Methods write-up'!$T$20),"Temperate seasonal","")</f>
        <v/>
      </c>
      <c r="BC175" s="22" t="str">
        <f>IF(AND('[1]observations-276632'!W175&gt;'[1]Methods write-up'!$Q$21,'[1]observations-276632'!W175&lt;'[1]Methods write-up'!$R$21,'[1]observations-276632'!X175&gt;'[1]Methods write-up'!$S$21,'[1]observations-276632'!X175&lt;'[1]Methods write-up'!$T$21),"Desert and high aridity","")</f>
        <v>Desert and high aridity</v>
      </c>
      <c r="BD175" s="23" t="str">
        <f t="shared" si="11"/>
        <v>Desert and high aridity</v>
      </c>
      <c r="BE175" s="24">
        <f t="shared" si="9"/>
        <v>6</v>
      </c>
      <c r="BF175" s="24">
        <f t="shared" si="10"/>
        <v>8</v>
      </c>
    </row>
    <row r="176" spans="3:58" ht="16.25" customHeight="1" x14ac:dyDescent="0.2">
      <c r="C176" s="14">
        <v>42588</v>
      </c>
      <c r="M176" t="s">
        <v>1228</v>
      </c>
      <c r="W176" s="15">
        <v>-28.123049999999999</v>
      </c>
      <c r="X176" s="15">
        <v>16.890830000000001</v>
      </c>
      <c r="AO176" s="16" t="s">
        <v>140</v>
      </c>
      <c r="AP176" s="17" t="str">
        <f t="shared" si="8"/>
        <v>Post-emergence nest</v>
      </c>
      <c r="AQ176" s="18">
        <v>2</v>
      </c>
      <c r="AT176" s="19" t="s">
        <v>141</v>
      </c>
      <c r="AU176" s="20" t="s">
        <v>315</v>
      </c>
      <c r="AX176" s="22" t="str">
        <f>IF(AND('[1]observations-276632'!W176&gt;'[1]Methods write-up'!$Q$16,'[1]observations-276632'!W176&lt;'[1]Methods write-up'!$R$16,'[1]observations-276632'!X176&gt;'[1]Methods write-up'!$S$16,'[1]observations-276632'!X176&lt;'[1]Methods write-up'!$T$16),"West and Central Africa","")</f>
        <v/>
      </c>
      <c r="AY176" s="22" t="str">
        <f>IF(AND('[1]observations-276632'!W176&gt;'[1]Methods write-up'!$Q$17,'[1]observations-276632'!W176&lt;'[1]Methods write-up'!$R$17,'[1]observations-276632'!X176&gt;'[1]Methods write-up'!$S$17,'[1]observations-276632'!X176&lt;'[1]Methods write-up'!$T$17),"Equatorial tropical forest","")</f>
        <v/>
      </c>
      <c r="AZ176" s="22" t="str">
        <f>IF(AND('[1]observations-276632'!W176&gt;'[1]Methods write-up'!$Q$18,'[1]observations-276632'!W176&lt;'[1]Methods write-up'!$R$18,'[1]observations-276632'!X176&gt;'[1]Methods write-up'!$S$18,'[1]observations-276632'!X176&lt;'[1]Methods write-up'!$T$18),"Somali peninsula","")</f>
        <v/>
      </c>
      <c r="BA176" s="22" t="str">
        <f>IF(AND('[1]observations-276632'!W176&gt;'[1]Methods write-up'!$Q$19,'[1]observations-276632'!W176&lt;'[1]Methods write-up'!$R$19,'[1]observations-276632'!X176&gt;'[1]Methods write-up'!$S$19,'[1]observations-276632'!X176&lt;'[1]Methods write-up'!$T$19),"East Africa","")</f>
        <v/>
      </c>
      <c r="BB176" s="22" t="str">
        <f>IF(AND('[1]observations-276632'!W176&gt;'[1]Methods write-up'!$Q$20,'[1]observations-276632'!W176&lt;'[1]Methods write-up'!$R$20,'[1]observations-276632'!X176&gt;'[1]Methods write-up'!$S$20,'[1]observations-276632'!X176&lt;'[1]Methods write-up'!$T$20),"Temperate seasonal","")</f>
        <v/>
      </c>
      <c r="BC176" s="22" t="str">
        <f>IF(AND('[1]observations-276632'!W176&gt;'[1]Methods write-up'!$Q$21,'[1]observations-276632'!W176&lt;'[1]Methods write-up'!$R$21,'[1]observations-276632'!X176&gt;'[1]Methods write-up'!$S$21,'[1]observations-276632'!X176&lt;'[1]Methods write-up'!$T$21),"Desert and high aridity","")</f>
        <v>Desert and high aridity</v>
      </c>
      <c r="BD176" s="23" t="str">
        <f t="shared" si="11"/>
        <v>Desert and high aridity</v>
      </c>
      <c r="BE176" s="24">
        <f t="shared" si="9"/>
        <v>6</v>
      </c>
      <c r="BF176" s="24">
        <f t="shared" si="10"/>
        <v>8</v>
      </c>
    </row>
    <row r="177" spans="1:58" ht="16.25" customHeight="1" x14ac:dyDescent="0.2">
      <c r="C177" s="14">
        <v>42588</v>
      </c>
      <c r="M177" t="s">
        <v>1229</v>
      </c>
      <c r="W177" s="15">
        <v>-28.123049999999999</v>
      </c>
      <c r="X177" s="15">
        <v>16.890830000000001</v>
      </c>
      <c r="AO177" s="16" t="s">
        <v>140</v>
      </c>
      <c r="AP177" s="17" t="str">
        <f t="shared" si="8"/>
        <v>Post-emergence nest</v>
      </c>
      <c r="AQ177" s="18">
        <v>4</v>
      </c>
      <c r="AT177" s="19" t="s">
        <v>141</v>
      </c>
      <c r="AU177" s="20" t="s">
        <v>315</v>
      </c>
      <c r="AX177" s="22" t="str">
        <f>IF(AND('[1]observations-276632'!W177&gt;'[1]Methods write-up'!$Q$16,'[1]observations-276632'!W177&lt;'[1]Methods write-up'!$R$16,'[1]observations-276632'!X177&gt;'[1]Methods write-up'!$S$16,'[1]observations-276632'!X177&lt;'[1]Methods write-up'!$T$16),"West and Central Africa","")</f>
        <v/>
      </c>
      <c r="AY177" s="22" t="str">
        <f>IF(AND('[1]observations-276632'!W177&gt;'[1]Methods write-up'!$Q$17,'[1]observations-276632'!W177&lt;'[1]Methods write-up'!$R$17,'[1]observations-276632'!X177&gt;'[1]Methods write-up'!$S$17,'[1]observations-276632'!X177&lt;'[1]Methods write-up'!$T$17),"Equatorial tropical forest","")</f>
        <v/>
      </c>
      <c r="AZ177" s="22" t="str">
        <f>IF(AND('[1]observations-276632'!W177&gt;'[1]Methods write-up'!$Q$18,'[1]observations-276632'!W177&lt;'[1]Methods write-up'!$R$18,'[1]observations-276632'!X177&gt;'[1]Methods write-up'!$S$18,'[1]observations-276632'!X177&lt;'[1]Methods write-up'!$T$18),"Somali peninsula","")</f>
        <v/>
      </c>
      <c r="BA177" s="22" t="str">
        <f>IF(AND('[1]observations-276632'!W177&gt;'[1]Methods write-up'!$Q$19,'[1]observations-276632'!W177&lt;'[1]Methods write-up'!$R$19,'[1]observations-276632'!X177&gt;'[1]Methods write-up'!$S$19,'[1]observations-276632'!X177&lt;'[1]Methods write-up'!$T$19),"East Africa","")</f>
        <v/>
      </c>
      <c r="BB177" s="22" t="str">
        <f>IF(AND('[1]observations-276632'!W177&gt;'[1]Methods write-up'!$Q$20,'[1]observations-276632'!W177&lt;'[1]Methods write-up'!$R$20,'[1]observations-276632'!X177&gt;'[1]Methods write-up'!$S$20,'[1]observations-276632'!X177&lt;'[1]Methods write-up'!$T$20),"Temperate seasonal","")</f>
        <v/>
      </c>
      <c r="BC177" s="22" t="str">
        <f>IF(AND('[1]observations-276632'!W177&gt;'[1]Methods write-up'!$Q$21,'[1]observations-276632'!W177&lt;'[1]Methods write-up'!$R$21,'[1]observations-276632'!X177&gt;'[1]Methods write-up'!$S$21,'[1]observations-276632'!X177&lt;'[1]Methods write-up'!$T$21),"Desert and high aridity","")</f>
        <v>Desert and high aridity</v>
      </c>
      <c r="BD177" s="23" t="str">
        <f t="shared" si="11"/>
        <v>Desert and high aridity</v>
      </c>
      <c r="BE177" s="24">
        <f t="shared" si="9"/>
        <v>6</v>
      </c>
      <c r="BF177" s="24">
        <f t="shared" si="10"/>
        <v>8</v>
      </c>
    </row>
    <row r="178" spans="1:58" ht="16.25" customHeight="1" x14ac:dyDescent="0.2">
      <c r="C178" s="14">
        <v>42588</v>
      </c>
      <c r="M178" t="s">
        <v>1230</v>
      </c>
      <c r="W178" s="15">
        <v>-28.123049999999999</v>
      </c>
      <c r="X178" s="15">
        <v>16.890830000000001</v>
      </c>
      <c r="AO178" s="16" t="s">
        <v>140</v>
      </c>
      <c r="AP178" s="17" t="str">
        <f t="shared" si="8"/>
        <v>Post-emergence nest</v>
      </c>
      <c r="AQ178" s="18">
        <v>3</v>
      </c>
      <c r="AT178" s="19" t="s">
        <v>141</v>
      </c>
      <c r="AU178" s="20" t="s">
        <v>315</v>
      </c>
      <c r="AX178" s="22" t="str">
        <f>IF(AND('[1]observations-276632'!W178&gt;'[1]Methods write-up'!$Q$16,'[1]observations-276632'!W178&lt;'[1]Methods write-up'!$R$16,'[1]observations-276632'!X178&gt;'[1]Methods write-up'!$S$16,'[1]observations-276632'!X178&lt;'[1]Methods write-up'!$T$16),"West and Central Africa","")</f>
        <v/>
      </c>
      <c r="AY178" s="22" t="str">
        <f>IF(AND('[1]observations-276632'!W178&gt;'[1]Methods write-up'!$Q$17,'[1]observations-276632'!W178&lt;'[1]Methods write-up'!$R$17,'[1]observations-276632'!X178&gt;'[1]Methods write-up'!$S$17,'[1]observations-276632'!X178&lt;'[1]Methods write-up'!$T$17),"Equatorial tropical forest","")</f>
        <v/>
      </c>
      <c r="AZ178" s="22" t="str">
        <f>IF(AND('[1]observations-276632'!W178&gt;'[1]Methods write-up'!$Q$18,'[1]observations-276632'!W178&lt;'[1]Methods write-up'!$R$18,'[1]observations-276632'!X178&gt;'[1]Methods write-up'!$S$18,'[1]observations-276632'!X178&lt;'[1]Methods write-up'!$T$18),"Somali peninsula","")</f>
        <v/>
      </c>
      <c r="BA178" s="22" t="str">
        <f>IF(AND('[1]observations-276632'!W178&gt;'[1]Methods write-up'!$Q$19,'[1]observations-276632'!W178&lt;'[1]Methods write-up'!$R$19,'[1]observations-276632'!X178&gt;'[1]Methods write-up'!$S$19,'[1]observations-276632'!X178&lt;'[1]Methods write-up'!$T$19),"East Africa","")</f>
        <v/>
      </c>
      <c r="BB178" s="22" t="str">
        <f>IF(AND('[1]observations-276632'!W178&gt;'[1]Methods write-up'!$Q$20,'[1]observations-276632'!W178&lt;'[1]Methods write-up'!$R$20,'[1]observations-276632'!X178&gt;'[1]Methods write-up'!$S$20,'[1]observations-276632'!X178&lt;'[1]Methods write-up'!$T$20),"Temperate seasonal","")</f>
        <v/>
      </c>
      <c r="BC178" s="22" t="str">
        <f>IF(AND('[1]observations-276632'!W178&gt;'[1]Methods write-up'!$Q$21,'[1]observations-276632'!W178&lt;'[1]Methods write-up'!$R$21,'[1]observations-276632'!X178&gt;'[1]Methods write-up'!$S$21,'[1]observations-276632'!X178&lt;'[1]Methods write-up'!$T$21),"Desert and high aridity","")</f>
        <v>Desert and high aridity</v>
      </c>
      <c r="BD178" s="23" t="str">
        <f t="shared" si="11"/>
        <v>Desert and high aridity</v>
      </c>
      <c r="BE178" s="24">
        <f t="shared" si="9"/>
        <v>6</v>
      </c>
      <c r="BF178" s="24">
        <f t="shared" si="10"/>
        <v>8</v>
      </c>
    </row>
    <row r="179" spans="1:58" ht="16.25" customHeight="1" x14ac:dyDescent="0.2">
      <c r="C179" s="14">
        <v>42588</v>
      </c>
      <c r="M179" t="s">
        <v>1231</v>
      </c>
      <c r="W179" s="15">
        <v>-28.123049999999999</v>
      </c>
      <c r="X179" s="15">
        <v>16.890830000000001</v>
      </c>
      <c r="AO179" s="16" t="s">
        <v>110</v>
      </c>
      <c r="AP179" s="17" t="str">
        <f t="shared" si="8"/>
        <v>Nest (foundress)</v>
      </c>
      <c r="AQ179" s="18">
        <v>1</v>
      </c>
      <c r="AX179" s="22" t="str">
        <f>IF(AND('[1]observations-276632'!W179&gt;'[1]Methods write-up'!$Q$16,'[1]observations-276632'!W179&lt;'[1]Methods write-up'!$R$16,'[1]observations-276632'!X179&gt;'[1]Methods write-up'!$S$16,'[1]observations-276632'!X179&lt;'[1]Methods write-up'!$T$16),"West and Central Africa","")</f>
        <v/>
      </c>
      <c r="AY179" s="22" t="str">
        <f>IF(AND('[1]observations-276632'!W179&gt;'[1]Methods write-up'!$Q$17,'[1]observations-276632'!W179&lt;'[1]Methods write-up'!$R$17,'[1]observations-276632'!X179&gt;'[1]Methods write-up'!$S$17,'[1]observations-276632'!X179&lt;'[1]Methods write-up'!$T$17),"Equatorial tropical forest","")</f>
        <v/>
      </c>
      <c r="AZ179" s="22" t="str">
        <f>IF(AND('[1]observations-276632'!W179&gt;'[1]Methods write-up'!$Q$18,'[1]observations-276632'!W179&lt;'[1]Methods write-up'!$R$18,'[1]observations-276632'!X179&gt;'[1]Methods write-up'!$S$18,'[1]observations-276632'!X179&lt;'[1]Methods write-up'!$T$18),"Somali peninsula","")</f>
        <v/>
      </c>
      <c r="BA179" s="22" t="str">
        <f>IF(AND('[1]observations-276632'!W179&gt;'[1]Methods write-up'!$Q$19,'[1]observations-276632'!W179&lt;'[1]Methods write-up'!$R$19,'[1]observations-276632'!X179&gt;'[1]Methods write-up'!$S$19,'[1]observations-276632'!X179&lt;'[1]Methods write-up'!$T$19),"East Africa","")</f>
        <v/>
      </c>
      <c r="BB179" s="22" t="str">
        <f>IF(AND('[1]observations-276632'!W179&gt;'[1]Methods write-up'!$Q$20,'[1]observations-276632'!W179&lt;'[1]Methods write-up'!$R$20,'[1]observations-276632'!X179&gt;'[1]Methods write-up'!$S$20,'[1]observations-276632'!X179&lt;'[1]Methods write-up'!$T$20),"Temperate seasonal","")</f>
        <v/>
      </c>
      <c r="BC179" s="22" t="str">
        <f>IF(AND('[1]observations-276632'!W179&gt;'[1]Methods write-up'!$Q$21,'[1]observations-276632'!W179&lt;'[1]Methods write-up'!$R$21,'[1]observations-276632'!X179&gt;'[1]Methods write-up'!$S$21,'[1]observations-276632'!X179&lt;'[1]Methods write-up'!$T$21),"Desert and high aridity","")</f>
        <v>Desert and high aridity</v>
      </c>
      <c r="BD179" s="23" t="str">
        <f t="shared" si="11"/>
        <v>Desert and high aridity</v>
      </c>
      <c r="BE179" s="24">
        <f t="shared" si="9"/>
        <v>6</v>
      </c>
      <c r="BF179" s="24">
        <f t="shared" si="10"/>
        <v>8</v>
      </c>
    </row>
    <row r="180" spans="1:58" ht="16.25" customHeight="1" x14ac:dyDescent="0.2">
      <c r="C180" s="14">
        <v>42588</v>
      </c>
      <c r="M180" t="s">
        <v>1232</v>
      </c>
      <c r="W180" s="15">
        <v>-28.123049999999999</v>
      </c>
      <c r="X180" s="15">
        <v>16.890830000000001</v>
      </c>
      <c r="AO180" s="16" t="s">
        <v>172</v>
      </c>
      <c r="AP180" s="17" t="str">
        <f t="shared" si="8"/>
        <v>Nest (foundress)</v>
      </c>
      <c r="AQ180" s="18">
        <v>2</v>
      </c>
      <c r="AX180" s="22" t="str">
        <f>IF(AND('[1]observations-276632'!W180&gt;'[1]Methods write-up'!$Q$16,'[1]observations-276632'!W180&lt;'[1]Methods write-up'!$R$16,'[1]observations-276632'!X180&gt;'[1]Methods write-up'!$S$16,'[1]observations-276632'!X180&lt;'[1]Methods write-up'!$T$16),"West and Central Africa","")</f>
        <v/>
      </c>
      <c r="AY180" s="22" t="str">
        <f>IF(AND('[1]observations-276632'!W180&gt;'[1]Methods write-up'!$Q$17,'[1]observations-276632'!W180&lt;'[1]Methods write-up'!$R$17,'[1]observations-276632'!X180&gt;'[1]Methods write-up'!$S$17,'[1]observations-276632'!X180&lt;'[1]Methods write-up'!$T$17),"Equatorial tropical forest","")</f>
        <v/>
      </c>
      <c r="AZ180" s="22" t="str">
        <f>IF(AND('[1]observations-276632'!W180&gt;'[1]Methods write-up'!$Q$18,'[1]observations-276632'!W180&lt;'[1]Methods write-up'!$R$18,'[1]observations-276632'!X180&gt;'[1]Methods write-up'!$S$18,'[1]observations-276632'!X180&lt;'[1]Methods write-up'!$T$18),"Somali peninsula","")</f>
        <v/>
      </c>
      <c r="BA180" s="22" t="str">
        <f>IF(AND('[1]observations-276632'!W180&gt;'[1]Methods write-up'!$Q$19,'[1]observations-276632'!W180&lt;'[1]Methods write-up'!$R$19,'[1]observations-276632'!X180&gt;'[1]Methods write-up'!$S$19,'[1]observations-276632'!X180&lt;'[1]Methods write-up'!$T$19),"East Africa","")</f>
        <v/>
      </c>
      <c r="BB180" s="22" t="str">
        <f>IF(AND('[1]observations-276632'!W180&gt;'[1]Methods write-up'!$Q$20,'[1]observations-276632'!W180&lt;'[1]Methods write-up'!$R$20,'[1]observations-276632'!X180&gt;'[1]Methods write-up'!$S$20,'[1]observations-276632'!X180&lt;'[1]Methods write-up'!$T$20),"Temperate seasonal","")</f>
        <v/>
      </c>
      <c r="BC180" s="22" t="str">
        <f>IF(AND('[1]observations-276632'!W180&gt;'[1]Methods write-up'!$Q$21,'[1]observations-276632'!W180&lt;'[1]Methods write-up'!$R$21,'[1]observations-276632'!X180&gt;'[1]Methods write-up'!$S$21,'[1]observations-276632'!X180&lt;'[1]Methods write-up'!$T$21),"Desert and high aridity","")</f>
        <v>Desert and high aridity</v>
      </c>
      <c r="BD180" s="23" t="str">
        <f t="shared" si="11"/>
        <v>Desert and high aridity</v>
      </c>
      <c r="BE180" s="24">
        <f t="shared" si="9"/>
        <v>6</v>
      </c>
      <c r="BF180" s="24">
        <f t="shared" si="10"/>
        <v>8</v>
      </c>
    </row>
    <row r="181" spans="1:58" ht="16.25" customHeight="1" x14ac:dyDescent="0.2">
      <c r="C181" s="14">
        <v>42588</v>
      </c>
      <c r="M181" t="s">
        <v>1233</v>
      </c>
      <c r="W181" s="15">
        <v>-28.123049999999999</v>
      </c>
      <c r="X181" s="15">
        <v>16.890830000000001</v>
      </c>
      <c r="AO181" s="16" t="s">
        <v>110</v>
      </c>
      <c r="AP181" s="17" t="str">
        <f t="shared" si="8"/>
        <v>Nest (foundress)</v>
      </c>
      <c r="AQ181" s="18">
        <v>3</v>
      </c>
      <c r="AX181" s="22" t="str">
        <f>IF(AND('[1]observations-276632'!W181&gt;'[1]Methods write-up'!$Q$16,'[1]observations-276632'!W181&lt;'[1]Methods write-up'!$R$16,'[1]observations-276632'!X181&gt;'[1]Methods write-up'!$S$16,'[1]observations-276632'!X181&lt;'[1]Methods write-up'!$T$16),"West and Central Africa","")</f>
        <v/>
      </c>
      <c r="AY181" s="22" t="str">
        <f>IF(AND('[1]observations-276632'!W181&gt;'[1]Methods write-up'!$Q$17,'[1]observations-276632'!W181&lt;'[1]Methods write-up'!$R$17,'[1]observations-276632'!X181&gt;'[1]Methods write-up'!$S$17,'[1]observations-276632'!X181&lt;'[1]Methods write-up'!$T$17),"Equatorial tropical forest","")</f>
        <v/>
      </c>
      <c r="AZ181" s="22" t="str">
        <f>IF(AND('[1]observations-276632'!W181&gt;'[1]Methods write-up'!$Q$18,'[1]observations-276632'!W181&lt;'[1]Methods write-up'!$R$18,'[1]observations-276632'!X181&gt;'[1]Methods write-up'!$S$18,'[1]observations-276632'!X181&lt;'[1]Methods write-up'!$T$18),"Somali peninsula","")</f>
        <v/>
      </c>
      <c r="BA181" s="22" t="str">
        <f>IF(AND('[1]observations-276632'!W181&gt;'[1]Methods write-up'!$Q$19,'[1]observations-276632'!W181&lt;'[1]Methods write-up'!$R$19,'[1]observations-276632'!X181&gt;'[1]Methods write-up'!$S$19,'[1]observations-276632'!X181&lt;'[1]Methods write-up'!$T$19),"East Africa","")</f>
        <v/>
      </c>
      <c r="BB181" s="22" t="str">
        <f>IF(AND('[1]observations-276632'!W181&gt;'[1]Methods write-up'!$Q$20,'[1]observations-276632'!W181&lt;'[1]Methods write-up'!$R$20,'[1]observations-276632'!X181&gt;'[1]Methods write-up'!$S$20,'[1]observations-276632'!X181&lt;'[1]Methods write-up'!$T$20),"Temperate seasonal","")</f>
        <v/>
      </c>
      <c r="BC181" s="22" t="str">
        <f>IF(AND('[1]observations-276632'!W181&gt;'[1]Methods write-up'!$Q$21,'[1]observations-276632'!W181&lt;'[1]Methods write-up'!$R$21,'[1]observations-276632'!X181&gt;'[1]Methods write-up'!$S$21,'[1]observations-276632'!X181&lt;'[1]Methods write-up'!$T$21),"Desert and high aridity","")</f>
        <v>Desert and high aridity</v>
      </c>
      <c r="BD181" s="23" t="str">
        <f t="shared" si="11"/>
        <v>Desert and high aridity</v>
      </c>
      <c r="BE181" s="24">
        <f t="shared" si="9"/>
        <v>6</v>
      </c>
      <c r="BF181" s="24">
        <f t="shared" si="10"/>
        <v>8</v>
      </c>
    </row>
    <row r="182" spans="1:58" ht="16.25" customHeight="1" x14ac:dyDescent="0.2">
      <c r="C182" s="14">
        <v>42588</v>
      </c>
      <c r="M182" t="s">
        <v>1234</v>
      </c>
      <c r="W182" s="15">
        <v>-28.123049999999999</v>
      </c>
      <c r="X182" s="15">
        <v>16.890830000000001</v>
      </c>
      <c r="AO182" s="16" t="s">
        <v>140</v>
      </c>
      <c r="AP182" s="17" t="str">
        <f t="shared" si="8"/>
        <v>Post-emergence nest</v>
      </c>
      <c r="AQ182" s="18">
        <v>4</v>
      </c>
      <c r="AT182" s="19" t="s">
        <v>141</v>
      </c>
      <c r="AU182" s="20" t="s">
        <v>315</v>
      </c>
      <c r="AX182" s="22" t="str">
        <f>IF(AND('[1]observations-276632'!W182&gt;'[1]Methods write-up'!$Q$16,'[1]observations-276632'!W182&lt;'[1]Methods write-up'!$R$16,'[1]observations-276632'!X182&gt;'[1]Methods write-up'!$S$16,'[1]observations-276632'!X182&lt;'[1]Methods write-up'!$T$16),"West and Central Africa","")</f>
        <v/>
      </c>
      <c r="AY182" s="22" t="str">
        <f>IF(AND('[1]observations-276632'!W182&gt;'[1]Methods write-up'!$Q$17,'[1]observations-276632'!W182&lt;'[1]Methods write-up'!$R$17,'[1]observations-276632'!X182&gt;'[1]Methods write-up'!$S$17,'[1]observations-276632'!X182&lt;'[1]Methods write-up'!$T$17),"Equatorial tropical forest","")</f>
        <v/>
      </c>
      <c r="AZ182" s="22" t="str">
        <f>IF(AND('[1]observations-276632'!W182&gt;'[1]Methods write-up'!$Q$18,'[1]observations-276632'!W182&lt;'[1]Methods write-up'!$R$18,'[1]observations-276632'!X182&gt;'[1]Methods write-up'!$S$18,'[1]observations-276632'!X182&lt;'[1]Methods write-up'!$T$18),"Somali peninsula","")</f>
        <v/>
      </c>
      <c r="BA182" s="22" t="str">
        <f>IF(AND('[1]observations-276632'!W182&gt;'[1]Methods write-up'!$Q$19,'[1]observations-276632'!W182&lt;'[1]Methods write-up'!$R$19,'[1]observations-276632'!X182&gt;'[1]Methods write-up'!$S$19,'[1]observations-276632'!X182&lt;'[1]Methods write-up'!$T$19),"East Africa","")</f>
        <v/>
      </c>
      <c r="BB182" s="22" t="str">
        <f>IF(AND('[1]observations-276632'!W182&gt;'[1]Methods write-up'!$Q$20,'[1]observations-276632'!W182&lt;'[1]Methods write-up'!$R$20,'[1]observations-276632'!X182&gt;'[1]Methods write-up'!$S$20,'[1]observations-276632'!X182&lt;'[1]Methods write-up'!$T$20),"Temperate seasonal","")</f>
        <v/>
      </c>
      <c r="BC182" s="22" t="str">
        <f>IF(AND('[1]observations-276632'!W182&gt;'[1]Methods write-up'!$Q$21,'[1]observations-276632'!W182&lt;'[1]Methods write-up'!$R$21,'[1]observations-276632'!X182&gt;'[1]Methods write-up'!$S$21,'[1]observations-276632'!X182&lt;'[1]Methods write-up'!$T$21),"Desert and high aridity","")</f>
        <v>Desert and high aridity</v>
      </c>
      <c r="BD182" s="23" t="str">
        <f t="shared" si="11"/>
        <v>Desert and high aridity</v>
      </c>
      <c r="BE182" s="24">
        <f t="shared" si="9"/>
        <v>6</v>
      </c>
      <c r="BF182" s="24">
        <f t="shared" si="10"/>
        <v>8</v>
      </c>
    </row>
    <row r="183" spans="1:58" ht="16.25" customHeight="1" x14ac:dyDescent="0.2">
      <c r="C183" s="14">
        <v>42588</v>
      </c>
      <c r="M183" t="s">
        <v>1235</v>
      </c>
      <c r="W183" s="15">
        <v>-28.123049999999999</v>
      </c>
      <c r="X183" s="15">
        <v>16.890830000000001</v>
      </c>
      <c r="AO183" s="16" t="s">
        <v>110</v>
      </c>
      <c r="AP183" s="17" t="str">
        <f t="shared" si="8"/>
        <v>Nest (foundress)</v>
      </c>
      <c r="AQ183" s="18">
        <v>1</v>
      </c>
      <c r="AX183" s="22" t="str">
        <f>IF(AND('[1]observations-276632'!W183&gt;'[1]Methods write-up'!$Q$16,'[1]observations-276632'!W183&lt;'[1]Methods write-up'!$R$16,'[1]observations-276632'!X183&gt;'[1]Methods write-up'!$S$16,'[1]observations-276632'!X183&lt;'[1]Methods write-up'!$T$16),"West and Central Africa","")</f>
        <v/>
      </c>
      <c r="AY183" s="22" t="str">
        <f>IF(AND('[1]observations-276632'!W183&gt;'[1]Methods write-up'!$Q$17,'[1]observations-276632'!W183&lt;'[1]Methods write-up'!$R$17,'[1]observations-276632'!X183&gt;'[1]Methods write-up'!$S$17,'[1]observations-276632'!X183&lt;'[1]Methods write-up'!$T$17),"Equatorial tropical forest","")</f>
        <v/>
      </c>
      <c r="AZ183" s="22" t="str">
        <f>IF(AND('[1]observations-276632'!W183&gt;'[1]Methods write-up'!$Q$18,'[1]observations-276632'!W183&lt;'[1]Methods write-up'!$R$18,'[1]observations-276632'!X183&gt;'[1]Methods write-up'!$S$18,'[1]observations-276632'!X183&lt;'[1]Methods write-up'!$T$18),"Somali peninsula","")</f>
        <v/>
      </c>
      <c r="BA183" s="22" t="str">
        <f>IF(AND('[1]observations-276632'!W183&gt;'[1]Methods write-up'!$Q$19,'[1]observations-276632'!W183&lt;'[1]Methods write-up'!$R$19,'[1]observations-276632'!X183&gt;'[1]Methods write-up'!$S$19,'[1]observations-276632'!X183&lt;'[1]Methods write-up'!$T$19),"East Africa","")</f>
        <v/>
      </c>
      <c r="BB183" s="22" t="str">
        <f>IF(AND('[1]observations-276632'!W183&gt;'[1]Methods write-up'!$Q$20,'[1]observations-276632'!W183&lt;'[1]Methods write-up'!$R$20,'[1]observations-276632'!X183&gt;'[1]Methods write-up'!$S$20,'[1]observations-276632'!X183&lt;'[1]Methods write-up'!$T$20),"Temperate seasonal","")</f>
        <v/>
      </c>
      <c r="BC183" s="22" t="str">
        <f>IF(AND('[1]observations-276632'!W183&gt;'[1]Methods write-up'!$Q$21,'[1]observations-276632'!W183&lt;'[1]Methods write-up'!$R$21,'[1]observations-276632'!X183&gt;'[1]Methods write-up'!$S$21,'[1]observations-276632'!X183&lt;'[1]Methods write-up'!$T$21),"Desert and high aridity","")</f>
        <v>Desert and high aridity</v>
      </c>
      <c r="BD183" s="23" t="str">
        <f t="shared" si="11"/>
        <v>Desert and high aridity</v>
      </c>
      <c r="BE183" s="24">
        <f t="shared" si="9"/>
        <v>6</v>
      </c>
      <c r="BF183" s="24">
        <f t="shared" si="10"/>
        <v>8</v>
      </c>
    </row>
    <row r="184" spans="1:58" ht="16.25" customHeight="1" x14ac:dyDescent="0.2">
      <c r="C184" s="14">
        <v>42588</v>
      </c>
      <c r="M184" t="s">
        <v>1236</v>
      </c>
      <c r="W184" s="15">
        <v>-28.123049999999999</v>
      </c>
      <c r="X184" s="15">
        <v>16.890830000000001</v>
      </c>
      <c r="AO184" s="16" t="s">
        <v>110</v>
      </c>
      <c r="AP184" s="17" t="str">
        <f t="shared" si="8"/>
        <v>Nest (foundress)</v>
      </c>
      <c r="AQ184" s="18">
        <v>1</v>
      </c>
      <c r="AX184" s="22" t="str">
        <f>IF(AND('[1]observations-276632'!W184&gt;'[1]Methods write-up'!$Q$16,'[1]observations-276632'!W184&lt;'[1]Methods write-up'!$R$16,'[1]observations-276632'!X184&gt;'[1]Methods write-up'!$S$16,'[1]observations-276632'!X184&lt;'[1]Methods write-up'!$T$16),"West and Central Africa","")</f>
        <v/>
      </c>
      <c r="AY184" s="22" t="str">
        <f>IF(AND('[1]observations-276632'!W184&gt;'[1]Methods write-up'!$Q$17,'[1]observations-276632'!W184&lt;'[1]Methods write-up'!$R$17,'[1]observations-276632'!X184&gt;'[1]Methods write-up'!$S$17,'[1]observations-276632'!X184&lt;'[1]Methods write-up'!$T$17),"Equatorial tropical forest","")</f>
        <v/>
      </c>
      <c r="AZ184" s="22" t="str">
        <f>IF(AND('[1]observations-276632'!W184&gt;'[1]Methods write-up'!$Q$18,'[1]observations-276632'!W184&lt;'[1]Methods write-up'!$R$18,'[1]observations-276632'!X184&gt;'[1]Methods write-up'!$S$18,'[1]observations-276632'!X184&lt;'[1]Methods write-up'!$T$18),"Somali peninsula","")</f>
        <v/>
      </c>
      <c r="BA184" s="22" t="str">
        <f>IF(AND('[1]observations-276632'!W184&gt;'[1]Methods write-up'!$Q$19,'[1]observations-276632'!W184&lt;'[1]Methods write-up'!$R$19,'[1]observations-276632'!X184&gt;'[1]Methods write-up'!$S$19,'[1]observations-276632'!X184&lt;'[1]Methods write-up'!$T$19),"East Africa","")</f>
        <v/>
      </c>
      <c r="BB184" s="22" t="str">
        <f>IF(AND('[1]observations-276632'!W184&gt;'[1]Methods write-up'!$Q$20,'[1]observations-276632'!W184&lt;'[1]Methods write-up'!$R$20,'[1]observations-276632'!X184&gt;'[1]Methods write-up'!$S$20,'[1]observations-276632'!X184&lt;'[1]Methods write-up'!$T$20),"Temperate seasonal","")</f>
        <v/>
      </c>
      <c r="BC184" s="22" t="str">
        <f>IF(AND('[1]observations-276632'!W184&gt;'[1]Methods write-up'!$Q$21,'[1]observations-276632'!W184&lt;'[1]Methods write-up'!$R$21,'[1]observations-276632'!X184&gt;'[1]Methods write-up'!$S$21,'[1]observations-276632'!X184&lt;'[1]Methods write-up'!$T$21),"Desert and high aridity","")</f>
        <v>Desert and high aridity</v>
      </c>
      <c r="BD184" s="23" t="str">
        <f t="shared" si="11"/>
        <v>Desert and high aridity</v>
      </c>
      <c r="BE184" s="24">
        <f t="shared" si="9"/>
        <v>6</v>
      </c>
      <c r="BF184" s="24">
        <f t="shared" si="10"/>
        <v>8</v>
      </c>
    </row>
    <row r="185" spans="1:58" ht="16.25" customHeight="1" x14ac:dyDescent="0.2">
      <c r="C185" s="14">
        <v>42588</v>
      </c>
      <c r="M185" t="s">
        <v>1237</v>
      </c>
      <c r="W185" s="15">
        <v>-28.123049999999999</v>
      </c>
      <c r="X185" s="15">
        <v>16.890830000000001</v>
      </c>
      <c r="AO185" s="16" t="s">
        <v>110</v>
      </c>
      <c r="AP185" s="17" t="str">
        <f t="shared" si="8"/>
        <v>Nest (foundress)</v>
      </c>
      <c r="AQ185" s="18">
        <v>1</v>
      </c>
      <c r="AX185" s="22" t="str">
        <f>IF(AND('[1]observations-276632'!W185&gt;'[1]Methods write-up'!$Q$16,'[1]observations-276632'!W185&lt;'[1]Methods write-up'!$R$16,'[1]observations-276632'!X185&gt;'[1]Methods write-up'!$S$16,'[1]observations-276632'!X185&lt;'[1]Methods write-up'!$T$16),"West and Central Africa","")</f>
        <v/>
      </c>
      <c r="AY185" s="22" t="str">
        <f>IF(AND('[1]observations-276632'!W185&gt;'[1]Methods write-up'!$Q$17,'[1]observations-276632'!W185&lt;'[1]Methods write-up'!$R$17,'[1]observations-276632'!X185&gt;'[1]Methods write-up'!$S$17,'[1]observations-276632'!X185&lt;'[1]Methods write-up'!$T$17),"Equatorial tropical forest","")</f>
        <v/>
      </c>
      <c r="AZ185" s="22" t="str">
        <f>IF(AND('[1]observations-276632'!W185&gt;'[1]Methods write-up'!$Q$18,'[1]observations-276632'!W185&lt;'[1]Methods write-up'!$R$18,'[1]observations-276632'!X185&gt;'[1]Methods write-up'!$S$18,'[1]observations-276632'!X185&lt;'[1]Methods write-up'!$T$18),"Somali peninsula","")</f>
        <v/>
      </c>
      <c r="BA185" s="22" t="str">
        <f>IF(AND('[1]observations-276632'!W185&gt;'[1]Methods write-up'!$Q$19,'[1]observations-276632'!W185&lt;'[1]Methods write-up'!$R$19,'[1]observations-276632'!X185&gt;'[1]Methods write-up'!$S$19,'[1]observations-276632'!X185&lt;'[1]Methods write-up'!$T$19),"East Africa","")</f>
        <v/>
      </c>
      <c r="BB185" s="22" t="str">
        <f>IF(AND('[1]observations-276632'!W185&gt;'[1]Methods write-up'!$Q$20,'[1]observations-276632'!W185&lt;'[1]Methods write-up'!$R$20,'[1]observations-276632'!X185&gt;'[1]Methods write-up'!$S$20,'[1]observations-276632'!X185&lt;'[1]Methods write-up'!$T$20),"Temperate seasonal","")</f>
        <v/>
      </c>
      <c r="BC185" s="22" t="str">
        <f>IF(AND('[1]observations-276632'!W185&gt;'[1]Methods write-up'!$Q$21,'[1]observations-276632'!W185&lt;'[1]Methods write-up'!$R$21,'[1]observations-276632'!X185&gt;'[1]Methods write-up'!$S$21,'[1]observations-276632'!X185&lt;'[1]Methods write-up'!$T$21),"Desert and high aridity","")</f>
        <v>Desert and high aridity</v>
      </c>
      <c r="BD185" s="23" t="str">
        <f t="shared" si="11"/>
        <v>Desert and high aridity</v>
      </c>
      <c r="BE185" s="24">
        <f t="shared" si="9"/>
        <v>6</v>
      </c>
      <c r="BF185" s="24">
        <f t="shared" si="10"/>
        <v>8</v>
      </c>
    </row>
    <row r="186" spans="1:58" ht="16.25" customHeight="1" x14ac:dyDescent="0.2">
      <c r="C186" s="14">
        <v>42588</v>
      </c>
      <c r="M186" t="s">
        <v>613</v>
      </c>
      <c r="W186" s="15">
        <v>-28.123049999999999</v>
      </c>
      <c r="X186" s="15">
        <v>16.890830000000001</v>
      </c>
      <c r="AO186" s="16" t="s">
        <v>140</v>
      </c>
      <c r="AP186" s="17" t="str">
        <f t="shared" si="8"/>
        <v>Post-emergence nest</v>
      </c>
      <c r="AQ186" s="18">
        <v>7</v>
      </c>
      <c r="AT186" s="19" t="s">
        <v>141</v>
      </c>
      <c r="AU186" s="20" t="s">
        <v>104</v>
      </c>
      <c r="AV186" s="21" t="s">
        <v>1238</v>
      </c>
      <c r="AX186" s="22" t="str">
        <f>IF(AND('[1]observations-276632'!W186&gt;'[1]Methods write-up'!$Q$16,'[1]observations-276632'!W186&lt;'[1]Methods write-up'!$R$16,'[1]observations-276632'!X186&gt;'[1]Methods write-up'!$S$16,'[1]observations-276632'!X186&lt;'[1]Methods write-up'!$T$16),"West and Central Africa","")</f>
        <v/>
      </c>
      <c r="AY186" s="22" t="str">
        <f>IF(AND('[1]observations-276632'!W186&gt;'[1]Methods write-up'!$Q$17,'[1]observations-276632'!W186&lt;'[1]Methods write-up'!$R$17,'[1]observations-276632'!X186&gt;'[1]Methods write-up'!$S$17,'[1]observations-276632'!X186&lt;'[1]Methods write-up'!$T$17),"Equatorial tropical forest","")</f>
        <v/>
      </c>
      <c r="AZ186" s="22" t="str">
        <f>IF(AND('[1]observations-276632'!W186&gt;'[1]Methods write-up'!$Q$18,'[1]observations-276632'!W186&lt;'[1]Methods write-up'!$R$18,'[1]observations-276632'!X186&gt;'[1]Methods write-up'!$S$18,'[1]observations-276632'!X186&lt;'[1]Methods write-up'!$T$18),"Somali peninsula","")</f>
        <v/>
      </c>
      <c r="BA186" s="22" t="str">
        <f>IF(AND('[1]observations-276632'!W186&gt;'[1]Methods write-up'!$Q$19,'[1]observations-276632'!W186&lt;'[1]Methods write-up'!$R$19,'[1]observations-276632'!X186&gt;'[1]Methods write-up'!$S$19,'[1]observations-276632'!X186&lt;'[1]Methods write-up'!$T$19),"East Africa","")</f>
        <v/>
      </c>
      <c r="BB186" s="22" t="str">
        <f>IF(AND('[1]observations-276632'!W186&gt;'[1]Methods write-up'!$Q$20,'[1]observations-276632'!W186&lt;'[1]Methods write-up'!$R$20,'[1]observations-276632'!X186&gt;'[1]Methods write-up'!$S$20,'[1]observations-276632'!X186&lt;'[1]Methods write-up'!$T$20),"Temperate seasonal","")</f>
        <v/>
      </c>
      <c r="BC186" s="22" t="str">
        <f>IF(AND('[1]observations-276632'!W186&gt;'[1]Methods write-up'!$Q$21,'[1]observations-276632'!W186&lt;'[1]Methods write-up'!$R$21,'[1]observations-276632'!X186&gt;'[1]Methods write-up'!$S$21,'[1]observations-276632'!X186&lt;'[1]Methods write-up'!$T$21),"Desert and high aridity","")</f>
        <v>Desert and high aridity</v>
      </c>
      <c r="BD186" s="23" t="str">
        <f t="shared" si="11"/>
        <v>Desert and high aridity</v>
      </c>
      <c r="BE186" s="24">
        <f t="shared" si="9"/>
        <v>6</v>
      </c>
      <c r="BF186" s="24">
        <f t="shared" si="10"/>
        <v>8</v>
      </c>
    </row>
    <row r="187" spans="1:58" ht="16.25" customHeight="1" x14ac:dyDescent="0.2">
      <c r="A187">
        <v>11291654</v>
      </c>
      <c r="B187" s="13">
        <v>42812</v>
      </c>
      <c r="C187" s="14">
        <v>42812</v>
      </c>
      <c r="E187" t="s">
        <v>113</v>
      </c>
      <c r="F187">
        <v>662724</v>
      </c>
      <c r="G187" t="s">
        <v>903</v>
      </c>
      <c r="H187" t="s">
        <v>904</v>
      </c>
      <c r="I187" t="s">
        <v>1239</v>
      </c>
      <c r="J187" t="s">
        <v>1240</v>
      </c>
      <c r="K187" t="s">
        <v>62</v>
      </c>
      <c r="L187" t="s">
        <v>63</v>
      </c>
      <c r="M187" t="s">
        <v>1241</v>
      </c>
      <c r="N187" t="s">
        <v>1242</v>
      </c>
      <c r="P187" t="s">
        <v>708</v>
      </c>
      <c r="Q187" t="s">
        <v>1243</v>
      </c>
      <c r="R187">
        <v>2</v>
      </c>
      <c r="S187">
        <v>0</v>
      </c>
      <c r="T187" t="b">
        <v>0</v>
      </c>
      <c r="V187" t="s">
        <v>1244</v>
      </c>
      <c r="W187" s="15">
        <v>-30.386358510000001</v>
      </c>
      <c r="X187" s="15">
        <v>30.78001446</v>
      </c>
      <c r="Y187">
        <v>1</v>
      </c>
      <c r="AC187">
        <v>29382</v>
      </c>
      <c r="AD187" t="s">
        <v>839</v>
      </c>
      <c r="AF187" t="b">
        <v>1</v>
      </c>
      <c r="AI187" t="s">
        <v>71</v>
      </c>
      <c r="AJ187" t="s">
        <v>70</v>
      </c>
      <c r="AK187" t="s">
        <v>71</v>
      </c>
      <c r="AL187" t="s">
        <v>72</v>
      </c>
      <c r="AM187">
        <v>346053</v>
      </c>
      <c r="AO187" s="16" t="s">
        <v>140</v>
      </c>
      <c r="AP187" s="17" t="str">
        <f t="shared" si="8"/>
        <v>Post-emergence nest</v>
      </c>
      <c r="AQ187" s="18">
        <v>7</v>
      </c>
      <c r="AT187" s="19" t="s">
        <v>141</v>
      </c>
      <c r="AU187" s="20" t="s">
        <v>141</v>
      </c>
      <c r="AX187" s="22" t="str">
        <f>IF(AND('[1]observations-276632'!W187&gt;'[1]Methods write-up'!$Q$16,'[1]observations-276632'!W187&lt;'[1]Methods write-up'!$R$16,'[1]observations-276632'!X187&gt;'[1]Methods write-up'!$S$16,'[1]observations-276632'!X187&lt;'[1]Methods write-up'!$T$16),"West and Central Africa","")</f>
        <v/>
      </c>
      <c r="AY187" s="22" t="str">
        <f>IF(AND('[1]observations-276632'!W187&gt;'[1]Methods write-up'!$Q$17,'[1]observations-276632'!W187&lt;'[1]Methods write-up'!$R$17,'[1]observations-276632'!X187&gt;'[1]Methods write-up'!$S$17,'[1]observations-276632'!X187&lt;'[1]Methods write-up'!$T$17),"Equatorial tropical forest","")</f>
        <v/>
      </c>
      <c r="AZ187" s="22" t="str">
        <f>IF(AND('[1]observations-276632'!W187&gt;'[1]Methods write-up'!$Q$18,'[1]observations-276632'!W187&lt;'[1]Methods write-up'!$R$18,'[1]observations-276632'!X187&gt;'[1]Methods write-up'!$S$18,'[1]observations-276632'!X187&lt;'[1]Methods write-up'!$T$18),"Somali peninsula","")</f>
        <v/>
      </c>
      <c r="BA187" s="22" t="str">
        <f>IF(AND('[1]observations-276632'!W187&gt;'[1]Methods write-up'!$Q$19,'[1]observations-276632'!W187&lt;'[1]Methods write-up'!$R$19,'[1]observations-276632'!X187&gt;'[1]Methods write-up'!$S$19,'[1]observations-276632'!X187&lt;'[1]Methods write-up'!$T$19),"East Africa","")</f>
        <v/>
      </c>
      <c r="BB187" s="22" t="str">
        <f>IF(AND('[1]observations-276632'!W187&gt;'[1]Methods write-up'!$Q$20,'[1]observations-276632'!W187&lt;'[1]Methods write-up'!$R$20,'[1]observations-276632'!X187&gt;'[1]Methods write-up'!$S$20,'[1]observations-276632'!X187&lt;'[1]Methods write-up'!$T$20),"Temperate seasonal","")</f>
        <v>Temperate seasonal</v>
      </c>
      <c r="BC187" s="22" t="str">
        <f>IF(AND('[1]observations-276632'!W187&gt;'[1]Methods write-up'!$Q$21,'[1]observations-276632'!W187&lt;'[1]Methods write-up'!$R$21,'[1]observations-276632'!X187&gt;'[1]Methods write-up'!$S$21,'[1]observations-276632'!X187&lt;'[1]Methods write-up'!$T$21),"Desert and high aridity","")</f>
        <v/>
      </c>
      <c r="BD187" s="23" t="str">
        <f t="shared" si="11"/>
        <v>Temperate seasonal</v>
      </c>
      <c r="BE187" s="24">
        <f t="shared" si="9"/>
        <v>18</v>
      </c>
      <c r="BF187" s="24">
        <f t="shared" si="10"/>
        <v>3</v>
      </c>
    </row>
    <row r="188" spans="1:58" ht="16.25" customHeight="1" x14ac:dyDescent="0.2">
      <c r="A188">
        <v>11305697</v>
      </c>
      <c r="B188" s="13">
        <v>42740</v>
      </c>
      <c r="C188" s="14">
        <v>42740</v>
      </c>
      <c r="E188" t="s">
        <v>113</v>
      </c>
      <c r="F188">
        <v>748361</v>
      </c>
      <c r="G188" t="s">
        <v>1245</v>
      </c>
      <c r="H188" t="s">
        <v>1246</v>
      </c>
      <c r="I188" t="s">
        <v>1247</v>
      </c>
      <c r="J188" t="s">
        <v>1248</v>
      </c>
      <c r="K188" t="s">
        <v>62</v>
      </c>
      <c r="L188" t="s">
        <v>63</v>
      </c>
      <c r="M188" t="s">
        <v>1249</v>
      </c>
      <c r="N188" t="s">
        <v>1250</v>
      </c>
      <c r="Q188" t="s">
        <v>1251</v>
      </c>
      <c r="R188">
        <v>5</v>
      </c>
      <c r="S188">
        <v>0</v>
      </c>
      <c r="T188" t="b">
        <v>0</v>
      </c>
      <c r="V188" t="s">
        <v>1252</v>
      </c>
      <c r="W188" s="15">
        <v>-29.682435000000002</v>
      </c>
      <c r="X188" s="15">
        <v>31.024345</v>
      </c>
      <c r="Y188">
        <v>1</v>
      </c>
      <c r="AC188">
        <v>1</v>
      </c>
      <c r="AF188" t="b">
        <v>0</v>
      </c>
      <c r="AH188" t="s">
        <v>149</v>
      </c>
      <c r="AI188" t="s">
        <v>70</v>
      </c>
      <c r="AJ188" t="s">
        <v>70</v>
      </c>
      <c r="AK188" t="s">
        <v>71</v>
      </c>
      <c r="AL188" t="s">
        <v>72</v>
      </c>
      <c r="AM188">
        <v>346053</v>
      </c>
      <c r="AO188" s="16" t="s">
        <v>73</v>
      </c>
      <c r="AP188" s="17" t="str">
        <f t="shared" si="8"/>
        <v>Off-nest female</v>
      </c>
      <c r="AX188" s="22" t="str">
        <f>IF(AND('[1]observations-276632'!W188&gt;'[1]Methods write-up'!$Q$16,'[1]observations-276632'!W188&lt;'[1]Methods write-up'!$R$16,'[1]observations-276632'!X188&gt;'[1]Methods write-up'!$S$16,'[1]observations-276632'!X188&lt;'[1]Methods write-up'!$T$16),"West and Central Africa","")</f>
        <v/>
      </c>
      <c r="AY188" s="22" t="str">
        <f>IF(AND('[1]observations-276632'!W188&gt;'[1]Methods write-up'!$Q$17,'[1]observations-276632'!W188&lt;'[1]Methods write-up'!$R$17,'[1]observations-276632'!X188&gt;'[1]Methods write-up'!$S$17,'[1]observations-276632'!X188&lt;'[1]Methods write-up'!$T$17),"Equatorial tropical forest","")</f>
        <v/>
      </c>
      <c r="AZ188" s="22" t="str">
        <f>IF(AND('[1]observations-276632'!W188&gt;'[1]Methods write-up'!$Q$18,'[1]observations-276632'!W188&lt;'[1]Methods write-up'!$R$18,'[1]observations-276632'!X188&gt;'[1]Methods write-up'!$S$18,'[1]observations-276632'!X188&lt;'[1]Methods write-up'!$T$18),"Somali peninsula","")</f>
        <v/>
      </c>
      <c r="BA188" s="22" t="str">
        <f>IF(AND('[1]observations-276632'!W188&gt;'[1]Methods write-up'!$Q$19,'[1]observations-276632'!W188&lt;'[1]Methods write-up'!$R$19,'[1]observations-276632'!X188&gt;'[1]Methods write-up'!$S$19,'[1]observations-276632'!X188&lt;'[1]Methods write-up'!$T$19),"East Africa","")</f>
        <v/>
      </c>
      <c r="BB188" s="22" t="str">
        <f>IF(AND('[1]observations-276632'!W188&gt;'[1]Methods write-up'!$Q$20,'[1]observations-276632'!W188&lt;'[1]Methods write-up'!$R$20,'[1]observations-276632'!X188&gt;'[1]Methods write-up'!$S$20,'[1]observations-276632'!X188&lt;'[1]Methods write-up'!$T$20),"Temperate seasonal","")</f>
        <v>Temperate seasonal</v>
      </c>
      <c r="BC188" s="22" t="str">
        <f>IF(AND('[1]observations-276632'!W188&gt;'[1]Methods write-up'!$Q$21,'[1]observations-276632'!W188&lt;'[1]Methods write-up'!$R$21,'[1]observations-276632'!X188&gt;'[1]Methods write-up'!$S$21,'[1]observations-276632'!X188&lt;'[1]Methods write-up'!$T$21),"Desert and high aridity","")</f>
        <v/>
      </c>
      <c r="BD188" s="23" t="str">
        <f t="shared" si="11"/>
        <v>Temperate seasonal</v>
      </c>
      <c r="BE188" s="24">
        <f t="shared" si="9"/>
        <v>5</v>
      </c>
      <c r="BF188" s="24">
        <f t="shared" si="10"/>
        <v>1</v>
      </c>
    </row>
    <row r="189" spans="1:58" ht="16.25" customHeight="1" x14ac:dyDescent="0.2">
      <c r="A189">
        <v>11314905</v>
      </c>
      <c r="B189" s="13">
        <v>42841</v>
      </c>
      <c r="C189" s="14">
        <v>42841</v>
      </c>
      <c r="E189" t="s">
        <v>113</v>
      </c>
      <c r="F189">
        <v>762608</v>
      </c>
      <c r="G189" t="s">
        <v>1091</v>
      </c>
      <c r="H189" t="s">
        <v>1092</v>
      </c>
      <c r="I189" t="s">
        <v>1253</v>
      </c>
      <c r="J189" t="s">
        <v>1254</v>
      </c>
      <c r="K189" t="s">
        <v>157</v>
      </c>
      <c r="L189" t="s">
        <v>63</v>
      </c>
      <c r="M189" t="s">
        <v>1255</v>
      </c>
      <c r="N189" t="s">
        <v>1256</v>
      </c>
      <c r="Q189" t="s">
        <v>1257</v>
      </c>
      <c r="R189">
        <v>2</v>
      </c>
      <c r="S189">
        <v>0</v>
      </c>
      <c r="T189" t="b">
        <v>0</v>
      </c>
      <c r="V189" t="s">
        <v>1258</v>
      </c>
      <c r="W189" s="15">
        <v>-25.738927199999999</v>
      </c>
      <c r="X189" s="15">
        <v>28.273716400000001</v>
      </c>
      <c r="Y189">
        <v>1</v>
      </c>
      <c r="AC189">
        <v>1</v>
      </c>
      <c r="AF189" t="b">
        <v>0</v>
      </c>
      <c r="AI189" t="s">
        <v>756</v>
      </c>
      <c r="AJ189" t="s">
        <v>756</v>
      </c>
      <c r="AL189" t="s">
        <v>72</v>
      </c>
      <c r="AM189">
        <v>652800</v>
      </c>
      <c r="AO189" s="16" t="s">
        <v>150</v>
      </c>
      <c r="AP189" s="17" t="str">
        <f t="shared" si="8"/>
        <v>Male (off nest)</v>
      </c>
      <c r="AX189" s="22" t="str">
        <f>IF(AND('[1]observations-276632'!W189&gt;'[1]Methods write-up'!$Q$16,'[1]observations-276632'!W189&lt;'[1]Methods write-up'!$R$16,'[1]observations-276632'!X189&gt;'[1]Methods write-up'!$S$16,'[1]observations-276632'!X189&lt;'[1]Methods write-up'!$T$16),"West and Central Africa","")</f>
        <v/>
      </c>
      <c r="AY189" s="22" t="str">
        <f>IF(AND('[1]observations-276632'!W189&gt;'[1]Methods write-up'!$Q$17,'[1]observations-276632'!W189&lt;'[1]Methods write-up'!$R$17,'[1]observations-276632'!X189&gt;'[1]Methods write-up'!$S$17,'[1]observations-276632'!X189&lt;'[1]Methods write-up'!$T$17),"Equatorial tropical forest","")</f>
        <v/>
      </c>
      <c r="AZ189" s="22" t="str">
        <f>IF(AND('[1]observations-276632'!W189&gt;'[1]Methods write-up'!$Q$18,'[1]observations-276632'!W189&lt;'[1]Methods write-up'!$R$18,'[1]observations-276632'!X189&gt;'[1]Methods write-up'!$S$18,'[1]observations-276632'!X189&lt;'[1]Methods write-up'!$T$18),"Somali peninsula","")</f>
        <v/>
      </c>
      <c r="BA189" s="22" t="str">
        <f>IF(AND('[1]observations-276632'!W189&gt;'[1]Methods write-up'!$Q$19,'[1]observations-276632'!W189&lt;'[1]Methods write-up'!$R$19,'[1]observations-276632'!X189&gt;'[1]Methods write-up'!$S$19,'[1]observations-276632'!X189&lt;'[1]Methods write-up'!$T$19),"East Africa","")</f>
        <v/>
      </c>
      <c r="BB189" s="22" t="str">
        <f>IF(AND('[1]observations-276632'!W189&gt;'[1]Methods write-up'!$Q$20,'[1]observations-276632'!W189&lt;'[1]Methods write-up'!$R$20,'[1]observations-276632'!X189&gt;'[1]Methods write-up'!$S$20,'[1]observations-276632'!X189&lt;'[1]Methods write-up'!$T$20),"Temperate seasonal","")</f>
        <v>Temperate seasonal</v>
      </c>
      <c r="BC189" s="22" t="str">
        <f>IF(AND('[1]observations-276632'!W189&gt;'[1]Methods write-up'!$Q$21,'[1]observations-276632'!W189&lt;'[1]Methods write-up'!$R$21,'[1]observations-276632'!X189&gt;'[1]Methods write-up'!$S$21,'[1]observations-276632'!X189&lt;'[1]Methods write-up'!$T$21),"Desert and high aridity","")</f>
        <v/>
      </c>
      <c r="BD189" s="23" t="str">
        <f t="shared" si="11"/>
        <v>Temperate seasonal</v>
      </c>
      <c r="BE189" s="24">
        <f t="shared" si="9"/>
        <v>16</v>
      </c>
      <c r="BF189" s="24">
        <f t="shared" si="10"/>
        <v>4</v>
      </c>
    </row>
    <row r="190" spans="1:58" ht="16.25" customHeight="1" x14ac:dyDescent="0.2">
      <c r="A190">
        <v>11469268</v>
      </c>
      <c r="B190" t="s">
        <v>1259</v>
      </c>
      <c r="C190" s="14">
        <v>42690</v>
      </c>
      <c r="D190" t="s">
        <v>1260</v>
      </c>
      <c r="E190" t="s">
        <v>463</v>
      </c>
      <c r="F190">
        <v>1651</v>
      </c>
      <c r="G190" t="s">
        <v>1261</v>
      </c>
      <c r="H190" t="s">
        <v>1262</v>
      </c>
      <c r="I190" t="s">
        <v>1263</v>
      </c>
      <c r="J190" t="s">
        <v>1264</v>
      </c>
      <c r="K190" t="s">
        <v>62</v>
      </c>
      <c r="L190" t="s">
        <v>98</v>
      </c>
      <c r="M190" t="s">
        <v>1265</v>
      </c>
      <c r="N190" t="s">
        <v>1266</v>
      </c>
      <c r="R190">
        <v>3</v>
      </c>
      <c r="S190">
        <v>0</v>
      </c>
      <c r="T190" t="b">
        <v>0</v>
      </c>
      <c r="V190" t="s">
        <v>1267</v>
      </c>
      <c r="W190" s="15">
        <v>-21.261302799999999</v>
      </c>
      <c r="X190" s="15">
        <v>47.4557474</v>
      </c>
      <c r="Y190">
        <v>205</v>
      </c>
      <c r="AC190">
        <v>205</v>
      </c>
      <c r="AF190" t="b">
        <v>0</v>
      </c>
      <c r="AI190" t="s">
        <v>70</v>
      </c>
      <c r="AJ190" t="s">
        <v>70</v>
      </c>
      <c r="AK190" t="s">
        <v>71</v>
      </c>
      <c r="AL190" t="s">
        <v>72</v>
      </c>
      <c r="AM190">
        <v>346053</v>
      </c>
      <c r="AO190" s="16" t="s">
        <v>73</v>
      </c>
      <c r="AP190" s="17" t="str">
        <f t="shared" si="8"/>
        <v>Off-nest female</v>
      </c>
      <c r="AX190" s="22" t="str">
        <f>IF(AND('[1]observations-276632'!W190&gt;'[1]Methods write-up'!$Q$16,'[1]observations-276632'!W190&lt;'[1]Methods write-up'!$R$16,'[1]observations-276632'!X190&gt;'[1]Methods write-up'!$S$16,'[1]observations-276632'!X190&lt;'[1]Methods write-up'!$T$16),"West and Central Africa","")</f>
        <v/>
      </c>
      <c r="AY190" s="22" t="str">
        <f>IF(AND('[1]observations-276632'!W190&gt;'[1]Methods write-up'!$Q$17,'[1]observations-276632'!W190&lt;'[1]Methods write-up'!$R$17,'[1]observations-276632'!X190&gt;'[1]Methods write-up'!$S$17,'[1]observations-276632'!X190&lt;'[1]Methods write-up'!$T$17),"Equatorial tropical forest","")</f>
        <v/>
      </c>
      <c r="AZ190" s="22" t="str">
        <f>IF(AND('[1]observations-276632'!W190&gt;'[1]Methods write-up'!$Q$18,'[1]observations-276632'!W190&lt;'[1]Methods write-up'!$R$18,'[1]observations-276632'!X190&gt;'[1]Methods write-up'!$S$18,'[1]observations-276632'!X190&lt;'[1]Methods write-up'!$T$18),"Somali peninsula","")</f>
        <v/>
      </c>
      <c r="BA190" s="22" t="str">
        <f>IF(AND('[1]observations-276632'!W190&gt;'[1]Methods write-up'!$Q$19,'[1]observations-276632'!W190&lt;'[1]Methods write-up'!$R$19,'[1]observations-276632'!X190&gt;'[1]Methods write-up'!$S$19,'[1]observations-276632'!X190&lt;'[1]Methods write-up'!$T$19),"East Africa","")</f>
        <v/>
      </c>
      <c r="BB190" s="22" t="str">
        <f>IF(AND('[1]observations-276632'!W190&gt;'[1]Methods write-up'!$Q$20,'[1]observations-276632'!W190&lt;'[1]Methods write-up'!$R$20,'[1]observations-276632'!X190&gt;'[1]Methods write-up'!$S$20,'[1]observations-276632'!X190&lt;'[1]Methods write-up'!$T$20),"Temperate seasonal","")</f>
        <v/>
      </c>
      <c r="BC190" s="22" t="str">
        <f>IF(AND('[1]observations-276632'!W190&gt;'[1]Methods write-up'!$Q$21,'[1]observations-276632'!W190&lt;'[1]Methods write-up'!$R$21,'[1]observations-276632'!X190&gt;'[1]Methods write-up'!$S$21,'[1]observations-276632'!X190&lt;'[1]Methods write-up'!$T$21),"Desert and high aridity","")</f>
        <v/>
      </c>
      <c r="BD190" s="23" t="str">
        <f t="shared" si="11"/>
        <v/>
      </c>
      <c r="BE190" s="24">
        <f t="shared" si="9"/>
        <v>16</v>
      </c>
      <c r="BF190" s="24">
        <f t="shared" si="10"/>
        <v>11</v>
      </c>
    </row>
    <row r="191" spans="1:58" ht="16.25" customHeight="1" x14ac:dyDescent="0.2">
      <c r="A191">
        <v>11980120</v>
      </c>
      <c r="B191" t="s">
        <v>1268</v>
      </c>
      <c r="C191" s="14">
        <v>43220</v>
      </c>
      <c r="D191" t="s">
        <v>1269</v>
      </c>
      <c r="E191" t="s">
        <v>113</v>
      </c>
      <c r="F191">
        <v>929611</v>
      </c>
      <c r="G191" t="s">
        <v>1270</v>
      </c>
      <c r="I191" t="s">
        <v>1271</v>
      </c>
      <c r="J191" t="s">
        <v>1272</v>
      </c>
      <c r="K191" t="s">
        <v>62</v>
      </c>
      <c r="M191" t="s">
        <v>1273</v>
      </c>
      <c r="N191" t="s">
        <v>1274</v>
      </c>
      <c r="R191">
        <v>3</v>
      </c>
      <c r="S191">
        <v>0</v>
      </c>
      <c r="T191" t="b">
        <v>0</v>
      </c>
      <c r="U191">
        <v>3</v>
      </c>
      <c r="V191" t="s">
        <v>1275</v>
      </c>
      <c r="W191" s="15">
        <v>-11.660005529999999</v>
      </c>
      <c r="X191" s="15">
        <v>39.563331730000002</v>
      </c>
      <c r="Y191">
        <v>10</v>
      </c>
      <c r="AC191">
        <v>10</v>
      </c>
      <c r="AF191" t="b">
        <v>0</v>
      </c>
      <c r="AI191" t="s">
        <v>70</v>
      </c>
      <c r="AJ191" t="s">
        <v>70</v>
      </c>
      <c r="AK191" t="s">
        <v>71</v>
      </c>
      <c r="AL191" t="s">
        <v>72</v>
      </c>
      <c r="AM191">
        <v>346053</v>
      </c>
      <c r="AO191" s="16" t="s">
        <v>73</v>
      </c>
      <c r="AP191" s="17" t="str">
        <f t="shared" si="8"/>
        <v>Off-nest female</v>
      </c>
      <c r="AX191" s="22" t="str">
        <f>IF(AND('[1]observations-276632'!W191&gt;'[1]Methods write-up'!$Q$16,'[1]observations-276632'!W191&lt;'[1]Methods write-up'!$R$16,'[1]observations-276632'!X191&gt;'[1]Methods write-up'!$S$16,'[1]observations-276632'!X191&lt;'[1]Methods write-up'!$T$16),"West and Central Africa","")</f>
        <v/>
      </c>
      <c r="AY191" s="22" t="str">
        <f>IF(AND('[1]observations-276632'!W191&gt;'[1]Methods write-up'!$Q$17,'[1]observations-276632'!W191&lt;'[1]Methods write-up'!$R$17,'[1]observations-276632'!X191&gt;'[1]Methods write-up'!$S$17,'[1]observations-276632'!X191&lt;'[1]Methods write-up'!$T$17),"Equatorial tropical forest","")</f>
        <v/>
      </c>
      <c r="AZ191" s="22" t="str">
        <f>IF(AND('[1]observations-276632'!W191&gt;'[1]Methods write-up'!$Q$18,'[1]observations-276632'!W191&lt;'[1]Methods write-up'!$R$18,'[1]observations-276632'!X191&gt;'[1]Methods write-up'!$S$18,'[1]observations-276632'!X191&lt;'[1]Methods write-up'!$T$18),"Somali peninsula","")</f>
        <v/>
      </c>
      <c r="BA191" s="22" t="str">
        <f>IF(AND('[1]observations-276632'!W191&gt;'[1]Methods write-up'!$Q$19,'[1]observations-276632'!W191&lt;'[1]Methods write-up'!$R$19,'[1]observations-276632'!X191&gt;'[1]Methods write-up'!$S$19,'[1]observations-276632'!X191&lt;'[1]Methods write-up'!$T$19),"East Africa","")</f>
        <v/>
      </c>
      <c r="BB191" s="22" t="str">
        <f>IF(AND('[1]observations-276632'!W191&gt;'[1]Methods write-up'!$Q$20,'[1]observations-276632'!W191&lt;'[1]Methods write-up'!$R$20,'[1]observations-276632'!X191&gt;'[1]Methods write-up'!$S$20,'[1]observations-276632'!X191&lt;'[1]Methods write-up'!$T$20),"Temperate seasonal","")</f>
        <v/>
      </c>
      <c r="BC191" s="22" t="str">
        <f>IF(AND('[1]observations-276632'!W191&gt;'[1]Methods write-up'!$Q$21,'[1]observations-276632'!W191&lt;'[1]Methods write-up'!$R$21,'[1]observations-276632'!X191&gt;'[1]Methods write-up'!$S$21,'[1]observations-276632'!X191&lt;'[1]Methods write-up'!$T$21),"Desert and high aridity","")</f>
        <v/>
      </c>
      <c r="BD191" s="23" t="str">
        <f t="shared" si="11"/>
        <v/>
      </c>
      <c r="BE191" s="24">
        <f t="shared" si="9"/>
        <v>30</v>
      </c>
      <c r="BF191" s="24">
        <f t="shared" si="10"/>
        <v>4</v>
      </c>
    </row>
    <row r="192" spans="1:58" ht="16.25" customHeight="1" x14ac:dyDescent="0.2">
      <c r="A192">
        <v>12150293</v>
      </c>
      <c r="B192" t="s">
        <v>1276</v>
      </c>
      <c r="C192" s="14">
        <v>43217</v>
      </c>
      <c r="D192" t="s">
        <v>1277</v>
      </c>
      <c r="E192" t="s">
        <v>113</v>
      </c>
      <c r="F192">
        <v>748361</v>
      </c>
      <c r="G192" t="s">
        <v>1245</v>
      </c>
      <c r="H192" t="s">
        <v>1246</v>
      </c>
      <c r="I192" t="s">
        <v>1278</v>
      </c>
      <c r="J192" t="s">
        <v>1279</v>
      </c>
      <c r="K192" t="s">
        <v>62</v>
      </c>
      <c r="L192" t="s">
        <v>63</v>
      </c>
      <c r="M192" t="s">
        <v>1280</v>
      </c>
      <c r="N192" t="s">
        <v>1281</v>
      </c>
      <c r="R192">
        <v>4</v>
      </c>
      <c r="S192">
        <v>0</v>
      </c>
      <c r="T192" t="b">
        <v>0</v>
      </c>
      <c r="U192">
        <v>2</v>
      </c>
      <c r="V192" t="s">
        <v>1282</v>
      </c>
      <c r="W192" s="15">
        <v>-29.895277020000002</v>
      </c>
      <c r="X192" s="15">
        <v>30.85611153</v>
      </c>
      <c r="AF192" t="b">
        <v>0</v>
      </c>
      <c r="AG192" t="s">
        <v>350</v>
      </c>
      <c r="AH192" t="s">
        <v>350</v>
      </c>
      <c r="AI192" t="s">
        <v>70</v>
      </c>
      <c r="AJ192" t="s">
        <v>70</v>
      </c>
      <c r="AK192" t="s">
        <v>71</v>
      </c>
      <c r="AL192" t="s">
        <v>72</v>
      </c>
      <c r="AM192">
        <v>346053</v>
      </c>
      <c r="AO192" s="16" t="s">
        <v>140</v>
      </c>
      <c r="AP192" s="17" t="str">
        <f t="shared" si="8"/>
        <v>Post-emergence nest</v>
      </c>
      <c r="AQ192" s="18">
        <v>1</v>
      </c>
      <c r="AV192" s="21" t="s">
        <v>1283</v>
      </c>
      <c r="AX192" s="22" t="str">
        <f>IF(AND('[1]observations-276632'!W192&gt;'[1]Methods write-up'!$Q$16,'[1]observations-276632'!W192&lt;'[1]Methods write-up'!$R$16,'[1]observations-276632'!X192&gt;'[1]Methods write-up'!$S$16,'[1]observations-276632'!X192&lt;'[1]Methods write-up'!$T$16),"West and Central Africa","")</f>
        <v/>
      </c>
      <c r="AY192" s="22" t="str">
        <f>IF(AND('[1]observations-276632'!W192&gt;'[1]Methods write-up'!$Q$17,'[1]observations-276632'!W192&lt;'[1]Methods write-up'!$R$17,'[1]observations-276632'!X192&gt;'[1]Methods write-up'!$S$17,'[1]observations-276632'!X192&lt;'[1]Methods write-up'!$T$17),"Equatorial tropical forest","")</f>
        <v/>
      </c>
      <c r="AZ192" s="22" t="str">
        <f>IF(AND('[1]observations-276632'!W192&gt;'[1]Methods write-up'!$Q$18,'[1]observations-276632'!W192&lt;'[1]Methods write-up'!$R$18,'[1]observations-276632'!X192&gt;'[1]Methods write-up'!$S$18,'[1]observations-276632'!X192&lt;'[1]Methods write-up'!$T$18),"Somali peninsula","")</f>
        <v/>
      </c>
      <c r="BA192" s="22" t="str">
        <f>IF(AND('[1]observations-276632'!W192&gt;'[1]Methods write-up'!$Q$19,'[1]observations-276632'!W192&lt;'[1]Methods write-up'!$R$19,'[1]observations-276632'!X192&gt;'[1]Methods write-up'!$S$19,'[1]observations-276632'!X192&lt;'[1]Methods write-up'!$T$19),"East Africa","")</f>
        <v/>
      </c>
      <c r="BB192" s="22" t="str">
        <f>IF(AND('[1]observations-276632'!W192&gt;'[1]Methods write-up'!$Q$20,'[1]observations-276632'!W192&lt;'[1]Methods write-up'!$R$20,'[1]observations-276632'!X192&gt;'[1]Methods write-up'!$S$20,'[1]observations-276632'!X192&lt;'[1]Methods write-up'!$T$20),"Temperate seasonal","")</f>
        <v>Temperate seasonal</v>
      </c>
      <c r="BC192" s="22" t="str">
        <f>IF(AND('[1]observations-276632'!W192&gt;'[1]Methods write-up'!$Q$21,'[1]observations-276632'!W192&lt;'[1]Methods write-up'!$R$21,'[1]observations-276632'!X192&gt;'[1]Methods write-up'!$S$21,'[1]observations-276632'!X192&lt;'[1]Methods write-up'!$T$21),"Desert and high aridity","")</f>
        <v/>
      </c>
      <c r="BD192" s="23" t="str">
        <f t="shared" si="11"/>
        <v>Temperate seasonal</v>
      </c>
      <c r="BE192" s="24">
        <f t="shared" si="9"/>
        <v>27</v>
      </c>
      <c r="BF192" s="24">
        <f t="shared" si="10"/>
        <v>4</v>
      </c>
    </row>
    <row r="193" spans="1:58" ht="16.25" customHeight="1" x14ac:dyDescent="0.2">
      <c r="A193">
        <v>12188370</v>
      </c>
      <c r="B193" t="s">
        <v>1284</v>
      </c>
      <c r="C193" s="14">
        <v>39457</v>
      </c>
      <c r="D193" t="s">
        <v>1285</v>
      </c>
      <c r="E193" t="s">
        <v>113</v>
      </c>
      <c r="F193">
        <v>121603</v>
      </c>
      <c r="G193" t="s">
        <v>1286</v>
      </c>
      <c r="I193" t="s">
        <v>1287</v>
      </c>
      <c r="J193" t="s">
        <v>1288</v>
      </c>
      <c r="K193" t="s">
        <v>62</v>
      </c>
      <c r="L193" t="s">
        <v>63</v>
      </c>
      <c r="M193" t="s">
        <v>1289</v>
      </c>
      <c r="N193" t="s">
        <v>1290</v>
      </c>
      <c r="R193">
        <v>3</v>
      </c>
      <c r="S193">
        <v>0</v>
      </c>
      <c r="T193" t="b">
        <v>0</v>
      </c>
      <c r="V193" t="s">
        <v>1291</v>
      </c>
      <c r="W193" s="15">
        <v>-14.848132</v>
      </c>
      <c r="X193" s="15">
        <v>35.294807599999999</v>
      </c>
      <c r="Y193">
        <v>208</v>
      </c>
      <c r="AC193">
        <v>208</v>
      </c>
      <c r="AF193" t="b">
        <v>0</v>
      </c>
      <c r="AI193" t="s">
        <v>70</v>
      </c>
      <c r="AJ193" t="s">
        <v>70</v>
      </c>
      <c r="AK193" t="s">
        <v>71</v>
      </c>
      <c r="AL193" t="s">
        <v>72</v>
      </c>
      <c r="AM193">
        <v>346053</v>
      </c>
      <c r="AO193" s="16" t="s">
        <v>73</v>
      </c>
      <c r="AP193" s="17" t="str">
        <f t="shared" si="8"/>
        <v>Off-nest female</v>
      </c>
      <c r="AX193" s="22" t="str">
        <f>IF(AND('[1]observations-276632'!W193&gt;'[1]Methods write-up'!$Q$16,'[1]observations-276632'!W193&lt;'[1]Methods write-up'!$R$16,'[1]observations-276632'!X193&gt;'[1]Methods write-up'!$S$16,'[1]observations-276632'!X193&lt;'[1]Methods write-up'!$T$16),"West and Central Africa","")</f>
        <v/>
      </c>
      <c r="AY193" s="22" t="str">
        <f>IF(AND('[1]observations-276632'!W193&gt;'[1]Methods write-up'!$Q$17,'[1]observations-276632'!W193&lt;'[1]Methods write-up'!$R$17,'[1]observations-276632'!X193&gt;'[1]Methods write-up'!$S$17,'[1]observations-276632'!X193&lt;'[1]Methods write-up'!$T$17),"Equatorial tropical forest","")</f>
        <v/>
      </c>
      <c r="AZ193" s="22" t="str">
        <f>IF(AND('[1]observations-276632'!W193&gt;'[1]Methods write-up'!$Q$18,'[1]observations-276632'!W193&lt;'[1]Methods write-up'!$R$18,'[1]observations-276632'!X193&gt;'[1]Methods write-up'!$S$18,'[1]observations-276632'!X193&lt;'[1]Methods write-up'!$T$18),"Somali peninsula","")</f>
        <v/>
      </c>
      <c r="BA193" s="22" t="str">
        <f>IF(AND('[1]observations-276632'!W193&gt;'[1]Methods write-up'!$Q$19,'[1]observations-276632'!W193&lt;'[1]Methods write-up'!$R$19,'[1]observations-276632'!X193&gt;'[1]Methods write-up'!$S$19,'[1]observations-276632'!X193&lt;'[1]Methods write-up'!$T$19),"East Africa","")</f>
        <v/>
      </c>
      <c r="BB193" s="22" t="str">
        <f>IF(AND('[1]observations-276632'!W193&gt;'[1]Methods write-up'!$Q$20,'[1]observations-276632'!W193&lt;'[1]Methods write-up'!$R$20,'[1]observations-276632'!X193&gt;'[1]Methods write-up'!$S$20,'[1]observations-276632'!X193&lt;'[1]Methods write-up'!$T$20),"Temperate seasonal","")</f>
        <v/>
      </c>
      <c r="BC193" s="22" t="str">
        <f>IF(AND('[1]observations-276632'!W193&gt;'[1]Methods write-up'!$Q$21,'[1]observations-276632'!W193&lt;'[1]Methods write-up'!$R$21,'[1]observations-276632'!X193&gt;'[1]Methods write-up'!$S$21,'[1]observations-276632'!X193&lt;'[1]Methods write-up'!$T$21),"Desert and high aridity","")</f>
        <v/>
      </c>
      <c r="BD193" s="23" t="str">
        <f t="shared" si="11"/>
        <v/>
      </c>
      <c r="BE193" s="24">
        <f t="shared" si="9"/>
        <v>10</v>
      </c>
      <c r="BF193" s="24">
        <f t="shared" si="10"/>
        <v>1</v>
      </c>
    </row>
    <row r="194" spans="1:58" ht="16.25" customHeight="1" x14ac:dyDescent="0.2">
      <c r="A194">
        <v>12241075</v>
      </c>
      <c r="B194" t="s">
        <v>1292</v>
      </c>
      <c r="C194" s="14">
        <v>39627</v>
      </c>
      <c r="D194" t="s">
        <v>1293</v>
      </c>
      <c r="E194" t="s">
        <v>113</v>
      </c>
      <c r="F194">
        <v>121603</v>
      </c>
      <c r="G194" t="s">
        <v>1286</v>
      </c>
      <c r="I194" t="s">
        <v>1294</v>
      </c>
      <c r="J194" t="s">
        <v>1295</v>
      </c>
      <c r="K194" t="s">
        <v>62</v>
      </c>
      <c r="L194" t="s">
        <v>63</v>
      </c>
      <c r="M194" t="s">
        <v>1296</v>
      </c>
      <c r="N194" t="s">
        <v>1297</v>
      </c>
      <c r="R194">
        <v>3</v>
      </c>
      <c r="S194">
        <v>0</v>
      </c>
      <c r="T194" t="b">
        <v>0</v>
      </c>
      <c r="V194" t="s">
        <v>1298</v>
      </c>
      <c r="W194" s="15">
        <v>-0.33152490800000001</v>
      </c>
      <c r="X194" s="15">
        <v>36.116695399999998</v>
      </c>
      <c r="Y194">
        <v>4677</v>
      </c>
      <c r="AC194">
        <v>4677</v>
      </c>
      <c r="AF194" t="b">
        <v>0</v>
      </c>
      <c r="AI194" t="s">
        <v>70</v>
      </c>
      <c r="AJ194" t="s">
        <v>70</v>
      </c>
      <c r="AK194" t="s">
        <v>71</v>
      </c>
      <c r="AL194" t="s">
        <v>72</v>
      </c>
      <c r="AM194">
        <v>346053</v>
      </c>
      <c r="AO194" s="16" t="s">
        <v>73</v>
      </c>
      <c r="AP194" s="17" t="str">
        <f t="shared" ref="AP194:AP257" si="12">IF(COUNTIF(AO194,"*foundress*"),"Nest (foundress)",AO194)</f>
        <v>Off-nest female</v>
      </c>
      <c r="AX194" s="22" t="str">
        <f>IF(AND('[1]observations-276632'!W194&gt;'[1]Methods write-up'!$Q$16,'[1]observations-276632'!W194&lt;'[1]Methods write-up'!$R$16,'[1]observations-276632'!X194&gt;'[1]Methods write-up'!$S$16,'[1]observations-276632'!X194&lt;'[1]Methods write-up'!$T$16),"West and Central Africa","")</f>
        <v/>
      </c>
      <c r="AY194" s="22" t="str">
        <f>IF(AND('[1]observations-276632'!W194&gt;'[1]Methods write-up'!$Q$17,'[1]observations-276632'!W194&lt;'[1]Methods write-up'!$R$17,'[1]observations-276632'!X194&gt;'[1]Methods write-up'!$S$17,'[1]observations-276632'!X194&lt;'[1]Methods write-up'!$T$17),"Equatorial tropical forest","")</f>
        <v/>
      </c>
      <c r="AZ194" s="22" t="str">
        <f>IF(AND('[1]observations-276632'!W194&gt;'[1]Methods write-up'!$Q$18,'[1]observations-276632'!W194&lt;'[1]Methods write-up'!$R$18,'[1]observations-276632'!X194&gt;'[1]Methods write-up'!$S$18,'[1]observations-276632'!X194&lt;'[1]Methods write-up'!$T$18),"Somali peninsula","")</f>
        <v/>
      </c>
      <c r="BA194" s="22" t="str">
        <f>IF(AND('[1]observations-276632'!W194&gt;'[1]Methods write-up'!$Q$19,'[1]observations-276632'!W194&lt;'[1]Methods write-up'!$R$19,'[1]observations-276632'!X194&gt;'[1]Methods write-up'!$S$19,'[1]observations-276632'!X194&lt;'[1]Methods write-up'!$T$19),"East Africa","")</f>
        <v>East Africa</v>
      </c>
      <c r="BB194" s="22" t="str">
        <f>IF(AND('[1]observations-276632'!W194&gt;'[1]Methods write-up'!$Q$20,'[1]observations-276632'!W194&lt;'[1]Methods write-up'!$R$20,'[1]observations-276632'!X194&gt;'[1]Methods write-up'!$S$20,'[1]observations-276632'!X194&lt;'[1]Methods write-up'!$T$20),"Temperate seasonal","")</f>
        <v/>
      </c>
      <c r="BC194" s="22" t="str">
        <f>IF(AND('[1]observations-276632'!W194&gt;'[1]Methods write-up'!$Q$21,'[1]observations-276632'!W194&lt;'[1]Methods write-up'!$R$21,'[1]observations-276632'!X194&gt;'[1]Methods write-up'!$S$21,'[1]observations-276632'!X194&lt;'[1]Methods write-up'!$T$21),"Desert and high aridity","")</f>
        <v/>
      </c>
      <c r="BD194" s="23" t="str">
        <f t="shared" si="11"/>
        <v>East Africa</v>
      </c>
      <c r="BE194" s="24">
        <f t="shared" ref="BE194:BE257" si="13">DAY(C194)</f>
        <v>28</v>
      </c>
      <c r="BF194" s="24">
        <f t="shared" ref="BF194:BF257" si="14">MONTH(C194)</f>
        <v>6</v>
      </c>
    </row>
    <row r="195" spans="1:58" ht="16.25" customHeight="1" x14ac:dyDescent="0.2">
      <c r="A195">
        <v>12350906</v>
      </c>
      <c r="B195" t="s">
        <v>1299</v>
      </c>
      <c r="C195" s="14">
        <v>43229</v>
      </c>
      <c r="D195" t="s">
        <v>1300</v>
      </c>
      <c r="E195" t="s">
        <v>113</v>
      </c>
      <c r="F195">
        <v>826148</v>
      </c>
      <c r="G195" t="s">
        <v>1301</v>
      </c>
      <c r="H195" t="s">
        <v>1301</v>
      </c>
      <c r="I195" t="s">
        <v>1302</v>
      </c>
      <c r="J195" t="s">
        <v>1303</v>
      </c>
      <c r="K195" t="s">
        <v>62</v>
      </c>
      <c r="L195" t="s">
        <v>118</v>
      </c>
      <c r="M195" t="s">
        <v>1304</v>
      </c>
      <c r="N195" t="s">
        <v>1305</v>
      </c>
      <c r="Q195" t="s">
        <v>1306</v>
      </c>
      <c r="R195">
        <v>2</v>
      </c>
      <c r="S195">
        <v>0</v>
      </c>
      <c r="T195" t="b">
        <v>0</v>
      </c>
      <c r="V195" t="s">
        <v>1307</v>
      </c>
      <c r="W195" s="15">
        <v>-29.475619600000002</v>
      </c>
      <c r="X195" s="15">
        <v>30.239374600000001</v>
      </c>
      <c r="Y195">
        <v>198</v>
      </c>
      <c r="AC195">
        <v>198</v>
      </c>
      <c r="AF195" t="b">
        <v>0</v>
      </c>
      <c r="AI195" t="s">
        <v>71</v>
      </c>
      <c r="AJ195" t="s">
        <v>70</v>
      </c>
      <c r="AK195" t="s">
        <v>71</v>
      </c>
      <c r="AL195" t="s">
        <v>72</v>
      </c>
      <c r="AM195">
        <v>346053</v>
      </c>
      <c r="AO195" s="16" t="s">
        <v>73</v>
      </c>
      <c r="AP195" s="17" t="str">
        <f t="shared" si="12"/>
        <v>Off-nest female</v>
      </c>
      <c r="AX195" s="22" t="str">
        <f>IF(AND('[1]observations-276632'!W195&gt;'[1]Methods write-up'!$Q$16,'[1]observations-276632'!W195&lt;'[1]Methods write-up'!$R$16,'[1]observations-276632'!X195&gt;'[1]Methods write-up'!$S$16,'[1]observations-276632'!X195&lt;'[1]Methods write-up'!$T$16),"West and Central Africa","")</f>
        <v/>
      </c>
      <c r="AY195" s="22" t="str">
        <f>IF(AND('[1]observations-276632'!W195&gt;'[1]Methods write-up'!$Q$17,'[1]observations-276632'!W195&lt;'[1]Methods write-up'!$R$17,'[1]observations-276632'!X195&gt;'[1]Methods write-up'!$S$17,'[1]observations-276632'!X195&lt;'[1]Methods write-up'!$T$17),"Equatorial tropical forest","")</f>
        <v/>
      </c>
      <c r="AZ195" s="22" t="str">
        <f>IF(AND('[1]observations-276632'!W195&gt;'[1]Methods write-up'!$Q$18,'[1]observations-276632'!W195&lt;'[1]Methods write-up'!$R$18,'[1]observations-276632'!X195&gt;'[1]Methods write-up'!$S$18,'[1]observations-276632'!X195&lt;'[1]Methods write-up'!$T$18),"Somali peninsula","")</f>
        <v/>
      </c>
      <c r="BA195" s="22" t="str">
        <f>IF(AND('[1]observations-276632'!W195&gt;'[1]Methods write-up'!$Q$19,'[1]observations-276632'!W195&lt;'[1]Methods write-up'!$R$19,'[1]observations-276632'!X195&gt;'[1]Methods write-up'!$S$19,'[1]observations-276632'!X195&lt;'[1]Methods write-up'!$T$19),"East Africa","")</f>
        <v/>
      </c>
      <c r="BB195" s="22" t="str">
        <f>IF(AND('[1]observations-276632'!W195&gt;'[1]Methods write-up'!$Q$20,'[1]observations-276632'!W195&lt;'[1]Methods write-up'!$R$20,'[1]observations-276632'!X195&gt;'[1]Methods write-up'!$S$20,'[1]observations-276632'!X195&lt;'[1]Methods write-up'!$T$20),"Temperate seasonal","")</f>
        <v>Temperate seasonal</v>
      </c>
      <c r="BC195" s="22" t="str">
        <f>IF(AND('[1]observations-276632'!W195&gt;'[1]Methods write-up'!$Q$21,'[1]observations-276632'!W195&lt;'[1]Methods write-up'!$R$21,'[1]observations-276632'!X195&gt;'[1]Methods write-up'!$S$21,'[1]observations-276632'!X195&lt;'[1]Methods write-up'!$T$21),"Desert and high aridity","")</f>
        <v/>
      </c>
      <c r="BD195" s="23" t="str">
        <f t="shared" ref="BD195:BD258" si="15">AX195&amp;AY195&amp;AZ195&amp;BA195&amp;BB195&amp;BC195</f>
        <v>Temperate seasonal</v>
      </c>
      <c r="BE195" s="24">
        <f t="shared" si="13"/>
        <v>9</v>
      </c>
      <c r="BF195" s="24">
        <f t="shared" si="14"/>
        <v>5</v>
      </c>
    </row>
    <row r="196" spans="1:58" ht="16.25" customHeight="1" x14ac:dyDescent="0.2">
      <c r="A196">
        <v>12557907</v>
      </c>
      <c r="B196" t="s">
        <v>1308</v>
      </c>
      <c r="C196" s="14">
        <v>43237</v>
      </c>
      <c r="D196" t="s">
        <v>1309</v>
      </c>
      <c r="E196" t="s">
        <v>193</v>
      </c>
      <c r="F196">
        <v>767597</v>
      </c>
      <c r="G196" t="s">
        <v>1310</v>
      </c>
      <c r="I196" t="s">
        <v>1311</v>
      </c>
      <c r="J196" t="s">
        <v>1312</v>
      </c>
      <c r="K196" t="s">
        <v>62</v>
      </c>
      <c r="M196" t="s">
        <v>1313</v>
      </c>
      <c r="N196" t="s">
        <v>1314</v>
      </c>
      <c r="R196">
        <v>2</v>
      </c>
      <c r="S196">
        <v>0</v>
      </c>
      <c r="T196" t="b">
        <v>0</v>
      </c>
      <c r="U196">
        <v>3</v>
      </c>
      <c r="V196" t="s">
        <v>1315</v>
      </c>
      <c r="W196" s="15">
        <v>4.2826358830000002</v>
      </c>
      <c r="X196" s="15">
        <v>14.156132489999999</v>
      </c>
      <c r="Y196">
        <v>802</v>
      </c>
      <c r="AC196">
        <v>31407</v>
      </c>
      <c r="AD196" t="s">
        <v>839</v>
      </c>
      <c r="AF196" t="b">
        <v>1</v>
      </c>
      <c r="AI196" t="s">
        <v>71</v>
      </c>
      <c r="AJ196" t="s">
        <v>70</v>
      </c>
      <c r="AK196" t="s">
        <v>71</v>
      </c>
      <c r="AL196" t="s">
        <v>72</v>
      </c>
      <c r="AM196">
        <v>346053</v>
      </c>
      <c r="AO196" s="16" t="s">
        <v>442</v>
      </c>
      <c r="AP196" s="17" t="str">
        <f t="shared" si="12"/>
        <v>Dead female</v>
      </c>
      <c r="AX196" s="22" t="str">
        <f>IF(AND('[1]observations-276632'!W196&gt;'[1]Methods write-up'!$Q$16,'[1]observations-276632'!W196&lt;'[1]Methods write-up'!$R$16,'[1]observations-276632'!X196&gt;'[1]Methods write-up'!$S$16,'[1]observations-276632'!X196&lt;'[1]Methods write-up'!$T$16),"West and Central Africa","")</f>
        <v>West and Central Africa</v>
      </c>
      <c r="AY196" s="22" t="str">
        <f>IF(AND('[1]observations-276632'!W196&gt;'[1]Methods write-up'!$Q$17,'[1]observations-276632'!W196&lt;'[1]Methods write-up'!$R$17,'[1]observations-276632'!X196&gt;'[1]Methods write-up'!$S$17,'[1]observations-276632'!X196&lt;'[1]Methods write-up'!$T$17),"Equatorial tropical forest","")</f>
        <v/>
      </c>
      <c r="AZ196" s="22" t="str">
        <f>IF(AND('[1]observations-276632'!W196&gt;'[1]Methods write-up'!$Q$18,'[1]observations-276632'!W196&lt;'[1]Methods write-up'!$R$18,'[1]observations-276632'!X196&gt;'[1]Methods write-up'!$S$18,'[1]observations-276632'!X196&lt;'[1]Methods write-up'!$T$18),"Somali peninsula","")</f>
        <v/>
      </c>
      <c r="BA196" s="22" t="str">
        <f>IF(AND('[1]observations-276632'!W196&gt;'[1]Methods write-up'!$Q$19,'[1]observations-276632'!W196&lt;'[1]Methods write-up'!$R$19,'[1]observations-276632'!X196&gt;'[1]Methods write-up'!$S$19,'[1]observations-276632'!X196&lt;'[1]Methods write-up'!$T$19),"East Africa","")</f>
        <v/>
      </c>
      <c r="BB196" s="22" t="str">
        <f>IF(AND('[1]observations-276632'!W196&gt;'[1]Methods write-up'!$Q$20,'[1]observations-276632'!W196&lt;'[1]Methods write-up'!$R$20,'[1]observations-276632'!X196&gt;'[1]Methods write-up'!$S$20,'[1]observations-276632'!X196&lt;'[1]Methods write-up'!$T$20),"Temperate seasonal","")</f>
        <v/>
      </c>
      <c r="BC196" s="22" t="str">
        <f>IF(AND('[1]observations-276632'!W196&gt;'[1]Methods write-up'!$Q$21,'[1]observations-276632'!W196&lt;'[1]Methods write-up'!$R$21,'[1]observations-276632'!X196&gt;'[1]Methods write-up'!$S$21,'[1]observations-276632'!X196&lt;'[1]Methods write-up'!$T$21),"Desert and high aridity","")</f>
        <v/>
      </c>
      <c r="BD196" s="23" t="str">
        <f t="shared" si="15"/>
        <v>West and Central Africa</v>
      </c>
      <c r="BE196" s="24">
        <f t="shared" si="13"/>
        <v>17</v>
      </c>
      <c r="BF196" s="24">
        <f t="shared" si="14"/>
        <v>5</v>
      </c>
    </row>
    <row r="197" spans="1:58" ht="16.25" customHeight="1" x14ac:dyDescent="0.2">
      <c r="A197">
        <v>12670164</v>
      </c>
      <c r="B197" t="s">
        <v>1316</v>
      </c>
      <c r="C197" s="14">
        <v>43239</v>
      </c>
      <c r="D197" t="s">
        <v>1317</v>
      </c>
      <c r="E197" t="s">
        <v>113</v>
      </c>
      <c r="F197">
        <v>833117</v>
      </c>
      <c r="G197" t="s">
        <v>1318</v>
      </c>
      <c r="H197" t="s">
        <v>1319</v>
      </c>
      <c r="I197" t="s">
        <v>1320</v>
      </c>
      <c r="J197" t="s">
        <v>1321</v>
      </c>
      <c r="K197" t="s">
        <v>62</v>
      </c>
      <c r="L197" t="s">
        <v>63</v>
      </c>
      <c r="M197" t="s">
        <v>1322</v>
      </c>
      <c r="N197" t="s">
        <v>1323</v>
      </c>
      <c r="R197">
        <v>4</v>
      </c>
      <c r="S197">
        <v>0</v>
      </c>
      <c r="T197" t="b">
        <v>0</v>
      </c>
      <c r="U197">
        <v>2</v>
      </c>
      <c r="V197" t="s">
        <v>1324</v>
      </c>
      <c r="W197" s="15">
        <v>-32.701110839999998</v>
      </c>
      <c r="X197" s="15">
        <v>28.335556029999999</v>
      </c>
      <c r="AF197" t="b">
        <v>0</v>
      </c>
      <c r="AG197" t="s">
        <v>350</v>
      </c>
      <c r="AH197" t="s">
        <v>350</v>
      </c>
      <c r="AI197" t="s">
        <v>70</v>
      </c>
      <c r="AJ197" t="s">
        <v>70</v>
      </c>
      <c r="AK197" t="s">
        <v>71</v>
      </c>
      <c r="AL197" t="s">
        <v>72</v>
      </c>
      <c r="AM197">
        <v>346053</v>
      </c>
      <c r="AO197" s="16" t="s">
        <v>150</v>
      </c>
      <c r="AP197" s="17" t="str">
        <f t="shared" si="12"/>
        <v>Male (off nest)</v>
      </c>
      <c r="AX197" s="22" t="str">
        <f>IF(AND('[1]observations-276632'!W197&gt;'[1]Methods write-up'!$Q$16,'[1]observations-276632'!W197&lt;'[1]Methods write-up'!$R$16,'[1]observations-276632'!X197&gt;'[1]Methods write-up'!$S$16,'[1]observations-276632'!X197&lt;'[1]Methods write-up'!$T$16),"West and Central Africa","")</f>
        <v/>
      </c>
      <c r="AY197" s="22" t="str">
        <f>IF(AND('[1]observations-276632'!W197&gt;'[1]Methods write-up'!$Q$17,'[1]observations-276632'!W197&lt;'[1]Methods write-up'!$R$17,'[1]observations-276632'!X197&gt;'[1]Methods write-up'!$S$17,'[1]observations-276632'!X197&lt;'[1]Methods write-up'!$T$17),"Equatorial tropical forest","")</f>
        <v/>
      </c>
      <c r="AZ197" s="22" t="str">
        <f>IF(AND('[1]observations-276632'!W197&gt;'[1]Methods write-up'!$Q$18,'[1]observations-276632'!W197&lt;'[1]Methods write-up'!$R$18,'[1]observations-276632'!X197&gt;'[1]Methods write-up'!$S$18,'[1]observations-276632'!X197&lt;'[1]Methods write-up'!$T$18),"Somali peninsula","")</f>
        <v/>
      </c>
      <c r="BA197" s="22" t="str">
        <f>IF(AND('[1]observations-276632'!W197&gt;'[1]Methods write-up'!$Q$19,'[1]observations-276632'!W197&lt;'[1]Methods write-up'!$R$19,'[1]observations-276632'!X197&gt;'[1]Methods write-up'!$S$19,'[1]observations-276632'!X197&lt;'[1]Methods write-up'!$T$19),"East Africa","")</f>
        <v/>
      </c>
      <c r="BB197" s="22" t="str">
        <f>IF(AND('[1]observations-276632'!W197&gt;'[1]Methods write-up'!$Q$20,'[1]observations-276632'!W197&lt;'[1]Methods write-up'!$R$20,'[1]observations-276632'!X197&gt;'[1]Methods write-up'!$S$20,'[1]observations-276632'!X197&lt;'[1]Methods write-up'!$T$20),"Temperate seasonal","")</f>
        <v>Temperate seasonal</v>
      </c>
      <c r="BC197" s="22" t="str">
        <f>IF(AND('[1]observations-276632'!W197&gt;'[1]Methods write-up'!$Q$21,'[1]observations-276632'!W197&lt;'[1]Methods write-up'!$R$21,'[1]observations-276632'!X197&gt;'[1]Methods write-up'!$S$21,'[1]observations-276632'!X197&lt;'[1]Methods write-up'!$T$21),"Desert and high aridity","")</f>
        <v/>
      </c>
      <c r="BD197" s="23" t="str">
        <f t="shared" si="15"/>
        <v>Temperate seasonal</v>
      </c>
      <c r="BE197" s="24">
        <f t="shared" si="13"/>
        <v>19</v>
      </c>
      <c r="BF197" s="24">
        <f t="shared" si="14"/>
        <v>5</v>
      </c>
    </row>
    <row r="198" spans="1:58" ht="16.25" customHeight="1" x14ac:dyDescent="0.2">
      <c r="A198">
        <v>12952495</v>
      </c>
      <c r="B198" t="s">
        <v>1325</v>
      </c>
      <c r="C198" s="14">
        <v>43250</v>
      </c>
      <c r="D198" t="s">
        <v>1326</v>
      </c>
      <c r="E198" t="s">
        <v>403</v>
      </c>
      <c r="F198">
        <v>538337</v>
      </c>
      <c r="G198" t="s">
        <v>1327</v>
      </c>
      <c r="H198" t="s">
        <v>1328</v>
      </c>
      <c r="I198" t="s">
        <v>1329</v>
      </c>
      <c r="J198" t="s">
        <v>1330</v>
      </c>
      <c r="K198" t="s">
        <v>62</v>
      </c>
      <c r="L198" t="s">
        <v>127</v>
      </c>
      <c r="M198" t="s">
        <v>1331</v>
      </c>
      <c r="N198" t="s">
        <v>1332</v>
      </c>
      <c r="R198">
        <v>3</v>
      </c>
      <c r="S198">
        <v>0</v>
      </c>
      <c r="T198" t="b">
        <v>0</v>
      </c>
      <c r="U198">
        <v>2</v>
      </c>
      <c r="V198" t="s">
        <v>1333</v>
      </c>
      <c r="W198" s="15">
        <v>-1.333005199</v>
      </c>
      <c r="X198" s="15">
        <v>36.77004951</v>
      </c>
      <c r="AC198">
        <v>31447</v>
      </c>
      <c r="AD198" t="s">
        <v>839</v>
      </c>
      <c r="AF198" t="b">
        <v>1</v>
      </c>
      <c r="AG198" t="s">
        <v>350</v>
      </c>
      <c r="AH198" t="s">
        <v>350</v>
      </c>
      <c r="AI198" t="s">
        <v>70</v>
      </c>
      <c r="AJ198" t="s">
        <v>70</v>
      </c>
      <c r="AK198" t="s">
        <v>71</v>
      </c>
      <c r="AL198" t="s">
        <v>72</v>
      </c>
      <c r="AM198">
        <v>346053</v>
      </c>
      <c r="AO198" s="16" t="s">
        <v>73</v>
      </c>
      <c r="AP198" s="17" t="str">
        <f t="shared" si="12"/>
        <v>Off-nest female</v>
      </c>
      <c r="AX198" s="22" t="str">
        <f>IF(AND('[1]observations-276632'!W198&gt;'[1]Methods write-up'!$Q$16,'[1]observations-276632'!W198&lt;'[1]Methods write-up'!$R$16,'[1]observations-276632'!X198&gt;'[1]Methods write-up'!$S$16,'[1]observations-276632'!X198&lt;'[1]Methods write-up'!$T$16),"West and Central Africa","")</f>
        <v/>
      </c>
      <c r="AY198" s="22" t="str">
        <f>IF(AND('[1]observations-276632'!W198&gt;'[1]Methods write-up'!$Q$17,'[1]observations-276632'!W198&lt;'[1]Methods write-up'!$R$17,'[1]observations-276632'!X198&gt;'[1]Methods write-up'!$S$17,'[1]observations-276632'!X198&lt;'[1]Methods write-up'!$T$17),"Equatorial tropical forest","")</f>
        <v/>
      </c>
      <c r="AZ198" s="22" t="str">
        <f>IF(AND('[1]observations-276632'!W198&gt;'[1]Methods write-up'!$Q$18,'[1]observations-276632'!W198&lt;'[1]Methods write-up'!$R$18,'[1]observations-276632'!X198&gt;'[1]Methods write-up'!$S$18,'[1]observations-276632'!X198&lt;'[1]Methods write-up'!$T$18),"Somali peninsula","")</f>
        <v/>
      </c>
      <c r="BA198" s="22" t="str">
        <f>IF(AND('[1]observations-276632'!W198&gt;'[1]Methods write-up'!$Q$19,'[1]observations-276632'!W198&lt;'[1]Methods write-up'!$R$19,'[1]observations-276632'!X198&gt;'[1]Methods write-up'!$S$19,'[1]observations-276632'!X198&lt;'[1]Methods write-up'!$T$19),"East Africa","")</f>
        <v>East Africa</v>
      </c>
      <c r="BB198" s="22" t="str">
        <f>IF(AND('[1]observations-276632'!W198&gt;'[1]Methods write-up'!$Q$20,'[1]observations-276632'!W198&lt;'[1]Methods write-up'!$R$20,'[1]observations-276632'!X198&gt;'[1]Methods write-up'!$S$20,'[1]observations-276632'!X198&lt;'[1]Methods write-up'!$T$20),"Temperate seasonal","")</f>
        <v/>
      </c>
      <c r="BC198" s="22" t="str">
        <f>IF(AND('[1]observations-276632'!W198&gt;'[1]Methods write-up'!$Q$21,'[1]observations-276632'!W198&lt;'[1]Methods write-up'!$R$21,'[1]observations-276632'!X198&gt;'[1]Methods write-up'!$S$21,'[1]observations-276632'!X198&lt;'[1]Methods write-up'!$T$21),"Desert and high aridity","")</f>
        <v/>
      </c>
      <c r="BD198" s="23" t="str">
        <f t="shared" si="15"/>
        <v>East Africa</v>
      </c>
      <c r="BE198" s="24">
        <f t="shared" si="13"/>
        <v>30</v>
      </c>
      <c r="BF198" s="24">
        <f t="shared" si="14"/>
        <v>5</v>
      </c>
    </row>
    <row r="199" spans="1:58" ht="16.25" customHeight="1" x14ac:dyDescent="0.2">
      <c r="A199">
        <v>13002222</v>
      </c>
      <c r="B199" t="s">
        <v>1334</v>
      </c>
      <c r="C199" s="14">
        <v>43250</v>
      </c>
      <c r="D199" t="s">
        <v>1335</v>
      </c>
      <c r="E199" t="s">
        <v>113</v>
      </c>
      <c r="F199">
        <v>662724</v>
      </c>
      <c r="G199" t="s">
        <v>903</v>
      </c>
      <c r="H199" t="s">
        <v>904</v>
      </c>
      <c r="I199" t="s">
        <v>1336</v>
      </c>
      <c r="J199" t="s">
        <v>1337</v>
      </c>
      <c r="K199" t="s">
        <v>62</v>
      </c>
      <c r="L199" t="s">
        <v>63</v>
      </c>
      <c r="M199" t="s">
        <v>1338</v>
      </c>
      <c r="N199" t="s">
        <v>1339</v>
      </c>
      <c r="Q199" s="26" t="s">
        <v>1340</v>
      </c>
      <c r="R199">
        <v>2</v>
      </c>
      <c r="S199">
        <v>0</v>
      </c>
      <c r="T199" t="b">
        <v>0</v>
      </c>
      <c r="V199" t="s">
        <v>1146</v>
      </c>
      <c r="W199" s="15">
        <v>-30.301189730000001</v>
      </c>
      <c r="X199" s="15">
        <v>30.742393509999999</v>
      </c>
      <c r="Y199">
        <v>4</v>
      </c>
      <c r="AC199">
        <v>4</v>
      </c>
      <c r="AF199" t="b">
        <v>0</v>
      </c>
      <c r="AI199" t="s">
        <v>70</v>
      </c>
      <c r="AJ199" t="s">
        <v>70</v>
      </c>
      <c r="AK199" t="s">
        <v>71</v>
      </c>
      <c r="AL199" t="s">
        <v>72</v>
      </c>
      <c r="AM199">
        <v>346053</v>
      </c>
      <c r="AO199" s="16" t="s">
        <v>140</v>
      </c>
      <c r="AP199" s="17" t="str">
        <f t="shared" si="12"/>
        <v>Post-emergence nest</v>
      </c>
      <c r="AQ199" s="18">
        <v>10</v>
      </c>
      <c r="AT199" s="19" t="s">
        <v>141</v>
      </c>
      <c r="AU199" s="20" t="s">
        <v>104</v>
      </c>
      <c r="AX199" s="22" t="str">
        <f>IF(AND('[1]observations-276632'!W199&gt;'[1]Methods write-up'!$Q$16,'[1]observations-276632'!W199&lt;'[1]Methods write-up'!$R$16,'[1]observations-276632'!X199&gt;'[1]Methods write-up'!$S$16,'[1]observations-276632'!X199&lt;'[1]Methods write-up'!$T$16),"West and Central Africa","")</f>
        <v/>
      </c>
      <c r="AY199" s="22" t="str">
        <f>IF(AND('[1]observations-276632'!W199&gt;'[1]Methods write-up'!$Q$17,'[1]observations-276632'!W199&lt;'[1]Methods write-up'!$R$17,'[1]observations-276632'!X199&gt;'[1]Methods write-up'!$S$17,'[1]observations-276632'!X199&lt;'[1]Methods write-up'!$T$17),"Equatorial tropical forest","")</f>
        <v/>
      </c>
      <c r="AZ199" s="22" t="str">
        <f>IF(AND('[1]observations-276632'!W199&gt;'[1]Methods write-up'!$Q$18,'[1]observations-276632'!W199&lt;'[1]Methods write-up'!$R$18,'[1]observations-276632'!X199&gt;'[1]Methods write-up'!$S$18,'[1]observations-276632'!X199&lt;'[1]Methods write-up'!$T$18),"Somali peninsula","")</f>
        <v/>
      </c>
      <c r="BA199" s="22" t="str">
        <f>IF(AND('[1]observations-276632'!W199&gt;'[1]Methods write-up'!$Q$19,'[1]observations-276632'!W199&lt;'[1]Methods write-up'!$R$19,'[1]observations-276632'!X199&gt;'[1]Methods write-up'!$S$19,'[1]observations-276632'!X199&lt;'[1]Methods write-up'!$T$19),"East Africa","")</f>
        <v/>
      </c>
      <c r="BB199" s="22" t="str">
        <f>IF(AND('[1]observations-276632'!W199&gt;'[1]Methods write-up'!$Q$20,'[1]observations-276632'!W199&lt;'[1]Methods write-up'!$R$20,'[1]observations-276632'!X199&gt;'[1]Methods write-up'!$S$20,'[1]observations-276632'!X199&lt;'[1]Methods write-up'!$T$20),"Temperate seasonal","")</f>
        <v>Temperate seasonal</v>
      </c>
      <c r="BC199" s="22" t="str">
        <f>IF(AND('[1]observations-276632'!W199&gt;'[1]Methods write-up'!$Q$21,'[1]observations-276632'!W199&lt;'[1]Methods write-up'!$R$21,'[1]observations-276632'!X199&gt;'[1]Methods write-up'!$S$21,'[1]observations-276632'!X199&lt;'[1]Methods write-up'!$T$21),"Desert and high aridity","")</f>
        <v/>
      </c>
      <c r="BD199" s="23" t="str">
        <f t="shared" si="15"/>
        <v>Temperate seasonal</v>
      </c>
      <c r="BE199" s="24">
        <f t="shared" si="13"/>
        <v>30</v>
      </c>
      <c r="BF199" s="24">
        <f t="shared" si="14"/>
        <v>5</v>
      </c>
    </row>
    <row r="200" spans="1:58" ht="16.25" customHeight="1" x14ac:dyDescent="0.2">
      <c r="A200">
        <v>13138038</v>
      </c>
      <c r="B200" t="s">
        <v>1341</v>
      </c>
      <c r="C200" s="14">
        <v>43246</v>
      </c>
      <c r="D200" t="s">
        <v>1342</v>
      </c>
      <c r="E200" t="s">
        <v>243</v>
      </c>
      <c r="F200">
        <v>32124</v>
      </c>
      <c r="G200" t="s">
        <v>85</v>
      </c>
      <c r="H200" t="s">
        <v>86</v>
      </c>
      <c r="I200" t="s">
        <v>1343</v>
      </c>
      <c r="J200" t="s">
        <v>1344</v>
      </c>
      <c r="K200" t="s">
        <v>62</v>
      </c>
      <c r="L200" t="s">
        <v>63</v>
      </c>
      <c r="M200" t="s">
        <v>1345</v>
      </c>
      <c r="N200" t="s">
        <v>1346</v>
      </c>
      <c r="R200">
        <v>1</v>
      </c>
      <c r="S200">
        <v>0</v>
      </c>
      <c r="T200" t="b">
        <v>0</v>
      </c>
      <c r="V200" t="s">
        <v>1347</v>
      </c>
      <c r="W200" s="15">
        <v>-7.3966416669999999</v>
      </c>
      <c r="X200" s="15">
        <v>37.001375000000003</v>
      </c>
      <c r="AF200" t="b">
        <v>0</v>
      </c>
      <c r="AI200" t="s">
        <v>71</v>
      </c>
      <c r="AJ200" t="s">
        <v>70</v>
      </c>
      <c r="AK200" t="s">
        <v>71</v>
      </c>
      <c r="AL200" t="s">
        <v>72</v>
      </c>
      <c r="AM200">
        <v>346053</v>
      </c>
      <c r="AO200" s="16" t="s">
        <v>172</v>
      </c>
      <c r="AP200" s="17" t="str">
        <f t="shared" si="12"/>
        <v>Nest (foundress)</v>
      </c>
      <c r="AQ200" s="18">
        <v>1</v>
      </c>
      <c r="AT200" s="19" t="s">
        <v>141</v>
      </c>
      <c r="AU200" s="20" t="s">
        <v>104</v>
      </c>
      <c r="AV200" s="21" t="s">
        <v>1348</v>
      </c>
      <c r="AX200" s="22" t="str">
        <f>IF(AND('[1]observations-276632'!W200&gt;'[1]Methods write-up'!$Q$16,'[1]observations-276632'!W200&lt;'[1]Methods write-up'!$R$16,'[1]observations-276632'!X200&gt;'[1]Methods write-up'!$S$16,'[1]observations-276632'!X200&lt;'[1]Methods write-up'!$T$16),"West and Central Africa","")</f>
        <v/>
      </c>
      <c r="AY200" s="22" t="str">
        <f>IF(AND('[1]observations-276632'!W200&gt;'[1]Methods write-up'!$Q$17,'[1]observations-276632'!W200&lt;'[1]Methods write-up'!$R$17,'[1]observations-276632'!X200&gt;'[1]Methods write-up'!$S$17,'[1]observations-276632'!X200&lt;'[1]Methods write-up'!$T$17),"Equatorial tropical forest","")</f>
        <v/>
      </c>
      <c r="AZ200" s="22" t="str">
        <f>IF(AND('[1]observations-276632'!W200&gt;'[1]Methods write-up'!$Q$18,'[1]observations-276632'!W200&lt;'[1]Methods write-up'!$R$18,'[1]observations-276632'!X200&gt;'[1]Methods write-up'!$S$18,'[1]observations-276632'!X200&lt;'[1]Methods write-up'!$T$18),"Somali peninsula","")</f>
        <v/>
      </c>
      <c r="BA200" s="22" t="str">
        <f>IF(AND('[1]observations-276632'!W200&gt;'[1]Methods write-up'!$Q$19,'[1]observations-276632'!W200&lt;'[1]Methods write-up'!$R$19,'[1]observations-276632'!X200&gt;'[1]Methods write-up'!$S$19,'[1]observations-276632'!X200&lt;'[1]Methods write-up'!$T$19),"East Africa","")</f>
        <v>East Africa</v>
      </c>
      <c r="BB200" s="22" t="str">
        <f>IF(AND('[1]observations-276632'!W200&gt;'[1]Methods write-up'!$Q$20,'[1]observations-276632'!W200&lt;'[1]Methods write-up'!$R$20,'[1]observations-276632'!X200&gt;'[1]Methods write-up'!$S$20,'[1]observations-276632'!X200&lt;'[1]Methods write-up'!$T$20),"Temperate seasonal","")</f>
        <v/>
      </c>
      <c r="BC200" s="22" t="str">
        <f>IF(AND('[1]observations-276632'!W200&gt;'[1]Methods write-up'!$Q$21,'[1]observations-276632'!W200&lt;'[1]Methods write-up'!$R$21,'[1]observations-276632'!X200&gt;'[1]Methods write-up'!$S$21,'[1]observations-276632'!X200&lt;'[1]Methods write-up'!$T$21),"Desert and high aridity","")</f>
        <v/>
      </c>
      <c r="BD200" s="23" t="str">
        <f t="shared" si="15"/>
        <v>East Africa</v>
      </c>
      <c r="BE200" s="24">
        <f t="shared" si="13"/>
        <v>26</v>
      </c>
      <c r="BF200" s="24">
        <f t="shared" si="14"/>
        <v>5</v>
      </c>
    </row>
    <row r="201" spans="1:58" ht="16.25" customHeight="1" x14ac:dyDescent="0.2">
      <c r="A201">
        <v>13206393</v>
      </c>
      <c r="B201" t="s">
        <v>1349</v>
      </c>
      <c r="C201" s="14">
        <v>43246</v>
      </c>
      <c r="D201" t="s">
        <v>1350</v>
      </c>
      <c r="E201" t="s">
        <v>243</v>
      </c>
      <c r="F201">
        <v>32124</v>
      </c>
      <c r="G201" t="s">
        <v>85</v>
      </c>
      <c r="H201" t="s">
        <v>86</v>
      </c>
      <c r="I201" t="s">
        <v>1351</v>
      </c>
      <c r="J201" t="s">
        <v>1352</v>
      </c>
      <c r="K201" t="s">
        <v>62</v>
      </c>
      <c r="L201" t="s">
        <v>63</v>
      </c>
      <c r="M201" t="s">
        <v>1353</v>
      </c>
      <c r="N201" t="s">
        <v>1354</v>
      </c>
      <c r="R201">
        <v>1</v>
      </c>
      <c r="S201">
        <v>0</v>
      </c>
      <c r="T201" t="b">
        <v>0</v>
      </c>
      <c r="V201" t="s">
        <v>1355</v>
      </c>
      <c r="W201" s="15">
        <v>-6.7816183329999999</v>
      </c>
      <c r="X201" s="15">
        <v>39.037406670000003</v>
      </c>
      <c r="AF201" t="b">
        <v>0</v>
      </c>
      <c r="AI201" t="s">
        <v>71</v>
      </c>
      <c r="AJ201" t="s">
        <v>70</v>
      </c>
      <c r="AK201" t="s">
        <v>71</v>
      </c>
      <c r="AL201" t="s">
        <v>72</v>
      </c>
      <c r="AM201">
        <v>346053</v>
      </c>
      <c r="AO201" s="16" t="s">
        <v>1356</v>
      </c>
      <c r="AP201" s="17" t="str">
        <f t="shared" si="12"/>
        <v>Nest (foundress)</v>
      </c>
      <c r="AQ201" s="18">
        <v>1</v>
      </c>
      <c r="AT201" s="19" t="s">
        <v>104</v>
      </c>
      <c r="AX201" s="22" t="str">
        <f>IF(AND('[1]observations-276632'!W201&gt;'[1]Methods write-up'!$Q$16,'[1]observations-276632'!W201&lt;'[1]Methods write-up'!$R$16,'[1]observations-276632'!X201&gt;'[1]Methods write-up'!$S$16,'[1]observations-276632'!X201&lt;'[1]Methods write-up'!$T$16),"West and Central Africa","")</f>
        <v/>
      </c>
      <c r="AY201" s="22" t="str">
        <f>IF(AND('[1]observations-276632'!W201&gt;'[1]Methods write-up'!$Q$17,'[1]observations-276632'!W201&lt;'[1]Methods write-up'!$R$17,'[1]observations-276632'!X201&gt;'[1]Methods write-up'!$S$17,'[1]observations-276632'!X201&lt;'[1]Methods write-up'!$T$17),"Equatorial tropical forest","")</f>
        <v/>
      </c>
      <c r="AZ201" s="22" t="str">
        <f>IF(AND('[1]observations-276632'!W201&gt;'[1]Methods write-up'!$Q$18,'[1]observations-276632'!W201&lt;'[1]Methods write-up'!$R$18,'[1]observations-276632'!X201&gt;'[1]Methods write-up'!$S$18,'[1]observations-276632'!X201&lt;'[1]Methods write-up'!$T$18),"Somali peninsula","")</f>
        <v/>
      </c>
      <c r="BA201" s="22" t="str">
        <f>IF(AND('[1]observations-276632'!W201&gt;'[1]Methods write-up'!$Q$19,'[1]observations-276632'!W201&lt;'[1]Methods write-up'!$R$19,'[1]observations-276632'!X201&gt;'[1]Methods write-up'!$S$19,'[1]observations-276632'!X201&lt;'[1]Methods write-up'!$T$19),"East Africa","")</f>
        <v>East Africa</v>
      </c>
      <c r="BB201" s="22" t="str">
        <f>IF(AND('[1]observations-276632'!W201&gt;'[1]Methods write-up'!$Q$20,'[1]observations-276632'!W201&lt;'[1]Methods write-up'!$R$20,'[1]observations-276632'!X201&gt;'[1]Methods write-up'!$S$20,'[1]observations-276632'!X201&lt;'[1]Methods write-up'!$T$20),"Temperate seasonal","")</f>
        <v/>
      </c>
      <c r="BC201" s="22" t="str">
        <f>IF(AND('[1]observations-276632'!W201&gt;'[1]Methods write-up'!$Q$21,'[1]observations-276632'!W201&lt;'[1]Methods write-up'!$R$21,'[1]observations-276632'!X201&gt;'[1]Methods write-up'!$S$21,'[1]observations-276632'!X201&lt;'[1]Methods write-up'!$T$21),"Desert and high aridity","")</f>
        <v/>
      </c>
      <c r="BD201" s="23" t="str">
        <f t="shared" si="15"/>
        <v>East Africa</v>
      </c>
      <c r="BE201" s="24">
        <f t="shared" si="13"/>
        <v>26</v>
      </c>
      <c r="BF201" s="24">
        <f t="shared" si="14"/>
        <v>5</v>
      </c>
    </row>
    <row r="202" spans="1:58" ht="16.25" customHeight="1" x14ac:dyDescent="0.2">
      <c r="A202">
        <v>13288972</v>
      </c>
      <c r="B202" t="s">
        <v>1357</v>
      </c>
      <c r="C202" s="14">
        <v>43247</v>
      </c>
      <c r="D202" t="s">
        <v>1358</v>
      </c>
      <c r="E202" t="s">
        <v>403</v>
      </c>
      <c r="F202">
        <v>542836</v>
      </c>
      <c r="G202" t="s">
        <v>1359</v>
      </c>
      <c r="H202" t="s">
        <v>1360</v>
      </c>
      <c r="I202" t="s">
        <v>1361</v>
      </c>
      <c r="J202" t="s">
        <v>1362</v>
      </c>
      <c r="K202" t="s">
        <v>62</v>
      </c>
      <c r="L202" t="s">
        <v>98</v>
      </c>
      <c r="M202" t="s">
        <v>1363</v>
      </c>
      <c r="N202" t="s">
        <v>1364</v>
      </c>
      <c r="Q202" t="s">
        <v>1365</v>
      </c>
      <c r="R202">
        <v>3</v>
      </c>
      <c r="S202">
        <v>0</v>
      </c>
      <c r="T202" t="b">
        <v>0</v>
      </c>
      <c r="U202">
        <v>3</v>
      </c>
      <c r="V202" t="s">
        <v>1366</v>
      </c>
      <c r="W202" s="15">
        <v>-5.550460159</v>
      </c>
      <c r="X202" s="15">
        <v>38.968405779999998</v>
      </c>
      <c r="Y202">
        <v>2407</v>
      </c>
      <c r="AC202">
        <v>2407</v>
      </c>
      <c r="AF202" t="b">
        <v>0</v>
      </c>
      <c r="AI202" t="s">
        <v>70</v>
      </c>
      <c r="AJ202" t="s">
        <v>70</v>
      </c>
      <c r="AK202" t="s">
        <v>71</v>
      </c>
      <c r="AL202" t="s">
        <v>72</v>
      </c>
      <c r="AM202">
        <v>346053</v>
      </c>
      <c r="AO202" s="16" t="s">
        <v>442</v>
      </c>
      <c r="AP202" s="17" t="str">
        <f t="shared" si="12"/>
        <v>Dead female</v>
      </c>
      <c r="AX202" s="22" t="str">
        <f>IF(AND('[1]observations-276632'!W202&gt;'[1]Methods write-up'!$Q$16,'[1]observations-276632'!W202&lt;'[1]Methods write-up'!$R$16,'[1]observations-276632'!X202&gt;'[1]Methods write-up'!$S$16,'[1]observations-276632'!X202&lt;'[1]Methods write-up'!$T$16),"West and Central Africa","")</f>
        <v/>
      </c>
      <c r="AY202" s="22" t="str">
        <f>IF(AND('[1]observations-276632'!W202&gt;'[1]Methods write-up'!$Q$17,'[1]observations-276632'!W202&lt;'[1]Methods write-up'!$R$17,'[1]observations-276632'!X202&gt;'[1]Methods write-up'!$S$17,'[1]observations-276632'!X202&lt;'[1]Methods write-up'!$T$17),"Equatorial tropical forest","")</f>
        <v/>
      </c>
      <c r="AZ202" s="22" t="str">
        <f>IF(AND('[1]observations-276632'!W202&gt;'[1]Methods write-up'!$Q$18,'[1]observations-276632'!W202&lt;'[1]Methods write-up'!$R$18,'[1]observations-276632'!X202&gt;'[1]Methods write-up'!$S$18,'[1]observations-276632'!X202&lt;'[1]Methods write-up'!$T$18),"Somali peninsula","")</f>
        <v/>
      </c>
      <c r="BA202" s="22" t="str">
        <f>IF(AND('[1]observations-276632'!W202&gt;'[1]Methods write-up'!$Q$19,'[1]observations-276632'!W202&lt;'[1]Methods write-up'!$R$19,'[1]observations-276632'!X202&gt;'[1]Methods write-up'!$S$19,'[1]observations-276632'!X202&lt;'[1]Methods write-up'!$T$19),"East Africa","")</f>
        <v>East Africa</v>
      </c>
      <c r="BB202" s="22" t="str">
        <f>IF(AND('[1]observations-276632'!W202&gt;'[1]Methods write-up'!$Q$20,'[1]observations-276632'!W202&lt;'[1]Methods write-up'!$R$20,'[1]observations-276632'!X202&gt;'[1]Methods write-up'!$S$20,'[1]observations-276632'!X202&lt;'[1]Methods write-up'!$T$20),"Temperate seasonal","")</f>
        <v/>
      </c>
      <c r="BC202" s="22" t="str">
        <f>IF(AND('[1]observations-276632'!W202&gt;'[1]Methods write-up'!$Q$21,'[1]observations-276632'!W202&lt;'[1]Methods write-up'!$R$21,'[1]observations-276632'!X202&gt;'[1]Methods write-up'!$S$21,'[1]observations-276632'!X202&lt;'[1]Methods write-up'!$T$21),"Desert and high aridity","")</f>
        <v/>
      </c>
      <c r="BD202" s="23" t="str">
        <f t="shared" si="15"/>
        <v>East Africa</v>
      </c>
      <c r="BE202" s="24">
        <f t="shared" si="13"/>
        <v>27</v>
      </c>
      <c r="BF202" s="24">
        <f t="shared" si="14"/>
        <v>5</v>
      </c>
    </row>
    <row r="203" spans="1:58" ht="16.25" customHeight="1" x14ac:dyDescent="0.2">
      <c r="A203">
        <v>13290671</v>
      </c>
      <c r="B203" t="s">
        <v>1367</v>
      </c>
      <c r="C203" s="14">
        <v>43261</v>
      </c>
      <c r="D203" t="s">
        <v>1368</v>
      </c>
      <c r="E203" t="s">
        <v>243</v>
      </c>
      <c r="F203">
        <v>1017299</v>
      </c>
      <c r="G203" t="s">
        <v>1369</v>
      </c>
      <c r="H203" t="s">
        <v>1370</v>
      </c>
      <c r="I203" t="s">
        <v>1371</v>
      </c>
      <c r="J203" t="s">
        <v>1372</v>
      </c>
      <c r="K203" t="s">
        <v>62</v>
      </c>
      <c r="M203" t="s">
        <v>1373</v>
      </c>
      <c r="N203" t="s">
        <v>1374</v>
      </c>
      <c r="R203">
        <v>3</v>
      </c>
      <c r="S203">
        <v>0</v>
      </c>
      <c r="T203" t="b">
        <v>0</v>
      </c>
      <c r="U203">
        <v>2</v>
      </c>
      <c r="V203" t="s">
        <v>1375</v>
      </c>
      <c r="W203" s="15">
        <v>1.6782930069999999</v>
      </c>
      <c r="X203" s="15">
        <v>7.3802907209999997</v>
      </c>
      <c r="Y203">
        <v>9</v>
      </c>
      <c r="AC203">
        <v>9</v>
      </c>
      <c r="AF203" t="b">
        <v>0</v>
      </c>
      <c r="AI203" t="s">
        <v>70</v>
      </c>
      <c r="AJ203" t="s">
        <v>70</v>
      </c>
      <c r="AK203" t="s">
        <v>71</v>
      </c>
      <c r="AL203" t="s">
        <v>72</v>
      </c>
      <c r="AM203">
        <v>346053</v>
      </c>
      <c r="AO203" s="16" t="s">
        <v>140</v>
      </c>
      <c r="AP203" s="17" t="str">
        <f t="shared" si="12"/>
        <v>Post-emergence nest</v>
      </c>
      <c r="AQ203" s="18">
        <v>2</v>
      </c>
      <c r="AT203" s="19" t="s">
        <v>141</v>
      </c>
      <c r="AU203" s="20" t="s">
        <v>104</v>
      </c>
      <c r="AV203" s="21" t="s">
        <v>1376</v>
      </c>
      <c r="AX203" s="22" t="str">
        <f>IF(AND('[1]observations-276632'!W203&gt;'[1]Methods write-up'!$Q$16,'[1]observations-276632'!W203&lt;'[1]Methods write-up'!$R$16,'[1]observations-276632'!X203&gt;'[1]Methods write-up'!$S$16,'[1]observations-276632'!X203&lt;'[1]Methods write-up'!$T$16),"West and Central Africa","")</f>
        <v>West and Central Africa</v>
      </c>
      <c r="AY203" s="22" t="str">
        <f>IF(AND('[1]observations-276632'!W203&gt;'[1]Methods write-up'!$Q$17,'[1]observations-276632'!W203&lt;'[1]Methods write-up'!$R$17,'[1]observations-276632'!X203&gt;'[1]Methods write-up'!$S$17,'[1]observations-276632'!X203&lt;'[1]Methods write-up'!$T$17),"Equatorial tropical forest","")</f>
        <v/>
      </c>
      <c r="AZ203" s="22" t="str">
        <f>IF(AND('[1]observations-276632'!W203&gt;'[1]Methods write-up'!$Q$18,'[1]observations-276632'!W203&lt;'[1]Methods write-up'!$R$18,'[1]observations-276632'!X203&gt;'[1]Methods write-up'!$S$18,'[1]observations-276632'!X203&lt;'[1]Methods write-up'!$T$18),"Somali peninsula","")</f>
        <v/>
      </c>
      <c r="BA203" s="22" t="str">
        <f>IF(AND('[1]observations-276632'!W203&gt;'[1]Methods write-up'!$Q$19,'[1]observations-276632'!W203&lt;'[1]Methods write-up'!$R$19,'[1]observations-276632'!X203&gt;'[1]Methods write-up'!$S$19,'[1]observations-276632'!X203&lt;'[1]Methods write-up'!$T$19),"East Africa","")</f>
        <v/>
      </c>
      <c r="BB203" s="22" t="str">
        <f>IF(AND('[1]observations-276632'!W203&gt;'[1]Methods write-up'!$Q$20,'[1]observations-276632'!W203&lt;'[1]Methods write-up'!$R$20,'[1]observations-276632'!X203&gt;'[1]Methods write-up'!$S$20,'[1]observations-276632'!X203&lt;'[1]Methods write-up'!$T$20),"Temperate seasonal","")</f>
        <v/>
      </c>
      <c r="BC203" s="22" t="str">
        <f>IF(AND('[1]observations-276632'!W203&gt;'[1]Methods write-up'!$Q$21,'[1]observations-276632'!W203&lt;'[1]Methods write-up'!$R$21,'[1]observations-276632'!X203&gt;'[1]Methods write-up'!$S$21,'[1]observations-276632'!X203&lt;'[1]Methods write-up'!$T$21),"Desert and high aridity","")</f>
        <v/>
      </c>
      <c r="BD203" s="23" t="str">
        <f t="shared" si="15"/>
        <v>West and Central Africa</v>
      </c>
      <c r="BE203" s="24">
        <f t="shared" si="13"/>
        <v>10</v>
      </c>
      <c r="BF203" s="24">
        <f t="shared" si="14"/>
        <v>6</v>
      </c>
    </row>
    <row r="204" spans="1:58" ht="16.25" customHeight="1" x14ac:dyDescent="0.2">
      <c r="A204">
        <v>13854525</v>
      </c>
      <c r="B204" t="s">
        <v>1377</v>
      </c>
      <c r="C204" s="14">
        <v>43272</v>
      </c>
      <c r="D204" t="s">
        <v>1378</v>
      </c>
      <c r="E204" t="s">
        <v>113</v>
      </c>
      <c r="F204">
        <v>680037</v>
      </c>
      <c r="G204" t="s">
        <v>1379</v>
      </c>
      <c r="H204" t="s">
        <v>1380</v>
      </c>
      <c r="I204" t="s">
        <v>1381</v>
      </c>
      <c r="J204" t="s">
        <v>1382</v>
      </c>
      <c r="K204" t="s">
        <v>62</v>
      </c>
      <c r="L204" t="s">
        <v>63</v>
      </c>
      <c r="M204" t="s">
        <v>1383</v>
      </c>
      <c r="N204" t="s">
        <v>1384</v>
      </c>
      <c r="Q204" t="s">
        <v>1385</v>
      </c>
      <c r="R204">
        <v>2</v>
      </c>
      <c r="S204">
        <v>0</v>
      </c>
      <c r="T204" t="b">
        <v>0</v>
      </c>
      <c r="V204" t="s">
        <v>1386</v>
      </c>
      <c r="W204" s="15">
        <v>-27.810924620000002</v>
      </c>
      <c r="X204" s="15">
        <v>32.230509130000002</v>
      </c>
      <c r="Y204">
        <v>2</v>
      </c>
      <c r="AC204">
        <v>2</v>
      </c>
      <c r="AF204" t="b">
        <v>0</v>
      </c>
      <c r="AI204" t="s">
        <v>71</v>
      </c>
      <c r="AJ204" t="s">
        <v>70</v>
      </c>
      <c r="AK204" t="s">
        <v>71</v>
      </c>
      <c r="AL204" t="s">
        <v>72</v>
      </c>
      <c r="AM204">
        <v>346053</v>
      </c>
      <c r="AO204" s="16" t="s">
        <v>1067</v>
      </c>
      <c r="AP204" s="17" t="str">
        <f t="shared" si="12"/>
        <v>Hibernation cluster</v>
      </c>
      <c r="AQ204" s="18" t="s">
        <v>1068</v>
      </c>
      <c r="AV204" s="21" t="s">
        <v>1387</v>
      </c>
      <c r="AX204" s="22" t="str">
        <f>IF(AND('[1]observations-276632'!W204&gt;'[1]Methods write-up'!$Q$16,'[1]observations-276632'!W204&lt;'[1]Methods write-up'!$R$16,'[1]observations-276632'!X204&gt;'[1]Methods write-up'!$S$16,'[1]observations-276632'!X204&lt;'[1]Methods write-up'!$T$16),"West and Central Africa","")</f>
        <v/>
      </c>
      <c r="AY204" s="22" t="str">
        <f>IF(AND('[1]observations-276632'!W204&gt;'[1]Methods write-up'!$Q$17,'[1]observations-276632'!W204&lt;'[1]Methods write-up'!$R$17,'[1]observations-276632'!X204&gt;'[1]Methods write-up'!$S$17,'[1]observations-276632'!X204&lt;'[1]Methods write-up'!$T$17),"Equatorial tropical forest","")</f>
        <v/>
      </c>
      <c r="AZ204" s="22" t="str">
        <f>IF(AND('[1]observations-276632'!W204&gt;'[1]Methods write-up'!$Q$18,'[1]observations-276632'!W204&lt;'[1]Methods write-up'!$R$18,'[1]observations-276632'!X204&gt;'[1]Methods write-up'!$S$18,'[1]observations-276632'!X204&lt;'[1]Methods write-up'!$T$18),"Somali peninsula","")</f>
        <v/>
      </c>
      <c r="BA204" s="22" t="str">
        <f>IF(AND('[1]observations-276632'!W204&gt;'[1]Methods write-up'!$Q$19,'[1]observations-276632'!W204&lt;'[1]Methods write-up'!$R$19,'[1]observations-276632'!X204&gt;'[1]Methods write-up'!$S$19,'[1]observations-276632'!X204&lt;'[1]Methods write-up'!$T$19),"East Africa","")</f>
        <v/>
      </c>
      <c r="BB204" s="22" t="str">
        <f>IF(AND('[1]observations-276632'!W204&gt;'[1]Methods write-up'!$Q$20,'[1]observations-276632'!W204&lt;'[1]Methods write-up'!$R$20,'[1]observations-276632'!X204&gt;'[1]Methods write-up'!$S$20,'[1]observations-276632'!X204&lt;'[1]Methods write-up'!$T$20),"Temperate seasonal","")</f>
        <v>Temperate seasonal</v>
      </c>
      <c r="BC204" s="22" t="str">
        <f>IF(AND('[1]observations-276632'!W204&gt;'[1]Methods write-up'!$Q$21,'[1]observations-276632'!W204&lt;'[1]Methods write-up'!$R$21,'[1]observations-276632'!X204&gt;'[1]Methods write-up'!$S$21,'[1]observations-276632'!X204&lt;'[1]Methods write-up'!$T$21),"Desert and high aridity","")</f>
        <v/>
      </c>
      <c r="BD204" s="23" t="str">
        <f t="shared" si="15"/>
        <v>Temperate seasonal</v>
      </c>
      <c r="BE204" s="24">
        <f t="shared" si="13"/>
        <v>21</v>
      </c>
      <c r="BF204" s="24">
        <f t="shared" si="14"/>
        <v>6</v>
      </c>
    </row>
    <row r="205" spans="1:58" ht="16.25" customHeight="1" x14ac:dyDescent="0.2">
      <c r="A205">
        <v>14068944</v>
      </c>
      <c r="B205" t="s">
        <v>1388</v>
      </c>
      <c r="C205" s="14">
        <v>43253</v>
      </c>
      <c r="D205" t="s">
        <v>1389</v>
      </c>
      <c r="E205" t="s">
        <v>201</v>
      </c>
      <c r="F205">
        <v>847945</v>
      </c>
      <c r="G205" t="s">
        <v>1390</v>
      </c>
      <c r="I205" t="s">
        <v>1391</v>
      </c>
      <c r="J205" t="s">
        <v>1392</v>
      </c>
      <c r="K205" t="s">
        <v>62</v>
      </c>
      <c r="L205" t="s">
        <v>63</v>
      </c>
      <c r="M205" t="s">
        <v>1393</v>
      </c>
      <c r="N205" t="s">
        <v>1394</v>
      </c>
      <c r="Q205" t="s">
        <v>1395</v>
      </c>
      <c r="R205">
        <v>3</v>
      </c>
      <c r="S205">
        <v>0</v>
      </c>
      <c r="T205" t="b">
        <v>0</v>
      </c>
      <c r="V205" t="s">
        <v>1396</v>
      </c>
      <c r="W205" s="15">
        <v>-29.54727604</v>
      </c>
      <c r="X205" s="15">
        <v>31.203482300000001</v>
      </c>
      <c r="Y205">
        <v>31</v>
      </c>
      <c r="AC205">
        <v>31</v>
      </c>
      <c r="AF205" t="b">
        <v>0</v>
      </c>
      <c r="AI205" t="s">
        <v>70</v>
      </c>
      <c r="AJ205" t="s">
        <v>70</v>
      </c>
      <c r="AK205" t="s">
        <v>71</v>
      </c>
      <c r="AL205" t="s">
        <v>72</v>
      </c>
      <c r="AM205">
        <v>346053</v>
      </c>
      <c r="AO205" s="16" t="s">
        <v>73</v>
      </c>
      <c r="AP205" s="17" t="str">
        <f t="shared" si="12"/>
        <v>Off-nest female</v>
      </c>
      <c r="AX205" s="22" t="str">
        <f>IF(AND('[1]observations-276632'!W205&gt;'[1]Methods write-up'!$Q$16,'[1]observations-276632'!W205&lt;'[1]Methods write-up'!$R$16,'[1]observations-276632'!X205&gt;'[1]Methods write-up'!$S$16,'[1]observations-276632'!X205&lt;'[1]Methods write-up'!$T$16),"West and Central Africa","")</f>
        <v/>
      </c>
      <c r="AY205" s="22" t="str">
        <f>IF(AND('[1]observations-276632'!W205&gt;'[1]Methods write-up'!$Q$17,'[1]observations-276632'!W205&lt;'[1]Methods write-up'!$R$17,'[1]observations-276632'!X205&gt;'[1]Methods write-up'!$S$17,'[1]observations-276632'!X205&lt;'[1]Methods write-up'!$T$17),"Equatorial tropical forest","")</f>
        <v/>
      </c>
      <c r="AZ205" s="22" t="str">
        <f>IF(AND('[1]observations-276632'!W205&gt;'[1]Methods write-up'!$Q$18,'[1]observations-276632'!W205&lt;'[1]Methods write-up'!$R$18,'[1]observations-276632'!X205&gt;'[1]Methods write-up'!$S$18,'[1]observations-276632'!X205&lt;'[1]Methods write-up'!$T$18),"Somali peninsula","")</f>
        <v/>
      </c>
      <c r="BA205" s="22" t="str">
        <f>IF(AND('[1]observations-276632'!W205&gt;'[1]Methods write-up'!$Q$19,'[1]observations-276632'!W205&lt;'[1]Methods write-up'!$R$19,'[1]observations-276632'!X205&gt;'[1]Methods write-up'!$S$19,'[1]observations-276632'!X205&lt;'[1]Methods write-up'!$T$19),"East Africa","")</f>
        <v/>
      </c>
      <c r="BB205" s="22" t="str">
        <f>IF(AND('[1]observations-276632'!W205&gt;'[1]Methods write-up'!$Q$20,'[1]observations-276632'!W205&lt;'[1]Methods write-up'!$R$20,'[1]observations-276632'!X205&gt;'[1]Methods write-up'!$S$20,'[1]observations-276632'!X205&lt;'[1]Methods write-up'!$T$20),"Temperate seasonal","")</f>
        <v>Temperate seasonal</v>
      </c>
      <c r="BC205" s="22" t="str">
        <f>IF(AND('[1]observations-276632'!W205&gt;'[1]Methods write-up'!$Q$21,'[1]observations-276632'!W205&lt;'[1]Methods write-up'!$R$21,'[1]observations-276632'!X205&gt;'[1]Methods write-up'!$S$21,'[1]observations-276632'!X205&lt;'[1]Methods write-up'!$T$21),"Desert and high aridity","")</f>
        <v/>
      </c>
      <c r="BD205" s="23" t="str">
        <f t="shared" si="15"/>
        <v>Temperate seasonal</v>
      </c>
      <c r="BE205" s="24">
        <f t="shared" si="13"/>
        <v>2</v>
      </c>
      <c r="BF205" s="24">
        <f t="shared" si="14"/>
        <v>6</v>
      </c>
    </row>
    <row r="206" spans="1:58" ht="16.25" customHeight="1" x14ac:dyDescent="0.2">
      <c r="A206">
        <v>14071318</v>
      </c>
      <c r="B206" t="s">
        <v>1397</v>
      </c>
      <c r="C206" s="14">
        <v>43275</v>
      </c>
      <c r="D206" t="s">
        <v>1398</v>
      </c>
      <c r="E206" t="s">
        <v>84</v>
      </c>
      <c r="F206">
        <v>807315</v>
      </c>
      <c r="G206" t="s">
        <v>1399</v>
      </c>
      <c r="H206" t="s">
        <v>1400</v>
      </c>
      <c r="I206" t="s">
        <v>1401</v>
      </c>
      <c r="J206" t="s">
        <v>1402</v>
      </c>
      <c r="K206" t="s">
        <v>62</v>
      </c>
      <c r="M206" t="s">
        <v>1403</v>
      </c>
      <c r="N206" t="s">
        <v>1404</v>
      </c>
      <c r="R206">
        <v>2</v>
      </c>
      <c r="S206">
        <v>0</v>
      </c>
      <c r="T206" t="b">
        <v>0</v>
      </c>
      <c r="V206" t="s">
        <v>1405</v>
      </c>
      <c r="W206" s="15">
        <v>-7.1393578949999998</v>
      </c>
      <c r="X206" s="15">
        <v>35.978169110000003</v>
      </c>
      <c r="Y206">
        <v>61</v>
      </c>
      <c r="AC206">
        <v>61</v>
      </c>
      <c r="AF206" t="b">
        <v>0</v>
      </c>
      <c r="AI206" t="s">
        <v>71</v>
      </c>
      <c r="AJ206" t="s">
        <v>70</v>
      </c>
      <c r="AK206" t="s">
        <v>71</v>
      </c>
      <c r="AL206" t="s">
        <v>72</v>
      </c>
      <c r="AM206">
        <v>346053</v>
      </c>
      <c r="AO206" s="16" t="s">
        <v>140</v>
      </c>
      <c r="AP206" s="17" t="str">
        <f t="shared" si="12"/>
        <v>Post-emergence nest</v>
      </c>
      <c r="AQ206" s="18">
        <v>5</v>
      </c>
      <c r="AT206" s="19" t="s">
        <v>141</v>
      </c>
      <c r="AU206" s="20" t="s">
        <v>104</v>
      </c>
      <c r="AX206" s="22" t="str">
        <f>IF(AND('[1]observations-276632'!W206&gt;'[1]Methods write-up'!$Q$16,'[1]observations-276632'!W206&lt;'[1]Methods write-up'!$R$16,'[1]observations-276632'!X206&gt;'[1]Methods write-up'!$S$16,'[1]observations-276632'!X206&lt;'[1]Methods write-up'!$T$16),"West and Central Africa","")</f>
        <v/>
      </c>
      <c r="AY206" s="22" t="str">
        <f>IF(AND('[1]observations-276632'!W206&gt;'[1]Methods write-up'!$Q$17,'[1]observations-276632'!W206&lt;'[1]Methods write-up'!$R$17,'[1]observations-276632'!X206&gt;'[1]Methods write-up'!$S$17,'[1]observations-276632'!X206&lt;'[1]Methods write-up'!$T$17),"Equatorial tropical forest","")</f>
        <v/>
      </c>
      <c r="AZ206" s="22" t="str">
        <f>IF(AND('[1]observations-276632'!W206&gt;'[1]Methods write-up'!$Q$18,'[1]observations-276632'!W206&lt;'[1]Methods write-up'!$R$18,'[1]observations-276632'!X206&gt;'[1]Methods write-up'!$S$18,'[1]observations-276632'!X206&lt;'[1]Methods write-up'!$T$18),"Somali peninsula","")</f>
        <v/>
      </c>
      <c r="BA206" s="22" t="str">
        <f>IF(AND('[1]observations-276632'!W206&gt;'[1]Methods write-up'!$Q$19,'[1]observations-276632'!W206&lt;'[1]Methods write-up'!$R$19,'[1]observations-276632'!X206&gt;'[1]Methods write-up'!$S$19,'[1]observations-276632'!X206&lt;'[1]Methods write-up'!$T$19),"East Africa","")</f>
        <v>East Africa</v>
      </c>
      <c r="BB206" s="22" t="str">
        <f>IF(AND('[1]observations-276632'!W206&gt;'[1]Methods write-up'!$Q$20,'[1]observations-276632'!W206&lt;'[1]Methods write-up'!$R$20,'[1]observations-276632'!X206&gt;'[1]Methods write-up'!$S$20,'[1]observations-276632'!X206&lt;'[1]Methods write-up'!$T$20),"Temperate seasonal","")</f>
        <v/>
      </c>
      <c r="BC206" s="22" t="str">
        <f>IF(AND('[1]observations-276632'!W206&gt;'[1]Methods write-up'!$Q$21,'[1]observations-276632'!W206&lt;'[1]Methods write-up'!$R$21,'[1]observations-276632'!X206&gt;'[1]Methods write-up'!$S$21,'[1]observations-276632'!X206&lt;'[1]Methods write-up'!$T$21),"Desert and high aridity","")</f>
        <v/>
      </c>
      <c r="BD206" s="23" t="str">
        <f t="shared" si="15"/>
        <v>East Africa</v>
      </c>
      <c r="BE206" s="24">
        <f t="shared" si="13"/>
        <v>24</v>
      </c>
      <c r="BF206" s="24">
        <f t="shared" si="14"/>
        <v>6</v>
      </c>
    </row>
    <row r="207" spans="1:58" ht="16.25" customHeight="1" x14ac:dyDescent="0.2">
      <c r="A207">
        <v>14646573</v>
      </c>
      <c r="B207" t="s">
        <v>1406</v>
      </c>
      <c r="C207" s="14">
        <v>43304</v>
      </c>
      <c r="D207" t="s">
        <v>1407</v>
      </c>
      <c r="E207" t="s">
        <v>1408</v>
      </c>
      <c r="F207">
        <v>1103225</v>
      </c>
      <c r="G207" t="s">
        <v>1409</v>
      </c>
      <c r="I207" t="s">
        <v>1410</v>
      </c>
      <c r="J207" t="s">
        <v>1411</v>
      </c>
      <c r="K207" t="s">
        <v>62</v>
      </c>
      <c r="M207" t="s">
        <v>1412</v>
      </c>
      <c r="N207" t="s">
        <v>1413</v>
      </c>
      <c r="R207">
        <v>3</v>
      </c>
      <c r="S207">
        <v>0</v>
      </c>
      <c r="T207" t="b">
        <v>0</v>
      </c>
      <c r="U207">
        <v>3</v>
      </c>
      <c r="V207" t="s">
        <v>1414</v>
      </c>
      <c r="W207" s="15">
        <v>5.2870571899999996</v>
      </c>
      <c r="X207" s="15">
        <v>-3.9762720869999999</v>
      </c>
      <c r="Y207">
        <v>65</v>
      </c>
      <c r="AC207">
        <v>65</v>
      </c>
      <c r="AF207" t="b">
        <v>0</v>
      </c>
      <c r="AI207" t="s">
        <v>70</v>
      </c>
      <c r="AJ207" t="s">
        <v>70</v>
      </c>
      <c r="AK207" t="s">
        <v>71</v>
      </c>
      <c r="AL207" t="s">
        <v>72</v>
      </c>
      <c r="AM207">
        <v>346053</v>
      </c>
      <c r="AO207" s="16" t="s">
        <v>140</v>
      </c>
      <c r="AP207" s="17" t="str">
        <f t="shared" si="12"/>
        <v>Post-emergence nest</v>
      </c>
      <c r="AQ207" s="18">
        <v>10</v>
      </c>
      <c r="AT207" s="19" t="s">
        <v>141</v>
      </c>
      <c r="AU207" s="20" t="s">
        <v>104</v>
      </c>
      <c r="AX207" s="22" t="str">
        <f>IF(AND('[1]observations-276632'!W207&gt;'[1]Methods write-up'!$Q$16,'[1]observations-276632'!W207&lt;'[1]Methods write-up'!$R$16,'[1]observations-276632'!X207&gt;'[1]Methods write-up'!$S$16,'[1]observations-276632'!X207&lt;'[1]Methods write-up'!$T$16),"West and Central Africa","")</f>
        <v>West and Central Africa</v>
      </c>
      <c r="AY207" s="22" t="str">
        <f>IF(AND('[1]observations-276632'!W207&gt;'[1]Methods write-up'!$Q$17,'[1]observations-276632'!W207&lt;'[1]Methods write-up'!$R$17,'[1]observations-276632'!X207&gt;'[1]Methods write-up'!$S$17,'[1]observations-276632'!X207&lt;'[1]Methods write-up'!$T$17),"Equatorial tropical forest","")</f>
        <v/>
      </c>
      <c r="AZ207" s="22" t="str">
        <f>IF(AND('[1]observations-276632'!W207&gt;'[1]Methods write-up'!$Q$18,'[1]observations-276632'!W207&lt;'[1]Methods write-up'!$R$18,'[1]observations-276632'!X207&gt;'[1]Methods write-up'!$S$18,'[1]observations-276632'!X207&lt;'[1]Methods write-up'!$T$18),"Somali peninsula","")</f>
        <v/>
      </c>
      <c r="BA207" s="22" t="str">
        <f>IF(AND('[1]observations-276632'!W207&gt;'[1]Methods write-up'!$Q$19,'[1]observations-276632'!W207&lt;'[1]Methods write-up'!$R$19,'[1]observations-276632'!X207&gt;'[1]Methods write-up'!$S$19,'[1]observations-276632'!X207&lt;'[1]Methods write-up'!$T$19),"East Africa","")</f>
        <v/>
      </c>
      <c r="BB207" s="22" t="str">
        <f>IF(AND('[1]observations-276632'!W207&gt;'[1]Methods write-up'!$Q$20,'[1]observations-276632'!W207&lt;'[1]Methods write-up'!$R$20,'[1]observations-276632'!X207&gt;'[1]Methods write-up'!$S$20,'[1]observations-276632'!X207&lt;'[1]Methods write-up'!$T$20),"Temperate seasonal","")</f>
        <v/>
      </c>
      <c r="BC207" s="22" t="str">
        <f>IF(AND('[1]observations-276632'!W207&gt;'[1]Methods write-up'!$Q$21,'[1]observations-276632'!W207&lt;'[1]Methods write-up'!$R$21,'[1]observations-276632'!X207&gt;'[1]Methods write-up'!$S$21,'[1]observations-276632'!X207&lt;'[1]Methods write-up'!$T$21),"Desert and high aridity","")</f>
        <v/>
      </c>
      <c r="BD207" s="23" t="str">
        <f t="shared" si="15"/>
        <v>West and Central Africa</v>
      </c>
      <c r="BE207" s="24">
        <f t="shared" si="13"/>
        <v>23</v>
      </c>
      <c r="BF207" s="24">
        <f t="shared" si="14"/>
        <v>7</v>
      </c>
    </row>
    <row r="208" spans="1:58" ht="16.25" customHeight="1" x14ac:dyDescent="0.2">
      <c r="A208">
        <v>15014860</v>
      </c>
      <c r="B208" t="s">
        <v>1415</v>
      </c>
      <c r="C208" s="14">
        <v>43293</v>
      </c>
      <c r="D208" t="s">
        <v>1416</v>
      </c>
      <c r="E208" t="s">
        <v>243</v>
      </c>
      <c r="F208">
        <v>823793</v>
      </c>
      <c r="G208" t="s">
        <v>1417</v>
      </c>
      <c r="H208" t="s">
        <v>1418</v>
      </c>
      <c r="I208" t="s">
        <v>1419</v>
      </c>
      <c r="J208" t="s">
        <v>1420</v>
      </c>
      <c r="K208" t="s">
        <v>62</v>
      </c>
      <c r="M208" t="s">
        <v>1421</v>
      </c>
      <c r="N208" t="s">
        <v>1422</v>
      </c>
      <c r="R208">
        <v>4</v>
      </c>
      <c r="S208">
        <v>1</v>
      </c>
      <c r="T208" t="b">
        <v>0</v>
      </c>
      <c r="V208" t="s">
        <v>1423</v>
      </c>
      <c r="W208" s="15">
        <v>-6.8277555999999997</v>
      </c>
      <c r="X208" s="15">
        <v>37.6591144</v>
      </c>
      <c r="Y208">
        <v>19522</v>
      </c>
      <c r="AC208">
        <v>19522</v>
      </c>
      <c r="AF208" t="b">
        <v>0</v>
      </c>
      <c r="AI208" t="s">
        <v>70</v>
      </c>
      <c r="AJ208" t="s">
        <v>70</v>
      </c>
      <c r="AK208" t="s">
        <v>71</v>
      </c>
      <c r="AL208" t="s">
        <v>72</v>
      </c>
      <c r="AM208">
        <v>346053</v>
      </c>
      <c r="AO208" s="16" t="s">
        <v>110</v>
      </c>
      <c r="AP208" s="17" t="str">
        <f t="shared" si="12"/>
        <v>Nest (foundress)</v>
      </c>
      <c r="AQ208" s="18">
        <v>1</v>
      </c>
      <c r="AX208" s="22" t="str">
        <f>IF(AND('[1]observations-276632'!W208&gt;'[1]Methods write-up'!$Q$16,'[1]observations-276632'!W208&lt;'[1]Methods write-up'!$R$16,'[1]observations-276632'!X208&gt;'[1]Methods write-up'!$S$16,'[1]observations-276632'!X208&lt;'[1]Methods write-up'!$T$16),"West and Central Africa","")</f>
        <v/>
      </c>
      <c r="AY208" s="22" t="str">
        <f>IF(AND('[1]observations-276632'!W208&gt;'[1]Methods write-up'!$Q$17,'[1]observations-276632'!W208&lt;'[1]Methods write-up'!$R$17,'[1]observations-276632'!X208&gt;'[1]Methods write-up'!$S$17,'[1]observations-276632'!X208&lt;'[1]Methods write-up'!$T$17),"Equatorial tropical forest","")</f>
        <v/>
      </c>
      <c r="AZ208" s="22" t="str">
        <f>IF(AND('[1]observations-276632'!W208&gt;'[1]Methods write-up'!$Q$18,'[1]observations-276632'!W208&lt;'[1]Methods write-up'!$R$18,'[1]observations-276632'!X208&gt;'[1]Methods write-up'!$S$18,'[1]observations-276632'!X208&lt;'[1]Methods write-up'!$T$18),"Somali peninsula","")</f>
        <v/>
      </c>
      <c r="BA208" s="22" t="str">
        <f>IF(AND('[1]observations-276632'!W208&gt;'[1]Methods write-up'!$Q$19,'[1]observations-276632'!W208&lt;'[1]Methods write-up'!$R$19,'[1]observations-276632'!X208&gt;'[1]Methods write-up'!$S$19,'[1]observations-276632'!X208&lt;'[1]Methods write-up'!$T$19),"East Africa","")</f>
        <v>East Africa</v>
      </c>
      <c r="BB208" s="22" t="str">
        <f>IF(AND('[1]observations-276632'!W208&gt;'[1]Methods write-up'!$Q$20,'[1]observations-276632'!W208&lt;'[1]Methods write-up'!$R$20,'[1]observations-276632'!X208&gt;'[1]Methods write-up'!$S$20,'[1]observations-276632'!X208&lt;'[1]Methods write-up'!$T$20),"Temperate seasonal","")</f>
        <v/>
      </c>
      <c r="BC208" s="22" t="str">
        <f>IF(AND('[1]observations-276632'!W208&gt;'[1]Methods write-up'!$Q$21,'[1]observations-276632'!W208&lt;'[1]Methods write-up'!$R$21,'[1]observations-276632'!X208&gt;'[1]Methods write-up'!$S$21,'[1]observations-276632'!X208&lt;'[1]Methods write-up'!$T$21),"Desert and high aridity","")</f>
        <v/>
      </c>
      <c r="BD208" s="23" t="str">
        <f t="shared" si="15"/>
        <v>East Africa</v>
      </c>
      <c r="BE208" s="24">
        <f t="shared" si="13"/>
        <v>12</v>
      </c>
      <c r="BF208" s="24">
        <f t="shared" si="14"/>
        <v>7</v>
      </c>
    </row>
    <row r="209" spans="1:58" ht="16.25" customHeight="1" x14ac:dyDescent="0.2">
      <c r="A209">
        <v>15197319</v>
      </c>
      <c r="B209" t="s">
        <v>1424</v>
      </c>
      <c r="C209" s="14">
        <v>40127</v>
      </c>
      <c r="D209" t="s">
        <v>1425</v>
      </c>
      <c r="E209" t="s">
        <v>201</v>
      </c>
      <c r="F209">
        <v>84276</v>
      </c>
      <c r="G209" t="s">
        <v>1426</v>
      </c>
      <c r="H209" t="s">
        <v>1427</v>
      </c>
      <c r="I209" t="s">
        <v>1428</v>
      </c>
      <c r="J209" t="s">
        <v>1429</v>
      </c>
      <c r="K209" t="s">
        <v>62</v>
      </c>
      <c r="L209" t="s">
        <v>373</v>
      </c>
      <c r="M209" t="s">
        <v>1430</v>
      </c>
      <c r="N209" t="s">
        <v>1431</v>
      </c>
      <c r="R209">
        <v>4</v>
      </c>
      <c r="S209">
        <v>0</v>
      </c>
      <c r="T209" t="b">
        <v>0</v>
      </c>
      <c r="V209" t="s">
        <v>1432</v>
      </c>
      <c r="W209" s="15">
        <v>-20.554650729999999</v>
      </c>
      <c r="X209" s="15">
        <v>28.402637110000001</v>
      </c>
      <c r="Y209">
        <v>7375</v>
      </c>
      <c r="AC209">
        <v>7375</v>
      </c>
      <c r="AF209" t="b">
        <v>0</v>
      </c>
      <c r="AI209" t="s">
        <v>71</v>
      </c>
      <c r="AJ209" t="s">
        <v>70</v>
      </c>
      <c r="AK209" t="s">
        <v>71</v>
      </c>
      <c r="AL209" t="s">
        <v>72</v>
      </c>
      <c r="AM209">
        <v>346053</v>
      </c>
      <c r="AO209" s="16" t="s">
        <v>140</v>
      </c>
      <c r="AP209" s="17" t="str">
        <f t="shared" si="12"/>
        <v>Post-emergence nest</v>
      </c>
      <c r="AQ209" s="18">
        <v>2</v>
      </c>
      <c r="AT209" s="19" t="s">
        <v>141</v>
      </c>
      <c r="AU209" s="20" t="s">
        <v>104</v>
      </c>
      <c r="AV209" s="21" t="s">
        <v>1433</v>
      </c>
      <c r="AX209" s="22" t="str">
        <f>IF(AND('[1]observations-276632'!W209&gt;'[1]Methods write-up'!$Q$16,'[1]observations-276632'!W209&lt;'[1]Methods write-up'!$R$16,'[1]observations-276632'!X209&gt;'[1]Methods write-up'!$S$16,'[1]observations-276632'!X209&lt;'[1]Methods write-up'!$T$16),"West and Central Africa","")</f>
        <v/>
      </c>
      <c r="AY209" s="22" t="str">
        <f>IF(AND('[1]observations-276632'!W209&gt;'[1]Methods write-up'!$Q$17,'[1]observations-276632'!W209&lt;'[1]Methods write-up'!$R$17,'[1]observations-276632'!X209&gt;'[1]Methods write-up'!$S$17,'[1]observations-276632'!X209&lt;'[1]Methods write-up'!$T$17),"Equatorial tropical forest","")</f>
        <v/>
      </c>
      <c r="AZ209" s="22" t="str">
        <f>IF(AND('[1]observations-276632'!W209&gt;'[1]Methods write-up'!$Q$18,'[1]observations-276632'!W209&lt;'[1]Methods write-up'!$R$18,'[1]observations-276632'!X209&gt;'[1]Methods write-up'!$S$18,'[1]observations-276632'!X209&lt;'[1]Methods write-up'!$T$18),"Somali peninsula","")</f>
        <v/>
      </c>
      <c r="BA209" s="22" t="str">
        <f>IF(AND('[1]observations-276632'!W209&gt;'[1]Methods write-up'!$Q$19,'[1]observations-276632'!W209&lt;'[1]Methods write-up'!$R$19,'[1]observations-276632'!X209&gt;'[1]Methods write-up'!$S$19,'[1]observations-276632'!X209&lt;'[1]Methods write-up'!$T$19),"East Africa","")</f>
        <v/>
      </c>
      <c r="BB209" s="22" t="str">
        <f>IF(AND('[1]observations-276632'!W209&gt;'[1]Methods write-up'!$Q$20,'[1]observations-276632'!W209&lt;'[1]Methods write-up'!$R$20,'[1]observations-276632'!X209&gt;'[1]Methods write-up'!$S$20,'[1]observations-276632'!X209&lt;'[1]Methods write-up'!$T$20),"Temperate seasonal","")</f>
        <v/>
      </c>
      <c r="BC209" s="22" t="str">
        <f>IF(AND('[1]observations-276632'!W209&gt;'[1]Methods write-up'!$Q$21,'[1]observations-276632'!W209&lt;'[1]Methods write-up'!$R$21,'[1]observations-276632'!X209&gt;'[1]Methods write-up'!$S$21,'[1]observations-276632'!X209&lt;'[1]Methods write-up'!$T$21),"Desert and high aridity","")</f>
        <v/>
      </c>
      <c r="BD209" s="23" t="str">
        <f t="shared" si="15"/>
        <v/>
      </c>
      <c r="BE209" s="24">
        <f t="shared" si="13"/>
        <v>10</v>
      </c>
      <c r="BF209" s="24">
        <f t="shared" si="14"/>
        <v>11</v>
      </c>
    </row>
    <row r="210" spans="1:58" ht="16.25" customHeight="1" x14ac:dyDescent="0.2">
      <c r="A210">
        <v>15197395</v>
      </c>
      <c r="B210" t="s">
        <v>1434</v>
      </c>
      <c r="C210" s="14">
        <v>40271</v>
      </c>
      <c r="D210" t="s">
        <v>1435</v>
      </c>
      <c r="E210" t="s">
        <v>201</v>
      </c>
      <c r="F210">
        <v>84276</v>
      </c>
      <c r="G210" t="s">
        <v>1426</v>
      </c>
      <c r="H210" t="s">
        <v>1427</v>
      </c>
      <c r="I210" t="s">
        <v>1436</v>
      </c>
      <c r="J210" t="s">
        <v>1437</v>
      </c>
      <c r="K210" t="s">
        <v>62</v>
      </c>
      <c r="L210" t="s">
        <v>373</v>
      </c>
      <c r="M210" t="s">
        <v>1438</v>
      </c>
      <c r="N210" t="s">
        <v>1439</v>
      </c>
      <c r="R210">
        <v>5</v>
      </c>
      <c r="S210">
        <v>0</v>
      </c>
      <c r="T210" t="b">
        <v>0</v>
      </c>
      <c r="V210" t="s">
        <v>1432</v>
      </c>
      <c r="W210" s="15">
        <v>-20.557222199999998</v>
      </c>
      <c r="X210" s="15">
        <v>28.410876460000001</v>
      </c>
      <c r="Y210">
        <v>13959</v>
      </c>
      <c r="AC210">
        <v>13959</v>
      </c>
      <c r="AF210" t="b">
        <v>0</v>
      </c>
      <c r="AI210" t="s">
        <v>71</v>
      </c>
      <c r="AJ210" t="s">
        <v>70</v>
      </c>
      <c r="AK210" t="s">
        <v>71</v>
      </c>
      <c r="AL210" t="s">
        <v>72</v>
      </c>
      <c r="AM210">
        <v>346053</v>
      </c>
      <c r="AO210" s="16" t="s">
        <v>140</v>
      </c>
      <c r="AP210" s="17" t="str">
        <f t="shared" si="12"/>
        <v>Post-emergence nest</v>
      </c>
      <c r="AQ210" s="18">
        <v>8</v>
      </c>
      <c r="AT210" s="19" t="s">
        <v>141</v>
      </c>
      <c r="AU210" s="20" t="s">
        <v>141</v>
      </c>
      <c r="AX210" s="22" t="str">
        <f>IF(AND('[1]observations-276632'!W210&gt;'[1]Methods write-up'!$Q$16,'[1]observations-276632'!W210&lt;'[1]Methods write-up'!$R$16,'[1]observations-276632'!X210&gt;'[1]Methods write-up'!$S$16,'[1]observations-276632'!X210&lt;'[1]Methods write-up'!$T$16),"West and Central Africa","")</f>
        <v/>
      </c>
      <c r="AY210" s="22" t="str">
        <f>IF(AND('[1]observations-276632'!W210&gt;'[1]Methods write-up'!$Q$17,'[1]observations-276632'!W210&lt;'[1]Methods write-up'!$R$17,'[1]observations-276632'!X210&gt;'[1]Methods write-up'!$S$17,'[1]observations-276632'!X210&lt;'[1]Methods write-up'!$T$17),"Equatorial tropical forest","")</f>
        <v/>
      </c>
      <c r="AZ210" s="22" t="str">
        <f>IF(AND('[1]observations-276632'!W210&gt;'[1]Methods write-up'!$Q$18,'[1]observations-276632'!W210&lt;'[1]Methods write-up'!$R$18,'[1]observations-276632'!X210&gt;'[1]Methods write-up'!$S$18,'[1]observations-276632'!X210&lt;'[1]Methods write-up'!$T$18),"Somali peninsula","")</f>
        <v/>
      </c>
      <c r="BA210" s="22" t="str">
        <f>IF(AND('[1]observations-276632'!W210&gt;'[1]Methods write-up'!$Q$19,'[1]observations-276632'!W210&lt;'[1]Methods write-up'!$R$19,'[1]observations-276632'!X210&gt;'[1]Methods write-up'!$S$19,'[1]observations-276632'!X210&lt;'[1]Methods write-up'!$T$19),"East Africa","")</f>
        <v/>
      </c>
      <c r="BB210" s="22" t="str">
        <f>IF(AND('[1]observations-276632'!W210&gt;'[1]Methods write-up'!$Q$20,'[1]observations-276632'!W210&lt;'[1]Methods write-up'!$R$20,'[1]observations-276632'!X210&gt;'[1]Methods write-up'!$S$20,'[1]observations-276632'!X210&lt;'[1]Methods write-up'!$T$20),"Temperate seasonal","")</f>
        <v/>
      </c>
      <c r="BC210" s="22" t="str">
        <f>IF(AND('[1]observations-276632'!W210&gt;'[1]Methods write-up'!$Q$21,'[1]observations-276632'!W210&lt;'[1]Methods write-up'!$R$21,'[1]observations-276632'!X210&gt;'[1]Methods write-up'!$S$21,'[1]observations-276632'!X210&lt;'[1]Methods write-up'!$T$21),"Desert and high aridity","")</f>
        <v/>
      </c>
      <c r="BD210" s="23" t="str">
        <f t="shared" si="15"/>
        <v/>
      </c>
      <c r="BE210" s="24">
        <f t="shared" si="13"/>
        <v>3</v>
      </c>
      <c r="BF210" s="24">
        <f t="shared" si="14"/>
        <v>4</v>
      </c>
    </row>
    <row r="211" spans="1:58" ht="16.25" customHeight="1" x14ac:dyDescent="0.2">
      <c r="A211">
        <v>15197583</v>
      </c>
      <c r="B211" t="s">
        <v>1440</v>
      </c>
      <c r="C211" s="14">
        <v>41593</v>
      </c>
      <c r="D211" t="s">
        <v>1441</v>
      </c>
      <c r="E211" t="s">
        <v>201</v>
      </c>
      <c r="F211">
        <v>84276</v>
      </c>
      <c r="G211" t="s">
        <v>1426</v>
      </c>
      <c r="H211" t="s">
        <v>1427</v>
      </c>
      <c r="I211" t="s">
        <v>1442</v>
      </c>
      <c r="J211" t="s">
        <v>1443</v>
      </c>
      <c r="K211" t="s">
        <v>62</v>
      </c>
      <c r="L211" t="s">
        <v>373</v>
      </c>
      <c r="M211" t="s">
        <v>1444</v>
      </c>
      <c r="N211" t="s">
        <v>1445</v>
      </c>
      <c r="R211">
        <v>2</v>
      </c>
      <c r="S211">
        <v>0</v>
      </c>
      <c r="T211" t="b">
        <v>0</v>
      </c>
      <c r="V211" t="s">
        <v>1446</v>
      </c>
      <c r="W211" s="15">
        <v>-4.1924970000000004</v>
      </c>
      <c r="X211" s="15">
        <v>39.425484900000001</v>
      </c>
      <c r="Y211">
        <v>211</v>
      </c>
      <c r="AC211">
        <v>211</v>
      </c>
      <c r="AF211" t="b">
        <v>0</v>
      </c>
      <c r="AI211" t="s">
        <v>71</v>
      </c>
      <c r="AJ211" t="s">
        <v>70</v>
      </c>
      <c r="AK211" t="s">
        <v>71</v>
      </c>
      <c r="AL211" t="s">
        <v>72</v>
      </c>
      <c r="AM211">
        <v>346053</v>
      </c>
      <c r="AO211" s="16" t="s">
        <v>140</v>
      </c>
      <c r="AP211" s="17" t="str">
        <f t="shared" si="12"/>
        <v>Post-emergence nest</v>
      </c>
      <c r="AQ211" s="18">
        <v>1</v>
      </c>
      <c r="AT211" s="19" t="s">
        <v>104</v>
      </c>
      <c r="AU211" s="20" t="s">
        <v>104</v>
      </c>
      <c r="AV211" s="21" t="s">
        <v>1447</v>
      </c>
      <c r="AX211" s="22" t="str">
        <f>IF(AND('[1]observations-276632'!W211&gt;'[1]Methods write-up'!$Q$16,'[1]observations-276632'!W211&lt;'[1]Methods write-up'!$R$16,'[1]observations-276632'!X211&gt;'[1]Methods write-up'!$S$16,'[1]observations-276632'!X211&lt;'[1]Methods write-up'!$T$16),"West and Central Africa","")</f>
        <v/>
      </c>
      <c r="AY211" s="22" t="str">
        <f>IF(AND('[1]observations-276632'!W211&gt;'[1]Methods write-up'!$Q$17,'[1]observations-276632'!W211&lt;'[1]Methods write-up'!$R$17,'[1]observations-276632'!X211&gt;'[1]Methods write-up'!$S$17,'[1]observations-276632'!X211&lt;'[1]Methods write-up'!$T$17),"Equatorial tropical forest","")</f>
        <v/>
      </c>
      <c r="AZ211" s="22" t="str">
        <f>IF(AND('[1]observations-276632'!W211&gt;'[1]Methods write-up'!$Q$18,'[1]observations-276632'!W211&lt;'[1]Methods write-up'!$R$18,'[1]observations-276632'!X211&gt;'[1]Methods write-up'!$S$18,'[1]observations-276632'!X211&lt;'[1]Methods write-up'!$T$18),"Somali peninsula","")</f>
        <v/>
      </c>
      <c r="BA211" s="22" t="str">
        <f>IF(AND('[1]observations-276632'!W211&gt;'[1]Methods write-up'!$Q$19,'[1]observations-276632'!W211&lt;'[1]Methods write-up'!$R$19,'[1]observations-276632'!X211&gt;'[1]Methods write-up'!$S$19,'[1]observations-276632'!X211&lt;'[1]Methods write-up'!$T$19),"East Africa","")</f>
        <v>East Africa</v>
      </c>
      <c r="BB211" s="22" t="str">
        <f>IF(AND('[1]observations-276632'!W211&gt;'[1]Methods write-up'!$Q$20,'[1]observations-276632'!W211&lt;'[1]Methods write-up'!$R$20,'[1]observations-276632'!X211&gt;'[1]Methods write-up'!$S$20,'[1]observations-276632'!X211&lt;'[1]Methods write-up'!$T$20),"Temperate seasonal","")</f>
        <v/>
      </c>
      <c r="BC211" s="22" t="str">
        <f>IF(AND('[1]observations-276632'!W211&gt;'[1]Methods write-up'!$Q$21,'[1]observations-276632'!W211&lt;'[1]Methods write-up'!$R$21,'[1]observations-276632'!X211&gt;'[1]Methods write-up'!$S$21,'[1]observations-276632'!X211&lt;'[1]Methods write-up'!$T$21),"Desert and high aridity","")</f>
        <v/>
      </c>
      <c r="BD211" s="23" t="str">
        <f t="shared" si="15"/>
        <v>East Africa</v>
      </c>
      <c r="BE211" s="24">
        <f t="shared" si="13"/>
        <v>15</v>
      </c>
      <c r="BF211" s="24">
        <f t="shared" si="14"/>
        <v>11</v>
      </c>
    </row>
    <row r="212" spans="1:58" ht="16.25" customHeight="1" x14ac:dyDescent="0.2">
      <c r="A212">
        <v>15318249</v>
      </c>
      <c r="B212" t="s">
        <v>1448</v>
      </c>
      <c r="C212" s="14">
        <v>43298</v>
      </c>
      <c r="D212" t="s">
        <v>1449</v>
      </c>
      <c r="E212" t="s">
        <v>201</v>
      </c>
      <c r="F212">
        <v>292489</v>
      </c>
      <c r="G212" t="s">
        <v>1450</v>
      </c>
      <c r="H212" t="s">
        <v>1451</v>
      </c>
      <c r="I212" t="s">
        <v>1452</v>
      </c>
      <c r="J212" t="s">
        <v>1453</v>
      </c>
      <c r="K212" t="s">
        <v>62</v>
      </c>
      <c r="L212" t="s">
        <v>98</v>
      </c>
      <c r="M212" t="s">
        <v>1454</v>
      </c>
      <c r="N212" t="s">
        <v>1455</v>
      </c>
      <c r="R212">
        <v>3</v>
      </c>
      <c r="S212">
        <v>0</v>
      </c>
      <c r="T212" t="b">
        <v>0</v>
      </c>
      <c r="V212" t="s">
        <v>1456</v>
      </c>
      <c r="W212" s="15">
        <v>0.43932196899999998</v>
      </c>
      <c r="X212" s="15">
        <v>35.9156695</v>
      </c>
      <c r="Y212">
        <v>1953</v>
      </c>
      <c r="AC212">
        <v>1953</v>
      </c>
      <c r="AF212" t="b">
        <v>0</v>
      </c>
      <c r="AI212" t="s">
        <v>70</v>
      </c>
      <c r="AJ212" t="s">
        <v>70</v>
      </c>
      <c r="AK212" t="s">
        <v>71</v>
      </c>
      <c r="AL212" t="s">
        <v>72</v>
      </c>
      <c r="AM212">
        <v>346053</v>
      </c>
      <c r="AO212" s="16" t="s">
        <v>140</v>
      </c>
      <c r="AP212" s="17" t="str">
        <f t="shared" si="12"/>
        <v>Post-emergence nest</v>
      </c>
      <c r="AQ212" s="18">
        <v>32</v>
      </c>
      <c r="AT212" s="19" t="s">
        <v>141</v>
      </c>
      <c r="AU212" s="20" t="s">
        <v>141</v>
      </c>
      <c r="AX212" s="22" t="str">
        <f>IF(AND('[1]observations-276632'!W212&gt;'[1]Methods write-up'!$Q$16,'[1]observations-276632'!W212&lt;'[1]Methods write-up'!$R$16,'[1]observations-276632'!X212&gt;'[1]Methods write-up'!$S$16,'[1]observations-276632'!X212&lt;'[1]Methods write-up'!$T$16),"West and Central Africa","")</f>
        <v/>
      </c>
      <c r="AY212" s="22" t="str">
        <f>IF(AND('[1]observations-276632'!W212&gt;'[1]Methods write-up'!$Q$17,'[1]observations-276632'!W212&lt;'[1]Methods write-up'!$R$17,'[1]observations-276632'!X212&gt;'[1]Methods write-up'!$S$17,'[1]observations-276632'!X212&lt;'[1]Methods write-up'!$T$17),"Equatorial tropical forest","")</f>
        <v/>
      </c>
      <c r="AZ212" s="22" t="str">
        <f>IF(AND('[1]observations-276632'!W212&gt;'[1]Methods write-up'!$Q$18,'[1]observations-276632'!W212&lt;'[1]Methods write-up'!$R$18,'[1]observations-276632'!X212&gt;'[1]Methods write-up'!$S$18,'[1]observations-276632'!X212&lt;'[1]Methods write-up'!$T$18),"Somali peninsula","")</f>
        <v/>
      </c>
      <c r="BA212" s="22" t="str">
        <f>IF(AND('[1]observations-276632'!W212&gt;'[1]Methods write-up'!$Q$19,'[1]observations-276632'!W212&lt;'[1]Methods write-up'!$R$19,'[1]observations-276632'!X212&gt;'[1]Methods write-up'!$S$19,'[1]observations-276632'!X212&lt;'[1]Methods write-up'!$T$19),"East Africa","")</f>
        <v>East Africa</v>
      </c>
      <c r="BB212" s="22" t="str">
        <f>IF(AND('[1]observations-276632'!W212&gt;'[1]Methods write-up'!$Q$20,'[1]observations-276632'!W212&lt;'[1]Methods write-up'!$R$20,'[1]observations-276632'!X212&gt;'[1]Methods write-up'!$S$20,'[1]observations-276632'!X212&lt;'[1]Methods write-up'!$T$20),"Temperate seasonal","")</f>
        <v/>
      </c>
      <c r="BC212" s="22" t="str">
        <f>IF(AND('[1]observations-276632'!W212&gt;'[1]Methods write-up'!$Q$21,'[1]observations-276632'!W212&lt;'[1]Methods write-up'!$R$21,'[1]observations-276632'!X212&gt;'[1]Methods write-up'!$S$21,'[1]observations-276632'!X212&lt;'[1]Methods write-up'!$T$21),"Desert and high aridity","")</f>
        <v/>
      </c>
      <c r="BD212" s="23" t="str">
        <f t="shared" si="15"/>
        <v>East Africa</v>
      </c>
      <c r="BE212" s="24">
        <f t="shared" si="13"/>
        <v>17</v>
      </c>
      <c r="BF212" s="24">
        <f t="shared" si="14"/>
        <v>7</v>
      </c>
    </row>
    <row r="213" spans="1:58" ht="16.25" customHeight="1" x14ac:dyDescent="0.2">
      <c r="A213">
        <v>15443202</v>
      </c>
      <c r="B213" t="s">
        <v>1457</v>
      </c>
      <c r="C213" s="14">
        <v>43017</v>
      </c>
      <c r="D213" t="s">
        <v>1458</v>
      </c>
      <c r="E213" t="s">
        <v>243</v>
      </c>
      <c r="F213">
        <v>1126855</v>
      </c>
      <c r="G213" t="s">
        <v>1459</v>
      </c>
      <c r="H213" t="s">
        <v>1460</v>
      </c>
      <c r="I213" t="s">
        <v>1461</v>
      </c>
      <c r="J213" t="s">
        <v>1462</v>
      </c>
      <c r="K213" t="s">
        <v>62</v>
      </c>
      <c r="L213" t="s">
        <v>63</v>
      </c>
      <c r="M213" t="s">
        <v>1463</v>
      </c>
      <c r="N213" t="s">
        <v>1464</v>
      </c>
      <c r="R213">
        <v>4</v>
      </c>
      <c r="S213">
        <v>0</v>
      </c>
      <c r="T213" t="b">
        <v>0</v>
      </c>
      <c r="V213" t="s">
        <v>1465</v>
      </c>
      <c r="W213" s="15">
        <v>-15.71247206</v>
      </c>
      <c r="X213" s="15">
        <v>49.961948630000002</v>
      </c>
      <c r="Y213">
        <v>28</v>
      </c>
      <c r="AC213">
        <v>28</v>
      </c>
      <c r="AF213" t="b">
        <v>0</v>
      </c>
      <c r="AI213" t="s">
        <v>70</v>
      </c>
      <c r="AJ213" t="s">
        <v>70</v>
      </c>
      <c r="AK213" t="s">
        <v>71</v>
      </c>
      <c r="AL213" t="s">
        <v>72</v>
      </c>
      <c r="AM213">
        <v>346053</v>
      </c>
      <c r="AO213" s="16" t="s">
        <v>73</v>
      </c>
      <c r="AP213" s="17" t="str">
        <f t="shared" si="12"/>
        <v>Off-nest female</v>
      </c>
      <c r="AX213" s="22" t="str">
        <f>IF(AND('[1]observations-276632'!W213&gt;'[1]Methods write-up'!$Q$16,'[1]observations-276632'!W213&lt;'[1]Methods write-up'!$R$16,'[1]observations-276632'!X213&gt;'[1]Methods write-up'!$S$16,'[1]observations-276632'!X213&lt;'[1]Methods write-up'!$T$16),"West and Central Africa","")</f>
        <v/>
      </c>
      <c r="AY213" s="22" t="str">
        <f>IF(AND('[1]observations-276632'!W213&gt;'[1]Methods write-up'!$Q$17,'[1]observations-276632'!W213&lt;'[1]Methods write-up'!$R$17,'[1]observations-276632'!X213&gt;'[1]Methods write-up'!$S$17,'[1]observations-276632'!X213&lt;'[1]Methods write-up'!$T$17),"Equatorial tropical forest","")</f>
        <v/>
      </c>
      <c r="AZ213" s="22" t="str">
        <f>IF(AND('[1]observations-276632'!W213&gt;'[1]Methods write-up'!$Q$18,'[1]observations-276632'!W213&lt;'[1]Methods write-up'!$R$18,'[1]observations-276632'!X213&gt;'[1]Methods write-up'!$S$18,'[1]observations-276632'!X213&lt;'[1]Methods write-up'!$T$18),"Somali peninsula","")</f>
        <v/>
      </c>
      <c r="BA213" s="22" t="str">
        <f>IF(AND('[1]observations-276632'!W213&gt;'[1]Methods write-up'!$Q$19,'[1]observations-276632'!W213&lt;'[1]Methods write-up'!$R$19,'[1]observations-276632'!X213&gt;'[1]Methods write-up'!$S$19,'[1]observations-276632'!X213&lt;'[1]Methods write-up'!$T$19),"East Africa","")</f>
        <v/>
      </c>
      <c r="BB213" s="22" t="str">
        <f>IF(AND('[1]observations-276632'!W213&gt;'[1]Methods write-up'!$Q$20,'[1]observations-276632'!W213&lt;'[1]Methods write-up'!$R$20,'[1]observations-276632'!X213&gt;'[1]Methods write-up'!$S$20,'[1]observations-276632'!X213&lt;'[1]Methods write-up'!$T$20),"Temperate seasonal","")</f>
        <v/>
      </c>
      <c r="BC213" s="22" t="str">
        <f>IF(AND('[1]observations-276632'!W213&gt;'[1]Methods write-up'!$Q$21,'[1]observations-276632'!W213&lt;'[1]Methods write-up'!$R$21,'[1]observations-276632'!X213&gt;'[1]Methods write-up'!$S$21,'[1]observations-276632'!X213&lt;'[1]Methods write-up'!$T$21),"Desert and high aridity","")</f>
        <v/>
      </c>
      <c r="BD213" s="23" t="str">
        <f t="shared" si="15"/>
        <v/>
      </c>
      <c r="BE213" s="24">
        <f t="shared" si="13"/>
        <v>9</v>
      </c>
      <c r="BF213" s="24">
        <f t="shared" si="14"/>
        <v>10</v>
      </c>
    </row>
    <row r="214" spans="1:58" ht="16.25" customHeight="1" x14ac:dyDescent="0.2">
      <c r="A214">
        <v>15476276</v>
      </c>
      <c r="B214" t="s">
        <v>1466</v>
      </c>
      <c r="C214" s="14">
        <v>43014</v>
      </c>
      <c r="D214" t="s">
        <v>1467</v>
      </c>
      <c r="E214" t="s">
        <v>243</v>
      </c>
      <c r="F214">
        <v>1126855</v>
      </c>
      <c r="G214" t="s">
        <v>1459</v>
      </c>
      <c r="H214" t="s">
        <v>1460</v>
      </c>
      <c r="I214" t="s">
        <v>1468</v>
      </c>
      <c r="J214" t="s">
        <v>1469</v>
      </c>
      <c r="K214" t="s">
        <v>157</v>
      </c>
      <c r="L214" t="s">
        <v>63</v>
      </c>
      <c r="M214" t="s">
        <v>1470</v>
      </c>
      <c r="N214" t="s">
        <v>1471</v>
      </c>
      <c r="Q214" t="s">
        <v>1472</v>
      </c>
      <c r="R214">
        <v>2</v>
      </c>
      <c r="S214">
        <v>0</v>
      </c>
      <c r="T214" t="b">
        <v>0</v>
      </c>
      <c r="V214" t="s">
        <v>1473</v>
      </c>
      <c r="W214" s="15">
        <v>-15.71039139</v>
      </c>
      <c r="X214" s="15">
        <v>49.96420371</v>
      </c>
      <c r="Y214">
        <v>704</v>
      </c>
      <c r="AC214">
        <v>704</v>
      </c>
      <c r="AF214" t="b">
        <v>0</v>
      </c>
      <c r="AI214" t="s">
        <v>1474</v>
      </c>
      <c r="AJ214" t="s">
        <v>1474</v>
      </c>
      <c r="AL214" t="s">
        <v>72</v>
      </c>
      <c r="AM214">
        <v>1391068</v>
      </c>
      <c r="AO214" s="16" t="s">
        <v>110</v>
      </c>
      <c r="AP214" s="17" t="str">
        <f t="shared" si="12"/>
        <v>Nest (foundress)</v>
      </c>
      <c r="AQ214" s="18">
        <v>1</v>
      </c>
      <c r="AX214" s="22" t="str">
        <f>IF(AND('[1]observations-276632'!W214&gt;'[1]Methods write-up'!$Q$16,'[1]observations-276632'!W214&lt;'[1]Methods write-up'!$R$16,'[1]observations-276632'!X214&gt;'[1]Methods write-up'!$S$16,'[1]observations-276632'!X214&lt;'[1]Methods write-up'!$T$16),"West and Central Africa","")</f>
        <v/>
      </c>
      <c r="AY214" s="22" t="str">
        <f>IF(AND('[1]observations-276632'!W214&gt;'[1]Methods write-up'!$Q$17,'[1]observations-276632'!W214&lt;'[1]Methods write-up'!$R$17,'[1]observations-276632'!X214&gt;'[1]Methods write-up'!$S$17,'[1]observations-276632'!X214&lt;'[1]Methods write-up'!$T$17),"Equatorial tropical forest","")</f>
        <v/>
      </c>
      <c r="AZ214" s="22" t="str">
        <f>IF(AND('[1]observations-276632'!W214&gt;'[1]Methods write-up'!$Q$18,'[1]observations-276632'!W214&lt;'[1]Methods write-up'!$R$18,'[1]observations-276632'!X214&gt;'[1]Methods write-up'!$S$18,'[1]observations-276632'!X214&lt;'[1]Methods write-up'!$T$18),"Somali peninsula","")</f>
        <v/>
      </c>
      <c r="BA214" s="22" t="str">
        <f>IF(AND('[1]observations-276632'!W214&gt;'[1]Methods write-up'!$Q$19,'[1]observations-276632'!W214&lt;'[1]Methods write-up'!$R$19,'[1]observations-276632'!X214&gt;'[1]Methods write-up'!$S$19,'[1]observations-276632'!X214&lt;'[1]Methods write-up'!$T$19),"East Africa","")</f>
        <v/>
      </c>
      <c r="BB214" s="22" t="str">
        <f>IF(AND('[1]observations-276632'!W214&gt;'[1]Methods write-up'!$Q$20,'[1]observations-276632'!W214&lt;'[1]Methods write-up'!$R$20,'[1]observations-276632'!X214&gt;'[1]Methods write-up'!$S$20,'[1]observations-276632'!X214&lt;'[1]Methods write-up'!$T$20),"Temperate seasonal","")</f>
        <v/>
      </c>
      <c r="BC214" s="22" t="str">
        <f>IF(AND('[1]observations-276632'!W214&gt;'[1]Methods write-up'!$Q$21,'[1]observations-276632'!W214&lt;'[1]Methods write-up'!$R$21,'[1]observations-276632'!X214&gt;'[1]Methods write-up'!$S$21,'[1]observations-276632'!X214&lt;'[1]Methods write-up'!$T$21),"Desert and high aridity","")</f>
        <v/>
      </c>
      <c r="BD214" s="23" t="str">
        <f t="shared" si="15"/>
        <v/>
      </c>
      <c r="BE214" s="24">
        <f t="shared" si="13"/>
        <v>6</v>
      </c>
      <c r="BF214" s="24">
        <f t="shared" si="14"/>
        <v>10</v>
      </c>
    </row>
    <row r="215" spans="1:58" ht="16.25" customHeight="1" x14ac:dyDescent="0.2">
      <c r="A215">
        <v>15566139</v>
      </c>
      <c r="B215" t="s">
        <v>1475</v>
      </c>
      <c r="C215" s="14">
        <v>42966</v>
      </c>
      <c r="D215" t="s">
        <v>1476</v>
      </c>
      <c r="E215" t="s">
        <v>113</v>
      </c>
      <c r="F215">
        <v>1083595</v>
      </c>
      <c r="G215" t="s">
        <v>1477</v>
      </c>
      <c r="I215" t="s">
        <v>1478</v>
      </c>
      <c r="J215" t="s">
        <v>1479</v>
      </c>
      <c r="K215" t="s">
        <v>62</v>
      </c>
      <c r="L215" t="s">
        <v>63</v>
      </c>
      <c r="M215" t="s">
        <v>1480</v>
      </c>
      <c r="N215" t="s">
        <v>1481</v>
      </c>
      <c r="R215">
        <v>4</v>
      </c>
      <c r="S215">
        <v>0</v>
      </c>
      <c r="T215" t="b">
        <v>0</v>
      </c>
      <c r="V215" t="s">
        <v>1482</v>
      </c>
      <c r="W215" s="15">
        <v>-28.139406040000001</v>
      </c>
      <c r="X215" s="15">
        <v>32.019119689999997</v>
      </c>
      <c r="Y215">
        <v>92</v>
      </c>
      <c r="AC215">
        <v>92</v>
      </c>
      <c r="AF215" t="b">
        <v>0</v>
      </c>
      <c r="AI215" t="s">
        <v>71</v>
      </c>
      <c r="AJ215" t="s">
        <v>70</v>
      </c>
      <c r="AK215" t="s">
        <v>71</v>
      </c>
      <c r="AL215" t="s">
        <v>72</v>
      </c>
      <c r="AM215">
        <v>346053</v>
      </c>
      <c r="AO215" s="16" t="s">
        <v>172</v>
      </c>
      <c r="AP215" s="17" t="str">
        <f t="shared" si="12"/>
        <v>Nest (foundress)</v>
      </c>
      <c r="AQ215" s="18">
        <v>1</v>
      </c>
      <c r="AT215" s="19" t="s">
        <v>141</v>
      </c>
      <c r="AX215" s="22" t="str">
        <f>IF(AND('[1]observations-276632'!W215&gt;'[1]Methods write-up'!$Q$16,'[1]observations-276632'!W215&lt;'[1]Methods write-up'!$R$16,'[1]observations-276632'!X215&gt;'[1]Methods write-up'!$S$16,'[1]observations-276632'!X215&lt;'[1]Methods write-up'!$T$16),"West and Central Africa","")</f>
        <v/>
      </c>
      <c r="AY215" s="22" t="str">
        <f>IF(AND('[1]observations-276632'!W215&gt;'[1]Methods write-up'!$Q$17,'[1]observations-276632'!W215&lt;'[1]Methods write-up'!$R$17,'[1]observations-276632'!X215&gt;'[1]Methods write-up'!$S$17,'[1]observations-276632'!X215&lt;'[1]Methods write-up'!$T$17),"Equatorial tropical forest","")</f>
        <v/>
      </c>
      <c r="AZ215" s="22" t="str">
        <f>IF(AND('[1]observations-276632'!W215&gt;'[1]Methods write-up'!$Q$18,'[1]observations-276632'!W215&lt;'[1]Methods write-up'!$R$18,'[1]observations-276632'!X215&gt;'[1]Methods write-up'!$S$18,'[1]observations-276632'!X215&lt;'[1]Methods write-up'!$T$18),"Somali peninsula","")</f>
        <v/>
      </c>
      <c r="BA215" s="22" t="str">
        <f>IF(AND('[1]observations-276632'!W215&gt;'[1]Methods write-up'!$Q$19,'[1]observations-276632'!W215&lt;'[1]Methods write-up'!$R$19,'[1]observations-276632'!X215&gt;'[1]Methods write-up'!$S$19,'[1]observations-276632'!X215&lt;'[1]Methods write-up'!$T$19),"East Africa","")</f>
        <v/>
      </c>
      <c r="BB215" s="22" t="str">
        <f>IF(AND('[1]observations-276632'!W215&gt;'[1]Methods write-up'!$Q$20,'[1]observations-276632'!W215&lt;'[1]Methods write-up'!$R$20,'[1]observations-276632'!X215&gt;'[1]Methods write-up'!$S$20,'[1]observations-276632'!X215&lt;'[1]Methods write-up'!$T$20),"Temperate seasonal","")</f>
        <v>Temperate seasonal</v>
      </c>
      <c r="BC215" s="22" t="str">
        <f>IF(AND('[1]observations-276632'!W215&gt;'[1]Methods write-up'!$Q$21,'[1]observations-276632'!W215&lt;'[1]Methods write-up'!$R$21,'[1]observations-276632'!X215&gt;'[1]Methods write-up'!$S$21,'[1]observations-276632'!X215&lt;'[1]Methods write-up'!$T$21),"Desert and high aridity","")</f>
        <v/>
      </c>
      <c r="BD215" s="23" t="str">
        <f t="shared" si="15"/>
        <v>Temperate seasonal</v>
      </c>
      <c r="BE215" s="24">
        <f t="shared" si="13"/>
        <v>19</v>
      </c>
      <c r="BF215" s="24">
        <f t="shared" si="14"/>
        <v>8</v>
      </c>
    </row>
    <row r="216" spans="1:58" ht="16.25" customHeight="1" x14ac:dyDescent="0.2">
      <c r="A216">
        <v>16135035</v>
      </c>
      <c r="B216" t="s">
        <v>1483</v>
      </c>
      <c r="C216" s="14">
        <v>43318</v>
      </c>
      <c r="D216" t="s">
        <v>1484</v>
      </c>
      <c r="E216" t="s">
        <v>122</v>
      </c>
      <c r="F216">
        <v>110005</v>
      </c>
      <c r="G216" t="s">
        <v>1485</v>
      </c>
      <c r="H216" t="s">
        <v>1486</v>
      </c>
      <c r="I216" t="s">
        <v>1487</v>
      </c>
      <c r="J216" t="s">
        <v>1488</v>
      </c>
      <c r="K216" t="s">
        <v>62</v>
      </c>
      <c r="L216" t="s">
        <v>98</v>
      </c>
      <c r="M216" t="s">
        <v>1489</v>
      </c>
      <c r="N216" t="s">
        <v>1490</v>
      </c>
      <c r="R216">
        <v>2</v>
      </c>
      <c r="S216">
        <v>0</v>
      </c>
      <c r="T216" t="b">
        <v>0</v>
      </c>
      <c r="V216" t="s">
        <v>1491</v>
      </c>
      <c r="W216" s="15">
        <v>-0.97350613699999999</v>
      </c>
      <c r="X216" s="15">
        <v>29.688653779999999</v>
      </c>
      <c r="Y216">
        <v>766</v>
      </c>
      <c r="AC216">
        <v>766</v>
      </c>
      <c r="AF216" t="b">
        <v>0</v>
      </c>
      <c r="AI216" t="s">
        <v>70</v>
      </c>
      <c r="AJ216" t="s">
        <v>70</v>
      </c>
      <c r="AK216" t="s">
        <v>71</v>
      </c>
      <c r="AL216" t="s">
        <v>72</v>
      </c>
      <c r="AM216">
        <v>346053</v>
      </c>
      <c r="AO216" s="16" t="s">
        <v>150</v>
      </c>
      <c r="AP216" s="17" t="str">
        <f t="shared" si="12"/>
        <v>Male (off nest)</v>
      </c>
      <c r="AX216" s="22" t="str">
        <f>IF(AND('[1]observations-276632'!W216&gt;'[1]Methods write-up'!$Q$16,'[1]observations-276632'!W216&lt;'[1]Methods write-up'!$R$16,'[1]observations-276632'!X216&gt;'[1]Methods write-up'!$S$16,'[1]observations-276632'!X216&lt;'[1]Methods write-up'!$T$16),"West and Central Africa","")</f>
        <v>West and Central Africa</v>
      </c>
      <c r="AY216" s="22" t="str">
        <f>IF(AND('[1]observations-276632'!W216&gt;'[1]Methods write-up'!$Q$17,'[1]observations-276632'!W216&lt;'[1]Methods write-up'!$R$17,'[1]observations-276632'!X216&gt;'[1]Methods write-up'!$S$17,'[1]observations-276632'!X216&lt;'[1]Methods write-up'!$T$17),"Equatorial tropical forest","")</f>
        <v/>
      </c>
      <c r="AZ216" s="22" t="str">
        <f>IF(AND('[1]observations-276632'!W216&gt;'[1]Methods write-up'!$Q$18,'[1]observations-276632'!W216&lt;'[1]Methods write-up'!$R$18,'[1]observations-276632'!X216&gt;'[1]Methods write-up'!$S$18,'[1]observations-276632'!X216&lt;'[1]Methods write-up'!$T$18),"Somali peninsula","")</f>
        <v/>
      </c>
      <c r="BA216" s="22" t="str">
        <f>IF(AND('[1]observations-276632'!W216&gt;'[1]Methods write-up'!$Q$19,'[1]observations-276632'!W216&lt;'[1]Methods write-up'!$R$19,'[1]observations-276632'!X216&gt;'[1]Methods write-up'!$S$19,'[1]observations-276632'!X216&lt;'[1]Methods write-up'!$T$19),"East Africa","")</f>
        <v/>
      </c>
      <c r="BB216" s="22" t="str">
        <f>IF(AND('[1]observations-276632'!W216&gt;'[1]Methods write-up'!$Q$20,'[1]observations-276632'!W216&lt;'[1]Methods write-up'!$R$20,'[1]observations-276632'!X216&gt;'[1]Methods write-up'!$S$20,'[1]observations-276632'!X216&lt;'[1]Methods write-up'!$T$20),"Temperate seasonal","")</f>
        <v/>
      </c>
      <c r="BC216" s="22" t="str">
        <f>IF(AND('[1]observations-276632'!W216&gt;'[1]Methods write-up'!$Q$21,'[1]observations-276632'!W216&lt;'[1]Methods write-up'!$R$21,'[1]observations-276632'!X216&gt;'[1]Methods write-up'!$S$21,'[1]observations-276632'!X216&lt;'[1]Methods write-up'!$T$21),"Desert and high aridity","")</f>
        <v/>
      </c>
      <c r="BD216" s="23" t="str">
        <f t="shared" si="15"/>
        <v>West and Central Africa</v>
      </c>
      <c r="BE216" s="24">
        <f t="shared" si="13"/>
        <v>6</v>
      </c>
      <c r="BF216" s="24">
        <f t="shared" si="14"/>
        <v>8</v>
      </c>
    </row>
    <row r="217" spans="1:58" ht="16.25" customHeight="1" x14ac:dyDescent="0.2">
      <c r="A217">
        <v>16929321</v>
      </c>
      <c r="B217" s="13">
        <v>41970</v>
      </c>
      <c r="C217" s="14">
        <v>41970</v>
      </c>
      <c r="E217" t="s">
        <v>256</v>
      </c>
      <c r="F217">
        <v>34327</v>
      </c>
      <c r="G217" t="s">
        <v>1492</v>
      </c>
      <c r="H217" t="s">
        <v>1493</v>
      </c>
      <c r="I217" t="s">
        <v>1494</v>
      </c>
      <c r="J217" t="s">
        <v>1495</v>
      </c>
      <c r="K217" t="s">
        <v>62</v>
      </c>
      <c r="L217" t="s">
        <v>63</v>
      </c>
      <c r="M217" t="s">
        <v>1496</v>
      </c>
      <c r="N217" t="s">
        <v>1497</v>
      </c>
      <c r="Q217" t="s">
        <v>1498</v>
      </c>
      <c r="R217">
        <v>3</v>
      </c>
      <c r="S217">
        <v>0</v>
      </c>
      <c r="T217" t="b">
        <v>0</v>
      </c>
      <c r="U217">
        <v>2</v>
      </c>
      <c r="V217" t="s">
        <v>1499</v>
      </c>
      <c r="W217" s="15">
        <v>-2.6212907470000002</v>
      </c>
      <c r="X217" s="15">
        <v>25.532500479999999</v>
      </c>
      <c r="Y217">
        <v>698</v>
      </c>
      <c r="AC217">
        <v>698</v>
      </c>
      <c r="AF217" t="b">
        <v>0</v>
      </c>
      <c r="AG217" t="s">
        <v>350</v>
      </c>
      <c r="AH217" t="s">
        <v>350</v>
      </c>
      <c r="AI217" t="s">
        <v>288</v>
      </c>
      <c r="AJ217" t="s">
        <v>70</v>
      </c>
      <c r="AK217" t="s">
        <v>71</v>
      </c>
      <c r="AL217" t="s">
        <v>72</v>
      </c>
      <c r="AM217">
        <v>346053</v>
      </c>
      <c r="AO217" s="16" t="s">
        <v>140</v>
      </c>
      <c r="AP217" s="17" t="str">
        <f t="shared" si="12"/>
        <v>Post-emergence nest</v>
      </c>
      <c r="AQ217" s="18">
        <v>8</v>
      </c>
      <c r="AT217" s="19" t="s">
        <v>141</v>
      </c>
      <c r="AU217" s="20" t="s">
        <v>104</v>
      </c>
      <c r="AX217" s="22" t="str">
        <f>IF(AND('[1]observations-276632'!W217&gt;'[1]Methods write-up'!$Q$16,'[1]observations-276632'!W217&lt;'[1]Methods write-up'!$R$16,'[1]observations-276632'!X217&gt;'[1]Methods write-up'!$S$16,'[1]observations-276632'!X217&lt;'[1]Methods write-up'!$T$16),"West and Central Africa","")</f>
        <v>West and Central Africa</v>
      </c>
      <c r="AY217" s="22" t="str">
        <f>IF(AND('[1]observations-276632'!W217&gt;'[1]Methods write-up'!$Q$17,'[1]observations-276632'!W217&lt;'[1]Methods write-up'!$R$17,'[1]observations-276632'!X217&gt;'[1]Methods write-up'!$S$17,'[1]observations-276632'!X217&lt;'[1]Methods write-up'!$T$17),"Equatorial tropical forest","")</f>
        <v/>
      </c>
      <c r="AZ217" s="22" t="str">
        <f>IF(AND('[1]observations-276632'!W217&gt;'[1]Methods write-up'!$Q$18,'[1]observations-276632'!W217&lt;'[1]Methods write-up'!$R$18,'[1]observations-276632'!X217&gt;'[1]Methods write-up'!$S$18,'[1]observations-276632'!X217&lt;'[1]Methods write-up'!$T$18),"Somali peninsula","")</f>
        <v/>
      </c>
      <c r="BA217" s="22" t="str">
        <f>IF(AND('[1]observations-276632'!W217&gt;'[1]Methods write-up'!$Q$19,'[1]observations-276632'!W217&lt;'[1]Methods write-up'!$R$19,'[1]observations-276632'!X217&gt;'[1]Methods write-up'!$S$19,'[1]observations-276632'!X217&lt;'[1]Methods write-up'!$T$19),"East Africa","")</f>
        <v/>
      </c>
      <c r="BB217" s="22" t="str">
        <f>IF(AND('[1]observations-276632'!W217&gt;'[1]Methods write-up'!$Q$20,'[1]observations-276632'!W217&lt;'[1]Methods write-up'!$R$20,'[1]observations-276632'!X217&gt;'[1]Methods write-up'!$S$20,'[1]observations-276632'!X217&lt;'[1]Methods write-up'!$T$20),"Temperate seasonal","")</f>
        <v/>
      </c>
      <c r="BC217" s="22" t="str">
        <f>IF(AND('[1]observations-276632'!W217&gt;'[1]Methods write-up'!$Q$21,'[1]observations-276632'!W217&lt;'[1]Methods write-up'!$R$21,'[1]observations-276632'!X217&gt;'[1]Methods write-up'!$S$21,'[1]observations-276632'!X217&lt;'[1]Methods write-up'!$T$21),"Desert and high aridity","")</f>
        <v/>
      </c>
      <c r="BD217" s="23" t="str">
        <f t="shared" si="15"/>
        <v>West and Central Africa</v>
      </c>
      <c r="BE217" s="24">
        <f t="shared" si="13"/>
        <v>27</v>
      </c>
      <c r="BF217" s="24">
        <f t="shared" si="14"/>
        <v>11</v>
      </c>
    </row>
    <row r="218" spans="1:58" ht="16.25" customHeight="1" x14ac:dyDescent="0.2">
      <c r="A218">
        <v>17584870</v>
      </c>
      <c r="B218" t="s">
        <v>1500</v>
      </c>
      <c r="C218" s="14">
        <v>43389</v>
      </c>
      <c r="D218" t="s">
        <v>1501</v>
      </c>
      <c r="E218" t="s">
        <v>113</v>
      </c>
      <c r="F218">
        <v>662724</v>
      </c>
      <c r="G218" t="s">
        <v>903</v>
      </c>
      <c r="H218" t="s">
        <v>904</v>
      </c>
      <c r="I218" t="s">
        <v>1502</v>
      </c>
      <c r="J218" t="s">
        <v>1503</v>
      </c>
      <c r="K218" t="s">
        <v>62</v>
      </c>
      <c r="L218" t="s">
        <v>63</v>
      </c>
      <c r="M218" t="s">
        <v>1504</v>
      </c>
      <c r="N218" t="s">
        <v>1505</v>
      </c>
      <c r="Q218" s="26" t="s">
        <v>1506</v>
      </c>
      <c r="R218">
        <v>5</v>
      </c>
      <c r="S218">
        <v>0</v>
      </c>
      <c r="T218" t="b">
        <v>0</v>
      </c>
      <c r="V218" t="s">
        <v>1146</v>
      </c>
      <c r="W218" s="15">
        <v>-30.301156559999999</v>
      </c>
      <c r="X218" s="15">
        <v>30.74246771</v>
      </c>
      <c r="Y218">
        <v>4</v>
      </c>
      <c r="AC218">
        <v>4</v>
      </c>
      <c r="AF218" t="b">
        <v>0</v>
      </c>
      <c r="AI218" t="s">
        <v>70</v>
      </c>
      <c r="AJ218" t="s">
        <v>70</v>
      </c>
      <c r="AK218" t="s">
        <v>71</v>
      </c>
      <c r="AL218" t="s">
        <v>72</v>
      </c>
      <c r="AM218">
        <v>346053</v>
      </c>
      <c r="AO218" s="16" t="s">
        <v>73</v>
      </c>
      <c r="AP218" s="17" t="str">
        <f t="shared" si="12"/>
        <v>Off-nest female</v>
      </c>
      <c r="AX218" s="22" t="str">
        <f>IF(AND('[1]observations-276632'!W218&gt;'[1]Methods write-up'!$Q$16,'[1]observations-276632'!W218&lt;'[1]Methods write-up'!$R$16,'[1]observations-276632'!X218&gt;'[1]Methods write-up'!$S$16,'[1]observations-276632'!X218&lt;'[1]Methods write-up'!$T$16),"West and Central Africa","")</f>
        <v/>
      </c>
      <c r="AY218" s="22" t="str">
        <f>IF(AND('[1]observations-276632'!W218&gt;'[1]Methods write-up'!$Q$17,'[1]observations-276632'!W218&lt;'[1]Methods write-up'!$R$17,'[1]observations-276632'!X218&gt;'[1]Methods write-up'!$S$17,'[1]observations-276632'!X218&lt;'[1]Methods write-up'!$T$17),"Equatorial tropical forest","")</f>
        <v/>
      </c>
      <c r="AZ218" s="22" t="str">
        <f>IF(AND('[1]observations-276632'!W218&gt;'[1]Methods write-up'!$Q$18,'[1]observations-276632'!W218&lt;'[1]Methods write-up'!$R$18,'[1]observations-276632'!X218&gt;'[1]Methods write-up'!$S$18,'[1]observations-276632'!X218&lt;'[1]Methods write-up'!$T$18),"Somali peninsula","")</f>
        <v/>
      </c>
      <c r="BA218" s="22" t="str">
        <f>IF(AND('[1]observations-276632'!W218&gt;'[1]Methods write-up'!$Q$19,'[1]observations-276632'!W218&lt;'[1]Methods write-up'!$R$19,'[1]observations-276632'!X218&gt;'[1]Methods write-up'!$S$19,'[1]observations-276632'!X218&lt;'[1]Methods write-up'!$T$19),"East Africa","")</f>
        <v/>
      </c>
      <c r="BB218" s="22" t="str">
        <f>IF(AND('[1]observations-276632'!W218&gt;'[1]Methods write-up'!$Q$20,'[1]observations-276632'!W218&lt;'[1]Methods write-up'!$R$20,'[1]observations-276632'!X218&gt;'[1]Methods write-up'!$S$20,'[1]observations-276632'!X218&lt;'[1]Methods write-up'!$T$20),"Temperate seasonal","")</f>
        <v>Temperate seasonal</v>
      </c>
      <c r="BC218" s="22" t="str">
        <f>IF(AND('[1]observations-276632'!W218&gt;'[1]Methods write-up'!$Q$21,'[1]observations-276632'!W218&lt;'[1]Methods write-up'!$R$21,'[1]observations-276632'!X218&gt;'[1]Methods write-up'!$S$21,'[1]observations-276632'!X218&lt;'[1]Methods write-up'!$T$21),"Desert and high aridity","")</f>
        <v/>
      </c>
      <c r="BD218" s="23" t="str">
        <f t="shared" si="15"/>
        <v>Temperate seasonal</v>
      </c>
      <c r="BE218" s="24">
        <f t="shared" si="13"/>
        <v>16</v>
      </c>
      <c r="BF218" s="24">
        <f t="shared" si="14"/>
        <v>10</v>
      </c>
    </row>
    <row r="219" spans="1:58" ht="16.25" customHeight="1" x14ac:dyDescent="0.2">
      <c r="A219">
        <v>17702303</v>
      </c>
      <c r="B219" t="s">
        <v>1507</v>
      </c>
      <c r="C219" s="14">
        <v>43393</v>
      </c>
      <c r="D219" t="s">
        <v>1508</v>
      </c>
      <c r="E219" t="s">
        <v>113</v>
      </c>
      <c r="F219">
        <v>662724</v>
      </c>
      <c r="G219" t="s">
        <v>903</v>
      </c>
      <c r="H219" t="s">
        <v>904</v>
      </c>
      <c r="I219" t="s">
        <v>1509</v>
      </c>
      <c r="J219" t="s">
        <v>1510</v>
      </c>
      <c r="K219" t="s">
        <v>62</v>
      </c>
      <c r="L219" t="s">
        <v>63</v>
      </c>
      <c r="M219" t="s">
        <v>1511</v>
      </c>
      <c r="N219" t="s">
        <v>1512</v>
      </c>
      <c r="Q219" s="26" t="s">
        <v>1513</v>
      </c>
      <c r="R219">
        <v>5</v>
      </c>
      <c r="S219">
        <v>0</v>
      </c>
      <c r="T219" t="b">
        <v>0</v>
      </c>
      <c r="V219" t="s">
        <v>1146</v>
      </c>
      <c r="W219" s="15">
        <v>-30.301107940000001</v>
      </c>
      <c r="X219" s="15">
        <v>30.742402210000002</v>
      </c>
      <c r="AF219" t="b">
        <v>0</v>
      </c>
      <c r="AI219" t="s">
        <v>70</v>
      </c>
      <c r="AJ219" t="s">
        <v>70</v>
      </c>
      <c r="AK219" t="s">
        <v>71</v>
      </c>
      <c r="AL219" t="s">
        <v>72</v>
      </c>
      <c r="AM219">
        <v>346053</v>
      </c>
      <c r="AO219" s="16" t="s">
        <v>1356</v>
      </c>
      <c r="AP219" s="17" t="str">
        <f t="shared" si="12"/>
        <v>Nest (foundress)</v>
      </c>
      <c r="AQ219" s="18">
        <v>1</v>
      </c>
      <c r="AX219" s="22" t="str">
        <f>IF(AND('[1]observations-276632'!W219&gt;'[1]Methods write-up'!$Q$16,'[1]observations-276632'!W219&lt;'[1]Methods write-up'!$R$16,'[1]observations-276632'!X219&gt;'[1]Methods write-up'!$S$16,'[1]observations-276632'!X219&lt;'[1]Methods write-up'!$T$16),"West and Central Africa","")</f>
        <v/>
      </c>
      <c r="AY219" s="22" t="str">
        <f>IF(AND('[1]observations-276632'!W219&gt;'[1]Methods write-up'!$Q$17,'[1]observations-276632'!W219&lt;'[1]Methods write-up'!$R$17,'[1]observations-276632'!X219&gt;'[1]Methods write-up'!$S$17,'[1]observations-276632'!X219&lt;'[1]Methods write-up'!$T$17),"Equatorial tropical forest","")</f>
        <v/>
      </c>
      <c r="AZ219" s="22" t="str">
        <f>IF(AND('[1]observations-276632'!W219&gt;'[1]Methods write-up'!$Q$18,'[1]observations-276632'!W219&lt;'[1]Methods write-up'!$R$18,'[1]observations-276632'!X219&gt;'[1]Methods write-up'!$S$18,'[1]observations-276632'!X219&lt;'[1]Methods write-up'!$T$18),"Somali peninsula","")</f>
        <v/>
      </c>
      <c r="BA219" s="22" t="str">
        <f>IF(AND('[1]observations-276632'!W219&gt;'[1]Methods write-up'!$Q$19,'[1]observations-276632'!W219&lt;'[1]Methods write-up'!$R$19,'[1]observations-276632'!X219&gt;'[1]Methods write-up'!$S$19,'[1]observations-276632'!X219&lt;'[1]Methods write-up'!$T$19),"East Africa","")</f>
        <v/>
      </c>
      <c r="BB219" s="22" t="str">
        <f>IF(AND('[1]observations-276632'!W219&gt;'[1]Methods write-up'!$Q$20,'[1]observations-276632'!W219&lt;'[1]Methods write-up'!$R$20,'[1]observations-276632'!X219&gt;'[1]Methods write-up'!$S$20,'[1]observations-276632'!X219&lt;'[1]Methods write-up'!$T$20),"Temperate seasonal","")</f>
        <v>Temperate seasonal</v>
      </c>
      <c r="BC219" s="22" t="str">
        <f>IF(AND('[1]observations-276632'!W219&gt;'[1]Methods write-up'!$Q$21,'[1]observations-276632'!W219&lt;'[1]Methods write-up'!$R$21,'[1]observations-276632'!X219&gt;'[1]Methods write-up'!$S$21,'[1]observations-276632'!X219&lt;'[1]Methods write-up'!$T$21),"Desert and high aridity","")</f>
        <v/>
      </c>
      <c r="BD219" s="23" t="str">
        <f t="shared" si="15"/>
        <v>Temperate seasonal</v>
      </c>
      <c r="BE219" s="24">
        <f t="shared" si="13"/>
        <v>20</v>
      </c>
      <c r="BF219" s="24">
        <f t="shared" si="14"/>
        <v>10</v>
      </c>
    </row>
    <row r="220" spans="1:58" ht="16.25" customHeight="1" x14ac:dyDescent="0.2">
      <c r="A220">
        <v>17850729</v>
      </c>
      <c r="B220" t="s">
        <v>1514</v>
      </c>
      <c r="C220" s="14">
        <v>43399</v>
      </c>
      <c r="D220" t="s">
        <v>1515</v>
      </c>
      <c r="E220" t="s">
        <v>113</v>
      </c>
      <c r="F220">
        <v>774784</v>
      </c>
      <c r="G220" t="s">
        <v>1516</v>
      </c>
      <c r="I220" t="s">
        <v>1517</v>
      </c>
      <c r="J220" t="s">
        <v>1518</v>
      </c>
      <c r="K220" t="s">
        <v>62</v>
      </c>
      <c r="L220" t="s">
        <v>63</v>
      </c>
      <c r="M220" t="s">
        <v>1519</v>
      </c>
      <c r="N220" t="s">
        <v>1520</v>
      </c>
      <c r="Q220" t="s">
        <v>1521</v>
      </c>
      <c r="R220">
        <v>4</v>
      </c>
      <c r="S220">
        <v>0</v>
      </c>
      <c r="T220" t="b">
        <v>0</v>
      </c>
      <c r="V220" t="s">
        <v>1522</v>
      </c>
      <c r="W220" s="15">
        <v>-28.383242450000001</v>
      </c>
      <c r="X220" s="15">
        <v>32.411679249999999</v>
      </c>
      <c r="Y220">
        <v>8</v>
      </c>
      <c r="AC220">
        <v>8</v>
      </c>
      <c r="AF220" t="b">
        <v>0</v>
      </c>
      <c r="AI220" t="s">
        <v>70</v>
      </c>
      <c r="AJ220" t="s">
        <v>70</v>
      </c>
      <c r="AK220" t="s">
        <v>71</v>
      </c>
      <c r="AL220" t="s">
        <v>72</v>
      </c>
      <c r="AM220">
        <v>346053</v>
      </c>
      <c r="AO220" s="16" t="s">
        <v>140</v>
      </c>
      <c r="AP220" s="17" t="str">
        <f t="shared" si="12"/>
        <v>Post-emergence nest</v>
      </c>
      <c r="AQ220" s="18">
        <v>9</v>
      </c>
      <c r="AT220" s="19" t="s">
        <v>141</v>
      </c>
      <c r="AU220" s="20" t="s">
        <v>104</v>
      </c>
      <c r="AX220" s="22" t="str">
        <f>IF(AND('[1]observations-276632'!W220&gt;'[1]Methods write-up'!$Q$16,'[1]observations-276632'!W220&lt;'[1]Methods write-up'!$R$16,'[1]observations-276632'!X220&gt;'[1]Methods write-up'!$S$16,'[1]observations-276632'!X220&lt;'[1]Methods write-up'!$T$16),"West and Central Africa","")</f>
        <v/>
      </c>
      <c r="AY220" s="22" t="str">
        <f>IF(AND('[1]observations-276632'!W220&gt;'[1]Methods write-up'!$Q$17,'[1]observations-276632'!W220&lt;'[1]Methods write-up'!$R$17,'[1]observations-276632'!X220&gt;'[1]Methods write-up'!$S$17,'[1]observations-276632'!X220&lt;'[1]Methods write-up'!$T$17),"Equatorial tropical forest","")</f>
        <v/>
      </c>
      <c r="AZ220" s="22" t="str">
        <f>IF(AND('[1]observations-276632'!W220&gt;'[1]Methods write-up'!$Q$18,'[1]observations-276632'!W220&lt;'[1]Methods write-up'!$R$18,'[1]observations-276632'!X220&gt;'[1]Methods write-up'!$S$18,'[1]observations-276632'!X220&lt;'[1]Methods write-up'!$T$18),"Somali peninsula","")</f>
        <v/>
      </c>
      <c r="BA220" s="22" t="str">
        <f>IF(AND('[1]observations-276632'!W220&gt;'[1]Methods write-up'!$Q$19,'[1]observations-276632'!W220&lt;'[1]Methods write-up'!$R$19,'[1]observations-276632'!X220&gt;'[1]Methods write-up'!$S$19,'[1]observations-276632'!X220&lt;'[1]Methods write-up'!$T$19),"East Africa","")</f>
        <v/>
      </c>
      <c r="BB220" s="22" t="str">
        <f>IF(AND('[1]observations-276632'!W220&gt;'[1]Methods write-up'!$Q$20,'[1]observations-276632'!W220&lt;'[1]Methods write-up'!$R$20,'[1]observations-276632'!X220&gt;'[1]Methods write-up'!$S$20,'[1]observations-276632'!X220&lt;'[1]Methods write-up'!$T$20),"Temperate seasonal","")</f>
        <v>Temperate seasonal</v>
      </c>
      <c r="BC220" s="22" t="str">
        <f>IF(AND('[1]observations-276632'!W220&gt;'[1]Methods write-up'!$Q$21,'[1]observations-276632'!W220&lt;'[1]Methods write-up'!$R$21,'[1]observations-276632'!X220&gt;'[1]Methods write-up'!$S$21,'[1]observations-276632'!X220&lt;'[1]Methods write-up'!$T$21),"Desert and high aridity","")</f>
        <v/>
      </c>
      <c r="BD220" s="23" t="str">
        <f t="shared" si="15"/>
        <v>Temperate seasonal</v>
      </c>
      <c r="BE220" s="24">
        <f t="shared" si="13"/>
        <v>26</v>
      </c>
      <c r="BF220" s="24">
        <f t="shared" si="14"/>
        <v>10</v>
      </c>
    </row>
    <row r="221" spans="1:58" ht="16.25" customHeight="1" x14ac:dyDescent="0.2">
      <c r="A221">
        <v>17981472</v>
      </c>
      <c r="B221" t="s">
        <v>1523</v>
      </c>
      <c r="C221" s="14">
        <v>43379</v>
      </c>
      <c r="D221" t="s">
        <v>1524</v>
      </c>
      <c r="E221" t="s">
        <v>113</v>
      </c>
      <c r="F221">
        <v>90178</v>
      </c>
      <c r="G221" t="s">
        <v>1525</v>
      </c>
      <c r="H221" t="s">
        <v>1526</v>
      </c>
      <c r="I221" t="s">
        <v>1527</v>
      </c>
      <c r="J221" t="s">
        <v>1528</v>
      </c>
      <c r="K221" t="s">
        <v>62</v>
      </c>
      <c r="L221" t="s">
        <v>63</v>
      </c>
      <c r="M221" t="s">
        <v>1529</v>
      </c>
      <c r="N221" t="s">
        <v>1530</v>
      </c>
      <c r="P221" t="s">
        <v>1531</v>
      </c>
      <c r="R221">
        <v>2</v>
      </c>
      <c r="S221">
        <v>0</v>
      </c>
      <c r="T221" t="b">
        <v>0</v>
      </c>
      <c r="V221" t="s">
        <v>1532</v>
      </c>
      <c r="W221" s="15">
        <v>-25.95484849</v>
      </c>
      <c r="X221" s="15">
        <v>30.560478740000001</v>
      </c>
      <c r="Y221">
        <v>2</v>
      </c>
      <c r="AC221">
        <v>2</v>
      </c>
      <c r="AF221" t="b">
        <v>0</v>
      </c>
      <c r="AI221" t="s">
        <v>70</v>
      </c>
      <c r="AJ221" t="s">
        <v>70</v>
      </c>
      <c r="AK221" t="s">
        <v>71</v>
      </c>
      <c r="AL221" t="s">
        <v>72</v>
      </c>
      <c r="AM221">
        <v>346053</v>
      </c>
      <c r="AO221" s="16" t="s">
        <v>442</v>
      </c>
      <c r="AP221" s="17" t="str">
        <f t="shared" si="12"/>
        <v>Dead female</v>
      </c>
      <c r="AV221" s="21" t="s">
        <v>1533</v>
      </c>
      <c r="AX221" s="22" t="str">
        <f>IF(AND('[1]observations-276632'!W221&gt;'[1]Methods write-up'!$Q$16,'[1]observations-276632'!W221&lt;'[1]Methods write-up'!$R$16,'[1]observations-276632'!X221&gt;'[1]Methods write-up'!$S$16,'[1]observations-276632'!X221&lt;'[1]Methods write-up'!$T$16),"West and Central Africa","")</f>
        <v/>
      </c>
      <c r="AY221" s="22" t="str">
        <f>IF(AND('[1]observations-276632'!W221&gt;'[1]Methods write-up'!$Q$17,'[1]observations-276632'!W221&lt;'[1]Methods write-up'!$R$17,'[1]observations-276632'!X221&gt;'[1]Methods write-up'!$S$17,'[1]observations-276632'!X221&lt;'[1]Methods write-up'!$T$17),"Equatorial tropical forest","")</f>
        <v/>
      </c>
      <c r="AZ221" s="22" t="str">
        <f>IF(AND('[1]observations-276632'!W221&gt;'[1]Methods write-up'!$Q$18,'[1]observations-276632'!W221&lt;'[1]Methods write-up'!$R$18,'[1]observations-276632'!X221&gt;'[1]Methods write-up'!$S$18,'[1]observations-276632'!X221&lt;'[1]Methods write-up'!$T$18),"Somali peninsula","")</f>
        <v/>
      </c>
      <c r="BA221" s="22" t="str">
        <f>IF(AND('[1]observations-276632'!W221&gt;'[1]Methods write-up'!$Q$19,'[1]observations-276632'!W221&lt;'[1]Methods write-up'!$R$19,'[1]observations-276632'!X221&gt;'[1]Methods write-up'!$S$19,'[1]observations-276632'!X221&lt;'[1]Methods write-up'!$T$19),"East Africa","")</f>
        <v/>
      </c>
      <c r="BB221" s="22" t="str">
        <f>IF(AND('[1]observations-276632'!W221&gt;'[1]Methods write-up'!$Q$20,'[1]observations-276632'!W221&lt;'[1]Methods write-up'!$R$20,'[1]observations-276632'!X221&gt;'[1]Methods write-up'!$S$20,'[1]observations-276632'!X221&lt;'[1]Methods write-up'!$T$20),"Temperate seasonal","")</f>
        <v>Temperate seasonal</v>
      </c>
      <c r="BC221" s="22" t="str">
        <f>IF(AND('[1]observations-276632'!W221&gt;'[1]Methods write-up'!$Q$21,'[1]observations-276632'!W221&lt;'[1]Methods write-up'!$R$21,'[1]observations-276632'!X221&gt;'[1]Methods write-up'!$S$21,'[1]observations-276632'!X221&lt;'[1]Methods write-up'!$T$21),"Desert and high aridity","")</f>
        <v/>
      </c>
      <c r="BD221" s="23" t="str">
        <f t="shared" si="15"/>
        <v>Temperate seasonal</v>
      </c>
      <c r="BE221" s="24">
        <f t="shared" si="13"/>
        <v>6</v>
      </c>
      <c r="BF221" s="24">
        <f t="shared" si="14"/>
        <v>10</v>
      </c>
    </row>
    <row r="222" spans="1:58" ht="16.25" customHeight="1" x14ac:dyDescent="0.2">
      <c r="A222">
        <v>18006613</v>
      </c>
      <c r="B222" t="s">
        <v>1534</v>
      </c>
      <c r="C222" s="14">
        <v>43254</v>
      </c>
      <c r="D222" t="s">
        <v>1535</v>
      </c>
      <c r="E222" t="s">
        <v>243</v>
      </c>
      <c r="F222">
        <v>384877</v>
      </c>
      <c r="G222" t="s">
        <v>334</v>
      </c>
      <c r="H222" t="s">
        <v>335</v>
      </c>
      <c r="I222" t="s">
        <v>1536</v>
      </c>
      <c r="J222" t="s">
        <v>1537</v>
      </c>
      <c r="K222" t="s">
        <v>62</v>
      </c>
      <c r="L222" t="s">
        <v>261</v>
      </c>
      <c r="M222" t="s">
        <v>1538</v>
      </c>
      <c r="N222" t="s">
        <v>1539</v>
      </c>
      <c r="R222">
        <v>2</v>
      </c>
      <c r="S222">
        <v>0</v>
      </c>
      <c r="T222" t="b">
        <v>0</v>
      </c>
      <c r="V222" t="s">
        <v>1540</v>
      </c>
      <c r="W222" s="15">
        <v>6.9316492930000004</v>
      </c>
      <c r="X222" s="15">
        <v>2.4075361169999998</v>
      </c>
      <c r="Y222">
        <v>244</v>
      </c>
      <c r="AC222">
        <v>244</v>
      </c>
      <c r="AF222" t="b">
        <v>0</v>
      </c>
      <c r="AI222" t="s">
        <v>71</v>
      </c>
      <c r="AJ222" t="s">
        <v>70</v>
      </c>
      <c r="AK222" t="s">
        <v>71</v>
      </c>
      <c r="AL222" t="s">
        <v>72</v>
      </c>
      <c r="AM222">
        <v>346053</v>
      </c>
      <c r="AO222" s="16" t="s">
        <v>442</v>
      </c>
      <c r="AP222" s="17" t="str">
        <f t="shared" si="12"/>
        <v>Dead female</v>
      </c>
      <c r="AX222" s="22" t="str">
        <f>IF(AND('[1]observations-276632'!W222&gt;'[1]Methods write-up'!$Q$16,'[1]observations-276632'!W222&lt;'[1]Methods write-up'!$R$16,'[1]observations-276632'!X222&gt;'[1]Methods write-up'!$S$16,'[1]observations-276632'!X222&lt;'[1]Methods write-up'!$T$16),"West and Central Africa","")</f>
        <v>West and Central Africa</v>
      </c>
      <c r="AY222" s="22" t="str">
        <f>IF(AND('[1]observations-276632'!W222&gt;'[1]Methods write-up'!$Q$17,'[1]observations-276632'!W222&lt;'[1]Methods write-up'!$R$17,'[1]observations-276632'!X222&gt;'[1]Methods write-up'!$S$17,'[1]observations-276632'!X222&lt;'[1]Methods write-up'!$T$17),"Equatorial tropical forest","")</f>
        <v/>
      </c>
      <c r="AZ222" s="22" t="str">
        <f>IF(AND('[1]observations-276632'!W222&gt;'[1]Methods write-up'!$Q$18,'[1]observations-276632'!W222&lt;'[1]Methods write-up'!$R$18,'[1]observations-276632'!X222&gt;'[1]Methods write-up'!$S$18,'[1]observations-276632'!X222&lt;'[1]Methods write-up'!$T$18),"Somali peninsula","")</f>
        <v/>
      </c>
      <c r="BA222" s="22" t="str">
        <f>IF(AND('[1]observations-276632'!W222&gt;'[1]Methods write-up'!$Q$19,'[1]observations-276632'!W222&lt;'[1]Methods write-up'!$R$19,'[1]observations-276632'!X222&gt;'[1]Methods write-up'!$S$19,'[1]observations-276632'!X222&lt;'[1]Methods write-up'!$T$19),"East Africa","")</f>
        <v/>
      </c>
      <c r="BB222" s="22" t="str">
        <f>IF(AND('[1]observations-276632'!W222&gt;'[1]Methods write-up'!$Q$20,'[1]observations-276632'!W222&lt;'[1]Methods write-up'!$R$20,'[1]observations-276632'!X222&gt;'[1]Methods write-up'!$S$20,'[1]observations-276632'!X222&lt;'[1]Methods write-up'!$T$20),"Temperate seasonal","")</f>
        <v/>
      </c>
      <c r="BC222" s="22" t="str">
        <f>IF(AND('[1]observations-276632'!W222&gt;'[1]Methods write-up'!$Q$21,'[1]observations-276632'!W222&lt;'[1]Methods write-up'!$R$21,'[1]observations-276632'!X222&gt;'[1]Methods write-up'!$S$21,'[1]observations-276632'!X222&lt;'[1]Methods write-up'!$T$21),"Desert and high aridity","")</f>
        <v/>
      </c>
      <c r="BD222" s="23" t="str">
        <f t="shared" si="15"/>
        <v>West and Central Africa</v>
      </c>
      <c r="BE222" s="24">
        <f t="shared" si="13"/>
        <v>3</v>
      </c>
      <c r="BF222" s="24">
        <f t="shared" si="14"/>
        <v>6</v>
      </c>
    </row>
    <row r="223" spans="1:58" ht="16.25" customHeight="1" x14ac:dyDescent="0.2">
      <c r="A223">
        <v>18458264</v>
      </c>
      <c r="B223" t="s">
        <v>1541</v>
      </c>
      <c r="C223" s="14">
        <v>43381</v>
      </c>
      <c r="D223" t="s">
        <v>1542</v>
      </c>
      <c r="E223" t="s">
        <v>463</v>
      </c>
      <c r="F223">
        <v>7943</v>
      </c>
      <c r="G223" t="s">
        <v>1543</v>
      </c>
      <c r="H223" t="s">
        <v>1544</v>
      </c>
      <c r="I223" t="s">
        <v>1545</v>
      </c>
      <c r="J223" t="s">
        <v>1546</v>
      </c>
      <c r="K223" t="s">
        <v>62</v>
      </c>
      <c r="L223" t="s">
        <v>98</v>
      </c>
      <c r="M223" t="s">
        <v>1547</v>
      </c>
      <c r="N223" t="s">
        <v>1548</v>
      </c>
      <c r="P223" t="s">
        <v>1543</v>
      </c>
      <c r="R223">
        <v>3</v>
      </c>
      <c r="S223">
        <v>0</v>
      </c>
      <c r="T223" t="b">
        <v>0</v>
      </c>
      <c r="V223" t="s">
        <v>1549</v>
      </c>
      <c r="W223" s="15">
        <v>6.4192956160000003</v>
      </c>
      <c r="X223" s="15">
        <v>2.3444159299999998</v>
      </c>
      <c r="Y223">
        <v>4</v>
      </c>
      <c r="AC223">
        <v>4</v>
      </c>
      <c r="AF223" t="b">
        <v>0</v>
      </c>
      <c r="AI223" t="s">
        <v>71</v>
      </c>
      <c r="AJ223" t="s">
        <v>70</v>
      </c>
      <c r="AK223" t="s">
        <v>71</v>
      </c>
      <c r="AL223" t="s">
        <v>72</v>
      </c>
      <c r="AM223">
        <v>346053</v>
      </c>
      <c r="AO223" s="16" t="s">
        <v>1356</v>
      </c>
      <c r="AP223" s="17" t="str">
        <f t="shared" si="12"/>
        <v>Nest (foundress)</v>
      </c>
      <c r="AQ223" s="18">
        <v>1</v>
      </c>
      <c r="AV223" s="21" t="s">
        <v>1550</v>
      </c>
      <c r="AX223" s="22" t="str">
        <f>IF(AND('[1]observations-276632'!W223&gt;'[1]Methods write-up'!$Q$16,'[1]observations-276632'!W223&lt;'[1]Methods write-up'!$R$16,'[1]observations-276632'!X223&gt;'[1]Methods write-up'!$S$16,'[1]observations-276632'!X223&lt;'[1]Methods write-up'!$T$16),"West and Central Africa","")</f>
        <v>West and Central Africa</v>
      </c>
      <c r="AY223" s="22" t="str">
        <f>IF(AND('[1]observations-276632'!W223&gt;'[1]Methods write-up'!$Q$17,'[1]observations-276632'!W223&lt;'[1]Methods write-up'!$R$17,'[1]observations-276632'!X223&gt;'[1]Methods write-up'!$S$17,'[1]observations-276632'!X223&lt;'[1]Methods write-up'!$T$17),"Equatorial tropical forest","")</f>
        <v/>
      </c>
      <c r="AZ223" s="22" t="str">
        <f>IF(AND('[1]observations-276632'!W223&gt;'[1]Methods write-up'!$Q$18,'[1]observations-276632'!W223&lt;'[1]Methods write-up'!$R$18,'[1]observations-276632'!X223&gt;'[1]Methods write-up'!$S$18,'[1]observations-276632'!X223&lt;'[1]Methods write-up'!$T$18),"Somali peninsula","")</f>
        <v/>
      </c>
      <c r="BA223" s="22" t="str">
        <f>IF(AND('[1]observations-276632'!W223&gt;'[1]Methods write-up'!$Q$19,'[1]observations-276632'!W223&lt;'[1]Methods write-up'!$R$19,'[1]observations-276632'!X223&gt;'[1]Methods write-up'!$S$19,'[1]observations-276632'!X223&lt;'[1]Methods write-up'!$T$19),"East Africa","")</f>
        <v/>
      </c>
      <c r="BB223" s="22" t="str">
        <f>IF(AND('[1]observations-276632'!W223&gt;'[1]Methods write-up'!$Q$20,'[1]observations-276632'!W223&lt;'[1]Methods write-up'!$R$20,'[1]observations-276632'!X223&gt;'[1]Methods write-up'!$S$20,'[1]observations-276632'!X223&lt;'[1]Methods write-up'!$T$20),"Temperate seasonal","")</f>
        <v/>
      </c>
      <c r="BC223" s="22" t="str">
        <f>IF(AND('[1]observations-276632'!W223&gt;'[1]Methods write-up'!$Q$21,'[1]observations-276632'!W223&lt;'[1]Methods write-up'!$R$21,'[1]observations-276632'!X223&gt;'[1]Methods write-up'!$S$21,'[1]observations-276632'!X223&lt;'[1]Methods write-up'!$T$21),"Desert and high aridity","")</f>
        <v/>
      </c>
      <c r="BD223" s="23" t="str">
        <f t="shared" si="15"/>
        <v>West and Central Africa</v>
      </c>
      <c r="BE223" s="24">
        <f t="shared" si="13"/>
        <v>8</v>
      </c>
      <c r="BF223" s="24">
        <f t="shared" si="14"/>
        <v>10</v>
      </c>
    </row>
    <row r="224" spans="1:58" ht="16.25" customHeight="1" x14ac:dyDescent="0.2">
      <c r="A224">
        <v>18470083</v>
      </c>
      <c r="B224" t="s">
        <v>1551</v>
      </c>
      <c r="C224" s="14">
        <v>43212</v>
      </c>
      <c r="D224" t="s">
        <v>1552</v>
      </c>
      <c r="E224" t="s">
        <v>113</v>
      </c>
      <c r="F224">
        <v>818087</v>
      </c>
      <c r="G224" t="s">
        <v>1553</v>
      </c>
      <c r="H224" t="s">
        <v>1554</v>
      </c>
      <c r="I224" t="s">
        <v>1555</v>
      </c>
      <c r="J224" t="s">
        <v>1556</v>
      </c>
      <c r="K224" t="s">
        <v>62</v>
      </c>
      <c r="M224" t="s">
        <v>1557</v>
      </c>
      <c r="N224" t="s">
        <v>1558</v>
      </c>
      <c r="R224">
        <v>3</v>
      </c>
      <c r="S224">
        <v>0</v>
      </c>
      <c r="T224" t="b">
        <v>0</v>
      </c>
      <c r="U224">
        <v>3</v>
      </c>
      <c r="V224" t="s">
        <v>1559</v>
      </c>
      <c r="W224" s="15">
        <v>-12.18514031</v>
      </c>
      <c r="X224" s="15">
        <v>26.46745181</v>
      </c>
      <c r="Y224">
        <v>2372</v>
      </c>
      <c r="AC224">
        <v>2372</v>
      </c>
      <c r="AF224" t="b">
        <v>0</v>
      </c>
      <c r="AI224" t="s">
        <v>71</v>
      </c>
      <c r="AJ224" t="s">
        <v>70</v>
      </c>
      <c r="AK224" t="s">
        <v>71</v>
      </c>
      <c r="AL224" t="s">
        <v>72</v>
      </c>
      <c r="AM224">
        <v>346053</v>
      </c>
      <c r="AO224" s="16" t="s">
        <v>140</v>
      </c>
      <c r="AP224" s="17" t="str">
        <f t="shared" si="12"/>
        <v>Post-emergence nest</v>
      </c>
      <c r="AQ224" s="18">
        <v>13</v>
      </c>
      <c r="AT224" s="19" t="s">
        <v>141</v>
      </c>
      <c r="AU224" s="20" t="s">
        <v>141</v>
      </c>
      <c r="AX224" s="22" t="str">
        <f>IF(AND('[1]observations-276632'!W224&gt;'[1]Methods write-up'!$Q$16,'[1]observations-276632'!W224&lt;'[1]Methods write-up'!$R$16,'[1]observations-276632'!X224&gt;'[1]Methods write-up'!$S$16,'[1]observations-276632'!X224&lt;'[1]Methods write-up'!$T$16),"West and Central Africa","")</f>
        <v>West and Central Africa</v>
      </c>
      <c r="AY224" s="22" t="str">
        <f>IF(AND('[1]observations-276632'!W224&gt;'[1]Methods write-up'!$Q$17,'[1]observations-276632'!W224&lt;'[1]Methods write-up'!$R$17,'[1]observations-276632'!X224&gt;'[1]Methods write-up'!$S$17,'[1]observations-276632'!X224&lt;'[1]Methods write-up'!$T$17),"Equatorial tropical forest","")</f>
        <v/>
      </c>
      <c r="AZ224" s="22" t="str">
        <f>IF(AND('[1]observations-276632'!W224&gt;'[1]Methods write-up'!$Q$18,'[1]observations-276632'!W224&lt;'[1]Methods write-up'!$R$18,'[1]observations-276632'!X224&gt;'[1]Methods write-up'!$S$18,'[1]observations-276632'!X224&lt;'[1]Methods write-up'!$T$18),"Somali peninsula","")</f>
        <v/>
      </c>
      <c r="BA224" s="22" t="str">
        <f>IF(AND('[1]observations-276632'!W224&gt;'[1]Methods write-up'!$Q$19,'[1]observations-276632'!W224&lt;'[1]Methods write-up'!$R$19,'[1]observations-276632'!X224&gt;'[1]Methods write-up'!$S$19,'[1]observations-276632'!X224&lt;'[1]Methods write-up'!$T$19),"East Africa","")</f>
        <v/>
      </c>
      <c r="BB224" s="22" t="str">
        <f>IF(AND('[1]observations-276632'!W224&gt;'[1]Methods write-up'!$Q$20,'[1]observations-276632'!W224&lt;'[1]Methods write-up'!$R$20,'[1]observations-276632'!X224&gt;'[1]Methods write-up'!$S$20,'[1]observations-276632'!X224&lt;'[1]Methods write-up'!$T$20),"Temperate seasonal","")</f>
        <v/>
      </c>
      <c r="BC224" s="22" t="str">
        <f>IF(AND('[1]observations-276632'!W224&gt;'[1]Methods write-up'!$Q$21,'[1]observations-276632'!W224&lt;'[1]Methods write-up'!$R$21,'[1]observations-276632'!X224&gt;'[1]Methods write-up'!$S$21,'[1]observations-276632'!X224&lt;'[1]Methods write-up'!$T$21),"Desert and high aridity","")</f>
        <v/>
      </c>
      <c r="BD224" s="23" t="str">
        <f t="shared" si="15"/>
        <v>West and Central Africa</v>
      </c>
      <c r="BE224" s="24">
        <f t="shared" si="13"/>
        <v>22</v>
      </c>
      <c r="BF224" s="24">
        <f t="shared" si="14"/>
        <v>4</v>
      </c>
    </row>
    <row r="225" spans="1:58" ht="16.25" customHeight="1" x14ac:dyDescent="0.2">
      <c r="A225">
        <v>18517041</v>
      </c>
      <c r="B225" t="s">
        <v>1560</v>
      </c>
      <c r="C225" s="14">
        <v>43366</v>
      </c>
      <c r="D225" t="s">
        <v>1561</v>
      </c>
      <c r="E225" t="s">
        <v>113</v>
      </c>
      <c r="F225">
        <v>679321</v>
      </c>
      <c r="G225" t="s">
        <v>478</v>
      </c>
      <c r="H225" t="s">
        <v>479</v>
      </c>
      <c r="I225" t="s">
        <v>1562</v>
      </c>
      <c r="J225" t="s">
        <v>1563</v>
      </c>
      <c r="K225" t="s">
        <v>62</v>
      </c>
      <c r="L225" t="s">
        <v>63</v>
      </c>
      <c r="M225" t="s">
        <v>1564</v>
      </c>
      <c r="N225" t="s">
        <v>1565</v>
      </c>
      <c r="R225">
        <v>3</v>
      </c>
      <c r="S225">
        <v>0</v>
      </c>
      <c r="T225" t="b">
        <v>0</v>
      </c>
      <c r="V225" t="s">
        <v>1566</v>
      </c>
      <c r="W225" s="15">
        <v>-20.073720810000001</v>
      </c>
      <c r="X225" s="15">
        <v>23.356708300000001</v>
      </c>
      <c r="Y225">
        <v>8</v>
      </c>
      <c r="AC225">
        <v>8</v>
      </c>
      <c r="AF225" t="b">
        <v>0</v>
      </c>
      <c r="AI225" t="s">
        <v>70</v>
      </c>
      <c r="AJ225" t="s">
        <v>70</v>
      </c>
      <c r="AK225" t="s">
        <v>71</v>
      </c>
      <c r="AL225" t="s">
        <v>72</v>
      </c>
      <c r="AM225">
        <v>346053</v>
      </c>
      <c r="AO225" s="16" t="s">
        <v>1356</v>
      </c>
      <c r="AP225" s="17" t="str">
        <f t="shared" si="12"/>
        <v>Nest (foundress)</v>
      </c>
      <c r="AQ225" s="18">
        <v>1</v>
      </c>
      <c r="AX225" s="22" t="str">
        <f>IF(AND('[1]observations-276632'!W225&gt;'[1]Methods write-up'!$Q$16,'[1]observations-276632'!W225&lt;'[1]Methods write-up'!$R$16,'[1]observations-276632'!X225&gt;'[1]Methods write-up'!$S$16,'[1]observations-276632'!X225&lt;'[1]Methods write-up'!$T$16),"West and Central Africa","")</f>
        <v/>
      </c>
      <c r="AY225" s="22" t="str">
        <f>IF(AND('[1]observations-276632'!W225&gt;'[1]Methods write-up'!$Q$17,'[1]observations-276632'!W225&lt;'[1]Methods write-up'!$R$17,'[1]observations-276632'!X225&gt;'[1]Methods write-up'!$S$17,'[1]observations-276632'!X225&lt;'[1]Methods write-up'!$T$17),"Equatorial tropical forest","")</f>
        <v/>
      </c>
      <c r="AZ225" s="22" t="str">
        <f>IF(AND('[1]observations-276632'!W225&gt;'[1]Methods write-up'!$Q$18,'[1]observations-276632'!W225&lt;'[1]Methods write-up'!$R$18,'[1]observations-276632'!X225&gt;'[1]Methods write-up'!$S$18,'[1]observations-276632'!X225&lt;'[1]Methods write-up'!$T$18),"Somali peninsula","")</f>
        <v/>
      </c>
      <c r="BA225" s="22" t="str">
        <f>IF(AND('[1]observations-276632'!W225&gt;'[1]Methods write-up'!$Q$19,'[1]observations-276632'!W225&lt;'[1]Methods write-up'!$R$19,'[1]observations-276632'!X225&gt;'[1]Methods write-up'!$S$19,'[1]observations-276632'!X225&lt;'[1]Methods write-up'!$T$19),"East Africa","")</f>
        <v/>
      </c>
      <c r="BB225" s="22" t="str">
        <f>IF(AND('[1]observations-276632'!W225&gt;'[1]Methods write-up'!$Q$20,'[1]observations-276632'!W225&lt;'[1]Methods write-up'!$R$20,'[1]observations-276632'!X225&gt;'[1]Methods write-up'!$S$20,'[1]observations-276632'!X225&lt;'[1]Methods write-up'!$T$20),"Temperate seasonal","")</f>
        <v/>
      </c>
      <c r="BC225" s="22" t="str">
        <f>IF(AND('[1]observations-276632'!W225&gt;'[1]Methods write-up'!$Q$21,'[1]observations-276632'!W225&lt;'[1]Methods write-up'!$R$21,'[1]observations-276632'!X225&gt;'[1]Methods write-up'!$S$21,'[1]observations-276632'!X225&lt;'[1]Methods write-up'!$T$21),"Desert and high aridity","")</f>
        <v/>
      </c>
      <c r="BD225" s="23" t="str">
        <f t="shared" si="15"/>
        <v/>
      </c>
      <c r="BE225" s="24">
        <f t="shared" si="13"/>
        <v>23</v>
      </c>
      <c r="BF225" s="24">
        <f t="shared" si="14"/>
        <v>9</v>
      </c>
    </row>
    <row r="226" spans="1:58" ht="16.25" customHeight="1" x14ac:dyDescent="0.2">
      <c r="A226">
        <v>18550512</v>
      </c>
      <c r="B226" t="s">
        <v>1567</v>
      </c>
      <c r="C226" s="14">
        <v>43425</v>
      </c>
      <c r="D226" t="s">
        <v>1568</v>
      </c>
      <c r="E226" t="s">
        <v>113</v>
      </c>
      <c r="F226">
        <v>662724</v>
      </c>
      <c r="G226" t="s">
        <v>903</v>
      </c>
      <c r="H226" t="s">
        <v>904</v>
      </c>
      <c r="I226" t="s">
        <v>1569</v>
      </c>
      <c r="J226" t="s">
        <v>1570</v>
      </c>
      <c r="K226" t="s">
        <v>62</v>
      </c>
      <c r="L226" t="s">
        <v>63</v>
      </c>
      <c r="M226" t="s">
        <v>1571</v>
      </c>
      <c r="N226" t="s">
        <v>1572</v>
      </c>
      <c r="Q226" s="26" t="s">
        <v>1573</v>
      </c>
      <c r="R226">
        <v>4</v>
      </c>
      <c r="S226">
        <v>0</v>
      </c>
      <c r="T226" t="b">
        <v>0</v>
      </c>
      <c r="V226" t="s">
        <v>1146</v>
      </c>
      <c r="W226" s="15">
        <v>-30.301121680000001</v>
      </c>
      <c r="X226" s="15">
        <v>30.742403849999999</v>
      </c>
      <c r="Y226">
        <v>4</v>
      </c>
      <c r="AC226">
        <v>4</v>
      </c>
      <c r="AF226" t="b">
        <v>0</v>
      </c>
      <c r="AI226" t="s">
        <v>70</v>
      </c>
      <c r="AJ226" t="s">
        <v>70</v>
      </c>
      <c r="AK226" t="s">
        <v>71</v>
      </c>
      <c r="AL226" t="s">
        <v>72</v>
      </c>
      <c r="AM226">
        <v>346053</v>
      </c>
      <c r="AO226" s="16" t="s">
        <v>442</v>
      </c>
      <c r="AP226" s="17" t="str">
        <f t="shared" si="12"/>
        <v>Dead female</v>
      </c>
      <c r="AX226" s="22" t="str">
        <f>IF(AND('[1]observations-276632'!W226&gt;'[1]Methods write-up'!$Q$16,'[1]observations-276632'!W226&lt;'[1]Methods write-up'!$R$16,'[1]observations-276632'!X226&gt;'[1]Methods write-up'!$S$16,'[1]observations-276632'!X226&lt;'[1]Methods write-up'!$T$16),"West and Central Africa","")</f>
        <v/>
      </c>
      <c r="AY226" s="22" t="str">
        <f>IF(AND('[1]observations-276632'!W226&gt;'[1]Methods write-up'!$Q$17,'[1]observations-276632'!W226&lt;'[1]Methods write-up'!$R$17,'[1]observations-276632'!X226&gt;'[1]Methods write-up'!$S$17,'[1]observations-276632'!X226&lt;'[1]Methods write-up'!$T$17),"Equatorial tropical forest","")</f>
        <v/>
      </c>
      <c r="AZ226" s="22" t="str">
        <f>IF(AND('[1]observations-276632'!W226&gt;'[1]Methods write-up'!$Q$18,'[1]observations-276632'!W226&lt;'[1]Methods write-up'!$R$18,'[1]observations-276632'!X226&gt;'[1]Methods write-up'!$S$18,'[1]observations-276632'!X226&lt;'[1]Methods write-up'!$T$18),"Somali peninsula","")</f>
        <v/>
      </c>
      <c r="BA226" s="22" t="str">
        <f>IF(AND('[1]observations-276632'!W226&gt;'[1]Methods write-up'!$Q$19,'[1]observations-276632'!W226&lt;'[1]Methods write-up'!$R$19,'[1]observations-276632'!X226&gt;'[1]Methods write-up'!$S$19,'[1]observations-276632'!X226&lt;'[1]Methods write-up'!$T$19),"East Africa","")</f>
        <v/>
      </c>
      <c r="BB226" s="22" t="str">
        <f>IF(AND('[1]observations-276632'!W226&gt;'[1]Methods write-up'!$Q$20,'[1]observations-276632'!W226&lt;'[1]Methods write-up'!$R$20,'[1]observations-276632'!X226&gt;'[1]Methods write-up'!$S$20,'[1]observations-276632'!X226&lt;'[1]Methods write-up'!$T$20),"Temperate seasonal","")</f>
        <v>Temperate seasonal</v>
      </c>
      <c r="BC226" s="22" t="str">
        <f>IF(AND('[1]observations-276632'!W226&gt;'[1]Methods write-up'!$Q$21,'[1]observations-276632'!W226&lt;'[1]Methods write-up'!$R$21,'[1]observations-276632'!X226&gt;'[1]Methods write-up'!$S$21,'[1]observations-276632'!X226&lt;'[1]Methods write-up'!$T$21),"Desert and high aridity","")</f>
        <v/>
      </c>
      <c r="BD226" s="23" t="str">
        <f t="shared" si="15"/>
        <v>Temperate seasonal</v>
      </c>
      <c r="BE226" s="24">
        <f t="shared" si="13"/>
        <v>21</v>
      </c>
      <c r="BF226" s="24">
        <f t="shared" si="14"/>
        <v>11</v>
      </c>
    </row>
    <row r="227" spans="1:58" ht="16.25" customHeight="1" x14ac:dyDescent="0.2">
      <c r="C227" s="14">
        <v>43425</v>
      </c>
      <c r="M227" t="s">
        <v>182</v>
      </c>
      <c r="W227" s="15">
        <v>-30.301121680000001</v>
      </c>
      <c r="X227" s="15">
        <v>30.742403849999999</v>
      </c>
      <c r="AO227" s="16" t="s">
        <v>1574</v>
      </c>
      <c r="AP227" s="17" t="str">
        <f t="shared" si="12"/>
        <v>Nest (foundress)</v>
      </c>
      <c r="AQ227" s="18">
        <v>2</v>
      </c>
      <c r="AT227" s="19" t="s">
        <v>104</v>
      </c>
      <c r="AX227" s="22" t="str">
        <f>IF(AND('[1]observations-276632'!W227&gt;'[1]Methods write-up'!$Q$16,'[1]observations-276632'!W227&lt;'[1]Methods write-up'!$R$16,'[1]observations-276632'!X227&gt;'[1]Methods write-up'!$S$16,'[1]observations-276632'!X227&lt;'[1]Methods write-up'!$T$16),"West and Central Africa","")</f>
        <v/>
      </c>
      <c r="AY227" s="22" t="str">
        <f>IF(AND('[1]observations-276632'!W227&gt;'[1]Methods write-up'!$Q$17,'[1]observations-276632'!W227&lt;'[1]Methods write-up'!$R$17,'[1]observations-276632'!X227&gt;'[1]Methods write-up'!$S$17,'[1]observations-276632'!X227&lt;'[1]Methods write-up'!$T$17),"Equatorial tropical forest","")</f>
        <v/>
      </c>
      <c r="AZ227" s="22" t="str">
        <f>IF(AND('[1]observations-276632'!W227&gt;'[1]Methods write-up'!$Q$18,'[1]observations-276632'!W227&lt;'[1]Methods write-up'!$R$18,'[1]observations-276632'!X227&gt;'[1]Methods write-up'!$S$18,'[1]observations-276632'!X227&lt;'[1]Methods write-up'!$T$18),"Somali peninsula","")</f>
        <v/>
      </c>
      <c r="BA227" s="22" t="str">
        <f>IF(AND('[1]observations-276632'!W227&gt;'[1]Methods write-up'!$Q$19,'[1]observations-276632'!W227&lt;'[1]Methods write-up'!$R$19,'[1]observations-276632'!X227&gt;'[1]Methods write-up'!$S$19,'[1]observations-276632'!X227&lt;'[1]Methods write-up'!$T$19),"East Africa","")</f>
        <v/>
      </c>
      <c r="BB227" s="22" t="str">
        <f>IF(AND('[1]observations-276632'!W227&gt;'[1]Methods write-up'!$Q$20,'[1]observations-276632'!W227&lt;'[1]Methods write-up'!$R$20,'[1]observations-276632'!X227&gt;'[1]Methods write-up'!$S$20,'[1]observations-276632'!X227&lt;'[1]Methods write-up'!$T$20),"Temperate seasonal","")</f>
        <v>Temperate seasonal</v>
      </c>
      <c r="BC227" s="22" t="str">
        <f>IF(AND('[1]observations-276632'!W227&gt;'[1]Methods write-up'!$Q$21,'[1]observations-276632'!W227&lt;'[1]Methods write-up'!$R$21,'[1]observations-276632'!X227&gt;'[1]Methods write-up'!$S$21,'[1]observations-276632'!X227&lt;'[1]Methods write-up'!$T$21),"Desert and high aridity","")</f>
        <v/>
      </c>
      <c r="BD227" s="23" t="str">
        <f t="shared" si="15"/>
        <v>Temperate seasonal</v>
      </c>
      <c r="BE227" s="24">
        <f t="shared" si="13"/>
        <v>21</v>
      </c>
      <c r="BF227" s="24">
        <f t="shared" si="14"/>
        <v>11</v>
      </c>
    </row>
    <row r="228" spans="1:58" ht="16.25" customHeight="1" x14ac:dyDescent="0.2">
      <c r="A228">
        <v>18573918</v>
      </c>
      <c r="B228" t="s">
        <v>1575</v>
      </c>
      <c r="C228" s="14">
        <v>42047</v>
      </c>
      <c r="D228" t="s">
        <v>1576</v>
      </c>
      <c r="E228" t="s">
        <v>243</v>
      </c>
      <c r="F228">
        <v>1041442</v>
      </c>
      <c r="G228" t="s">
        <v>1577</v>
      </c>
      <c r="I228" t="s">
        <v>1578</v>
      </c>
      <c r="J228" t="s">
        <v>1579</v>
      </c>
      <c r="K228" t="s">
        <v>62</v>
      </c>
      <c r="L228" t="s">
        <v>261</v>
      </c>
      <c r="M228" t="s">
        <v>1580</v>
      </c>
      <c r="N228" t="s">
        <v>1581</v>
      </c>
      <c r="R228">
        <v>2</v>
      </c>
      <c r="S228">
        <v>0</v>
      </c>
      <c r="T228" t="b">
        <v>0</v>
      </c>
      <c r="V228" t="s">
        <v>1582</v>
      </c>
      <c r="W228" s="15">
        <v>-28.89430179</v>
      </c>
      <c r="X228" s="15">
        <v>31.44949308</v>
      </c>
      <c r="Y228">
        <v>61</v>
      </c>
      <c r="AC228">
        <v>61</v>
      </c>
      <c r="AF228" t="b">
        <v>0</v>
      </c>
      <c r="AI228" t="s">
        <v>70</v>
      </c>
      <c r="AJ228" t="s">
        <v>70</v>
      </c>
      <c r="AK228" t="s">
        <v>71</v>
      </c>
      <c r="AL228" t="s">
        <v>72</v>
      </c>
      <c r="AM228">
        <v>346053</v>
      </c>
      <c r="AO228" s="16" t="s">
        <v>140</v>
      </c>
      <c r="AP228" s="17" t="str">
        <f t="shared" si="12"/>
        <v>Post-emergence nest</v>
      </c>
      <c r="AQ228" s="18">
        <v>2</v>
      </c>
      <c r="AT228" s="19" t="s">
        <v>141</v>
      </c>
      <c r="AU228" s="20" t="s">
        <v>315</v>
      </c>
      <c r="AV228" s="21" t="s">
        <v>431</v>
      </c>
      <c r="AX228" s="22" t="str">
        <f>IF(AND('[1]observations-276632'!W228&gt;'[1]Methods write-up'!$Q$16,'[1]observations-276632'!W228&lt;'[1]Methods write-up'!$R$16,'[1]observations-276632'!X228&gt;'[1]Methods write-up'!$S$16,'[1]observations-276632'!X228&lt;'[1]Methods write-up'!$T$16),"West and Central Africa","")</f>
        <v/>
      </c>
      <c r="AY228" s="22" t="str">
        <f>IF(AND('[1]observations-276632'!W228&gt;'[1]Methods write-up'!$Q$17,'[1]observations-276632'!W228&lt;'[1]Methods write-up'!$R$17,'[1]observations-276632'!X228&gt;'[1]Methods write-up'!$S$17,'[1]observations-276632'!X228&lt;'[1]Methods write-up'!$T$17),"Equatorial tropical forest","")</f>
        <v/>
      </c>
      <c r="AZ228" s="22" t="str">
        <f>IF(AND('[1]observations-276632'!W228&gt;'[1]Methods write-up'!$Q$18,'[1]observations-276632'!W228&lt;'[1]Methods write-up'!$R$18,'[1]observations-276632'!X228&gt;'[1]Methods write-up'!$S$18,'[1]observations-276632'!X228&lt;'[1]Methods write-up'!$T$18),"Somali peninsula","")</f>
        <v/>
      </c>
      <c r="BA228" s="22" t="str">
        <f>IF(AND('[1]observations-276632'!W228&gt;'[1]Methods write-up'!$Q$19,'[1]observations-276632'!W228&lt;'[1]Methods write-up'!$R$19,'[1]observations-276632'!X228&gt;'[1]Methods write-up'!$S$19,'[1]observations-276632'!X228&lt;'[1]Methods write-up'!$T$19),"East Africa","")</f>
        <v/>
      </c>
      <c r="BB228" s="22" t="str">
        <f>IF(AND('[1]observations-276632'!W228&gt;'[1]Methods write-up'!$Q$20,'[1]observations-276632'!W228&lt;'[1]Methods write-up'!$R$20,'[1]observations-276632'!X228&gt;'[1]Methods write-up'!$S$20,'[1]observations-276632'!X228&lt;'[1]Methods write-up'!$T$20),"Temperate seasonal","")</f>
        <v>Temperate seasonal</v>
      </c>
      <c r="BC228" s="22" t="str">
        <f>IF(AND('[1]observations-276632'!W228&gt;'[1]Methods write-up'!$Q$21,'[1]observations-276632'!W228&lt;'[1]Methods write-up'!$R$21,'[1]observations-276632'!X228&gt;'[1]Methods write-up'!$S$21,'[1]observations-276632'!X228&lt;'[1]Methods write-up'!$T$21),"Desert and high aridity","")</f>
        <v/>
      </c>
      <c r="BD228" s="23" t="str">
        <f t="shared" si="15"/>
        <v>Temperate seasonal</v>
      </c>
      <c r="BE228" s="24">
        <f t="shared" si="13"/>
        <v>12</v>
      </c>
      <c r="BF228" s="24">
        <f t="shared" si="14"/>
        <v>2</v>
      </c>
    </row>
    <row r="229" spans="1:58" ht="16.25" customHeight="1" x14ac:dyDescent="0.2">
      <c r="A229">
        <v>18692936</v>
      </c>
      <c r="B229" t="s">
        <v>1583</v>
      </c>
      <c r="C229" s="14">
        <v>43431</v>
      </c>
      <c r="E229" t="s">
        <v>1408</v>
      </c>
      <c r="F229">
        <v>1218517</v>
      </c>
      <c r="G229" t="s">
        <v>1584</v>
      </c>
      <c r="I229" t="s">
        <v>1585</v>
      </c>
      <c r="J229" t="s">
        <v>1586</v>
      </c>
      <c r="K229" t="s">
        <v>62</v>
      </c>
      <c r="L229" t="s">
        <v>63</v>
      </c>
      <c r="M229" t="s">
        <v>1587</v>
      </c>
      <c r="N229" t="s">
        <v>1588</v>
      </c>
      <c r="R229">
        <v>3</v>
      </c>
      <c r="S229">
        <v>0</v>
      </c>
      <c r="T229" t="b">
        <v>0</v>
      </c>
      <c r="V229" t="s">
        <v>1589</v>
      </c>
      <c r="W229" s="15">
        <v>-6.232273674</v>
      </c>
      <c r="X229" s="15">
        <v>39.53169956</v>
      </c>
      <c r="Y229">
        <v>885</v>
      </c>
      <c r="AC229">
        <v>885</v>
      </c>
      <c r="AF229" t="b">
        <v>0</v>
      </c>
      <c r="AI229" t="s">
        <v>70</v>
      </c>
      <c r="AJ229" t="s">
        <v>70</v>
      </c>
      <c r="AK229" t="s">
        <v>71</v>
      </c>
      <c r="AL229" t="s">
        <v>72</v>
      </c>
      <c r="AM229">
        <v>346053</v>
      </c>
      <c r="AO229" s="16" t="s">
        <v>73</v>
      </c>
      <c r="AP229" s="17" t="str">
        <f t="shared" si="12"/>
        <v>Off-nest female</v>
      </c>
      <c r="AX229" s="22" t="str">
        <f>IF(AND('[1]observations-276632'!W229&gt;'[1]Methods write-up'!$Q$16,'[1]observations-276632'!W229&lt;'[1]Methods write-up'!$R$16,'[1]observations-276632'!X229&gt;'[1]Methods write-up'!$S$16,'[1]observations-276632'!X229&lt;'[1]Methods write-up'!$T$16),"West and Central Africa","")</f>
        <v/>
      </c>
      <c r="AY229" s="22" t="str">
        <f>IF(AND('[1]observations-276632'!W229&gt;'[1]Methods write-up'!$Q$17,'[1]observations-276632'!W229&lt;'[1]Methods write-up'!$R$17,'[1]observations-276632'!X229&gt;'[1]Methods write-up'!$S$17,'[1]observations-276632'!X229&lt;'[1]Methods write-up'!$T$17),"Equatorial tropical forest","")</f>
        <v/>
      </c>
      <c r="AZ229" s="22" t="str">
        <f>IF(AND('[1]observations-276632'!W229&gt;'[1]Methods write-up'!$Q$18,'[1]observations-276632'!W229&lt;'[1]Methods write-up'!$R$18,'[1]observations-276632'!X229&gt;'[1]Methods write-up'!$S$18,'[1]observations-276632'!X229&lt;'[1]Methods write-up'!$T$18),"Somali peninsula","")</f>
        <v/>
      </c>
      <c r="BA229" s="22" t="str">
        <f>IF(AND('[1]observations-276632'!W229&gt;'[1]Methods write-up'!$Q$19,'[1]observations-276632'!W229&lt;'[1]Methods write-up'!$R$19,'[1]observations-276632'!X229&gt;'[1]Methods write-up'!$S$19,'[1]observations-276632'!X229&lt;'[1]Methods write-up'!$T$19),"East Africa","")</f>
        <v>East Africa</v>
      </c>
      <c r="BB229" s="22" t="str">
        <f>IF(AND('[1]observations-276632'!W229&gt;'[1]Methods write-up'!$Q$20,'[1]observations-276632'!W229&lt;'[1]Methods write-up'!$R$20,'[1]observations-276632'!X229&gt;'[1]Methods write-up'!$S$20,'[1]observations-276632'!X229&lt;'[1]Methods write-up'!$T$20),"Temperate seasonal","")</f>
        <v/>
      </c>
      <c r="BC229" s="22" t="str">
        <f>IF(AND('[1]observations-276632'!W229&gt;'[1]Methods write-up'!$Q$21,'[1]observations-276632'!W229&lt;'[1]Methods write-up'!$R$21,'[1]observations-276632'!X229&gt;'[1]Methods write-up'!$S$21,'[1]observations-276632'!X229&lt;'[1]Methods write-up'!$T$21),"Desert and high aridity","")</f>
        <v/>
      </c>
      <c r="BD229" s="23" t="str">
        <f t="shared" si="15"/>
        <v>East Africa</v>
      </c>
      <c r="BE229" s="24">
        <f t="shared" si="13"/>
        <v>27</v>
      </c>
      <c r="BF229" s="24">
        <f t="shared" si="14"/>
        <v>11</v>
      </c>
    </row>
    <row r="230" spans="1:58" ht="16.25" customHeight="1" x14ac:dyDescent="0.2">
      <c r="A230">
        <v>18837280</v>
      </c>
      <c r="B230" t="s">
        <v>1590</v>
      </c>
      <c r="C230" s="14">
        <v>43437</v>
      </c>
      <c r="D230" t="s">
        <v>1591</v>
      </c>
      <c r="E230" t="s">
        <v>113</v>
      </c>
      <c r="F230">
        <v>662724</v>
      </c>
      <c r="G230" t="s">
        <v>903</v>
      </c>
      <c r="H230" t="s">
        <v>904</v>
      </c>
      <c r="I230" t="s">
        <v>1592</v>
      </c>
      <c r="J230" t="s">
        <v>1593</v>
      </c>
      <c r="K230" t="s">
        <v>62</v>
      </c>
      <c r="L230" t="s">
        <v>63</v>
      </c>
      <c r="M230" t="s">
        <v>1594</v>
      </c>
      <c r="N230" t="s">
        <v>1595</v>
      </c>
      <c r="Q230" s="26" t="s">
        <v>1596</v>
      </c>
      <c r="R230">
        <v>4</v>
      </c>
      <c r="S230">
        <v>0</v>
      </c>
      <c r="T230" t="b">
        <v>0</v>
      </c>
      <c r="V230" t="s">
        <v>1146</v>
      </c>
      <c r="W230" s="15">
        <v>-30.301124139999999</v>
      </c>
      <c r="X230" s="15">
        <v>30.74240065</v>
      </c>
      <c r="Y230">
        <v>4</v>
      </c>
      <c r="AC230">
        <v>4</v>
      </c>
      <c r="AF230" t="b">
        <v>0</v>
      </c>
      <c r="AI230" t="s">
        <v>70</v>
      </c>
      <c r="AJ230" t="s">
        <v>70</v>
      </c>
      <c r="AK230" t="s">
        <v>71</v>
      </c>
      <c r="AL230" t="s">
        <v>72</v>
      </c>
      <c r="AM230">
        <v>346053</v>
      </c>
      <c r="AO230" s="16" t="s">
        <v>140</v>
      </c>
      <c r="AP230" s="17" t="str">
        <f t="shared" si="12"/>
        <v>Post-emergence nest</v>
      </c>
      <c r="AQ230" s="18">
        <v>3</v>
      </c>
      <c r="AT230" s="19" t="s">
        <v>141</v>
      </c>
      <c r="AU230" s="20" t="s">
        <v>104</v>
      </c>
      <c r="AX230" s="22" t="str">
        <f>IF(AND('[1]observations-276632'!W230&gt;'[1]Methods write-up'!$Q$16,'[1]observations-276632'!W230&lt;'[1]Methods write-up'!$R$16,'[1]observations-276632'!X230&gt;'[1]Methods write-up'!$S$16,'[1]observations-276632'!X230&lt;'[1]Methods write-up'!$T$16),"West and Central Africa","")</f>
        <v/>
      </c>
      <c r="AY230" s="22" t="str">
        <f>IF(AND('[1]observations-276632'!W230&gt;'[1]Methods write-up'!$Q$17,'[1]observations-276632'!W230&lt;'[1]Methods write-up'!$R$17,'[1]observations-276632'!X230&gt;'[1]Methods write-up'!$S$17,'[1]observations-276632'!X230&lt;'[1]Methods write-up'!$T$17),"Equatorial tropical forest","")</f>
        <v/>
      </c>
      <c r="AZ230" s="22" t="str">
        <f>IF(AND('[1]observations-276632'!W230&gt;'[1]Methods write-up'!$Q$18,'[1]observations-276632'!W230&lt;'[1]Methods write-up'!$R$18,'[1]observations-276632'!X230&gt;'[1]Methods write-up'!$S$18,'[1]observations-276632'!X230&lt;'[1]Methods write-up'!$T$18),"Somali peninsula","")</f>
        <v/>
      </c>
      <c r="BA230" s="22" t="str">
        <f>IF(AND('[1]observations-276632'!W230&gt;'[1]Methods write-up'!$Q$19,'[1]observations-276632'!W230&lt;'[1]Methods write-up'!$R$19,'[1]observations-276632'!X230&gt;'[1]Methods write-up'!$S$19,'[1]observations-276632'!X230&lt;'[1]Methods write-up'!$T$19),"East Africa","")</f>
        <v/>
      </c>
      <c r="BB230" s="22" t="str">
        <f>IF(AND('[1]observations-276632'!W230&gt;'[1]Methods write-up'!$Q$20,'[1]observations-276632'!W230&lt;'[1]Methods write-up'!$R$20,'[1]observations-276632'!X230&gt;'[1]Methods write-up'!$S$20,'[1]observations-276632'!X230&lt;'[1]Methods write-up'!$T$20),"Temperate seasonal","")</f>
        <v>Temperate seasonal</v>
      </c>
      <c r="BC230" s="22" t="str">
        <f>IF(AND('[1]observations-276632'!W230&gt;'[1]Methods write-up'!$Q$21,'[1]observations-276632'!W230&lt;'[1]Methods write-up'!$R$21,'[1]observations-276632'!X230&gt;'[1]Methods write-up'!$S$21,'[1]observations-276632'!X230&lt;'[1]Methods write-up'!$T$21),"Desert and high aridity","")</f>
        <v/>
      </c>
      <c r="BD230" s="23" t="str">
        <f t="shared" si="15"/>
        <v>Temperate seasonal</v>
      </c>
      <c r="BE230" s="24">
        <f t="shared" si="13"/>
        <v>3</v>
      </c>
      <c r="BF230" s="24">
        <f t="shared" si="14"/>
        <v>12</v>
      </c>
    </row>
    <row r="231" spans="1:58" ht="16.25" customHeight="1" x14ac:dyDescent="0.2">
      <c r="A231">
        <v>18840358</v>
      </c>
      <c r="B231" t="s">
        <v>1597</v>
      </c>
      <c r="C231" s="14">
        <v>43437</v>
      </c>
      <c r="D231" t="s">
        <v>1598</v>
      </c>
      <c r="E231" t="s">
        <v>243</v>
      </c>
      <c r="F231">
        <v>746144</v>
      </c>
      <c r="G231" t="s">
        <v>1599</v>
      </c>
      <c r="H231" t="s">
        <v>1600</v>
      </c>
      <c r="I231" t="s">
        <v>1601</v>
      </c>
      <c r="J231" t="s">
        <v>1602</v>
      </c>
      <c r="K231" t="s">
        <v>157</v>
      </c>
      <c r="L231" t="s">
        <v>63</v>
      </c>
      <c r="M231" t="s">
        <v>1603</v>
      </c>
      <c r="N231" t="s">
        <v>1604</v>
      </c>
      <c r="Q231" t="s">
        <v>1605</v>
      </c>
      <c r="R231">
        <v>3</v>
      </c>
      <c r="S231">
        <v>0</v>
      </c>
      <c r="T231" t="b">
        <v>0</v>
      </c>
      <c r="V231" t="s">
        <v>1606</v>
      </c>
      <c r="W231" s="15">
        <v>-22.526818070000001</v>
      </c>
      <c r="X231" s="15">
        <v>17.01557042</v>
      </c>
      <c r="Y231">
        <v>8</v>
      </c>
      <c r="AC231">
        <v>8</v>
      </c>
      <c r="AF231" t="b">
        <v>0</v>
      </c>
      <c r="AI231" t="s">
        <v>756</v>
      </c>
      <c r="AJ231" t="s">
        <v>756</v>
      </c>
      <c r="AL231" t="s">
        <v>72</v>
      </c>
      <c r="AM231">
        <v>652800</v>
      </c>
      <c r="AO231" s="16" t="s">
        <v>73</v>
      </c>
      <c r="AP231" s="17" t="str">
        <f t="shared" si="12"/>
        <v>Off-nest female</v>
      </c>
      <c r="AX231" s="22" t="str">
        <f>IF(AND('[1]observations-276632'!W231&gt;'[1]Methods write-up'!$Q$16,'[1]observations-276632'!W231&lt;'[1]Methods write-up'!$R$16,'[1]observations-276632'!X231&gt;'[1]Methods write-up'!$S$16,'[1]observations-276632'!X231&lt;'[1]Methods write-up'!$T$16),"West and Central Africa","")</f>
        <v/>
      </c>
      <c r="AY231" s="22" t="str">
        <f>IF(AND('[1]observations-276632'!W231&gt;'[1]Methods write-up'!$Q$17,'[1]observations-276632'!W231&lt;'[1]Methods write-up'!$R$17,'[1]observations-276632'!X231&gt;'[1]Methods write-up'!$S$17,'[1]observations-276632'!X231&lt;'[1]Methods write-up'!$T$17),"Equatorial tropical forest","")</f>
        <v/>
      </c>
      <c r="AZ231" s="22" t="str">
        <f>IF(AND('[1]observations-276632'!W231&gt;'[1]Methods write-up'!$Q$18,'[1]observations-276632'!W231&lt;'[1]Methods write-up'!$R$18,'[1]observations-276632'!X231&gt;'[1]Methods write-up'!$S$18,'[1]observations-276632'!X231&lt;'[1]Methods write-up'!$T$18),"Somali peninsula","")</f>
        <v/>
      </c>
      <c r="BA231" s="22" t="str">
        <f>IF(AND('[1]observations-276632'!W231&gt;'[1]Methods write-up'!$Q$19,'[1]observations-276632'!W231&lt;'[1]Methods write-up'!$R$19,'[1]observations-276632'!X231&gt;'[1]Methods write-up'!$S$19,'[1]observations-276632'!X231&lt;'[1]Methods write-up'!$T$19),"East Africa","")</f>
        <v/>
      </c>
      <c r="BB231" s="22" t="str">
        <f>IF(AND('[1]observations-276632'!W231&gt;'[1]Methods write-up'!$Q$20,'[1]observations-276632'!W231&lt;'[1]Methods write-up'!$R$20,'[1]observations-276632'!X231&gt;'[1]Methods write-up'!$S$20,'[1]observations-276632'!X231&lt;'[1]Methods write-up'!$T$20),"Temperate seasonal","")</f>
        <v/>
      </c>
      <c r="BC231" s="22" t="str">
        <f>IF(AND('[1]observations-276632'!W231&gt;'[1]Methods write-up'!$Q$21,'[1]observations-276632'!W231&lt;'[1]Methods write-up'!$R$21,'[1]observations-276632'!X231&gt;'[1]Methods write-up'!$S$21,'[1]observations-276632'!X231&lt;'[1]Methods write-up'!$T$21),"Desert and high aridity","")</f>
        <v>Desert and high aridity</v>
      </c>
      <c r="BD231" s="23" t="str">
        <f t="shared" si="15"/>
        <v>Desert and high aridity</v>
      </c>
      <c r="BE231" s="24">
        <f t="shared" si="13"/>
        <v>3</v>
      </c>
      <c r="BF231" s="24">
        <f t="shared" si="14"/>
        <v>12</v>
      </c>
    </row>
    <row r="232" spans="1:58" ht="16.25" customHeight="1" x14ac:dyDescent="0.2">
      <c r="A232">
        <v>18875381</v>
      </c>
      <c r="B232" t="s">
        <v>1607</v>
      </c>
      <c r="C232" s="14">
        <v>43440</v>
      </c>
      <c r="D232" t="s">
        <v>1608</v>
      </c>
      <c r="E232" t="s">
        <v>403</v>
      </c>
      <c r="F232">
        <v>97044</v>
      </c>
      <c r="G232" t="s">
        <v>1609</v>
      </c>
      <c r="H232" t="s">
        <v>1610</v>
      </c>
      <c r="I232" t="s">
        <v>1611</v>
      </c>
      <c r="J232" t="s">
        <v>1612</v>
      </c>
      <c r="K232" t="s">
        <v>62</v>
      </c>
      <c r="M232" t="s">
        <v>1613</v>
      </c>
      <c r="N232" t="s">
        <v>1614</v>
      </c>
      <c r="R232">
        <v>1</v>
      </c>
      <c r="S232">
        <v>0</v>
      </c>
      <c r="T232" t="b">
        <v>0</v>
      </c>
      <c r="U232">
        <v>2</v>
      </c>
      <c r="V232" t="s">
        <v>1615</v>
      </c>
      <c r="W232" s="15">
        <v>-1.0918300000000001</v>
      </c>
      <c r="X232" s="15">
        <v>35.856965000000002</v>
      </c>
      <c r="Y232">
        <v>10</v>
      </c>
      <c r="AC232">
        <v>10</v>
      </c>
      <c r="AF232" t="b">
        <v>0</v>
      </c>
      <c r="AI232" t="s">
        <v>71</v>
      </c>
      <c r="AJ232" t="s">
        <v>70</v>
      </c>
      <c r="AK232" t="s">
        <v>71</v>
      </c>
      <c r="AL232" t="s">
        <v>72</v>
      </c>
      <c r="AM232">
        <v>346053</v>
      </c>
      <c r="AO232" s="16" t="s">
        <v>73</v>
      </c>
      <c r="AP232" s="17" t="str">
        <f t="shared" si="12"/>
        <v>Off-nest female</v>
      </c>
      <c r="AX232" s="22" t="str">
        <f>IF(AND('[1]observations-276632'!W232&gt;'[1]Methods write-up'!$Q$16,'[1]observations-276632'!W232&lt;'[1]Methods write-up'!$R$16,'[1]observations-276632'!X232&gt;'[1]Methods write-up'!$S$16,'[1]observations-276632'!X232&lt;'[1]Methods write-up'!$T$16),"West and Central Africa","")</f>
        <v/>
      </c>
      <c r="AY232" s="22" t="str">
        <f>IF(AND('[1]observations-276632'!W232&gt;'[1]Methods write-up'!$Q$17,'[1]observations-276632'!W232&lt;'[1]Methods write-up'!$R$17,'[1]observations-276632'!X232&gt;'[1]Methods write-up'!$S$17,'[1]observations-276632'!X232&lt;'[1]Methods write-up'!$T$17),"Equatorial tropical forest","")</f>
        <v/>
      </c>
      <c r="AZ232" s="22" t="str">
        <f>IF(AND('[1]observations-276632'!W232&gt;'[1]Methods write-up'!$Q$18,'[1]observations-276632'!W232&lt;'[1]Methods write-up'!$R$18,'[1]observations-276632'!X232&gt;'[1]Methods write-up'!$S$18,'[1]observations-276632'!X232&lt;'[1]Methods write-up'!$T$18),"Somali peninsula","")</f>
        <v/>
      </c>
      <c r="BA232" s="22" t="str">
        <f>IF(AND('[1]observations-276632'!W232&gt;'[1]Methods write-up'!$Q$19,'[1]observations-276632'!W232&lt;'[1]Methods write-up'!$R$19,'[1]observations-276632'!X232&gt;'[1]Methods write-up'!$S$19,'[1]observations-276632'!X232&lt;'[1]Methods write-up'!$T$19),"East Africa","")</f>
        <v>East Africa</v>
      </c>
      <c r="BB232" s="22" t="str">
        <f>IF(AND('[1]observations-276632'!W232&gt;'[1]Methods write-up'!$Q$20,'[1]observations-276632'!W232&lt;'[1]Methods write-up'!$R$20,'[1]observations-276632'!X232&gt;'[1]Methods write-up'!$S$20,'[1]observations-276632'!X232&lt;'[1]Methods write-up'!$T$20),"Temperate seasonal","")</f>
        <v/>
      </c>
      <c r="BC232" s="22" t="str">
        <f>IF(AND('[1]observations-276632'!W232&gt;'[1]Methods write-up'!$Q$21,'[1]observations-276632'!W232&lt;'[1]Methods write-up'!$R$21,'[1]observations-276632'!X232&gt;'[1]Methods write-up'!$S$21,'[1]observations-276632'!X232&lt;'[1]Methods write-up'!$T$21),"Desert and high aridity","")</f>
        <v/>
      </c>
      <c r="BD232" s="23" t="str">
        <f t="shared" si="15"/>
        <v>East Africa</v>
      </c>
      <c r="BE232" s="24">
        <f t="shared" si="13"/>
        <v>6</v>
      </c>
      <c r="BF232" s="24">
        <f t="shared" si="14"/>
        <v>12</v>
      </c>
    </row>
    <row r="233" spans="1:58" ht="16.25" customHeight="1" x14ac:dyDescent="0.2">
      <c r="A233">
        <v>18924071</v>
      </c>
      <c r="B233" t="s">
        <v>1616</v>
      </c>
      <c r="C233" s="14">
        <v>43258</v>
      </c>
      <c r="D233" t="s">
        <v>1617</v>
      </c>
      <c r="E233" t="s">
        <v>243</v>
      </c>
      <c r="F233">
        <v>1354240</v>
      </c>
      <c r="G233" t="s">
        <v>1618</v>
      </c>
      <c r="H233" t="s">
        <v>1619</v>
      </c>
      <c r="I233" t="s">
        <v>1620</v>
      </c>
      <c r="J233" t="s">
        <v>1621</v>
      </c>
      <c r="K233" t="s">
        <v>62</v>
      </c>
      <c r="L233" t="s">
        <v>118</v>
      </c>
      <c r="M233" t="s">
        <v>1622</v>
      </c>
      <c r="N233" t="s">
        <v>1623</v>
      </c>
      <c r="R233">
        <v>3</v>
      </c>
      <c r="S233">
        <v>0</v>
      </c>
      <c r="T233" t="b">
        <v>0</v>
      </c>
      <c r="V233" t="s">
        <v>1624</v>
      </c>
      <c r="W233" s="15">
        <v>13.48498526</v>
      </c>
      <c r="X233" s="15">
        <v>-16.664791009999998</v>
      </c>
      <c r="Y233">
        <v>31</v>
      </c>
      <c r="AC233">
        <v>31</v>
      </c>
      <c r="AF233" t="b">
        <v>0</v>
      </c>
      <c r="AI233" t="s">
        <v>70</v>
      </c>
      <c r="AJ233" t="s">
        <v>70</v>
      </c>
      <c r="AK233" t="s">
        <v>71</v>
      </c>
      <c r="AL233" t="s">
        <v>72</v>
      </c>
      <c r="AM233">
        <v>346053</v>
      </c>
      <c r="AO233" s="16" t="s">
        <v>73</v>
      </c>
      <c r="AP233" s="17" t="str">
        <f t="shared" si="12"/>
        <v>Off-nest female</v>
      </c>
      <c r="AX233" s="22" t="str">
        <f>IF(AND('[1]observations-276632'!W233&gt;'[1]Methods write-up'!$Q$16,'[1]observations-276632'!W233&lt;'[1]Methods write-up'!$R$16,'[1]observations-276632'!X233&gt;'[1]Methods write-up'!$S$16,'[1]observations-276632'!X233&lt;'[1]Methods write-up'!$T$16),"West and Central Africa","")</f>
        <v/>
      </c>
      <c r="AY233" s="22" t="str">
        <f>IF(AND('[1]observations-276632'!W233&gt;'[1]Methods write-up'!$Q$17,'[1]observations-276632'!W233&lt;'[1]Methods write-up'!$R$17,'[1]observations-276632'!X233&gt;'[1]Methods write-up'!$S$17,'[1]observations-276632'!X233&lt;'[1]Methods write-up'!$T$17),"Equatorial tropical forest","")</f>
        <v/>
      </c>
      <c r="AZ233" s="22" t="str">
        <f>IF(AND('[1]observations-276632'!W233&gt;'[1]Methods write-up'!$Q$18,'[1]observations-276632'!W233&lt;'[1]Methods write-up'!$R$18,'[1]observations-276632'!X233&gt;'[1]Methods write-up'!$S$18,'[1]observations-276632'!X233&lt;'[1]Methods write-up'!$T$18),"Somali peninsula","")</f>
        <v/>
      </c>
      <c r="BA233" s="22" t="str">
        <f>IF(AND('[1]observations-276632'!W233&gt;'[1]Methods write-up'!$Q$19,'[1]observations-276632'!W233&lt;'[1]Methods write-up'!$R$19,'[1]observations-276632'!X233&gt;'[1]Methods write-up'!$S$19,'[1]observations-276632'!X233&lt;'[1]Methods write-up'!$T$19),"East Africa","")</f>
        <v/>
      </c>
      <c r="BB233" s="22" t="str">
        <f>IF(AND('[1]observations-276632'!W233&gt;'[1]Methods write-up'!$Q$20,'[1]observations-276632'!W233&lt;'[1]Methods write-up'!$R$20,'[1]observations-276632'!X233&gt;'[1]Methods write-up'!$S$20,'[1]observations-276632'!X233&lt;'[1]Methods write-up'!$T$20),"Temperate seasonal","")</f>
        <v/>
      </c>
      <c r="BC233" s="22" t="str">
        <f>IF(AND('[1]observations-276632'!W233&gt;'[1]Methods write-up'!$Q$21,'[1]observations-276632'!W233&lt;'[1]Methods write-up'!$R$21,'[1]observations-276632'!X233&gt;'[1]Methods write-up'!$S$21,'[1]observations-276632'!X233&lt;'[1]Methods write-up'!$T$21),"Desert and high aridity","")</f>
        <v/>
      </c>
      <c r="BD233" s="23" t="str">
        <f t="shared" si="15"/>
        <v/>
      </c>
      <c r="BE233" s="24">
        <f t="shared" si="13"/>
        <v>7</v>
      </c>
      <c r="BF233" s="24">
        <f t="shared" si="14"/>
        <v>6</v>
      </c>
    </row>
    <row r="234" spans="1:58" ht="16.25" customHeight="1" x14ac:dyDescent="0.2">
      <c r="A234">
        <v>19011398</v>
      </c>
      <c r="B234" t="s">
        <v>1625</v>
      </c>
      <c r="C234" s="14">
        <v>43422</v>
      </c>
      <c r="D234" t="s">
        <v>1626</v>
      </c>
      <c r="E234" t="s">
        <v>201</v>
      </c>
      <c r="F234">
        <v>84276</v>
      </c>
      <c r="G234" t="s">
        <v>1426</v>
      </c>
      <c r="H234" t="s">
        <v>1427</v>
      </c>
      <c r="I234" t="s">
        <v>1627</v>
      </c>
      <c r="J234" t="s">
        <v>1628</v>
      </c>
      <c r="K234" t="s">
        <v>62</v>
      </c>
      <c r="L234" t="s">
        <v>373</v>
      </c>
      <c r="M234" t="s">
        <v>1629</v>
      </c>
      <c r="N234" t="s">
        <v>1630</v>
      </c>
      <c r="R234">
        <v>4</v>
      </c>
      <c r="S234">
        <v>0</v>
      </c>
      <c r="T234" t="b">
        <v>0</v>
      </c>
      <c r="V234" t="s">
        <v>1432</v>
      </c>
      <c r="W234" s="15">
        <v>-20.557222199999998</v>
      </c>
      <c r="X234" s="15">
        <v>28.397143549999999</v>
      </c>
      <c r="Y234">
        <v>7948</v>
      </c>
      <c r="AC234">
        <v>7948</v>
      </c>
      <c r="AF234" t="b">
        <v>0</v>
      </c>
      <c r="AI234" t="s">
        <v>71</v>
      </c>
      <c r="AJ234" t="s">
        <v>70</v>
      </c>
      <c r="AK234" t="s">
        <v>71</v>
      </c>
      <c r="AL234" t="s">
        <v>72</v>
      </c>
      <c r="AM234">
        <v>346053</v>
      </c>
      <c r="AO234" s="16" t="s">
        <v>140</v>
      </c>
      <c r="AP234" s="17" t="str">
        <f t="shared" si="12"/>
        <v>Post-emergence nest</v>
      </c>
      <c r="AQ234" s="18">
        <v>2</v>
      </c>
      <c r="AT234" s="19" t="s">
        <v>141</v>
      </c>
      <c r="AU234" s="20" t="s">
        <v>104</v>
      </c>
      <c r="AX234" s="22" t="str">
        <f>IF(AND('[1]observations-276632'!W234&gt;'[1]Methods write-up'!$Q$16,'[1]observations-276632'!W234&lt;'[1]Methods write-up'!$R$16,'[1]observations-276632'!X234&gt;'[1]Methods write-up'!$S$16,'[1]observations-276632'!X234&lt;'[1]Methods write-up'!$T$16),"West and Central Africa","")</f>
        <v/>
      </c>
      <c r="AY234" s="22" t="str">
        <f>IF(AND('[1]observations-276632'!W234&gt;'[1]Methods write-up'!$Q$17,'[1]observations-276632'!W234&lt;'[1]Methods write-up'!$R$17,'[1]observations-276632'!X234&gt;'[1]Methods write-up'!$S$17,'[1]observations-276632'!X234&lt;'[1]Methods write-up'!$T$17),"Equatorial tropical forest","")</f>
        <v/>
      </c>
      <c r="AZ234" s="22" t="str">
        <f>IF(AND('[1]observations-276632'!W234&gt;'[1]Methods write-up'!$Q$18,'[1]observations-276632'!W234&lt;'[1]Methods write-up'!$R$18,'[1]observations-276632'!X234&gt;'[1]Methods write-up'!$S$18,'[1]observations-276632'!X234&lt;'[1]Methods write-up'!$T$18),"Somali peninsula","")</f>
        <v/>
      </c>
      <c r="BA234" s="22" t="str">
        <f>IF(AND('[1]observations-276632'!W234&gt;'[1]Methods write-up'!$Q$19,'[1]observations-276632'!W234&lt;'[1]Methods write-up'!$R$19,'[1]observations-276632'!X234&gt;'[1]Methods write-up'!$S$19,'[1]observations-276632'!X234&lt;'[1]Methods write-up'!$T$19),"East Africa","")</f>
        <v/>
      </c>
      <c r="BB234" s="22" t="str">
        <f>IF(AND('[1]observations-276632'!W234&gt;'[1]Methods write-up'!$Q$20,'[1]observations-276632'!W234&lt;'[1]Methods write-up'!$R$20,'[1]observations-276632'!X234&gt;'[1]Methods write-up'!$S$20,'[1]observations-276632'!X234&lt;'[1]Methods write-up'!$T$20),"Temperate seasonal","")</f>
        <v/>
      </c>
      <c r="BC234" s="22" t="str">
        <f>IF(AND('[1]observations-276632'!W234&gt;'[1]Methods write-up'!$Q$21,'[1]observations-276632'!W234&lt;'[1]Methods write-up'!$R$21,'[1]observations-276632'!X234&gt;'[1]Methods write-up'!$S$21,'[1]observations-276632'!X234&lt;'[1]Methods write-up'!$T$21),"Desert and high aridity","")</f>
        <v/>
      </c>
      <c r="BD234" s="23" t="str">
        <f t="shared" si="15"/>
        <v/>
      </c>
      <c r="BE234" s="24">
        <f t="shared" si="13"/>
        <v>18</v>
      </c>
      <c r="BF234" s="24">
        <f t="shared" si="14"/>
        <v>11</v>
      </c>
    </row>
    <row r="235" spans="1:58" ht="16.25" customHeight="1" x14ac:dyDescent="0.2">
      <c r="A235">
        <v>19119500</v>
      </c>
      <c r="B235" t="s">
        <v>1631</v>
      </c>
      <c r="C235" s="14">
        <v>43454</v>
      </c>
      <c r="D235" t="s">
        <v>1632</v>
      </c>
      <c r="E235" t="s">
        <v>243</v>
      </c>
      <c r="F235">
        <v>1383652</v>
      </c>
      <c r="G235" t="s">
        <v>1633</v>
      </c>
      <c r="H235" t="s">
        <v>1634</v>
      </c>
      <c r="I235" t="s">
        <v>1635</v>
      </c>
      <c r="J235" t="s">
        <v>1636</v>
      </c>
      <c r="K235" t="s">
        <v>62</v>
      </c>
      <c r="L235" t="s">
        <v>63</v>
      </c>
      <c r="M235" t="s">
        <v>1637</v>
      </c>
      <c r="N235" t="s">
        <v>1638</v>
      </c>
      <c r="R235">
        <v>4</v>
      </c>
      <c r="S235">
        <v>0</v>
      </c>
      <c r="T235" t="b">
        <v>0</v>
      </c>
      <c r="V235" t="s">
        <v>1639</v>
      </c>
      <c r="W235" s="15">
        <v>17.052508320000001</v>
      </c>
      <c r="X235" s="15">
        <v>54.609345769999997</v>
      </c>
      <c r="Y235">
        <v>244</v>
      </c>
      <c r="AC235">
        <v>244</v>
      </c>
      <c r="AF235" t="b">
        <v>0</v>
      </c>
      <c r="AI235" t="s">
        <v>70</v>
      </c>
      <c r="AJ235" t="s">
        <v>70</v>
      </c>
      <c r="AK235" t="s">
        <v>71</v>
      </c>
      <c r="AL235" t="s">
        <v>72</v>
      </c>
      <c r="AM235">
        <v>346053</v>
      </c>
      <c r="AO235" s="16" t="s">
        <v>150</v>
      </c>
      <c r="AP235" s="17" t="str">
        <f t="shared" si="12"/>
        <v>Male (off nest)</v>
      </c>
      <c r="AX235" s="22" t="str">
        <f>IF(AND('[1]observations-276632'!W235&gt;'[1]Methods write-up'!$Q$16,'[1]observations-276632'!W235&lt;'[1]Methods write-up'!$R$16,'[1]observations-276632'!X235&gt;'[1]Methods write-up'!$S$16,'[1]observations-276632'!X235&lt;'[1]Methods write-up'!$T$16),"West and Central Africa","")</f>
        <v/>
      </c>
      <c r="AY235" s="22" t="str">
        <f>IF(AND('[1]observations-276632'!W235&gt;'[1]Methods write-up'!$Q$17,'[1]observations-276632'!W235&lt;'[1]Methods write-up'!$R$17,'[1]observations-276632'!X235&gt;'[1]Methods write-up'!$S$17,'[1]observations-276632'!X235&lt;'[1]Methods write-up'!$T$17),"Equatorial tropical forest","")</f>
        <v/>
      </c>
      <c r="AZ235" s="22" t="str">
        <f>IF(AND('[1]observations-276632'!W235&gt;'[1]Methods write-up'!$Q$18,'[1]observations-276632'!W235&lt;'[1]Methods write-up'!$R$18,'[1]observations-276632'!X235&gt;'[1]Methods write-up'!$S$18,'[1]observations-276632'!X235&lt;'[1]Methods write-up'!$T$18),"Somali peninsula","")</f>
        <v/>
      </c>
      <c r="BA235" s="22" t="str">
        <f>IF(AND('[1]observations-276632'!W235&gt;'[1]Methods write-up'!$Q$19,'[1]observations-276632'!W235&lt;'[1]Methods write-up'!$R$19,'[1]observations-276632'!X235&gt;'[1]Methods write-up'!$S$19,'[1]observations-276632'!X235&lt;'[1]Methods write-up'!$T$19),"East Africa","")</f>
        <v/>
      </c>
      <c r="BB235" s="22" t="str">
        <f>IF(AND('[1]observations-276632'!W235&gt;'[1]Methods write-up'!$Q$20,'[1]observations-276632'!W235&lt;'[1]Methods write-up'!$R$20,'[1]observations-276632'!X235&gt;'[1]Methods write-up'!$S$20,'[1]observations-276632'!X235&lt;'[1]Methods write-up'!$T$20),"Temperate seasonal","")</f>
        <v/>
      </c>
      <c r="BC235" s="22" t="str">
        <f>IF(AND('[1]observations-276632'!W235&gt;'[1]Methods write-up'!$Q$21,'[1]observations-276632'!W235&lt;'[1]Methods write-up'!$R$21,'[1]observations-276632'!X235&gt;'[1]Methods write-up'!$S$21,'[1]observations-276632'!X235&lt;'[1]Methods write-up'!$T$21),"Desert and high aridity","")</f>
        <v/>
      </c>
      <c r="BD235" s="23" t="str">
        <f t="shared" si="15"/>
        <v/>
      </c>
      <c r="BE235" s="24">
        <f t="shared" si="13"/>
        <v>20</v>
      </c>
      <c r="BF235" s="24">
        <f t="shared" si="14"/>
        <v>12</v>
      </c>
    </row>
    <row r="236" spans="1:58" ht="16.25" customHeight="1" x14ac:dyDescent="0.2">
      <c r="A236">
        <v>19132896</v>
      </c>
      <c r="B236" t="s">
        <v>1640</v>
      </c>
      <c r="C236" s="14">
        <v>43454</v>
      </c>
      <c r="D236" t="s">
        <v>1641</v>
      </c>
      <c r="E236" t="s">
        <v>113</v>
      </c>
      <c r="F236">
        <v>741598</v>
      </c>
      <c r="G236" t="s">
        <v>1642</v>
      </c>
      <c r="H236" t="s">
        <v>1643</v>
      </c>
      <c r="I236" t="s">
        <v>1644</v>
      </c>
      <c r="J236" t="s">
        <v>1645</v>
      </c>
      <c r="K236" t="s">
        <v>62</v>
      </c>
      <c r="L236" t="s">
        <v>373</v>
      </c>
      <c r="M236" t="s">
        <v>1646</v>
      </c>
      <c r="N236" t="s">
        <v>1647</v>
      </c>
      <c r="R236">
        <v>6</v>
      </c>
      <c r="S236">
        <v>0</v>
      </c>
      <c r="T236" t="b">
        <v>0</v>
      </c>
      <c r="V236" t="s">
        <v>1648</v>
      </c>
      <c r="W236" s="15">
        <v>-32.991737389999997</v>
      </c>
      <c r="X236" s="15">
        <v>27.937688829999999</v>
      </c>
      <c r="Y236">
        <v>166</v>
      </c>
      <c r="AC236">
        <v>166</v>
      </c>
      <c r="AF236" t="b">
        <v>0</v>
      </c>
      <c r="AI236" t="s">
        <v>70</v>
      </c>
      <c r="AJ236" t="s">
        <v>70</v>
      </c>
      <c r="AK236" t="s">
        <v>71</v>
      </c>
      <c r="AL236" t="s">
        <v>72</v>
      </c>
      <c r="AM236">
        <v>346053</v>
      </c>
      <c r="AO236" s="16" t="s">
        <v>73</v>
      </c>
      <c r="AP236" s="17" t="str">
        <f t="shared" si="12"/>
        <v>Off-nest female</v>
      </c>
      <c r="AX236" s="22" t="str">
        <f>IF(AND('[1]observations-276632'!W236&gt;'[1]Methods write-up'!$Q$16,'[1]observations-276632'!W236&lt;'[1]Methods write-up'!$R$16,'[1]observations-276632'!X236&gt;'[1]Methods write-up'!$S$16,'[1]observations-276632'!X236&lt;'[1]Methods write-up'!$T$16),"West and Central Africa","")</f>
        <v/>
      </c>
      <c r="AY236" s="22" t="str">
        <f>IF(AND('[1]observations-276632'!W236&gt;'[1]Methods write-up'!$Q$17,'[1]observations-276632'!W236&lt;'[1]Methods write-up'!$R$17,'[1]observations-276632'!X236&gt;'[1]Methods write-up'!$S$17,'[1]observations-276632'!X236&lt;'[1]Methods write-up'!$T$17),"Equatorial tropical forest","")</f>
        <v/>
      </c>
      <c r="AZ236" s="22" t="str">
        <f>IF(AND('[1]observations-276632'!W236&gt;'[1]Methods write-up'!$Q$18,'[1]observations-276632'!W236&lt;'[1]Methods write-up'!$R$18,'[1]observations-276632'!X236&gt;'[1]Methods write-up'!$S$18,'[1]observations-276632'!X236&lt;'[1]Methods write-up'!$T$18),"Somali peninsula","")</f>
        <v/>
      </c>
      <c r="BA236" s="22" t="str">
        <f>IF(AND('[1]observations-276632'!W236&gt;'[1]Methods write-up'!$Q$19,'[1]observations-276632'!W236&lt;'[1]Methods write-up'!$R$19,'[1]observations-276632'!X236&gt;'[1]Methods write-up'!$S$19,'[1]observations-276632'!X236&lt;'[1]Methods write-up'!$T$19),"East Africa","")</f>
        <v/>
      </c>
      <c r="BB236" s="22" t="str">
        <f>IF(AND('[1]observations-276632'!W236&gt;'[1]Methods write-up'!$Q$20,'[1]observations-276632'!W236&lt;'[1]Methods write-up'!$R$20,'[1]observations-276632'!X236&gt;'[1]Methods write-up'!$S$20,'[1]observations-276632'!X236&lt;'[1]Methods write-up'!$T$20),"Temperate seasonal","")</f>
        <v>Temperate seasonal</v>
      </c>
      <c r="BC236" s="22" t="str">
        <f>IF(AND('[1]observations-276632'!W236&gt;'[1]Methods write-up'!$Q$21,'[1]observations-276632'!W236&lt;'[1]Methods write-up'!$R$21,'[1]observations-276632'!X236&gt;'[1]Methods write-up'!$S$21,'[1]observations-276632'!X236&lt;'[1]Methods write-up'!$T$21),"Desert and high aridity","")</f>
        <v/>
      </c>
      <c r="BD236" s="23" t="str">
        <f t="shared" si="15"/>
        <v>Temperate seasonal</v>
      </c>
      <c r="BE236" s="24">
        <f t="shared" si="13"/>
        <v>20</v>
      </c>
      <c r="BF236" s="24">
        <f t="shared" si="14"/>
        <v>12</v>
      </c>
    </row>
    <row r="237" spans="1:58" ht="16.25" customHeight="1" x14ac:dyDescent="0.2">
      <c r="A237">
        <v>19173091</v>
      </c>
      <c r="B237" t="s">
        <v>1649</v>
      </c>
      <c r="C237" s="14">
        <v>42092</v>
      </c>
      <c r="D237" t="s">
        <v>1650</v>
      </c>
      <c r="E237" t="s">
        <v>113</v>
      </c>
      <c r="F237">
        <v>676988</v>
      </c>
      <c r="G237" t="s">
        <v>1651</v>
      </c>
      <c r="H237" t="s">
        <v>1652</v>
      </c>
      <c r="I237" t="s">
        <v>1653</v>
      </c>
      <c r="J237" t="s">
        <v>1654</v>
      </c>
      <c r="K237" t="s">
        <v>157</v>
      </c>
      <c r="L237" t="s">
        <v>63</v>
      </c>
      <c r="M237" t="s">
        <v>1655</v>
      </c>
      <c r="N237" t="s">
        <v>1656</v>
      </c>
      <c r="R237">
        <v>3</v>
      </c>
      <c r="S237">
        <v>0</v>
      </c>
      <c r="T237" t="b">
        <v>0</v>
      </c>
      <c r="V237" t="s">
        <v>1657</v>
      </c>
      <c r="W237" s="15">
        <v>-24.479257</v>
      </c>
      <c r="X237" s="15">
        <v>16.335941999999999</v>
      </c>
      <c r="Y237">
        <v>15</v>
      </c>
      <c r="AC237">
        <v>15</v>
      </c>
      <c r="AF237" t="b">
        <v>0</v>
      </c>
      <c r="AH237" t="s">
        <v>149</v>
      </c>
      <c r="AI237" t="s">
        <v>756</v>
      </c>
      <c r="AJ237" t="s">
        <v>756</v>
      </c>
      <c r="AL237" t="s">
        <v>72</v>
      </c>
      <c r="AM237">
        <v>652800</v>
      </c>
      <c r="AO237" s="16" t="s">
        <v>110</v>
      </c>
      <c r="AP237" s="17" t="str">
        <f t="shared" si="12"/>
        <v>Nest (foundress)</v>
      </c>
      <c r="AQ237" s="18">
        <v>1</v>
      </c>
      <c r="AT237" s="19" t="s">
        <v>104</v>
      </c>
      <c r="AX237" s="22" t="str">
        <f>IF(AND('[1]observations-276632'!W237&gt;'[1]Methods write-up'!$Q$16,'[1]observations-276632'!W237&lt;'[1]Methods write-up'!$R$16,'[1]observations-276632'!X237&gt;'[1]Methods write-up'!$S$16,'[1]observations-276632'!X237&lt;'[1]Methods write-up'!$T$16),"West and Central Africa","")</f>
        <v/>
      </c>
      <c r="AY237" s="22" t="str">
        <f>IF(AND('[1]observations-276632'!W237&gt;'[1]Methods write-up'!$Q$17,'[1]observations-276632'!W237&lt;'[1]Methods write-up'!$R$17,'[1]observations-276632'!X237&gt;'[1]Methods write-up'!$S$17,'[1]observations-276632'!X237&lt;'[1]Methods write-up'!$T$17),"Equatorial tropical forest","")</f>
        <v/>
      </c>
      <c r="AZ237" s="22" t="str">
        <f>IF(AND('[1]observations-276632'!W237&gt;'[1]Methods write-up'!$Q$18,'[1]observations-276632'!W237&lt;'[1]Methods write-up'!$R$18,'[1]observations-276632'!X237&gt;'[1]Methods write-up'!$S$18,'[1]observations-276632'!X237&lt;'[1]Methods write-up'!$T$18),"Somali peninsula","")</f>
        <v/>
      </c>
      <c r="BA237" s="22" t="str">
        <f>IF(AND('[1]observations-276632'!W237&gt;'[1]Methods write-up'!$Q$19,'[1]observations-276632'!W237&lt;'[1]Methods write-up'!$R$19,'[1]observations-276632'!X237&gt;'[1]Methods write-up'!$S$19,'[1]observations-276632'!X237&lt;'[1]Methods write-up'!$T$19),"East Africa","")</f>
        <v/>
      </c>
      <c r="BB237" s="22" t="str">
        <f>IF(AND('[1]observations-276632'!W237&gt;'[1]Methods write-up'!$Q$20,'[1]observations-276632'!W237&lt;'[1]Methods write-up'!$R$20,'[1]observations-276632'!X237&gt;'[1]Methods write-up'!$S$20,'[1]observations-276632'!X237&lt;'[1]Methods write-up'!$T$20),"Temperate seasonal","")</f>
        <v/>
      </c>
      <c r="BC237" s="22" t="str">
        <f>IF(AND('[1]observations-276632'!W237&gt;'[1]Methods write-up'!$Q$21,'[1]observations-276632'!W237&lt;'[1]Methods write-up'!$R$21,'[1]observations-276632'!X237&gt;'[1]Methods write-up'!$S$21,'[1]observations-276632'!X237&lt;'[1]Methods write-up'!$T$21),"Desert and high aridity","")</f>
        <v>Desert and high aridity</v>
      </c>
      <c r="BD237" s="23" t="str">
        <f t="shared" si="15"/>
        <v>Desert and high aridity</v>
      </c>
      <c r="BE237" s="24">
        <f t="shared" si="13"/>
        <v>29</v>
      </c>
      <c r="BF237" s="24">
        <f t="shared" si="14"/>
        <v>3</v>
      </c>
    </row>
    <row r="238" spans="1:58" ht="16.25" customHeight="1" x14ac:dyDescent="0.2">
      <c r="A238">
        <v>19210347</v>
      </c>
      <c r="B238" t="s">
        <v>1658</v>
      </c>
      <c r="C238" s="14">
        <v>43459</v>
      </c>
      <c r="D238" t="s">
        <v>1659</v>
      </c>
      <c r="E238" t="s">
        <v>243</v>
      </c>
      <c r="F238">
        <v>1383652</v>
      </c>
      <c r="G238" t="s">
        <v>1633</v>
      </c>
      <c r="H238" t="s">
        <v>1634</v>
      </c>
      <c r="I238" t="s">
        <v>1660</v>
      </c>
      <c r="J238" t="s">
        <v>1661</v>
      </c>
      <c r="K238" t="s">
        <v>62</v>
      </c>
      <c r="L238" t="s">
        <v>63</v>
      </c>
      <c r="M238" t="s">
        <v>1662</v>
      </c>
      <c r="N238" t="s">
        <v>1663</v>
      </c>
      <c r="R238">
        <v>2</v>
      </c>
      <c r="S238">
        <v>0</v>
      </c>
      <c r="T238" t="b">
        <v>0</v>
      </c>
      <c r="V238" t="s">
        <v>1639</v>
      </c>
      <c r="W238" s="15">
        <v>16.89785101</v>
      </c>
      <c r="X238" s="15">
        <v>53.770467480000001</v>
      </c>
      <c r="Y238">
        <v>61</v>
      </c>
      <c r="AC238">
        <v>61</v>
      </c>
      <c r="AF238" t="b">
        <v>0</v>
      </c>
      <c r="AI238" t="s">
        <v>70</v>
      </c>
      <c r="AJ238" t="s">
        <v>70</v>
      </c>
      <c r="AK238" t="s">
        <v>71</v>
      </c>
      <c r="AL238" t="s">
        <v>72</v>
      </c>
      <c r="AM238">
        <v>346053</v>
      </c>
      <c r="AO238" s="16" t="s">
        <v>150</v>
      </c>
      <c r="AP238" s="17" t="str">
        <f t="shared" si="12"/>
        <v>Male (off nest)</v>
      </c>
      <c r="AX238" s="22" t="str">
        <f>IF(AND('[1]observations-276632'!W238&gt;'[1]Methods write-up'!$Q$16,'[1]observations-276632'!W238&lt;'[1]Methods write-up'!$R$16,'[1]observations-276632'!X238&gt;'[1]Methods write-up'!$S$16,'[1]observations-276632'!X238&lt;'[1]Methods write-up'!$T$16),"West and Central Africa","")</f>
        <v/>
      </c>
      <c r="AY238" s="22" t="str">
        <f>IF(AND('[1]observations-276632'!W238&gt;'[1]Methods write-up'!$Q$17,'[1]observations-276632'!W238&lt;'[1]Methods write-up'!$R$17,'[1]observations-276632'!X238&gt;'[1]Methods write-up'!$S$17,'[1]observations-276632'!X238&lt;'[1]Methods write-up'!$T$17),"Equatorial tropical forest","")</f>
        <v/>
      </c>
      <c r="AZ238" s="22" t="str">
        <f>IF(AND('[1]observations-276632'!W238&gt;'[1]Methods write-up'!$Q$18,'[1]observations-276632'!W238&lt;'[1]Methods write-up'!$R$18,'[1]observations-276632'!X238&gt;'[1]Methods write-up'!$S$18,'[1]observations-276632'!X238&lt;'[1]Methods write-up'!$T$18),"Somali peninsula","")</f>
        <v/>
      </c>
      <c r="BA238" s="22" t="str">
        <f>IF(AND('[1]observations-276632'!W238&gt;'[1]Methods write-up'!$Q$19,'[1]observations-276632'!W238&lt;'[1]Methods write-up'!$R$19,'[1]observations-276632'!X238&gt;'[1]Methods write-up'!$S$19,'[1]observations-276632'!X238&lt;'[1]Methods write-up'!$T$19),"East Africa","")</f>
        <v/>
      </c>
      <c r="BB238" s="22" t="str">
        <f>IF(AND('[1]observations-276632'!W238&gt;'[1]Methods write-up'!$Q$20,'[1]observations-276632'!W238&lt;'[1]Methods write-up'!$R$20,'[1]observations-276632'!X238&gt;'[1]Methods write-up'!$S$20,'[1]observations-276632'!X238&lt;'[1]Methods write-up'!$T$20),"Temperate seasonal","")</f>
        <v/>
      </c>
      <c r="BC238" s="22" t="str">
        <f>IF(AND('[1]observations-276632'!W238&gt;'[1]Methods write-up'!$Q$21,'[1]observations-276632'!W238&lt;'[1]Methods write-up'!$R$21,'[1]observations-276632'!X238&gt;'[1]Methods write-up'!$S$21,'[1]observations-276632'!X238&lt;'[1]Methods write-up'!$T$21),"Desert and high aridity","")</f>
        <v/>
      </c>
      <c r="BD238" s="23" t="str">
        <f t="shared" si="15"/>
        <v/>
      </c>
      <c r="BE238" s="24">
        <f t="shared" si="13"/>
        <v>25</v>
      </c>
      <c r="BF238" s="24">
        <f t="shared" si="14"/>
        <v>12</v>
      </c>
    </row>
    <row r="239" spans="1:58" ht="16.25" customHeight="1" x14ac:dyDescent="0.2">
      <c r="A239">
        <v>19220567</v>
      </c>
      <c r="B239" t="s">
        <v>1664</v>
      </c>
      <c r="C239" s="14">
        <v>42909</v>
      </c>
      <c r="D239" t="s">
        <v>1665</v>
      </c>
      <c r="E239" t="s">
        <v>256</v>
      </c>
      <c r="F239">
        <v>1351165</v>
      </c>
      <c r="G239" t="s">
        <v>1666</v>
      </c>
      <c r="H239" t="s">
        <v>1667</v>
      </c>
      <c r="I239" t="s">
        <v>1668</v>
      </c>
      <c r="J239" t="s">
        <v>1669</v>
      </c>
      <c r="K239" t="s">
        <v>62</v>
      </c>
      <c r="L239" t="s">
        <v>63</v>
      </c>
      <c r="M239" t="s">
        <v>1670</v>
      </c>
      <c r="N239" t="s">
        <v>1671</v>
      </c>
      <c r="Q239" t="s">
        <v>1672</v>
      </c>
      <c r="R239">
        <v>5</v>
      </c>
      <c r="S239">
        <v>0</v>
      </c>
      <c r="T239" t="b">
        <v>0</v>
      </c>
      <c r="V239" t="s">
        <v>1673</v>
      </c>
      <c r="W239" s="15">
        <v>-4.229856732</v>
      </c>
      <c r="X239" s="15">
        <v>36.310911529999998</v>
      </c>
      <c r="Y239">
        <v>5328</v>
      </c>
      <c r="AC239">
        <v>31407</v>
      </c>
      <c r="AD239" t="s">
        <v>839</v>
      </c>
      <c r="AF239" t="b">
        <v>1</v>
      </c>
      <c r="AI239" t="s">
        <v>70</v>
      </c>
      <c r="AJ239" t="s">
        <v>70</v>
      </c>
      <c r="AK239" t="s">
        <v>71</v>
      </c>
      <c r="AL239" t="s">
        <v>72</v>
      </c>
      <c r="AM239">
        <v>346053</v>
      </c>
      <c r="AO239" s="16" t="s">
        <v>1356</v>
      </c>
      <c r="AP239" s="17" t="str">
        <f t="shared" si="12"/>
        <v>Nest (foundress)</v>
      </c>
      <c r="AQ239" s="18">
        <v>2</v>
      </c>
      <c r="AT239" s="19" t="s">
        <v>141</v>
      </c>
      <c r="AX239" s="22" t="str">
        <f>IF(AND('[1]observations-276632'!W239&gt;'[1]Methods write-up'!$Q$16,'[1]observations-276632'!W239&lt;'[1]Methods write-up'!$R$16,'[1]observations-276632'!X239&gt;'[1]Methods write-up'!$S$16,'[1]observations-276632'!X239&lt;'[1]Methods write-up'!$T$16),"West and Central Africa","")</f>
        <v/>
      </c>
      <c r="AY239" s="22" t="str">
        <f>IF(AND('[1]observations-276632'!W239&gt;'[1]Methods write-up'!$Q$17,'[1]observations-276632'!W239&lt;'[1]Methods write-up'!$R$17,'[1]observations-276632'!X239&gt;'[1]Methods write-up'!$S$17,'[1]observations-276632'!X239&lt;'[1]Methods write-up'!$T$17),"Equatorial tropical forest","")</f>
        <v/>
      </c>
      <c r="AZ239" s="22" t="str">
        <f>IF(AND('[1]observations-276632'!W239&gt;'[1]Methods write-up'!$Q$18,'[1]observations-276632'!W239&lt;'[1]Methods write-up'!$R$18,'[1]observations-276632'!X239&gt;'[1]Methods write-up'!$S$18,'[1]observations-276632'!X239&lt;'[1]Methods write-up'!$T$18),"Somali peninsula","")</f>
        <v/>
      </c>
      <c r="BA239" s="22" t="str">
        <f>IF(AND('[1]observations-276632'!W239&gt;'[1]Methods write-up'!$Q$19,'[1]observations-276632'!W239&lt;'[1]Methods write-up'!$R$19,'[1]observations-276632'!X239&gt;'[1]Methods write-up'!$S$19,'[1]observations-276632'!X239&lt;'[1]Methods write-up'!$T$19),"East Africa","")</f>
        <v>East Africa</v>
      </c>
      <c r="BB239" s="22" t="str">
        <f>IF(AND('[1]observations-276632'!W239&gt;'[1]Methods write-up'!$Q$20,'[1]observations-276632'!W239&lt;'[1]Methods write-up'!$R$20,'[1]observations-276632'!X239&gt;'[1]Methods write-up'!$S$20,'[1]observations-276632'!X239&lt;'[1]Methods write-up'!$T$20),"Temperate seasonal","")</f>
        <v/>
      </c>
      <c r="BC239" s="22" t="str">
        <f>IF(AND('[1]observations-276632'!W239&gt;'[1]Methods write-up'!$Q$21,'[1]observations-276632'!W239&lt;'[1]Methods write-up'!$R$21,'[1]observations-276632'!X239&gt;'[1]Methods write-up'!$S$21,'[1]observations-276632'!X239&lt;'[1]Methods write-up'!$T$21),"Desert and high aridity","")</f>
        <v/>
      </c>
      <c r="BD239" s="23" t="str">
        <f t="shared" si="15"/>
        <v>East Africa</v>
      </c>
      <c r="BE239" s="24">
        <f t="shared" si="13"/>
        <v>23</v>
      </c>
      <c r="BF239" s="24">
        <f t="shared" si="14"/>
        <v>6</v>
      </c>
    </row>
    <row r="240" spans="1:58" ht="16.25" customHeight="1" x14ac:dyDescent="0.2">
      <c r="A240">
        <v>19266562</v>
      </c>
      <c r="B240" t="s">
        <v>1674</v>
      </c>
      <c r="C240" s="14">
        <v>42097</v>
      </c>
      <c r="D240" t="s">
        <v>1675</v>
      </c>
      <c r="E240" t="s">
        <v>113</v>
      </c>
      <c r="F240">
        <v>676988</v>
      </c>
      <c r="G240" t="s">
        <v>1651</v>
      </c>
      <c r="H240" t="s">
        <v>1652</v>
      </c>
      <c r="I240" t="s">
        <v>1676</v>
      </c>
      <c r="J240" t="s">
        <v>1677</v>
      </c>
      <c r="K240" t="s">
        <v>157</v>
      </c>
      <c r="L240" t="s">
        <v>63</v>
      </c>
      <c r="M240" t="s">
        <v>1678</v>
      </c>
      <c r="N240" t="s">
        <v>1679</v>
      </c>
      <c r="R240">
        <v>2</v>
      </c>
      <c r="S240">
        <v>0</v>
      </c>
      <c r="T240" t="b">
        <v>0</v>
      </c>
      <c r="V240" t="s">
        <v>1657</v>
      </c>
      <c r="W240" s="15">
        <v>-24.479256719999999</v>
      </c>
      <c r="X240" s="15">
        <v>16.335942289999998</v>
      </c>
      <c r="Y240">
        <v>15</v>
      </c>
      <c r="AC240">
        <v>15</v>
      </c>
      <c r="AF240" t="b">
        <v>0</v>
      </c>
      <c r="AI240" t="s">
        <v>756</v>
      </c>
      <c r="AJ240" t="s">
        <v>756</v>
      </c>
      <c r="AL240" t="s">
        <v>72</v>
      </c>
      <c r="AM240">
        <v>652800</v>
      </c>
      <c r="AO240" s="16" t="s">
        <v>73</v>
      </c>
      <c r="AP240" s="17" t="str">
        <f t="shared" si="12"/>
        <v>Off-nest female</v>
      </c>
      <c r="AX240" s="22" t="str">
        <f>IF(AND('[1]observations-276632'!W240&gt;'[1]Methods write-up'!$Q$16,'[1]observations-276632'!W240&lt;'[1]Methods write-up'!$R$16,'[1]observations-276632'!X240&gt;'[1]Methods write-up'!$S$16,'[1]observations-276632'!X240&lt;'[1]Methods write-up'!$T$16),"West and Central Africa","")</f>
        <v/>
      </c>
      <c r="AY240" s="22" t="str">
        <f>IF(AND('[1]observations-276632'!W240&gt;'[1]Methods write-up'!$Q$17,'[1]observations-276632'!W240&lt;'[1]Methods write-up'!$R$17,'[1]observations-276632'!X240&gt;'[1]Methods write-up'!$S$17,'[1]observations-276632'!X240&lt;'[1]Methods write-up'!$T$17),"Equatorial tropical forest","")</f>
        <v/>
      </c>
      <c r="AZ240" s="22" t="str">
        <f>IF(AND('[1]observations-276632'!W240&gt;'[1]Methods write-up'!$Q$18,'[1]observations-276632'!W240&lt;'[1]Methods write-up'!$R$18,'[1]observations-276632'!X240&gt;'[1]Methods write-up'!$S$18,'[1]observations-276632'!X240&lt;'[1]Methods write-up'!$T$18),"Somali peninsula","")</f>
        <v/>
      </c>
      <c r="BA240" s="22" t="str">
        <f>IF(AND('[1]observations-276632'!W240&gt;'[1]Methods write-up'!$Q$19,'[1]observations-276632'!W240&lt;'[1]Methods write-up'!$R$19,'[1]observations-276632'!X240&gt;'[1]Methods write-up'!$S$19,'[1]observations-276632'!X240&lt;'[1]Methods write-up'!$T$19),"East Africa","")</f>
        <v/>
      </c>
      <c r="BB240" s="22" t="str">
        <f>IF(AND('[1]observations-276632'!W240&gt;'[1]Methods write-up'!$Q$20,'[1]observations-276632'!W240&lt;'[1]Methods write-up'!$R$20,'[1]observations-276632'!X240&gt;'[1]Methods write-up'!$S$20,'[1]observations-276632'!X240&lt;'[1]Methods write-up'!$T$20),"Temperate seasonal","")</f>
        <v/>
      </c>
      <c r="BC240" s="22" t="str">
        <f>IF(AND('[1]observations-276632'!W240&gt;'[1]Methods write-up'!$Q$21,'[1]observations-276632'!W240&lt;'[1]Methods write-up'!$R$21,'[1]observations-276632'!X240&gt;'[1]Methods write-up'!$S$21,'[1]observations-276632'!X240&lt;'[1]Methods write-up'!$T$21),"Desert and high aridity","")</f>
        <v>Desert and high aridity</v>
      </c>
      <c r="BD240" s="23" t="str">
        <f t="shared" si="15"/>
        <v>Desert and high aridity</v>
      </c>
      <c r="BE240" s="24">
        <f t="shared" si="13"/>
        <v>3</v>
      </c>
      <c r="BF240" s="24">
        <f t="shared" si="14"/>
        <v>4</v>
      </c>
    </row>
    <row r="241" spans="1:58" ht="16.25" customHeight="1" x14ac:dyDescent="0.2">
      <c r="A241">
        <v>19284690</v>
      </c>
      <c r="B241" t="s">
        <v>1680</v>
      </c>
      <c r="C241" s="14">
        <v>41347</v>
      </c>
      <c r="D241" t="s">
        <v>1681</v>
      </c>
      <c r="E241" t="s">
        <v>113</v>
      </c>
      <c r="F241">
        <v>739267</v>
      </c>
      <c r="G241" t="s">
        <v>1682</v>
      </c>
      <c r="H241" t="s">
        <v>1683</v>
      </c>
      <c r="I241" t="s">
        <v>1684</v>
      </c>
      <c r="J241" t="s">
        <v>1685</v>
      </c>
      <c r="K241" t="s">
        <v>62</v>
      </c>
      <c r="L241" t="s">
        <v>118</v>
      </c>
      <c r="M241" t="s">
        <v>1686</v>
      </c>
      <c r="N241" t="s">
        <v>1687</v>
      </c>
      <c r="Q241" t="s">
        <v>1688</v>
      </c>
      <c r="R241">
        <v>3</v>
      </c>
      <c r="S241">
        <v>0</v>
      </c>
      <c r="T241" t="b">
        <v>0</v>
      </c>
      <c r="V241" t="s">
        <v>1689</v>
      </c>
      <c r="W241" s="15">
        <v>-26.0474</v>
      </c>
      <c r="X241" s="15">
        <v>28.080100000000002</v>
      </c>
      <c r="AF241" t="b">
        <v>0</v>
      </c>
      <c r="AI241" t="s">
        <v>70</v>
      </c>
      <c r="AJ241" t="s">
        <v>70</v>
      </c>
      <c r="AK241" t="s">
        <v>71</v>
      </c>
      <c r="AL241" t="s">
        <v>72</v>
      </c>
      <c r="AM241">
        <v>346053</v>
      </c>
      <c r="AO241" s="16" t="s">
        <v>140</v>
      </c>
      <c r="AP241" s="17" t="str">
        <f t="shared" si="12"/>
        <v>Post-emergence nest</v>
      </c>
      <c r="AQ241" s="18">
        <v>51</v>
      </c>
      <c r="AV241" s="21" t="s">
        <v>1690</v>
      </c>
      <c r="AX241" s="22" t="str">
        <f>IF(AND('[1]observations-276632'!W241&gt;'[1]Methods write-up'!$Q$16,'[1]observations-276632'!W241&lt;'[1]Methods write-up'!$R$16,'[1]observations-276632'!X241&gt;'[1]Methods write-up'!$S$16,'[1]observations-276632'!X241&lt;'[1]Methods write-up'!$T$16),"West and Central Africa","")</f>
        <v/>
      </c>
      <c r="AY241" s="22" t="str">
        <f>IF(AND('[1]observations-276632'!W241&gt;'[1]Methods write-up'!$Q$17,'[1]observations-276632'!W241&lt;'[1]Methods write-up'!$R$17,'[1]observations-276632'!X241&gt;'[1]Methods write-up'!$S$17,'[1]observations-276632'!X241&lt;'[1]Methods write-up'!$T$17),"Equatorial tropical forest","")</f>
        <v/>
      </c>
      <c r="AZ241" s="22" t="str">
        <f>IF(AND('[1]observations-276632'!W241&gt;'[1]Methods write-up'!$Q$18,'[1]observations-276632'!W241&lt;'[1]Methods write-up'!$R$18,'[1]observations-276632'!X241&gt;'[1]Methods write-up'!$S$18,'[1]observations-276632'!X241&lt;'[1]Methods write-up'!$T$18),"Somali peninsula","")</f>
        <v/>
      </c>
      <c r="BA241" s="22" t="str">
        <f>IF(AND('[1]observations-276632'!W241&gt;'[1]Methods write-up'!$Q$19,'[1]observations-276632'!W241&lt;'[1]Methods write-up'!$R$19,'[1]observations-276632'!X241&gt;'[1]Methods write-up'!$S$19,'[1]observations-276632'!X241&lt;'[1]Methods write-up'!$T$19),"East Africa","")</f>
        <v/>
      </c>
      <c r="BB241" s="22" t="str">
        <f>IF(AND('[1]observations-276632'!W241&gt;'[1]Methods write-up'!$Q$20,'[1]observations-276632'!W241&lt;'[1]Methods write-up'!$R$20,'[1]observations-276632'!X241&gt;'[1]Methods write-up'!$S$20,'[1]observations-276632'!X241&lt;'[1]Methods write-up'!$T$20),"Temperate seasonal","")</f>
        <v>Temperate seasonal</v>
      </c>
      <c r="BC241" s="22" t="str">
        <f>IF(AND('[1]observations-276632'!W241&gt;'[1]Methods write-up'!$Q$21,'[1]observations-276632'!W241&lt;'[1]Methods write-up'!$R$21,'[1]observations-276632'!X241&gt;'[1]Methods write-up'!$S$21,'[1]observations-276632'!X241&lt;'[1]Methods write-up'!$T$21),"Desert and high aridity","")</f>
        <v/>
      </c>
      <c r="BD241" s="23" t="str">
        <f t="shared" si="15"/>
        <v>Temperate seasonal</v>
      </c>
      <c r="BE241" s="24">
        <f t="shared" si="13"/>
        <v>14</v>
      </c>
      <c r="BF241" s="24">
        <f t="shared" si="14"/>
        <v>3</v>
      </c>
    </row>
    <row r="242" spans="1:58" ht="16.25" customHeight="1" x14ac:dyDescent="0.2">
      <c r="A242">
        <v>19285207</v>
      </c>
      <c r="B242" t="s">
        <v>1691</v>
      </c>
      <c r="C242" s="14">
        <v>43463</v>
      </c>
      <c r="D242" t="s">
        <v>1692</v>
      </c>
      <c r="E242" t="s">
        <v>403</v>
      </c>
      <c r="F242">
        <v>2491</v>
      </c>
      <c r="G242" t="s">
        <v>1693</v>
      </c>
      <c r="H242" t="s">
        <v>1694</v>
      </c>
      <c r="I242" t="s">
        <v>1695</v>
      </c>
      <c r="J242" t="s">
        <v>1696</v>
      </c>
      <c r="K242" t="s">
        <v>62</v>
      </c>
      <c r="M242" t="s">
        <v>1697</v>
      </c>
      <c r="N242" t="s">
        <v>1698</v>
      </c>
      <c r="R242">
        <v>3</v>
      </c>
      <c r="S242">
        <v>0</v>
      </c>
      <c r="T242" t="b">
        <v>0</v>
      </c>
      <c r="U242">
        <v>3</v>
      </c>
      <c r="V242" t="s">
        <v>1699</v>
      </c>
      <c r="W242" s="15">
        <v>-0.145487281</v>
      </c>
      <c r="X242" s="15">
        <v>34.73489859</v>
      </c>
      <c r="Y242">
        <v>12</v>
      </c>
      <c r="AC242">
        <v>12</v>
      </c>
      <c r="AF242" t="b">
        <v>0</v>
      </c>
      <c r="AI242" t="s">
        <v>70</v>
      </c>
      <c r="AJ242" t="s">
        <v>70</v>
      </c>
      <c r="AK242" t="s">
        <v>71</v>
      </c>
      <c r="AL242" t="s">
        <v>72</v>
      </c>
      <c r="AM242">
        <v>346053</v>
      </c>
      <c r="AO242" s="16" t="s">
        <v>140</v>
      </c>
      <c r="AP242" s="17" t="str">
        <f t="shared" si="12"/>
        <v>Post-emergence nest</v>
      </c>
      <c r="AQ242" s="18">
        <v>4</v>
      </c>
      <c r="AT242" s="19" t="s">
        <v>141</v>
      </c>
      <c r="AU242" s="20" t="s">
        <v>104</v>
      </c>
      <c r="AX242" s="22" t="str">
        <f>IF(AND('[1]observations-276632'!W242&gt;'[1]Methods write-up'!$Q$16,'[1]observations-276632'!W242&lt;'[1]Methods write-up'!$R$16,'[1]observations-276632'!X242&gt;'[1]Methods write-up'!$S$16,'[1]observations-276632'!X242&lt;'[1]Methods write-up'!$T$16),"West and Central Africa","")</f>
        <v/>
      </c>
      <c r="AY242" s="22" t="str">
        <f>IF(AND('[1]observations-276632'!W242&gt;'[1]Methods write-up'!$Q$17,'[1]observations-276632'!W242&lt;'[1]Methods write-up'!$R$17,'[1]observations-276632'!X242&gt;'[1]Methods write-up'!$S$17,'[1]observations-276632'!X242&lt;'[1]Methods write-up'!$T$17),"Equatorial tropical forest","")</f>
        <v/>
      </c>
      <c r="AZ242" s="22" t="str">
        <f>IF(AND('[1]observations-276632'!W242&gt;'[1]Methods write-up'!$Q$18,'[1]observations-276632'!W242&lt;'[1]Methods write-up'!$R$18,'[1]observations-276632'!X242&gt;'[1]Methods write-up'!$S$18,'[1]observations-276632'!X242&lt;'[1]Methods write-up'!$T$18),"Somali peninsula","")</f>
        <v/>
      </c>
      <c r="BA242" s="22" t="str">
        <f>IF(AND('[1]observations-276632'!W242&gt;'[1]Methods write-up'!$Q$19,'[1]observations-276632'!W242&lt;'[1]Methods write-up'!$R$19,'[1]observations-276632'!X242&gt;'[1]Methods write-up'!$S$19,'[1]observations-276632'!X242&lt;'[1]Methods write-up'!$T$19),"East Africa","")</f>
        <v>East Africa</v>
      </c>
      <c r="BB242" s="22" t="str">
        <f>IF(AND('[1]observations-276632'!W242&gt;'[1]Methods write-up'!$Q$20,'[1]observations-276632'!W242&lt;'[1]Methods write-up'!$R$20,'[1]observations-276632'!X242&gt;'[1]Methods write-up'!$S$20,'[1]observations-276632'!X242&lt;'[1]Methods write-up'!$T$20),"Temperate seasonal","")</f>
        <v/>
      </c>
      <c r="BC242" s="22" t="str">
        <f>IF(AND('[1]observations-276632'!W242&gt;'[1]Methods write-up'!$Q$21,'[1]observations-276632'!W242&lt;'[1]Methods write-up'!$R$21,'[1]observations-276632'!X242&gt;'[1]Methods write-up'!$S$21,'[1]observations-276632'!X242&lt;'[1]Methods write-up'!$T$21),"Desert and high aridity","")</f>
        <v/>
      </c>
      <c r="BD242" s="23" t="str">
        <f t="shared" si="15"/>
        <v>East Africa</v>
      </c>
      <c r="BE242" s="24">
        <f t="shared" si="13"/>
        <v>29</v>
      </c>
      <c r="BF242" s="24">
        <f t="shared" si="14"/>
        <v>12</v>
      </c>
    </row>
    <row r="243" spans="1:58" ht="16.25" customHeight="1" x14ac:dyDescent="0.2">
      <c r="A243">
        <v>19335823</v>
      </c>
      <c r="B243" s="13">
        <v>43465</v>
      </c>
      <c r="C243" s="14">
        <v>43465</v>
      </c>
      <c r="E243" t="s">
        <v>57</v>
      </c>
      <c r="F243">
        <v>1258029</v>
      </c>
      <c r="G243" t="s">
        <v>1700</v>
      </c>
      <c r="H243" t="s">
        <v>1701</v>
      </c>
      <c r="I243" t="s">
        <v>1702</v>
      </c>
      <c r="J243" t="s">
        <v>1703</v>
      </c>
      <c r="K243" t="s">
        <v>62</v>
      </c>
      <c r="L243" t="s">
        <v>98</v>
      </c>
      <c r="M243" t="s">
        <v>1704</v>
      </c>
      <c r="N243" t="s">
        <v>1705</v>
      </c>
      <c r="R243">
        <v>2</v>
      </c>
      <c r="S243">
        <v>0</v>
      </c>
      <c r="T243" t="b">
        <v>0</v>
      </c>
      <c r="U243">
        <v>2</v>
      </c>
      <c r="V243" t="s">
        <v>1706</v>
      </c>
      <c r="W243" s="15">
        <v>6.448276667</v>
      </c>
      <c r="X243" s="15">
        <v>2.2593233330000002</v>
      </c>
      <c r="Y243">
        <v>2</v>
      </c>
      <c r="AC243">
        <v>2</v>
      </c>
      <c r="AF243" t="b">
        <v>0</v>
      </c>
      <c r="AG243" t="s">
        <v>350</v>
      </c>
      <c r="AH243" t="s">
        <v>350</v>
      </c>
      <c r="AI243" t="s">
        <v>70</v>
      </c>
      <c r="AJ243" t="s">
        <v>70</v>
      </c>
      <c r="AK243" t="s">
        <v>71</v>
      </c>
      <c r="AL243" t="s">
        <v>72</v>
      </c>
      <c r="AM243">
        <v>346053</v>
      </c>
      <c r="AO243" s="16" t="s">
        <v>73</v>
      </c>
      <c r="AP243" s="17" t="str">
        <f t="shared" si="12"/>
        <v>Off-nest female</v>
      </c>
      <c r="AX243" s="22" t="str">
        <f>IF(AND('[1]observations-276632'!W243&gt;'[1]Methods write-up'!$Q$16,'[1]observations-276632'!W243&lt;'[1]Methods write-up'!$R$16,'[1]observations-276632'!X243&gt;'[1]Methods write-up'!$S$16,'[1]observations-276632'!X243&lt;'[1]Methods write-up'!$T$16),"West and Central Africa","")</f>
        <v>West and Central Africa</v>
      </c>
      <c r="AY243" s="22" t="str">
        <f>IF(AND('[1]observations-276632'!W243&gt;'[1]Methods write-up'!$Q$17,'[1]observations-276632'!W243&lt;'[1]Methods write-up'!$R$17,'[1]observations-276632'!X243&gt;'[1]Methods write-up'!$S$17,'[1]observations-276632'!X243&lt;'[1]Methods write-up'!$T$17),"Equatorial tropical forest","")</f>
        <v/>
      </c>
      <c r="AZ243" s="22" t="str">
        <f>IF(AND('[1]observations-276632'!W243&gt;'[1]Methods write-up'!$Q$18,'[1]observations-276632'!W243&lt;'[1]Methods write-up'!$R$18,'[1]observations-276632'!X243&gt;'[1]Methods write-up'!$S$18,'[1]observations-276632'!X243&lt;'[1]Methods write-up'!$T$18),"Somali peninsula","")</f>
        <v/>
      </c>
      <c r="BA243" s="22" t="str">
        <f>IF(AND('[1]observations-276632'!W243&gt;'[1]Methods write-up'!$Q$19,'[1]observations-276632'!W243&lt;'[1]Methods write-up'!$R$19,'[1]observations-276632'!X243&gt;'[1]Methods write-up'!$S$19,'[1]observations-276632'!X243&lt;'[1]Methods write-up'!$T$19),"East Africa","")</f>
        <v/>
      </c>
      <c r="BB243" s="22" t="str">
        <f>IF(AND('[1]observations-276632'!W243&gt;'[1]Methods write-up'!$Q$20,'[1]observations-276632'!W243&lt;'[1]Methods write-up'!$R$20,'[1]observations-276632'!X243&gt;'[1]Methods write-up'!$S$20,'[1]observations-276632'!X243&lt;'[1]Methods write-up'!$T$20),"Temperate seasonal","")</f>
        <v/>
      </c>
      <c r="BC243" s="22" t="str">
        <f>IF(AND('[1]observations-276632'!W243&gt;'[1]Methods write-up'!$Q$21,'[1]observations-276632'!W243&lt;'[1]Methods write-up'!$R$21,'[1]observations-276632'!X243&gt;'[1]Methods write-up'!$S$21,'[1]observations-276632'!X243&lt;'[1]Methods write-up'!$T$21),"Desert and high aridity","")</f>
        <v/>
      </c>
      <c r="BD243" s="23" t="str">
        <f t="shared" si="15"/>
        <v>West and Central Africa</v>
      </c>
      <c r="BE243" s="24">
        <f t="shared" si="13"/>
        <v>31</v>
      </c>
      <c r="BF243" s="24">
        <f t="shared" si="14"/>
        <v>12</v>
      </c>
    </row>
    <row r="244" spans="1:58" ht="16.25" customHeight="1" x14ac:dyDescent="0.2">
      <c r="A244">
        <v>19379332</v>
      </c>
      <c r="B244" t="s">
        <v>1707</v>
      </c>
      <c r="C244" s="14">
        <v>43183</v>
      </c>
      <c r="D244" t="s">
        <v>1708</v>
      </c>
      <c r="E244" t="s">
        <v>256</v>
      </c>
      <c r="F244">
        <v>317669</v>
      </c>
      <c r="G244" t="s">
        <v>1709</v>
      </c>
      <c r="H244" t="s">
        <v>1710</v>
      </c>
      <c r="I244" t="s">
        <v>1711</v>
      </c>
      <c r="J244" t="s">
        <v>1712</v>
      </c>
      <c r="K244" t="s">
        <v>157</v>
      </c>
      <c r="L244" t="s">
        <v>63</v>
      </c>
      <c r="M244" t="s">
        <v>1713</v>
      </c>
      <c r="N244" t="s">
        <v>1714</v>
      </c>
      <c r="R244">
        <v>2</v>
      </c>
      <c r="S244">
        <v>0</v>
      </c>
      <c r="T244" t="b">
        <v>0</v>
      </c>
      <c r="V244" t="s">
        <v>1715</v>
      </c>
      <c r="W244" s="15">
        <v>-1.2654747589999999</v>
      </c>
      <c r="X244" s="15">
        <v>34.970985259999999</v>
      </c>
      <c r="AF244" t="b">
        <v>0</v>
      </c>
      <c r="AI244" t="s">
        <v>71</v>
      </c>
      <c r="AJ244" t="s">
        <v>70</v>
      </c>
      <c r="AK244" t="s">
        <v>71</v>
      </c>
      <c r="AL244" t="s">
        <v>72</v>
      </c>
      <c r="AM244">
        <v>346053</v>
      </c>
      <c r="AO244" s="16" t="s">
        <v>73</v>
      </c>
      <c r="AP244" s="17" t="str">
        <f t="shared" si="12"/>
        <v>Off-nest female</v>
      </c>
      <c r="AX244" s="22" t="str">
        <f>IF(AND('[1]observations-276632'!W244&gt;'[1]Methods write-up'!$Q$16,'[1]observations-276632'!W244&lt;'[1]Methods write-up'!$R$16,'[1]observations-276632'!X244&gt;'[1]Methods write-up'!$S$16,'[1]observations-276632'!X244&lt;'[1]Methods write-up'!$T$16),"West and Central Africa","")</f>
        <v/>
      </c>
      <c r="AY244" s="22" t="str">
        <f>IF(AND('[1]observations-276632'!W244&gt;'[1]Methods write-up'!$Q$17,'[1]observations-276632'!W244&lt;'[1]Methods write-up'!$R$17,'[1]observations-276632'!X244&gt;'[1]Methods write-up'!$S$17,'[1]observations-276632'!X244&lt;'[1]Methods write-up'!$T$17),"Equatorial tropical forest","")</f>
        <v/>
      </c>
      <c r="AZ244" s="22" t="str">
        <f>IF(AND('[1]observations-276632'!W244&gt;'[1]Methods write-up'!$Q$18,'[1]observations-276632'!W244&lt;'[1]Methods write-up'!$R$18,'[1]observations-276632'!X244&gt;'[1]Methods write-up'!$S$18,'[1]observations-276632'!X244&lt;'[1]Methods write-up'!$T$18),"Somali peninsula","")</f>
        <v/>
      </c>
      <c r="BA244" s="22" t="str">
        <f>IF(AND('[1]observations-276632'!W244&gt;'[1]Methods write-up'!$Q$19,'[1]observations-276632'!W244&lt;'[1]Methods write-up'!$R$19,'[1]observations-276632'!X244&gt;'[1]Methods write-up'!$S$19,'[1]observations-276632'!X244&lt;'[1]Methods write-up'!$T$19),"East Africa","")</f>
        <v>East Africa</v>
      </c>
      <c r="BB244" s="22" t="str">
        <f>IF(AND('[1]observations-276632'!W244&gt;'[1]Methods write-up'!$Q$20,'[1]observations-276632'!W244&lt;'[1]Methods write-up'!$R$20,'[1]observations-276632'!X244&gt;'[1]Methods write-up'!$S$20,'[1]observations-276632'!X244&lt;'[1]Methods write-up'!$T$20),"Temperate seasonal","")</f>
        <v/>
      </c>
      <c r="BC244" s="22" t="str">
        <f>IF(AND('[1]observations-276632'!W244&gt;'[1]Methods write-up'!$Q$21,'[1]observations-276632'!W244&lt;'[1]Methods write-up'!$R$21,'[1]observations-276632'!X244&gt;'[1]Methods write-up'!$S$21,'[1]observations-276632'!X244&lt;'[1]Methods write-up'!$T$21),"Desert and high aridity","")</f>
        <v/>
      </c>
      <c r="BD244" s="23" t="str">
        <f t="shared" si="15"/>
        <v>East Africa</v>
      </c>
      <c r="BE244" s="24">
        <f t="shared" si="13"/>
        <v>24</v>
      </c>
      <c r="BF244" s="24">
        <f t="shared" si="14"/>
        <v>3</v>
      </c>
    </row>
    <row r="245" spans="1:58" ht="16.25" customHeight="1" x14ac:dyDescent="0.2">
      <c r="A245">
        <v>19394525</v>
      </c>
      <c r="B245" t="s">
        <v>1716</v>
      </c>
      <c r="C245" s="14">
        <v>43468</v>
      </c>
      <c r="D245" t="s">
        <v>1717</v>
      </c>
      <c r="E245" t="s">
        <v>113</v>
      </c>
      <c r="F245">
        <v>1411961</v>
      </c>
      <c r="G245" t="s">
        <v>1718</v>
      </c>
      <c r="I245" t="s">
        <v>1719</v>
      </c>
      <c r="J245" t="s">
        <v>1720</v>
      </c>
      <c r="K245" t="s">
        <v>62</v>
      </c>
      <c r="L245" t="s">
        <v>63</v>
      </c>
      <c r="M245" t="s">
        <v>1721</v>
      </c>
      <c r="N245" t="s">
        <v>1722</v>
      </c>
      <c r="R245">
        <v>4</v>
      </c>
      <c r="S245">
        <v>0</v>
      </c>
      <c r="T245" t="b">
        <v>0</v>
      </c>
      <c r="U245">
        <v>3</v>
      </c>
      <c r="V245" t="s">
        <v>1723</v>
      </c>
      <c r="W245" s="15">
        <v>-28.96010506</v>
      </c>
      <c r="X245" s="15">
        <v>31.7565308</v>
      </c>
      <c r="Y245">
        <v>5</v>
      </c>
      <c r="AC245">
        <v>5</v>
      </c>
      <c r="AF245" t="b">
        <v>0</v>
      </c>
      <c r="AI245" t="s">
        <v>70</v>
      </c>
      <c r="AJ245" t="s">
        <v>70</v>
      </c>
      <c r="AK245" t="s">
        <v>71</v>
      </c>
      <c r="AL245" t="s">
        <v>72</v>
      </c>
      <c r="AM245">
        <v>346053</v>
      </c>
      <c r="AO245" s="16" t="s">
        <v>1356</v>
      </c>
      <c r="AP245" s="17" t="str">
        <f t="shared" si="12"/>
        <v>Nest (foundress)</v>
      </c>
      <c r="AQ245" s="18">
        <v>2</v>
      </c>
      <c r="AT245" s="19" t="s">
        <v>104</v>
      </c>
      <c r="AX245" s="22" t="str">
        <f>IF(AND('[1]observations-276632'!W245&gt;'[1]Methods write-up'!$Q$16,'[1]observations-276632'!W245&lt;'[1]Methods write-up'!$R$16,'[1]observations-276632'!X245&gt;'[1]Methods write-up'!$S$16,'[1]observations-276632'!X245&lt;'[1]Methods write-up'!$T$16),"West and Central Africa","")</f>
        <v/>
      </c>
      <c r="AY245" s="22" t="str">
        <f>IF(AND('[1]observations-276632'!W245&gt;'[1]Methods write-up'!$Q$17,'[1]observations-276632'!W245&lt;'[1]Methods write-up'!$R$17,'[1]observations-276632'!X245&gt;'[1]Methods write-up'!$S$17,'[1]observations-276632'!X245&lt;'[1]Methods write-up'!$T$17),"Equatorial tropical forest","")</f>
        <v/>
      </c>
      <c r="AZ245" s="22" t="str">
        <f>IF(AND('[1]observations-276632'!W245&gt;'[1]Methods write-up'!$Q$18,'[1]observations-276632'!W245&lt;'[1]Methods write-up'!$R$18,'[1]observations-276632'!X245&gt;'[1]Methods write-up'!$S$18,'[1]observations-276632'!X245&lt;'[1]Methods write-up'!$T$18),"Somali peninsula","")</f>
        <v/>
      </c>
      <c r="BA245" s="22" t="str">
        <f>IF(AND('[1]observations-276632'!W245&gt;'[1]Methods write-up'!$Q$19,'[1]observations-276632'!W245&lt;'[1]Methods write-up'!$R$19,'[1]observations-276632'!X245&gt;'[1]Methods write-up'!$S$19,'[1]observations-276632'!X245&lt;'[1]Methods write-up'!$T$19),"East Africa","")</f>
        <v/>
      </c>
      <c r="BB245" s="22" t="str">
        <f>IF(AND('[1]observations-276632'!W245&gt;'[1]Methods write-up'!$Q$20,'[1]observations-276632'!W245&lt;'[1]Methods write-up'!$R$20,'[1]observations-276632'!X245&gt;'[1]Methods write-up'!$S$20,'[1]observations-276632'!X245&lt;'[1]Methods write-up'!$T$20),"Temperate seasonal","")</f>
        <v>Temperate seasonal</v>
      </c>
      <c r="BC245" s="22" t="str">
        <f>IF(AND('[1]observations-276632'!W245&gt;'[1]Methods write-up'!$Q$21,'[1]observations-276632'!W245&lt;'[1]Methods write-up'!$R$21,'[1]observations-276632'!X245&gt;'[1]Methods write-up'!$S$21,'[1]observations-276632'!X245&lt;'[1]Methods write-up'!$T$21),"Desert and high aridity","")</f>
        <v/>
      </c>
      <c r="BD245" s="23" t="str">
        <f t="shared" si="15"/>
        <v>Temperate seasonal</v>
      </c>
      <c r="BE245" s="24">
        <f t="shared" si="13"/>
        <v>3</v>
      </c>
      <c r="BF245" s="24">
        <f t="shared" si="14"/>
        <v>1</v>
      </c>
    </row>
    <row r="246" spans="1:58" ht="16.25" customHeight="1" x14ac:dyDescent="0.2">
      <c r="A246">
        <v>19459289</v>
      </c>
      <c r="B246" t="s">
        <v>1724</v>
      </c>
      <c r="C246" s="14">
        <v>43467</v>
      </c>
      <c r="D246" t="s">
        <v>1725</v>
      </c>
      <c r="E246" t="s">
        <v>113</v>
      </c>
      <c r="F246">
        <v>662724</v>
      </c>
      <c r="G246" t="s">
        <v>903</v>
      </c>
      <c r="H246" t="s">
        <v>904</v>
      </c>
      <c r="I246" t="s">
        <v>1726</v>
      </c>
      <c r="J246" t="s">
        <v>1727</v>
      </c>
      <c r="K246" t="s">
        <v>62</v>
      </c>
      <c r="L246" t="s">
        <v>63</v>
      </c>
      <c r="M246" t="s">
        <v>1728</v>
      </c>
      <c r="N246" t="s">
        <v>1729</v>
      </c>
      <c r="Q246" s="26" t="s">
        <v>1730</v>
      </c>
      <c r="R246">
        <v>4</v>
      </c>
      <c r="S246">
        <v>0</v>
      </c>
      <c r="T246" t="b">
        <v>0</v>
      </c>
      <c r="V246" t="s">
        <v>1146</v>
      </c>
      <c r="W246" s="15">
        <v>-30.301155659999999</v>
      </c>
      <c r="X246" s="15">
        <v>30.74229072</v>
      </c>
      <c r="Y246">
        <v>4</v>
      </c>
      <c r="AC246">
        <v>4</v>
      </c>
      <c r="AF246" t="b">
        <v>0</v>
      </c>
      <c r="AI246" t="s">
        <v>71</v>
      </c>
      <c r="AJ246" t="s">
        <v>70</v>
      </c>
      <c r="AK246" t="s">
        <v>71</v>
      </c>
      <c r="AL246" t="s">
        <v>72</v>
      </c>
      <c r="AM246">
        <v>346053</v>
      </c>
      <c r="AO246" s="16" t="s">
        <v>140</v>
      </c>
      <c r="AP246" s="17" t="str">
        <f t="shared" si="12"/>
        <v>Post-emergence nest</v>
      </c>
      <c r="AQ246" s="18">
        <v>5</v>
      </c>
      <c r="AT246" s="19" t="s">
        <v>141</v>
      </c>
      <c r="AU246" s="20" t="s">
        <v>104</v>
      </c>
      <c r="AX246" s="22" t="str">
        <f>IF(AND('[1]observations-276632'!W246&gt;'[1]Methods write-up'!$Q$16,'[1]observations-276632'!W246&lt;'[1]Methods write-up'!$R$16,'[1]observations-276632'!X246&gt;'[1]Methods write-up'!$S$16,'[1]observations-276632'!X246&lt;'[1]Methods write-up'!$T$16),"West and Central Africa","")</f>
        <v/>
      </c>
      <c r="AY246" s="22" t="str">
        <f>IF(AND('[1]observations-276632'!W246&gt;'[1]Methods write-up'!$Q$17,'[1]observations-276632'!W246&lt;'[1]Methods write-up'!$R$17,'[1]observations-276632'!X246&gt;'[1]Methods write-up'!$S$17,'[1]observations-276632'!X246&lt;'[1]Methods write-up'!$T$17),"Equatorial tropical forest","")</f>
        <v/>
      </c>
      <c r="AZ246" s="22" t="str">
        <f>IF(AND('[1]observations-276632'!W246&gt;'[1]Methods write-up'!$Q$18,'[1]observations-276632'!W246&lt;'[1]Methods write-up'!$R$18,'[1]observations-276632'!X246&gt;'[1]Methods write-up'!$S$18,'[1]observations-276632'!X246&lt;'[1]Methods write-up'!$T$18),"Somali peninsula","")</f>
        <v/>
      </c>
      <c r="BA246" s="22" t="str">
        <f>IF(AND('[1]observations-276632'!W246&gt;'[1]Methods write-up'!$Q$19,'[1]observations-276632'!W246&lt;'[1]Methods write-up'!$R$19,'[1]observations-276632'!X246&gt;'[1]Methods write-up'!$S$19,'[1]observations-276632'!X246&lt;'[1]Methods write-up'!$T$19),"East Africa","")</f>
        <v/>
      </c>
      <c r="BB246" s="22" t="str">
        <f>IF(AND('[1]observations-276632'!W246&gt;'[1]Methods write-up'!$Q$20,'[1]observations-276632'!W246&lt;'[1]Methods write-up'!$R$20,'[1]observations-276632'!X246&gt;'[1]Methods write-up'!$S$20,'[1]observations-276632'!X246&lt;'[1]Methods write-up'!$T$20),"Temperate seasonal","")</f>
        <v>Temperate seasonal</v>
      </c>
      <c r="BC246" s="22" t="str">
        <f>IF(AND('[1]observations-276632'!W246&gt;'[1]Methods write-up'!$Q$21,'[1]observations-276632'!W246&lt;'[1]Methods write-up'!$R$21,'[1]observations-276632'!X246&gt;'[1]Methods write-up'!$S$21,'[1]observations-276632'!X246&lt;'[1]Methods write-up'!$T$21),"Desert and high aridity","")</f>
        <v/>
      </c>
      <c r="BD246" s="23" t="str">
        <f t="shared" si="15"/>
        <v>Temperate seasonal</v>
      </c>
      <c r="BE246" s="24">
        <f t="shared" si="13"/>
        <v>2</v>
      </c>
      <c r="BF246" s="24">
        <f t="shared" si="14"/>
        <v>1</v>
      </c>
    </row>
    <row r="247" spans="1:58" ht="16.25" customHeight="1" x14ac:dyDescent="0.2">
      <c r="A247">
        <v>19509731</v>
      </c>
      <c r="B247" s="13">
        <v>43244</v>
      </c>
      <c r="C247" s="14">
        <v>43244</v>
      </c>
      <c r="E247" t="s">
        <v>1408</v>
      </c>
      <c r="F247">
        <v>1417563</v>
      </c>
      <c r="G247" t="s">
        <v>1731</v>
      </c>
      <c r="H247" t="s">
        <v>1732</v>
      </c>
      <c r="I247" t="s">
        <v>1733</v>
      </c>
      <c r="J247" t="s">
        <v>1734</v>
      </c>
      <c r="K247" t="s">
        <v>62</v>
      </c>
      <c r="L247" t="s">
        <v>98</v>
      </c>
      <c r="M247" t="s">
        <v>1735</v>
      </c>
      <c r="N247" t="s">
        <v>1736</v>
      </c>
      <c r="R247">
        <v>3</v>
      </c>
      <c r="S247">
        <v>0</v>
      </c>
      <c r="T247" t="b">
        <v>0</v>
      </c>
      <c r="U247">
        <v>2</v>
      </c>
      <c r="V247" t="s">
        <v>1737</v>
      </c>
      <c r="W247" s="15">
        <v>0.43220873799999998</v>
      </c>
      <c r="X247" s="15">
        <v>30.296991500000001</v>
      </c>
      <c r="Y247">
        <v>132</v>
      </c>
      <c r="AC247">
        <v>132</v>
      </c>
      <c r="AF247" t="b">
        <v>0</v>
      </c>
      <c r="AG247" t="s">
        <v>350</v>
      </c>
      <c r="AH247" t="s">
        <v>350</v>
      </c>
      <c r="AI247" t="s">
        <v>70</v>
      </c>
      <c r="AJ247" t="s">
        <v>70</v>
      </c>
      <c r="AK247" t="s">
        <v>71</v>
      </c>
      <c r="AL247" t="s">
        <v>72</v>
      </c>
      <c r="AM247">
        <v>346053</v>
      </c>
      <c r="AO247" s="16" t="s">
        <v>1356</v>
      </c>
      <c r="AP247" s="17" t="str">
        <f t="shared" si="12"/>
        <v>Nest (foundress)</v>
      </c>
      <c r="AQ247" s="18">
        <v>2</v>
      </c>
      <c r="AT247" s="19" t="s">
        <v>104</v>
      </c>
      <c r="AX247" s="22" t="str">
        <f>IF(AND('[1]observations-276632'!W247&gt;'[1]Methods write-up'!$Q$16,'[1]observations-276632'!W247&lt;'[1]Methods write-up'!$R$16,'[1]observations-276632'!X247&gt;'[1]Methods write-up'!$S$16,'[1]observations-276632'!X247&lt;'[1]Methods write-up'!$T$16),"West and Central Africa","")</f>
        <v>West and Central Africa</v>
      </c>
      <c r="AY247" s="22" t="str">
        <f>IF(AND('[1]observations-276632'!W247&gt;'[1]Methods write-up'!$Q$17,'[1]observations-276632'!W247&lt;'[1]Methods write-up'!$R$17,'[1]observations-276632'!X247&gt;'[1]Methods write-up'!$S$17,'[1]observations-276632'!X247&lt;'[1]Methods write-up'!$T$17),"Equatorial tropical forest","")</f>
        <v/>
      </c>
      <c r="AZ247" s="22" t="str">
        <f>IF(AND('[1]observations-276632'!W247&gt;'[1]Methods write-up'!$Q$18,'[1]observations-276632'!W247&lt;'[1]Methods write-up'!$R$18,'[1]observations-276632'!X247&gt;'[1]Methods write-up'!$S$18,'[1]observations-276632'!X247&lt;'[1]Methods write-up'!$T$18),"Somali peninsula","")</f>
        <v/>
      </c>
      <c r="BA247" s="22" t="str">
        <f>IF(AND('[1]observations-276632'!W247&gt;'[1]Methods write-up'!$Q$19,'[1]observations-276632'!W247&lt;'[1]Methods write-up'!$R$19,'[1]observations-276632'!X247&gt;'[1]Methods write-up'!$S$19,'[1]observations-276632'!X247&lt;'[1]Methods write-up'!$T$19),"East Africa","")</f>
        <v/>
      </c>
      <c r="BB247" s="22" t="str">
        <f>IF(AND('[1]observations-276632'!W247&gt;'[1]Methods write-up'!$Q$20,'[1]observations-276632'!W247&lt;'[1]Methods write-up'!$R$20,'[1]observations-276632'!X247&gt;'[1]Methods write-up'!$S$20,'[1]observations-276632'!X247&lt;'[1]Methods write-up'!$T$20),"Temperate seasonal","")</f>
        <v/>
      </c>
      <c r="BC247" s="22" t="str">
        <f>IF(AND('[1]observations-276632'!W247&gt;'[1]Methods write-up'!$Q$21,'[1]observations-276632'!W247&lt;'[1]Methods write-up'!$R$21,'[1]observations-276632'!X247&gt;'[1]Methods write-up'!$S$21,'[1]observations-276632'!X247&lt;'[1]Methods write-up'!$T$21),"Desert and high aridity","")</f>
        <v/>
      </c>
      <c r="BD247" s="23" t="str">
        <f t="shared" si="15"/>
        <v>West and Central Africa</v>
      </c>
      <c r="BE247" s="24">
        <f t="shared" si="13"/>
        <v>24</v>
      </c>
      <c r="BF247" s="24">
        <f t="shared" si="14"/>
        <v>5</v>
      </c>
    </row>
    <row r="248" spans="1:58" ht="16.25" customHeight="1" x14ac:dyDescent="0.2">
      <c r="A248">
        <v>19529267</v>
      </c>
      <c r="B248" t="s">
        <v>1738</v>
      </c>
      <c r="C248" s="14">
        <v>43467</v>
      </c>
      <c r="E248" t="s">
        <v>1408</v>
      </c>
      <c r="F248">
        <v>1420308</v>
      </c>
      <c r="G248" t="s">
        <v>1739</v>
      </c>
      <c r="H248" t="s">
        <v>1740</v>
      </c>
      <c r="I248" t="s">
        <v>1741</v>
      </c>
      <c r="J248" t="s">
        <v>1742</v>
      </c>
      <c r="K248" t="s">
        <v>62</v>
      </c>
      <c r="L248" t="s">
        <v>63</v>
      </c>
      <c r="M248" t="s">
        <v>1743</v>
      </c>
      <c r="N248" t="s">
        <v>1744</v>
      </c>
      <c r="P248" t="s">
        <v>1745</v>
      </c>
      <c r="R248">
        <v>6</v>
      </c>
      <c r="S248">
        <v>0</v>
      </c>
      <c r="T248" t="b">
        <v>0</v>
      </c>
      <c r="V248" t="s">
        <v>1746</v>
      </c>
      <c r="W248" s="15">
        <v>17.1116876</v>
      </c>
      <c r="X248" s="15">
        <v>54.7109059</v>
      </c>
      <c r="Y248">
        <v>199</v>
      </c>
      <c r="AC248">
        <v>199</v>
      </c>
      <c r="AF248" t="b">
        <v>0</v>
      </c>
      <c r="AI248" t="s">
        <v>70</v>
      </c>
      <c r="AJ248" t="s">
        <v>70</v>
      </c>
      <c r="AK248" t="s">
        <v>71</v>
      </c>
      <c r="AL248" t="s">
        <v>72</v>
      </c>
      <c r="AM248">
        <v>346053</v>
      </c>
      <c r="AO248" s="16" t="s">
        <v>73</v>
      </c>
      <c r="AP248" s="17" t="str">
        <f t="shared" si="12"/>
        <v>Off-nest female</v>
      </c>
      <c r="AX248" s="22" t="str">
        <f>IF(AND('[1]observations-276632'!W248&gt;'[1]Methods write-up'!$Q$16,'[1]observations-276632'!W248&lt;'[1]Methods write-up'!$R$16,'[1]observations-276632'!X248&gt;'[1]Methods write-up'!$S$16,'[1]observations-276632'!X248&lt;'[1]Methods write-up'!$T$16),"West and Central Africa","")</f>
        <v/>
      </c>
      <c r="AY248" s="22" t="str">
        <f>IF(AND('[1]observations-276632'!W248&gt;'[1]Methods write-up'!$Q$17,'[1]observations-276632'!W248&lt;'[1]Methods write-up'!$R$17,'[1]observations-276632'!X248&gt;'[1]Methods write-up'!$S$17,'[1]observations-276632'!X248&lt;'[1]Methods write-up'!$T$17),"Equatorial tropical forest","")</f>
        <v/>
      </c>
      <c r="AZ248" s="22" t="str">
        <f>IF(AND('[1]observations-276632'!W248&gt;'[1]Methods write-up'!$Q$18,'[1]observations-276632'!W248&lt;'[1]Methods write-up'!$R$18,'[1]observations-276632'!X248&gt;'[1]Methods write-up'!$S$18,'[1]observations-276632'!X248&lt;'[1]Methods write-up'!$T$18),"Somali peninsula","")</f>
        <v/>
      </c>
      <c r="BA248" s="22" t="str">
        <f>IF(AND('[1]observations-276632'!W248&gt;'[1]Methods write-up'!$Q$19,'[1]observations-276632'!W248&lt;'[1]Methods write-up'!$R$19,'[1]observations-276632'!X248&gt;'[1]Methods write-up'!$S$19,'[1]observations-276632'!X248&lt;'[1]Methods write-up'!$T$19),"East Africa","")</f>
        <v/>
      </c>
      <c r="BB248" s="22" t="str">
        <f>IF(AND('[1]observations-276632'!W248&gt;'[1]Methods write-up'!$Q$20,'[1]observations-276632'!W248&lt;'[1]Methods write-up'!$R$20,'[1]observations-276632'!X248&gt;'[1]Methods write-up'!$S$20,'[1]observations-276632'!X248&lt;'[1]Methods write-up'!$T$20),"Temperate seasonal","")</f>
        <v/>
      </c>
      <c r="BC248" s="22" t="str">
        <f>IF(AND('[1]observations-276632'!W248&gt;'[1]Methods write-up'!$Q$21,'[1]observations-276632'!W248&lt;'[1]Methods write-up'!$R$21,'[1]observations-276632'!X248&gt;'[1]Methods write-up'!$S$21,'[1]observations-276632'!X248&lt;'[1]Methods write-up'!$T$21),"Desert and high aridity","")</f>
        <v/>
      </c>
      <c r="BD248" s="23" t="str">
        <f t="shared" si="15"/>
        <v/>
      </c>
      <c r="BE248" s="24">
        <f t="shared" si="13"/>
        <v>2</v>
      </c>
      <c r="BF248" s="24">
        <f t="shared" si="14"/>
        <v>1</v>
      </c>
    </row>
    <row r="249" spans="1:58" ht="16.25" customHeight="1" x14ac:dyDescent="0.2">
      <c r="A249">
        <v>19589534</v>
      </c>
      <c r="B249" t="s">
        <v>1747</v>
      </c>
      <c r="C249" s="14">
        <v>43436</v>
      </c>
      <c r="D249" t="s">
        <v>1748</v>
      </c>
      <c r="E249" t="s">
        <v>256</v>
      </c>
      <c r="F249">
        <v>842243</v>
      </c>
      <c r="G249" t="s">
        <v>1749</v>
      </c>
      <c r="H249" t="s">
        <v>1750</v>
      </c>
      <c r="I249" t="s">
        <v>1751</v>
      </c>
      <c r="J249" t="s">
        <v>1752</v>
      </c>
      <c r="K249" t="s">
        <v>157</v>
      </c>
      <c r="L249" t="s">
        <v>63</v>
      </c>
      <c r="M249" t="s">
        <v>1753</v>
      </c>
      <c r="N249" t="s">
        <v>1754</v>
      </c>
      <c r="R249">
        <v>3</v>
      </c>
      <c r="S249">
        <v>0</v>
      </c>
      <c r="T249" t="b">
        <v>0</v>
      </c>
      <c r="V249" t="s">
        <v>1755</v>
      </c>
      <c r="W249" s="15">
        <v>-23.421931669999999</v>
      </c>
      <c r="X249" s="15">
        <v>17.897191670000002</v>
      </c>
      <c r="AF249" t="b">
        <v>0</v>
      </c>
      <c r="AI249" t="s">
        <v>756</v>
      </c>
      <c r="AJ249" t="s">
        <v>756</v>
      </c>
      <c r="AL249" t="s">
        <v>72</v>
      </c>
      <c r="AM249">
        <v>652800</v>
      </c>
      <c r="AO249" s="16" t="s">
        <v>140</v>
      </c>
      <c r="AP249" s="17" t="str">
        <f t="shared" si="12"/>
        <v>Post-emergence nest</v>
      </c>
      <c r="AQ249" s="18">
        <v>9</v>
      </c>
      <c r="AT249" s="19" t="s">
        <v>141</v>
      </c>
      <c r="AU249" s="20" t="s">
        <v>104</v>
      </c>
      <c r="AX249" s="22" t="str">
        <f>IF(AND('[1]observations-276632'!W249&gt;'[1]Methods write-up'!$Q$16,'[1]observations-276632'!W249&lt;'[1]Methods write-up'!$R$16,'[1]observations-276632'!X249&gt;'[1]Methods write-up'!$S$16,'[1]observations-276632'!X249&lt;'[1]Methods write-up'!$T$16),"West and Central Africa","")</f>
        <v/>
      </c>
      <c r="AY249" s="22" t="str">
        <f>IF(AND('[1]observations-276632'!W249&gt;'[1]Methods write-up'!$Q$17,'[1]observations-276632'!W249&lt;'[1]Methods write-up'!$R$17,'[1]observations-276632'!X249&gt;'[1]Methods write-up'!$S$17,'[1]observations-276632'!X249&lt;'[1]Methods write-up'!$T$17),"Equatorial tropical forest","")</f>
        <v/>
      </c>
      <c r="AZ249" s="22" t="str">
        <f>IF(AND('[1]observations-276632'!W249&gt;'[1]Methods write-up'!$Q$18,'[1]observations-276632'!W249&lt;'[1]Methods write-up'!$R$18,'[1]observations-276632'!X249&gt;'[1]Methods write-up'!$S$18,'[1]observations-276632'!X249&lt;'[1]Methods write-up'!$T$18),"Somali peninsula","")</f>
        <v/>
      </c>
      <c r="BA249" s="22" t="str">
        <f>IF(AND('[1]observations-276632'!W249&gt;'[1]Methods write-up'!$Q$19,'[1]observations-276632'!W249&lt;'[1]Methods write-up'!$R$19,'[1]observations-276632'!X249&gt;'[1]Methods write-up'!$S$19,'[1]observations-276632'!X249&lt;'[1]Methods write-up'!$T$19),"East Africa","")</f>
        <v/>
      </c>
      <c r="BB249" s="22" t="str">
        <f>IF(AND('[1]observations-276632'!W249&gt;'[1]Methods write-up'!$Q$20,'[1]observations-276632'!W249&lt;'[1]Methods write-up'!$R$20,'[1]observations-276632'!X249&gt;'[1]Methods write-up'!$S$20,'[1]observations-276632'!X249&lt;'[1]Methods write-up'!$T$20),"Temperate seasonal","")</f>
        <v/>
      </c>
      <c r="BC249" s="22" t="str">
        <f>IF(AND('[1]observations-276632'!W249&gt;'[1]Methods write-up'!$Q$21,'[1]observations-276632'!W249&lt;'[1]Methods write-up'!$R$21,'[1]observations-276632'!X249&gt;'[1]Methods write-up'!$S$21,'[1]observations-276632'!X249&lt;'[1]Methods write-up'!$T$21),"Desert and high aridity","")</f>
        <v>Desert and high aridity</v>
      </c>
      <c r="BD249" s="23" t="str">
        <f t="shared" si="15"/>
        <v>Desert and high aridity</v>
      </c>
      <c r="BE249" s="24">
        <f t="shared" si="13"/>
        <v>2</v>
      </c>
      <c r="BF249" s="24">
        <f t="shared" si="14"/>
        <v>12</v>
      </c>
    </row>
    <row r="250" spans="1:58" ht="16.25" customHeight="1" x14ac:dyDescent="0.2">
      <c r="A250">
        <v>19758950</v>
      </c>
      <c r="B250" t="s">
        <v>1756</v>
      </c>
      <c r="C250" s="14">
        <v>43423</v>
      </c>
      <c r="D250" t="s">
        <v>1757</v>
      </c>
      <c r="E250" t="s">
        <v>122</v>
      </c>
      <c r="F250">
        <v>481500</v>
      </c>
      <c r="G250" t="s">
        <v>1758</v>
      </c>
      <c r="H250" t="s">
        <v>1759</v>
      </c>
      <c r="I250" t="s">
        <v>1760</v>
      </c>
      <c r="J250" t="s">
        <v>1761</v>
      </c>
      <c r="K250" t="s">
        <v>62</v>
      </c>
      <c r="M250" t="s">
        <v>1762</v>
      </c>
      <c r="N250" t="s">
        <v>1763</v>
      </c>
      <c r="P250" t="s">
        <v>1764</v>
      </c>
      <c r="R250">
        <v>3</v>
      </c>
      <c r="S250">
        <v>0</v>
      </c>
      <c r="T250" t="b">
        <v>0</v>
      </c>
      <c r="V250" t="s">
        <v>68</v>
      </c>
      <c r="W250" s="15">
        <v>6.6292223720000001</v>
      </c>
      <c r="X250" s="15">
        <v>3.3609160130000002</v>
      </c>
      <c r="Y250">
        <v>15</v>
      </c>
      <c r="AC250">
        <v>15</v>
      </c>
      <c r="AF250" t="b">
        <v>0</v>
      </c>
      <c r="AI250" t="s">
        <v>70</v>
      </c>
      <c r="AJ250" t="s">
        <v>70</v>
      </c>
      <c r="AK250" t="s">
        <v>71</v>
      </c>
      <c r="AL250" t="s">
        <v>72</v>
      </c>
      <c r="AM250">
        <v>346053</v>
      </c>
      <c r="AO250" s="16" t="s">
        <v>150</v>
      </c>
      <c r="AP250" s="17" t="str">
        <f t="shared" si="12"/>
        <v>Male (off nest)</v>
      </c>
      <c r="AX250" s="22" t="str">
        <f>IF(AND('[1]observations-276632'!W250&gt;'[1]Methods write-up'!$Q$16,'[1]observations-276632'!W250&lt;'[1]Methods write-up'!$R$16,'[1]observations-276632'!X250&gt;'[1]Methods write-up'!$S$16,'[1]observations-276632'!X250&lt;'[1]Methods write-up'!$T$16),"West and Central Africa","")</f>
        <v>West and Central Africa</v>
      </c>
      <c r="AY250" s="22" t="str">
        <f>IF(AND('[1]observations-276632'!W250&gt;'[1]Methods write-up'!$Q$17,'[1]observations-276632'!W250&lt;'[1]Methods write-up'!$R$17,'[1]observations-276632'!X250&gt;'[1]Methods write-up'!$S$17,'[1]observations-276632'!X250&lt;'[1]Methods write-up'!$T$17),"Equatorial tropical forest","")</f>
        <v/>
      </c>
      <c r="AZ250" s="22" t="str">
        <f>IF(AND('[1]observations-276632'!W250&gt;'[1]Methods write-up'!$Q$18,'[1]observations-276632'!W250&lt;'[1]Methods write-up'!$R$18,'[1]observations-276632'!X250&gt;'[1]Methods write-up'!$S$18,'[1]observations-276632'!X250&lt;'[1]Methods write-up'!$T$18),"Somali peninsula","")</f>
        <v/>
      </c>
      <c r="BA250" s="22" t="str">
        <f>IF(AND('[1]observations-276632'!W250&gt;'[1]Methods write-up'!$Q$19,'[1]observations-276632'!W250&lt;'[1]Methods write-up'!$R$19,'[1]observations-276632'!X250&gt;'[1]Methods write-up'!$S$19,'[1]observations-276632'!X250&lt;'[1]Methods write-up'!$T$19),"East Africa","")</f>
        <v/>
      </c>
      <c r="BB250" s="22" t="str">
        <f>IF(AND('[1]observations-276632'!W250&gt;'[1]Methods write-up'!$Q$20,'[1]observations-276632'!W250&lt;'[1]Methods write-up'!$R$20,'[1]observations-276632'!X250&gt;'[1]Methods write-up'!$S$20,'[1]observations-276632'!X250&lt;'[1]Methods write-up'!$T$20),"Temperate seasonal","")</f>
        <v/>
      </c>
      <c r="BC250" s="22" t="str">
        <f>IF(AND('[1]observations-276632'!W250&gt;'[1]Methods write-up'!$Q$21,'[1]observations-276632'!W250&lt;'[1]Methods write-up'!$R$21,'[1]observations-276632'!X250&gt;'[1]Methods write-up'!$S$21,'[1]observations-276632'!X250&lt;'[1]Methods write-up'!$T$21),"Desert and high aridity","")</f>
        <v/>
      </c>
      <c r="BD250" s="23" t="str">
        <f t="shared" si="15"/>
        <v>West and Central Africa</v>
      </c>
      <c r="BE250" s="24">
        <f t="shared" si="13"/>
        <v>19</v>
      </c>
      <c r="BF250" s="24">
        <f t="shared" si="14"/>
        <v>11</v>
      </c>
    </row>
    <row r="251" spans="1:58" ht="16.25" customHeight="1" x14ac:dyDescent="0.2">
      <c r="A251">
        <v>19821468</v>
      </c>
      <c r="B251" t="s">
        <v>1765</v>
      </c>
      <c r="C251" s="14">
        <v>43488</v>
      </c>
      <c r="D251" t="s">
        <v>1766</v>
      </c>
      <c r="E251" t="s">
        <v>1408</v>
      </c>
      <c r="F251">
        <v>1438544</v>
      </c>
      <c r="G251" t="s">
        <v>1767</v>
      </c>
      <c r="I251" t="s">
        <v>1768</v>
      </c>
      <c r="J251" t="s">
        <v>1769</v>
      </c>
      <c r="K251" t="s">
        <v>157</v>
      </c>
      <c r="L251" t="s">
        <v>63</v>
      </c>
      <c r="M251" t="s">
        <v>1770</v>
      </c>
      <c r="N251" t="s">
        <v>1771</v>
      </c>
      <c r="R251">
        <v>4</v>
      </c>
      <c r="S251">
        <v>0</v>
      </c>
      <c r="T251" t="b">
        <v>0</v>
      </c>
      <c r="U251">
        <v>3</v>
      </c>
      <c r="V251" t="s">
        <v>1772</v>
      </c>
      <c r="W251" s="15">
        <v>1.6780603220000001</v>
      </c>
      <c r="X251" s="15">
        <v>7.3830747130000001</v>
      </c>
      <c r="Y251">
        <v>48</v>
      </c>
      <c r="AC251">
        <v>48</v>
      </c>
      <c r="AF251" t="b">
        <v>0</v>
      </c>
      <c r="AI251" t="s">
        <v>70</v>
      </c>
      <c r="AJ251" t="s">
        <v>70</v>
      </c>
      <c r="AK251" t="s">
        <v>71</v>
      </c>
      <c r="AL251" t="s">
        <v>72</v>
      </c>
      <c r="AM251">
        <v>346053</v>
      </c>
      <c r="AO251" s="16" t="s">
        <v>1574</v>
      </c>
      <c r="AP251" s="17" t="str">
        <f t="shared" si="12"/>
        <v>Nest (foundress)</v>
      </c>
      <c r="AQ251" s="18">
        <v>1</v>
      </c>
      <c r="AX251" s="22" t="str">
        <f>IF(AND('[1]observations-276632'!W251&gt;'[1]Methods write-up'!$Q$16,'[1]observations-276632'!W251&lt;'[1]Methods write-up'!$R$16,'[1]observations-276632'!X251&gt;'[1]Methods write-up'!$S$16,'[1]observations-276632'!X251&lt;'[1]Methods write-up'!$T$16),"West and Central Africa","")</f>
        <v>West and Central Africa</v>
      </c>
      <c r="AY251" s="22" t="str">
        <f>IF(AND('[1]observations-276632'!W251&gt;'[1]Methods write-up'!$Q$17,'[1]observations-276632'!W251&lt;'[1]Methods write-up'!$R$17,'[1]observations-276632'!X251&gt;'[1]Methods write-up'!$S$17,'[1]observations-276632'!X251&lt;'[1]Methods write-up'!$T$17),"Equatorial tropical forest","")</f>
        <v/>
      </c>
      <c r="AZ251" s="22" t="str">
        <f>IF(AND('[1]observations-276632'!W251&gt;'[1]Methods write-up'!$Q$18,'[1]observations-276632'!W251&lt;'[1]Methods write-up'!$R$18,'[1]observations-276632'!X251&gt;'[1]Methods write-up'!$S$18,'[1]observations-276632'!X251&lt;'[1]Methods write-up'!$T$18),"Somali peninsula","")</f>
        <v/>
      </c>
      <c r="BA251" s="22" t="str">
        <f>IF(AND('[1]observations-276632'!W251&gt;'[1]Methods write-up'!$Q$19,'[1]observations-276632'!W251&lt;'[1]Methods write-up'!$R$19,'[1]observations-276632'!X251&gt;'[1]Methods write-up'!$S$19,'[1]observations-276632'!X251&lt;'[1]Methods write-up'!$T$19),"East Africa","")</f>
        <v/>
      </c>
      <c r="BB251" s="22" t="str">
        <f>IF(AND('[1]observations-276632'!W251&gt;'[1]Methods write-up'!$Q$20,'[1]observations-276632'!W251&lt;'[1]Methods write-up'!$R$20,'[1]observations-276632'!X251&gt;'[1]Methods write-up'!$S$20,'[1]observations-276632'!X251&lt;'[1]Methods write-up'!$T$20),"Temperate seasonal","")</f>
        <v/>
      </c>
      <c r="BC251" s="22" t="str">
        <f>IF(AND('[1]observations-276632'!W251&gt;'[1]Methods write-up'!$Q$21,'[1]observations-276632'!W251&lt;'[1]Methods write-up'!$R$21,'[1]observations-276632'!X251&gt;'[1]Methods write-up'!$S$21,'[1]observations-276632'!X251&lt;'[1]Methods write-up'!$T$21),"Desert and high aridity","")</f>
        <v/>
      </c>
      <c r="BD251" s="23" t="str">
        <f t="shared" si="15"/>
        <v>West and Central Africa</v>
      </c>
      <c r="BE251" s="24">
        <f t="shared" si="13"/>
        <v>23</v>
      </c>
      <c r="BF251" s="24">
        <f t="shared" si="14"/>
        <v>1</v>
      </c>
    </row>
    <row r="252" spans="1:58" ht="16.25" customHeight="1" x14ac:dyDescent="0.2">
      <c r="A252">
        <v>19839325</v>
      </c>
      <c r="B252" t="s">
        <v>1773</v>
      </c>
      <c r="C252" s="14">
        <v>43243</v>
      </c>
      <c r="D252" t="s">
        <v>1774</v>
      </c>
      <c r="E252" t="s">
        <v>57</v>
      </c>
      <c r="F252">
        <v>100845</v>
      </c>
      <c r="G252" t="s">
        <v>1775</v>
      </c>
      <c r="H252" t="s">
        <v>1776</v>
      </c>
      <c r="I252" t="s">
        <v>1777</v>
      </c>
      <c r="J252" t="s">
        <v>1778</v>
      </c>
      <c r="K252" t="s">
        <v>62</v>
      </c>
      <c r="L252" t="s">
        <v>63</v>
      </c>
      <c r="M252" t="s">
        <v>1779</v>
      </c>
      <c r="N252" t="s">
        <v>1780</v>
      </c>
      <c r="Q252" t="s">
        <v>1781</v>
      </c>
      <c r="R252">
        <v>5</v>
      </c>
      <c r="S252">
        <v>0</v>
      </c>
      <c r="T252" t="b">
        <v>0</v>
      </c>
      <c r="V252" t="s">
        <v>1782</v>
      </c>
      <c r="W252" s="15">
        <v>-25.631973519999999</v>
      </c>
      <c r="X252" s="15">
        <v>28.359069099999999</v>
      </c>
      <c r="Y252">
        <v>122</v>
      </c>
      <c r="AC252">
        <v>122</v>
      </c>
      <c r="AF252" t="b">
        <v>0</v>
      </c>
      <c r="AI252" t="s">
        <v>288</v>
      </c>
      <c r="AJ252" t="s">
        <v>70</v>
      </c>
      <c r="AK252" t="s">
        <v>71</v>
      </c>
      <c r="AL252" t="s">
        <v>72</v>
      </c>
      <c r="AM252">
        <v>346053</v>
      </c>
      <c r="AO252" s="16" t="s">
        <v>140</v>
      </c>
      <c r="AP252" s="17" t="str">
        <f t="shared" si="12"/>
        <v>Post-emergence nest</v>
      </c>
      <c r="AQ252" s="18">
        <v>32</v>
      </c>
      <c r="AT252" s="19" t="s">
        <v>141</v>
      </c>
      <c r="AU252" s="20" t="s">
        <v>104</v>
      </c>
      <c r="AX252" s="22" t="str">
        <f>IF(AND('[1]observations-276632'!W252&gt;'[1]Methods write-up'!$Q$16,'[1]observations-276632'!W252&lt;'[1]Methods write-up'!$R$16,'[1]observations-276632'!X252&gt;'[1]Methods write-up'!$S$16,'[1]observations-276632'!X252&lt;'[1]Methods write-up'!$T$16),"West and Central Africa","")</f>
        <v/>
      </c>
      <c r="AY252" s="22" t="str">
        <f>IF(AND('[1]observations-276632'!W252&gt;'[1]Methods write-up'!$Q$17,'[1]observations-276632'!W252&lt;'[1]Methods write-up'!$R$17,'[1]observations-276632'!X252&gt;'[1]Methods write-up'!$S$17,'[1]observations-276632'!X252&lt;'[1]Methods write-up'!$T$17),"Equatorial tropical forest","")</f>
        <v/>
      </c>
      <c r="AZ252" s="22" t="str">
        <f>IF(AND('[1]observations-276632'!W252&gt;'[1]Methods write-up'!$Q$18,'[1]observations-276632'!W252&lt;'[1]Methods write-up'!$R$18,'[1]observations-276632'!X252&gt;'[1]Methods write-up'!$S$18,'[1]observations-276632'!X252&lt;'[1]Methods write-up'!$T$18),"Somali peninsula","")</f>
        <v/>
      </c>
      <c r="BA252" s="22" t="str">
        <f>IF(AND('[1]observations-276632'!W252&gt;'[1]Methods write-up'!$Q$19,'[1]observations-276632'!W252&lt;'[1]Methods write-up'!$R$19,'[1]observations-276632'!X252&gt;'[1]Methods write-up'!$S$19,'[1]observations-276632'!X252&lt;'[1]Methods write-up'!$T$19),"East Africa","")</f>
        <v/>
      </c>
      <c r="BB252" s="22" t="str">
        <f>IF(AND('[1]observations-276632'!W252&gt;'[1]Methods write-up'!$Q$20,'[1]observations-276632'!W252&lt;'[1]Methods write-up'!$R$20,'[1]observations-276632'!X252&gt;'[1]Methods write-up'!$S$20,'[1]observations-276632'!X252&lt;'[1]Methods write-up'!$T$20),"Temperate seasonal","")</f>
        <v>Temperate seasonal</v>
      </c>
      <c r="BC252" s="22" t="str">
        <f>IF(AND('[1]observations-276632'!W252&gt;'[1]Methods write-up'!$Q$21,'[1]observations-276632'!W252&lt;'[1]Methods write-up'!$R$21,'[1]observations-276632'!X252&gt;'[1]Methods write-up'!$S$21,'[1]observations-276632'!X252&lt;'[1]Methods write-up'!$T$21),"Desert and high aridity","")</f>
        <v/>
      </c>
      <c r="BD252" s="23" t="str">
        <f t="shared" si="15"/>
        <v>Temperate seasonal</v>
      </c>
      <c r="BE252" s="24">
        <f t="shared" si="13"/>
        <v>23</v>
      </c>
      <c r="BF252" s="24">
        <f t="shared" si="14"/>
        <v>5</v>
      </c>
    </row>
    <row r="253" spans="1:58" ht="16.25" customHeight="1" x14ac:dyDescent="0.2">
      <c r="A253">
        <v>19839620</v>
      </c>
      <c r="B253" t="s">
        <v>1783</v>
      </c>
      <c r="C253" s="14">
        <v>43462</v>
      </c>
      <c r="D253" t="s">
        <v>1784</v>
      </c>
      <c r="E253" t="s">
        <v>243</v>
      </c>
      <c r="F253">
        <v>1185876</v>
      </c>
      <c r="G253" t="s">
        <v>1785</v>
      </c>
      <c r="I253" t="s">
        <v>1786</v>
      </c>
      <c r="J253" t="s">
        <v>1787</v>
      </c>
      <c r="K253" t="s">
        <v>62</v>
      </c>
      <c r="L253" t="s">
        <v>63</v>
      </c>
      <c r="M253" t="s">
        <v>1788</v>
      </c>
      <c r="N253" t="s">
        <v>1789</v>
      </c>
      <c r="R253">
        <v>3</v>
      </c>
      <c r="S253">
        <v>0</v>
      </c>
      <c r="T253" t="b">
        <v>0</v>
      </c>
      <c r="V253" t="s">
        <v>1790</v>
      </c>
      <c r="W253" s="15">
        <v>5.3859239890000001</v>
      </c>
      <c r="X253" s="15">
        <v>-4.0520518330000002</v>
      </c>
      <c r="AF253" t="b">
        <v>0</v>
      </c>
      <c r="AI253" t="s">
        <v>71</v>
      </c>
      <c r="AJ253" t="s">
        <v>70</v>
      </c>
      <c r="AK253" t="s">
        <v>71</v>
      </c>
      <c r="AL253" t="s">
        <v>72</v>
      </c>
      <c r="AM253">
        <v>346053</v>
      </c>
      <c r="AO253" s="16" t="s">
        <v>150</v>
      </c>
      <c r="AP253" s="17" t="str">
        <f t="shared" si="12"/>
        <v>Male (off nest)</v>
      </c>
      <c r="AX253" s="22" t="str">
        <f>IF(AND('[1]observations-276632'!W253&gt;'[1]Methods write-up'!$Q$16,'[1]observations-276632'!W253&lt;'[1]Methods write-up'!$R$16,'[1]observations-276632'!X253&gt;'[1]Methods write-up'!$S$16,'[1]observations-276632'!X253&lt;'[1]Methods write-up'!$T$16),"West and Central Africa","")</f>
        <v>West and Central Africa</v>
      </c>
      <c r="AY253" s="22" t="str">
        <f>IF(AND('[1]observations-276632'!W253&gt;'[1]Methods write-up'!$Q$17,'[1]observations-276632'!W253&lt;'[1]Methods write-up'!$R$17,'[1]observations-276632'!X253&gt;'[1]Methods write-up'!$S$17,'[1]observations-276632'!X253&lt;'[1]Methods write-up'!$T$17),"Equatorial tropical forest","")</f>
        <v/>
      </c>
      <c r="AZ253" s="22" t="str">
        <f>IF(AND('[1]observations-276632'!W253&gt;'[1]Methods write-up'!$Q$18,'[1]observations-276632'!W253&lt;'[1]Methods write-up'!$R$18,'[1]observations-276632'!X253&gt;'[1]Methods write-up'!$S$18,'[1]observations-276632'!X253&lt;'[1]Methods write-up'!$T$18),"Somali peninsula","")</f>
        <v/>
      </c>
      <c r="BA253" s="22" t="str">
        <f>IF(AND('[1]observations-276632'!W253&gt;'[1]Methods write-up'!$Q$19,'[1]observations-276632'!W253&lt;'[1]Methods write-up'!$R$19,'[1]observations-276632'!X253&gt;'[1]Methods write-up'!$S$19,'[1]observations-276632'!X253&lt;'[1]Methods write-up'!$T$19),"East Africa","")</f>
        <v/>
      </c>
      <c r="BB253" s="22" t="str">
        <f>IF(AND('[1]observations-276632'!W253&gt;'[1]Methods write-up'!$Q$20,'[1]observations-276632'!W253&lt;'[1]Methods write-up'!$R$20,'[1]observations-276632'!X253&gt;'[1]Methods write-up'!$S$20,'[1]observations-276632'!X253&lt;'[1]Methods write-up'!$T$20),"Temperate seasonal","")</f>
        <v/>
      </c>
      <c r="BC253" s="22" t="str">
        <f>IF(AND('[1]observations-276632'!W253&gt;'[1]Methods write-up'!$Q$21,'[1]observations-276632'!W253&lt;'[1]Methods write-up'!$R$21,'[1]observations-276632'!X253&gt;'[1]Methods write-up'!$S$21,'[1]observations-276632'!X253&lt;'[1]Methods write-up'!$T$21),"Desert and high aridity","")</f>
        <v/>
      </c>
      <c r="BD253" s="23" t="str">
        <f t="shared" si="15"/>
        <v>West and Central Africa</v>
      </c>
      <c r="BE253" s="24">
        <f t="shared" si="13"/>
        <v>28</v>
      </c>
      <c r="BF253" s="24">
        <f t="shared" si="14"/>
        <v>12</v>
      </c>
    </row>
    <row r="254" spans="1:58" ht="16.25" customHeight="1" x14ac:dyDescent="0.2">
      <c r="A254">
        <v>19928331</v>
      </c>
      <c r="B254" t="s">
        <v>1791</v>
      </c>
      <c r="C254" s="14">
        <v>43493</v>
      </c>
      <c r="D254" t="s">
        <v>1792</v>
      </c>
      <c r="E254" t="s">
        <v>403</v>
      </c>
      <c r="F254">
        <v>10586</v>
      </c>
      <c r="G254" t="s">
        <v>1793</v>
      </c>
      <c r="H254" t="s">
        <v>1794</v>
      </c>
      <c r="I254" t="s">
        <v>1795</v>
      </c>
      <c r="J254" t="s">
        <v>1796</v>
      </c>
      <c r="K254" t="s">
        <v>157</v>
      </c>
      <c r="L254" t="s">
        <v>98</v>
      </c>
      <c r="M254" t="s">
        <v>1797</v>
      </c>
      <c r="N254" t="s">
        <v>1798</v>
      </c>
      <c r="Q254" t="s">
        <v>1799</v>
      </c>
      <c r="R254">
        <v>2</v>
      </c>
      <c r="S254">
        <v>0</v>
      </c>
      <c r="T254" t="b">
        <v>0</v>
      </c>
      <c r="U254">
        <v>3</v>
      </c>
      <c r="V254" t="s">
        <v>1800</v>
      </c>
      <c r="W254" s="15">
        <v>-0.76909323600000001</v>
      </c>
      <c r="X254" s="15">
        <v>36.423931209999999</v>
      </c>
      <c r="Y254">
        <v>65</v>
      </c>
      <c r="AC254">
        <v>65</v>
      </c>
      <c r="AF254" t="b">
        <v>0</v>
      </c>
      <c r="AI254" t="s">
        <v>70</v>
      </c>
      <c r="AJ254" t="s">
        <v>70</v>
      </c>
      <c r="AK254" t="s">
        <v>71</v>
      </c>
      <c r="AL254" t="s">
        <v>72</v>
      </c>
      <c r="AM254">
        <v>346053</v>
      </c>
      <c r="AO254" s="16" t="s">
        <v>73</v>
      </c>
      <c r="AP254" s="17" t="str">
        <f t="shared" si="12"/>
        <v>Off-nest female</v>
      </c>
      <c r="AX254" s="22" t="str">
        <f>IF(AND('[1]observations-276632'!W254&gt;'[1]Methods write-up'!$Q$16,'[1]observations-276632'!W254&lt;'[1]Methods write-up'!$R$16,'[1]observations-276632'!X254&gt;'[1]Methods write-up'!$S$16,'[1]observations-276632'!X254&lt;'[1]Methods write-up'!$T$16),"West and Central Africa","")</f>
        <v/>
      </c>
      <c r="AY254" s="22" t="str">
        <f>IF(AND('[1]observations-276632'!W254&gt;'[1]Methods write-up'!$Q$17,'[1]observations-276632'!W254&lt;'[1]Methods write-up'!$R$17,'[1]observations-276632'!X254&gt;'[1]Methods write-up'!$S$17,'[1]observations-276632'!X254&lt;'[1]Methods write-up'!$T$17),"Equatorial tropical forest","")</f>
        <v/>
      </c>
      <c r="AZ254" s="22" t="str">
        <f>IF(AND('[1]observations-276632'!W254&gt;'[1]Methods write-up'!$Q$18,'[1]observations-276632'!W254&lt;'[1]Methods write-up'!$R$18,'[1]observations-276632'!X254&gt;'[1]Methods write-up'!$S$18,'[1]observations-276632'!X254&lt;'[1]Methods write-up'!$T$18),"Somali peninsula","")</f>
        <v/>
      </c>
      <c r="BA254" s="22" t="str">
        <f>IF(AND('[1]observations-276632'!W254&gt;'[1]Methods write-up'!$Q$19,'[1]observations-276632'!W254&lt;'[1]Methods write-up'!$R$19,'[1]observations-276632'!X254&gt;'[1]Methods write-up'!$S$19,'[1]observations-276632'!X254&lt;'[1]Methods write-up'!$T$19),"East Africa","")</f>
        <v>East Africa</v>
      </c>
      <c r="BB254" s="22" t="str">
        <f>IF(AND('[1]observations-276632'!W254&gt;'[1]Methods write-up'!$Q$20,'[1]observations-276632'!W254&lt;'[1]Methods write-up'!$R$20,'[1]observations-276632'!X254&gt;'[1]Methods write-up'!$S$20,'[1]observations-276632'!X254&lt;'[1]Methods write-up'!$T$20),"Temperate seasonal","")</f>
        <v/>
      </c>
      <c r="BC254" s="22" t="str">
        <f>IF(AND('[1]observations-276632'!W254&gt;'[1]Methods write-up'!$Q$21,'[1]observations-276632'!W254&lt;'[1]Methods write-up'!$R$21,'[1]observations-276632'!X254&gt;'[1]Methods write-up'!$S$21,'[1]observations-276632'!X254&lt;'[1]Methods write-up'!$T$21),"Desert and high aridity","")</f>
        <v/>
      </c>
      <c r="BD254" s="23" t="str">
        <f t="shared" si="15"/>
        <v>East Africa</v>
      </c>
      <c r="BE254" s="24">
        <f t="shared" si="13"/>
        <v>28</v>
      </c>
      <c r="BF254" s="24">
        <f t="shared" si="14"/>
        <v>1</v>
      </c>
    </row>
    <row r="255" spans="1:58" ht="16.25" customHeight="1" x14ac:dyDescent="0.2">
      <c r="A255">
        <v>19986033</v>
      </c>
      <c r="B255" t="s">
        <v>1801</v>
      </c>
      <c r="C255" s="14">
        <v>43002</v>
      </c>
      <c r="D255" t="s">
        <v>1802</v>
      </c>
      <c r="E255" t="s">
        <v>243</v>
      </c>
      <c r="F255">
        <v>18381</v>
      </c>
      <c r="G255" t="s">
        <v>291</v>
      </c>
      <c r="H255" t="s">
        <v>292</v>
      </c>
      <c r="I255" t="s">
        <v>1803</v>
      </c>
      <c r="J255" t="s">
        <v>1804</v>
      </c>
      <c r="K255" t="s">
        <v>157</v>
      </c>
      <c r="L255" t="s">
        <v>63</v>
      </c>
      <c r="M255" t="s">
        <v>1805</v>
      </c>
      <c r="N255" t="s">
        <v>1806</v>
      </c>
      <c r="R255">
        <v>2</v>
      </c>
      <c r="S255">
        <v>0</v>
      </c>
      <c r="T255" t="b">
        <v>0</v>
      </c>
      <c r="V255" t="s">
        <v>1807</v>
      </c>
      <c r="W255" s="15">
        <v>-5.2868814430000004</v>
      </c>
      <c r="X255" s="15">
        <v>39.066319729999996</v>
      </c>
      <c r="Y255">
        <v>8</v>
      </c>
      <c r="AC255">
        <v>8</v>
      </c>
      <c r="AF255" t="b">
        <v>0</v>
      </c>
      <c r="AI255" t="s">
        <v>1808</v>
      </c>
      <c r="AJ255" t="s">
        <v>1808</v>
      </c>
      <c r="AL255" t="s">
        <v>72</v>
      </c>
      <c r="AM255">
        <v>861097</v>
      </c>
      <c r="AO255" s="16" t="s">
        <v>110</v>
      </c>
      <c r="AP255" s="17" t="str">
        <f t="shared" si="12"/>
        <v>Nest (foundress)</v>
      </c>
      <c r="AQ255" s="18">
        <v>1</v>
      </c>
      <c r="AT255" s="19" t="s">
        <v>104</v>
      </c>
      <c r="AX255" s="22" t="str">
        <f>IF(AND('[1]observations-276632'!W255&gt;'[1]Methods write-up'!$Q$16,'[1]observations-276632'!W255&lt;'[1]Methods write-up'!$R$16,'[1]observations-276632'!X255&gt;'[1]Methods write-up'!$S$16,'[1]observations-276632'!X255&lt;'[1]Methods write-up'!$T$16),"West and Central Africa","")</f>
        <v/>
      </c>
      <c r="AY255" s="22" t="str">
        <f>IF(AND('[1]observations-276632'!W255&gt;'[1]Methods write-up'!$Q$17,'[1]observations-276632'!W255&lt;'[1]Methods write-up'!$R$17,'[1]observations-276632'!X255&gt;'[1]Methods write-up'!$S$17,'[1]observations-276632'!X255&lt;'[1]Methods write-up'!$T$17),"Equatorial tropical forest","")</f>
        <v/>
      </c>
      <c r="AZ255" s="22" t="str">
        <f>IF(AND('[1]observations-276632'!W255&gt;'[1]Methods write-up'!$Q$18,'[1]observations-276632'!W255&lt;'[1]Methods write-up'!$R$18,'[1]observations-276632'!X255&gt;'[1]Methods write-up'!$S$18,'[1]observations-276632'!X255&lt;'[1]Methods write-up'!$T$18),"Somali peninsula","")</f>
        <v/>
      </c>
      <c r="BA255" s="22" t="str">
        <f>IF(AND('[1]observations-276632'!W255&gt;'[1]Methods write-up'!$Q$19,'[1]observations-276632'!W255&lt;'[1]Methods write-up'!$R$19,'[1]observations-276632'!X255&gt;'[1]Methods write-up'!$S$19,'[1]observations-276632'!X255&lt;'[1]Methods write-up'!$T$19),"East Africa","")</f>
        <v>East Africa</v>
      </c>
      <c r="BB255" s="22" t="str">
        <f>IF(AND('[1]observations-276632'!W255&gt;'[1]Methods write-up'!$Q$20,'[1]observations-276632'!W255&lt;'[1]Methods write-up'!$R$20,'[1]observations-276632'!X255&gt;'[1]Methods write-up'!$S$20,'[1]observations-276632'!X255&lt;'[1]Methods write-up'!$T$20),"Temperate seasonal","")</f>
        <v/>
      </c>
      <c r="BC255" s="22" t="str">
        <f>IF(AND('[1]observations-276632'!W255&gt;'[1]Methods write-up'!$Q$21,'[1]observations-276632'!W255&lt;'[1]Methods write-up'!$R$21,'[1]observations-276632'!X255&gt;'[1]Methods write-up'!$S$21,'[1]observations-276632'!X255&lt;'[1]Methods write-up'!$T$21),"Desert and high aridity","")</f>
        <v/>
      </c>
      <c r="BD255" s="23" t="str">
        <f t="shared" si="15"/>
        <v>East Africa</v>
      </c>
      <c r="BE255" s="24">
        <f t="shared" si="13"/>
        <v>24</v>
      </c>
      <c r="BF255" s="24">
        <f t="shared" si="14"/>
        <v>9</v>
      </c>
    </row>
    <row r="256" spans="1:58" ht="16.25" customHeight="1" x14ac:dyDescent="0.2">
      <c r="A256">
        <v>20135963</v>
      </c>
      <c r="B256" s="13">
        <v>41306</v>
      </c>
      <c r="C256" s="14">
        <v>41306</v>
      </c>
      <c r="E256" t="s">
        <v>113</v>
      </c>
      <c r="F256">
        <v>787594</v>
      </c>
      <c r="G256" t="s">
        <v>1809</v>
      </c>
      <c r="H256" t="s">
        <v>1810</v>
      </c>
      <c r="I256" t="s">
        <v>1811</v>
      </c>
      <c r="J256" t="s">
        <v>1812</v>
      </c>
      <c r="K256" t="s">
        <v>62</v>
      </c>
      <c r="L256" t="s">
        <v>63</v>
      </c>
      <c r="M256" t="s">
        <v>1813</v>
      </c>
      <c r="N256" t="s">
        <v>1814</v>
      </c>
      <c r="P256" t="s">
        <v>854</v>
      </c>
      <c r="Q256" t="s">
        <v>809</v>
      </c>
      <c r="R256">
        <v>5</v>
      </c>
      <c r="S256">
        <v>0</v>
      </c>
      <c r="T256" t="b">
        <v>0</v>
      </c>
      <c r="V256" t="s">
        <v>1815</v>
      </c>
      <c r="W256" s="15">
        <v>-26.364999999999998</v>
      </c>
      <c r="X256" s="15">
        <v>27.389700000000001</v>
      </c>
      <c r="Y256">
        <v>1</v>
      </c>
      <c r="AC256">
        <v>1</v>
      </c>
      <c r="AF256" t="b">
        <v>0</v>
      </c>
      <c r="AI256" t="s">
        <v>70</v>
      </c>
      <c r="AJ256" t="s">
        <v>70</v>
      </c>
      <c r="AK256" t="s">
        <v>71</v>
      </c>
      <c r="AL256" t="s">
        <v>72</v>
      </c>
      <c r="AM256">
        <v>346053</v>
      </c>
      <c r="AO256" s="16" t="s">
        <v>1356</v>
      </c>
      <c r="AP256" s="17" t="str">
        <f t="shared" si="12"/>
        <v>Nest (foundress)</v>
      </c>
      <c r="AQ256" s="18">
        <v>1</v>
      </c>
      <c r="AT256" s="19" t="s">
        <v>104</v>
      </c>
      <c r="AX256" s="22" t="str">
        <f>IF(AND('[1]observations-276632'!W256&gt;'[1]Methods write-up'!$Q$16,'[1]observations-276632'!W256&lt;'[1]Methods write-up'!$R$16,'[1]observations-276632'!X256&gt;'[1]Methods write-up'!$S$16,'[1]observations-276632'!X256&lt;'[1]Methods write-up'!$T$16),"West and Central Africa","")</f>
        <v/>
      </c>
      <c r="AY256" s="22" t="str">
        <f>IF(AND('[1]observations-276632'!W256&gt;'[1]Methods write-up'!$Q$17,'[1]observations-276632'!W256&lt;'[1]Methods write-up'!$R$17,'[1]observations-276632'!X256&gt;'[1]Methods write-up'!$S$17,'[1]observations-276632'!X256&lt;'[1]Methods write-up'!$T$17),"Equatorial tropical forest","")</f>
        <v/>
      </c>
      <c r="AZ256" s="22" t="str">
        <f>IF(AND('[1]observations-276632'!W256&gt;'[1]Methods write-up'!$Q$18,'[1]observations-276632'!W256&lt;'[1]Methods write-up'!$R$18,'[1]observations-276632'!X256&gt;'[1]Methods write-up'!$S$18,'[1]observations-276632'!X256&lt;'[1]Methods write-up'!$T$18),"Somali peninsula","")</f>
        <v/>
      </c>
      <c r="BA256" s="22" t="str">
        <f>IF(AND('[1]observations-276632'!W256&gt;'[1]Methods write-up'!$Q$19,'[1]observations-276632'!W256&lt;'[1]Methods write-up'!$R$19,'[1]observations-276632'!X256&gt;'[1]Methods write-up'!$S$19,'[1]observations-276632'!X256&lt;'[1]Methods write-up'!$T$19),"East Africa","")</f>
        <v/>
      </c>
      <c r="BB256" s="22" t="str">
        <f>IF(AND('[1]observations-276632'!W256&gt;'[1]Methods write-up'!$Q$20,'[1]observations-276632'!W256&lt;'[1]Methods write-up'!$R$20,'[1]observations-276632'!X256&gt;'[1]Methods write-up'!$S$20,'[1]observations-276632'!X256&lt;'[1]Methods write-up'!$T$20),"Temperate seasonal","")</f>
        <v>Temperate seasonal</v>
      </c>
      <c r="BC256" s="22" t="str">
        <f>IF(AND('[1]observations-276632'!W256&gt;'[1]Methods write-up'!$Q$21,'[1]observations-276632'!W256&lt;'[1]Methods write-up'!$R$21,'[1]observations-276632'!X256&gt;'[1]Methods write-up'!$S$21,'[1]observations-276632'!X256&lt;'[1]Methods write-up'!$T$21),"Desert and high aridity","")</f>
        <v/>
      </c>
      <c r="BD256" s="23" t="str">
        <f t="shared" si="15"/>
        <v>Temperate seasonal</v>
      </c>
      <c r="BE256" s="24">
        <f t="shared" si="13"/>
        <v>1</v>
      </c>
      <c r="BF256" s="24">
        <f t="shared" si="14"/>
        <v>2</v>
      </c>
    </row>
    <row r="257" spans="1:58" ht="16.25" customHeight="1" x14ac:dyDescent="0.2">
      <c r="A257">
        <v>20197240</v>
      </c>
      <c r="B257" t="s">
        <v>1816</v>
      </c>
      <c r="C257" s="14">
        <v>43500</v>
      </c>
      <c r="D257" t="s">
        <v>1817</v>
      </c>
      <c r="E257" t="s">
        <v>463</v>
      </c>
      <c r="F257">
        <v>996285</v>
      </c>
      <c r="G257" t="s">
        <v>1818</v>
      </c>
      <c r="H257" t="s">
        <v>1819</v>
      </c>
      <c r="I257" t="s">
        <v>1820</v>
      </c>
      <c r="J257" t="s">
        <v>1821</v>
      </c>
      <c r="K257" t="s">
        <v>62</v>
      </c>
      <c r="L257" t="s">
        <v>63</v>
      </c>
      <c r="M257" t="s">
        <v>1822</v>
      </c>
      <c r="N257" t="s">
        <v>1823</v>
      </c>
      <c r="R257">
        <v>4</v>
      </c>
      <c r="S257">
        <v>0</v>
      </c>
      <c r="T257" t="b">
        <v>0</v>
      </c>
      <c r="V257" t="s">
        <v>1824</v>
      </c>
      <c r="W257" s="15">
        <v>0.50724444400000002</v>
      </c>
      <c r="X257" s="15">
        <v>34.433380560000003</v>
      </c>
      <c r="AF257" t="b">
        <v>0</v>
      </c>
      <c r="AI257" t="s">
        <v>71</v>
      </c>
      <c r="AJ257" t="s">
        <v>70</v>
      </c>
      <c r="AK257" t="s">
        <v>71</v>
      </c>
      <c r="AL257" t="s">
        <v>72</v>
      </c>
      <c r="AM257">
        <v>346053</v>
      </c>
      <c r="AO257" s="16" t="s">
        <v>140</v>
      </c>
      <c r="AP257" s="17" t="str">
        <f t="shared" si="12"/>
        <v>Post-emergence nest</v>
      </c>
      <c r="AQ257" s="18">
        <v>6</v>
      </c>
      <c r="AT257" s="19" t="s">
        <v>141</v>
      </c>
      <c r="AU257" s="20" t="s">
        <v>104</v>
      </c>
      <c r="AX257" s="22" t="str">
        <f>IF(AND('[1]observations-276632'!W257&gt;'[1]Methods write-up'!$Q$16,'[1]observations-276632'!W257&lt;'[1]Methods write-up'!$R$16,'[1]observations-276632'!X257&gt;'[1]Methods write-up'!$S$16,'[1]observations-276632'!X257&lt;'[1]Methods write-up'!$T$16),"West and Central Africa","")</f>
        <v/>
      </c>
      <c r="AY257" s="22" t="str">
        <f>IF(AND('[1]observations-276632'!W257&gt;'[1]Methods write-up'!$Q$17,'[1]observations-276632'!W257&lt;'[1]Methods write-up'!$R$17,'[1]observations-276632'!X257&gt;'[1]Methods write-up'!$S$17,'[1]observations-276632'!X257&lt;'[1]Methods write-up'!$T$17),"Equatorial tropical forest","")</f>
        <v/>
      </c>
      <c r="AZ257" s="22" t="str">
        <f>IF(AND('[1]observations-276632'!W257&gt;'[1]Methods write-up'!$Q$18,'[1]observations-276632'!W257&lt;'[1]Methods write-up'!$R$18,'[1]observations-276632'!X257&gt;'[1]Methods write-up'!$S$18,'[1]observations-276632'!X257&lt;'[1]Methods write-up'!$T$18),"Somali peninsula","")</f>
        <v/>
      </c>
      <c r="BA257" s="22" t="str">
        <f>IF(AND('[1]observations-276632'!W257&gt;'[1]Methods write-up'!$Q$19,'[1]observations-276632'!W257&lt;'[1]Methods write-up'!$R$19,'[1]observations-276632'!X257&gt;'[1]Methods write-up'!$S$19,'[1]observations-276632'!X257&lt;'[1]Methods write-up'!$T$19),"East Africa","")</f>
        <v>East Africa</v>
      </c>
      <c r="BB257" s="22" t="str">
        <f>IF(AND('[1]observations-276632'!W257&gt;'[1]Methods write-up'!$Q$20,'[1]observations-276632'!W257&lt;'[1]Methods write-up'!$R$20,'[1]observations-276632'!X257&gt;'[1]Methods write-up'!$S$20,'[1]observations-276632'!X257&lt;'[1]Methods write-up'!$T$20),"Temperate seasonal","")</f>
        <v/>
      </c>
      <c r="BC257" s="22" t="str">
        <f>IF(AND('[1]observations-276632'!W257&gt;'[1]Methods write-up'!$Q$21,'[1]observations-276632'!W257&lt;'[1]Methods write-up'!$R$21,'[1]observations-276632'!X257&gt;'[1]Methods write-up'!$S$21,'[1]observations-276632'!X257&lt;'[1]Methods write-up'!$T$21),"Desert and high aridity","")</f>
        <v/>
      </c>
      <c r="BD257" s="23" t="str">
        <f t="shared" si="15"/>
        <v>East Africa</v>
      </c>
      <c r="BE257" s="24">
        <f t="shared" si="13"/>
        <v>4</v>
      </c>
      <c r="BF257" s="24">
        <f t="shared" si="14"/>
        <v>2</v>
      </c>
    </row>
    <row r="258" spans="1:58" ht="16.25" customHeight="1" x14ac:dyDescent="0.2">
      <c r="A258">
        <v>20254677</v>
      </c>
      <c r="B258" t="s">
        <v>1825</v>
      </c>
      <c r="C258" s="14">
        <v>43499</v>
      </c>
      <c r="D258" t="s">
        <v>1826</v>
      </c>
      <c r="E258" t="s">
        <v>113</v>
      </c>
      <c r="F258">
        <v>121603</v>
      </c>
      <c r="G258" t="s">
        <v>1286</v>
      </c>
      <c r="I258" t="s">
        <v>1827</v>
      </c>
      <c r="J258" t="s">
        <v>1828</v>
      </c>
      <c r="K258" t="s">
        <v>62</v>
      </c>
      <c r="L258" t="s">
        <v>63</v>
      </c>
      <c r="M258" t="s">
        <v>1829</v>
      </c>
      <c r="N258" t="s">
        <v>1830</v>
      </c>
      <c r="R258">
        <v>3</v>
      </c>
      <c r="S258">
        <v>0</v>
      </c>
      <c r="T258" t="b">
        <v>0</v>
      </c>
      <c r="V258" t="s">
        <v>1831</v>
      </c>
      <c r="W258" s="15">
        <v>-15.754270630000001</v>
      </c>
      <c r="X258" s="15">
        <v>34.996853620000003</v>
      </c>
      <c r="Y258">
        <v>7</v>
      </c>
      <c r="AC258">
        <v>7</v>
      </c>
      <c r="AF258" t="b">
        <v>0</v>
      </c>
      <c r="AI258" t="s">
        <v>71</v>
      </c>
      <c r="AJ258" t="s">
        <v>70</v>
      </c>
      <c r="AK258" t="s">
        <v>71</v>
      </c>
      <c r="AL258" t="s">
        <v>72</v>
      </c>
      <c r="AM258">
        <v>346053</v>
      </c>
      <c r="AO258" s="16" t="s">
        <v>73</v>
      </c>
      <c r="AP258" s="17" t="str">
        <f t="shared" ref="AP258:AP284" si="16">IF(COUNTIF(AO258,"*foundress*"),"Nest (foundress)",AO258)</f>
        <v>Off-nest female</v>
      </c>
      <c r="AX258" s="22" t="str">
        <f>IF(AND('[1]observations-276632'!W258&gt;'[1]Methods write-up'!$Q$16,'[1]observations-276632'!W258&lt;'[1]Methods write-up'!$R$16,'[1]observations-276632'!X258&gt;'[1]Methods write-up'!$S$16,'[1]observations-276632'!X258&lt;'[1]Methods write-up'!$T$16),"West and Central Africa","")</f>
        <v/>
      </c>
      <c r="AY258" s="22" t="str">
        <f>IF(AND('[1]observations-276632'!W258&gt;'[1]Methods write-up'!$Q$17,'[1]observations-276632'!W258&lt;'[1]Methods write-up'!$R$17,'[1]observations-276632'!X258&gt;'[1]Methods write-up'!$S$17,'[1]observations-276632'!X258&lt;'[1]Methods write-up'!$T$17),"Equatorial tropical forest","")</f>
        <v/>
      </c>
      <c r="AZ258" s="22" t="str">
        <f>IF(AND('[1]observations-276632'!W258&gt;'[1]Methods write-up'!$Q$18,'[1]observations-276632'!W258&lt;'[1]Methods write-up'!$R$18,'[1]observations-276632'!X258&gt;'[1]Methods write-up'!$S$18,'[1]observations-276632'!X258&lt;'[1]Methods write-up'!$T$18),"Somali peninsula","")</f>
        <v/>
      </c>
      <c r="BA258" s="22" t="str">
        <f>IF(AND('[1]observations-276632'!W258&gt;'[1]Methods write-up'!$Q$19,'[1]observations-276632'!W258&lt;'[1]Methods write-up'!$R$19,'[1]observations-276632'!X258&gt;'[1]Methods write-up'!$S$19,'[1]observations-276632'!X258&lt;'[1]Methods write-up'!$T$19),"East Africa","")</f>
        <v/>
      </c>
      <c r="BB258" s="22" t="str">
        <f>IF(AND('[1]observations-276632'!W258&gt;'[1]Methods write-up'!$Q$20,'[1]observations-276632'!W258&lt;'[1]Methods write-up'!$R$20,'[1]observations-276632'!X258&gt;'[1]Methods write-up'!$S$20,'[1]observations-276632'!X258&lt;'[1]Methods write-up'!$T$20),"Temperate seasonal","")</f>
        <v/>
      </c>
      <c r="BC258" s="22" t="str">
        <f>IF(AND('[1]observations-276632'!W258&gt;'[1]Methods write-up'!$Q$21,'[1]observations-276632'!W258&lt;'[1]Methods write-up'!$R$21,'[1]observations-276632'!X258&gt;'[1]Methods write-up'!$S$21,'[1]observations-276632'!X258&lt;'[1]Methods write-up'!$T$21),"Desert and high aridity","")</f>
        <v/>
      </c>
      <c r="BD258" s="23" t="str">
        <f t="shared" si="15"/>
        <v/>
      </c>
      <c r="BE258" s="24">
        <f t="shared" ref="BE258:BE321" si="17">DAY(C258)</f>
        <v>3</v>
      </c>
      <c r="BF258" s="24">
        <f t="shared" ref="BF258:BF321" si="18">MONTH(C258)</f>
        <v>2</v>
      </c>
    </row>
    <row r="259" spans="1:58" ht="16.25" customHeight="1" x14ac:dyDescent="0.2">
      <c r="A259">
        <v>20323909</v>
      </c>
      <c r="B259" t="s">
        <v>1832</v>
      </c>
      <c r="C259" s="14">
        <v>42419</v>
      </c>
      <c r="D259" t="s">
        <v>1833</v>
      </c>
      <c r="E259" t="s">
        <v>57</v>
      </c>
      <c r="F259">
        <v>100845</v>
      </c>
      <c r="G259" t="s">
        <v>1775</v>
      </c>
      <c r="H259" t="s">
        <v>1776</v>
      </c>
      <c r="I259" t="s">
        <v>1834</v>
      </c>
      <c r="J259" t="s">
        <v>1835</v>
      </c>
      <c r="K259" t="s">
        <v>62</v>
      </c>
      <c r="L259" t="s">
        <v>63</v>
      </c>
      <c r="M259" t="s">
        <v>1836</v>
      </c>
      <c r="N259" t="s">
        <v>1837</v>
      </c>
      <c r="Q259" t="s">
        <v>1838</v>
      </c>
      <c r="R259">
        <v>4</v>
      </c>
      <c r="S259">
        <v>0</v>
      </c>
      <c r="T259" t="b">
        <v>0</v>
      </c>
      <c r="V259" t="s">
        <v>1839</v>
      </c>
      <c r="W259" s="15">
        <v>-25.738662009999999</v>
      </c>
      <c r="X259" s="15">
        <v>28.271896049999999</v>
      </c>
      <c r="Y259">
        <v>61</v>
      </c>
      <c r="AC259">
        <v>61</v>
      </c>
      <c r="AF259" t="b">
        <v>0</v>
      </c>
      <c r="AI259" t="s">
        <v>71</v>
      </c>
      <c r="AJ259" t="s">
        <v>70</v>
      </c>
      <c r="AK259" t="s">
        <v>71</v>
      </c>
      <c r="AL259" t="s">
        <v>72</v>
      </c>
      <c r="AM259">
        <v>346053</v>
      </c>
      <c r="AO259" s="16" t="s">
        <v>73</v>
      </c>
      <c r="AP259" s="17" t="str">
        <f t="shared" si="16"/>
        <v>Off-nest female</v>
      </c>
      <c r="AX259" s="22" t="str">
        <f>IF(AND('[1]observations-276632'!W259&gt;'[1]Methods write-up'!$Q$16,'[1]observations-276632'!W259&lt;'[1]Methods write-up'!$R$16,'[1]observations-276632'!X259&gt;'[1]Methods write-up'!$S$16,'[1]observations-276632'!X259&lt;'[1]Methods write-up'!$T$16),"West and Central Africa","")</f>
        <v/>
      </c>
      <c r="AY259" s="22" t="str">
        <f>IF(AND('[1]observations-276632'!W259&gt;'[1]Methods write-up'!$Q$17,'[1]observations-276632'!W259&lt;'[1]Methods write-up'!$R$17,'[1]observations-276632'!X259&gt;'[1]Methods write-up'!$S$17,'[1]observations-276632'!X259&lt;'[1]Methods write-up'!$T$17),"Equatorial tropical forest","")</f>
        <v/>
      </c>
      <c r="AZ259" s="22" t="str">
        <f>IF(AND('[1]observations-276632'!W259&gt;'[1]Methods write-up'!$Q$18,'[1]observations-276632'!W259&lt;'[1]Methods write-up'!$R$18,'[1]observations-276632'!X259&gt;'[1]Methods write-up'!$S$18,'[1]observations-276632'!X259&lt;'[1]Methods write-up'!$T$18),"Somali peninsula","")</f>
        <v/>
      </c>
      <c r="BA259" s="22" t="str">
        <f>IF(AND('[1]observations-276632'!W259&gt;'[1]Methods write-up'!$Q$19,'[1]observations-276632'!W259&lt;'[1]Methods write-up'!$R$19,'[1]observations-276632'!X259&gt;'[1]Methods write-up'!$S$19,'[1]observations-276632'!X259&lt;'[1]Methods write-up'!$T$19),"East Africa","")</f>
        <v/>
      </c>
      <c r="BB259" s="22" t="str">
        <f>IF(AND('[1]observations-276632'!W259&gt;'[1]Methods write-up'!$Q$20,'[1]observations-276632'!W259&lt;'[1]Methods write-up'!$R$20,'[1]observations-276632'!X259&gt;'[1]Methods write-up'!$S$20,'[1]observations-276632'!X259&lt;'[1]Methods write-up'!$T$20),"Temperate seasonal","")</f>
        <v>Temperate seasonal</v>
      </c>
      <c r="BC259" s="22" t="str">
        <f>IF(AND('[1]observations-276632'!W259&gt;'[1]Methods write-up'!$Q$21,'[1]observations-276632'!W259&lt;'[1]Methods write-up'!$R$21,'[1]observations-276632'!X259&gt;'[1]Methods write-up'!$S$21,'[1]observations-276632'!X259&lt;'[1]Methods write-up'!$T$21),"Desert and high aridity","")</f>
        <v/>
      </c>
      <c r="BD259" s="23" t="str">
        <f t="shared" ref="BD259:BD322" si="19">AX259&amp;AY259&amp;AZ259&amp;BA259&amp;BB259&amp;BC259</f>
        <v>Temperate seasonal</v>
      </c>
      <c r="BE259" s="24">
        <f t="shared" si="17"/>
        <v>19</v>
      </c>
      <c r="BF259" s="24">
        <f t="shared" si="18"/>
        <v>2</v>
      </c>
    </row>
    <row r="260" spans="1:58" ht="16.25" customHeight="1" x14ac:dyDescent="0.2">
      <c r="A260">
        <v>20341449</v>
      </c>
      <c r="B260" t="s">
        <v>1840</v>
      </c>
      <c r="C260" s="14">
        <v>43507</v>
      </c>
      <c r="D260" t="s">
        <v>1841</v>
      </c>
      <c r="E260" t="s">
        <v>243</v>
      </c>
      <c r="F260">
        <v>565236</v>
      </c>
      <c r="G260" t="s">
        <v>360</v>
      </c>
      <c r="H260" t="s">
        <v>361</v>
      </c>
      <c r="I260" t="s">
        <v>1842</v>
      </c>
      <c r="J260" t="s">
        <v>1843</v>
      </c>
      <c r="K260" t="s">
        <v>62</v>
      </c>
      <c r="M260" t="s">
        <v>1844</v>
      </c>
      <c r="N260" t="s">
        <v>1845</v>
      </c>
      <c r="R260">
        <v>6</v>
      </c>
      <c r="S260">
        <v>0</v>
      </c>
      <c r="T260" t="b">
        <v>0</v>
      </c>
      <c r="V260" t="s">
        <v>1846</v>
      </c>
      <c r="W260" s="15">
        <v>-34.029389999999999</v>
      </c>
      <c r="X260" s="15">
        <v>18.43975833</v>
      </c>
      <c r="AF260" t="b">
        <v>0</v>
      </c>
      <c r="AI260" t="s">
        <v>71</v>
      </c>
      <c r="AJ260" t="s">
        <v>70</v>
      </c>
      <c r="AK260" t="s">
        <v>71</v>
      </c>
      <c r="AL260" t="s">
        <v>72</v>
      </c>
      <c r="AM260">
        <v>346053</v>
      </c>
      <c r="AO260" s="16" t="s">
        <v>73</v>
      </c>
      <c r="AP260" s="17" t="str">
        <f t="shared" si="16"/>
        <v>Off-nest female</v>
      </c>
      <c r="AX260" s="22" t="str">
        <f>IF(AND('[1]observations-276632'!W260&gt;'[1]Methods write-up'!$Q$16,'[1]observations-276632'!W260&lt;'[1]Methods write-up'!$R$16,'[1]observations-276632'!X260&gt;'[1]Methods write-up'!$S$16,'[1]observations-276632'!X260&lt;'[1]Methods write-up'!$T$16),"West and Central Africa","")</f>
        <v/>
      </c>
      <c r="AY260" s="22" t="str">
        <f>IF(AND('[1]observations-276632'!W260&gt;'[1]Methods write-up'!$Q$17,'[1]observations-276632'!W260&lt;'[1]Methods write-up'!$R$17,'[1]observations-276632'!X260&gt;'[1]Methods write-up'!$S$17,'[1]observations-276632'!X260&lt;'[1]Methods write-up'!$T$17),"Equatorial tropical forest","")</f>
        <v/>
      </c>
      <c r="AZ260" s="22" t="str">
        <f>IF(AND('[1]observations-276632'!W260&gt;'[1]Methods write-up'!$Q$18,'[1]observations-276632'!W260&lt;'[1]Methods write-up'!$R$18,'[1]observations-276632'!X260&gt;'[1]Methods write-up'!$S$18,'[1]observations-276632'!X260&lt;'[1]Methods write-up'!$T$18),"Somali peninsula","")</f>
        <v/>
      </c>
      <c r="BA260" s="22" t="str">
        <f>IF(AND('[1]observations-276632'!W260&gt;'[1]Methods write-up'!$Q$19,'[1]observations-276632'!W260&lt;'[1]Methods write-up'!$R$19,'[1]observations-276632'!X260&gt;'[1]Methods write-up'!$S$19,'[1]observations-276632'!X260&lt;'[1]Methods write-up'!$T$19),"East Africa","")</f>
        <v/>
      </c>
      <c r="BB260" s="22" t="str">
        <f>IF(AND('[1]observations-276632'!W260&gt;'[1]Methods write-up'!$Q$20,'[1]observations-276632'!W260&lt;'[1]Methods write-up'!$R$20,'[1]observations-276632'!X260&gt;'[1]Methods write-up'!$S$20,'[1]observations-276632'!X260&lt;'[1]Methods write-up'!$T$20),"Temperate seasonal","")</f>
        <v/>
      </c>
      <c r="BC260" s="22" t="str">
        <f>IF(AND('[1]observations-276632'!W260&gt;'[1]Methods write-up'!$Q$21,'[1]observations-276632'!W260&lt;'[1]Methods write-up'!$R$21,'[1]observations-276632'!X260&gt;'[1]Methods write-up'!$S$21,'[1]observations-276632'!X260&lt;'[1]Methods write-up'!$T$21),"Desert and high aridity","")</f>
        <v/>
      </c>
      <c r="BD260" s="23" t="str">
        <f t="shared" si="19"/>
        <v/>
      </c>
      <c r="BE260" s="24">
        <f t="shared" si="17"/>
        <v>11</v>
      </c>
      <c r="BF260" s="24">
        <f t="shared" si="18"/>
        <v>2</v>
      </c>
    </row>
    <row r="261" spans="1:58" ht="16.25" customHeight="1" x14ac:dyDescent="0.2">
      <c r="A261">
        <v>20414409</v>
      </c>
      <c r="B261" t="s">
        <v>1847</v>
      </c>
      <c r="C261" s="14">
        <v>43499</v>
      </c>
      <c r="D261" t="s">
        <v>1848</v>
      </c>
      <c r="E261" t="s">
        <v>113</v>
      </c>
      <c r="F261">
        <v>762608</v>
      </c>
      <c r="G261" t="s">
        <v>1091</v>
      </c>
      <c r="H261" t="s">
        <v>1092</v>
      </c>
      <c r="I261" t="s">
        <v>1849</v>
      </c>
      <c r="J261" t="s">
        <v>1850</v>
      </c>
      <c r="K261" t="s">
        <v>62</v>
      </c>
      <c r="L261" t="s">
        <v>63</v>
      </c>
      <c r="M261" t="s">
        <v>1851</v>
      </c>
      <c r="N261" t="s">
        <v>1852</v>
      </c>
      <c r="R261">
        <v>4</v>
      </c>
      <c r="S261">
        <v>0</v>
      </c>
      <c r="T261" t="b">
        <v>0</v>
      </c>
      <c r="V261" t="s">
        <v>1099</v>
      </c>
      <c r="W261" s="15">
        <v>-25.600149139999999</v>
      </c>
      <c r="X261" s="15">
        <v>28.278595620000001</v>
      </c>
      <c r="Y261">
        <v>17</v>
      </c>
      <c r="AC261">
        <v>29936</v>
      </c>
      <c r="AD261" t="s">
        <v>839</v>
      </c>
      <c r="AF261" t="b">
        <v>1</v>
      </c>
      <c r="AI261" t="s">
        <v>71</v>
      </c>
      <c r="AJ261" t="s">
        <v>70</v>
      </c>
      <c r="AK261" t="s">
        <v>71</v>
      </c>
      <c r="AL261" t="s">
        <v>72</v>
      </c>
      <c r="AM261">
        <v>346053</v>
      </c>
      <c r="AO261" s="16" t="s">
        <v>140</v>
      </c>
      <c r="AP261" s="17" t="str">
        <f t="shared" si="16"/>
        <v>Post-emergence nest</v>
      </c>
      <c r="AQ261" s="18">
        <v>9</v>
      </c>
      <c r="AT261" s="19" t="s">
        <v>141</v>
      </c>
      <c r="AU261" s="20" t="s">
        <v>104</v>
      </c>
      <c r="AX261" s="22" t="str">
        <f>IF(AND('[1]observations-276632'!W261&gt;'[1]Methods write-up'!$Q$16,'[1]observations-276632'!W261&lt;'[1]Methods write-up'!$R$16,'[1]observations-276632'!X261&gt;'[1]Methods write-up'!$S$16,'[1]observations-276632'!X261&lt;'[1]Methods write-up'!$T$16),"West and Central Africa","")</f>
        <v/>
      </c>
      <c r="AY261" s="22" t="str">
        <f>IF(AND('[1]observations-276632'!W261&gt;'[1]Methods write-up'!$Q$17,'[1]observations-276632'!W261&lt;'[1]Methods write-up'!$R$17,'[1]observations-276632'!X261&gt;'[1]Methods write-up'!$S$17,'[1]observations-276632'!X261&lt;'[1]Methods write-up'!$T$17),"Equatorial tropical forest","")</f>
        <v/>
      </c>
      <c r="AZ261" s="22" t="str">
        <f>IF(AND('[1]observations-276632'!W261&gt;'[1]Methods write-up'!$Q$18,'[1]observations-276632'!W261&lt;'[1]Methods write-up'!$R$18,'[1]observations-276632'!X261&gt;'[1]Methods write-up'!$S$18,'[1]observations-276632'!X261&lt;'[1]Methods write-up'!$T$18),"Somali peninsula","")</f>
        <v/>
      </c>
      <c r="BA261" s="22" t="str">
        <f>IF(AND('[1]observations-276632'!W261&gt;'[1]Methods write-up'!$Q$19,'[1]observations-276632'!W261&lt;'[1]Methods write-up'!$R$19,'[1]observations-276632'!X261&gt;'[1]Methods write-up'!$S$19,'[1]observations-276632'!X261&lt;'[1]Methods write-up'!$T$19),"East Africa","")</f>
        <v/>
      </c>
      <c r="BB261" s="22" t="str">
        <f>IF(AND('[1]observations-276632'!W261&gt;'[1]Methods write-up'!$Q$20,'[1]observations-276632'!W261&lt;'[1]Methods write-up'!$R$20,'[1]observations-276632'!X261&gt;'[1]Methods write-up'!$S$20,'[1]observations-276632'!X261&lt;'[1]Methods write-up'!$T$20),"Temperate seasonal","")</f>
        <v>Temperate seasonal</v>
      </c>
      <c r="BC261" s="22" t="str">
        <f>IF(AND('[1]observations-276632'!W261&gt;'[1]Methods write-up'!$Q$21,'[1]observations-276632'!W261&lt;'[1]Methods write-up'!$R$21,'[1]observations-276632'!X261&gt;'[1]Methods write-up'!$S$21,'[1]observations-276632'!X261&lt;'[1]Methods write-up'!$T$21),"Desert and high aridity","")</f>
        <v/>
      </c>
      <c r="BD261" s="23" t="str">
        <f t="shared" si="19"/>
        <v>Temperate seasonal</v>
      </c>
      <c r="BE261" s="24">
        <f t="shared" si="17"/>
        <v>3</v>
      </c>
      <c r="BF261" s="24">
        <f t="shared" si="18"/>
        <v>2</v>
      </c>
    </row>
    <row r="262" spans="1:58" ht="16.25" customHeight="1" x14ac:dyDescent="0.2">
      <c r="A262">
        <v>20757749</v>
      </c>
      <c r="B262" t="s">
        <v>1853</v>
      </c>
      <c r="C262" s="14">
        <v>43517</v>
      </c>
      <c r="D262" t="s">
        <v>1854</v>
      </c>
      <c r="E262" t="s">
        <v>113</v>
      </c>
      <c r="F262">
        <v>692348</v>
      </c>
      <c r="G262" t="s">
        <v>1855</v>
      </c>
      <c r="H262" t="s">
        <v>1856</v>
      </c>
      <c r="I262" t="s">
        <v>1857</v>
      </c>
      <c r="J262" t="s">
        <v>1858</v>
      </c>
      <c r="K262" t="s">
        <v>157</v>
      </c>
      <c r="L262" t="s">
        <v>63</v>
      </c>
      <c r="M262" t="s">
        <v>1859</v>
      </c>
      <c r="N262" t="s">
        <v>1860</v>
      </c>
      <c r="R262">
        <v>2</v>
      </c>
      <c r="S262">
        <v>0</v>
      </c>
      <c r="T262" t="b">
        <v>0</v>
      </c>
      <c r="V262" t="s">
        <v>1861</v>
      </c>
      <c r="W262" s="15">
        <v>-22.558508060000001</v>
      </c>
      <c r="X262" s="15">
        <v>17.102941390000002</v>
      </c>
      <c r="Y262">
        <v>10</v>
      </c>
      <c r="AC262">
        <v>10</v>
      </c>
      <c r="AF262" t="b">
        <v>0</v>
      </c>
      <c r="AI262" t="s">
        <v>756</v>
      </c>
      <c r="AJ262" t="s">
        <v>756</v>
      </c>
      <c r="AL262" t="s">
        <v>72</v>
      </c>
      <c r="AM262">
        <v>652800</v>
      </c>
      <c r="AO262" s="16" t="s">
        <v>140</v>
      </c>
      <c r="AP262" s="17" t="str">
        <f t="shared" si="16"/>
        <v>Post-emergence nest</v>
      </c>
      <c r="AQ262" s="18">
        <v>37</v>
      </c>
      <c r="AT262" s="19" t="s">
        <v>141</v>
      </c>
      <c r="AU262" s="20" t="s">
        <v>104</v>
      </c>
      <c r="AX262" s="22" t="str">
        <f>IF(AND('[1]observations-276632'!W262&gt;'[1]Methods write-up'!$Q$16,'[1]observations-276632'!W262&lt;'[1]Methods write-up'!$R$16,'[1]observations-276632'!X262&gt;'[1]Methods write-up'!$S$16,'[1]observations-276632'!X262&lt;'[1]Methods write-up'!$T$16),"West and Central Africa","")</f>
        <v/>
      </c>
      <c r="AY262" s="22" t="str">
        <f>IF(AND('[1]observations-276632'!W262&gt;'[1]Methods write-up'!$Q$17,'[1]observations-276632'!W262&lt;'[1]Methods write-up'!$R$17,'[1]observations-276632'!X262&gt;'[1]Methods write-up'!$S$17,'[1]observations-276632'!X262&lt;'[1]Methods write-up'!$T$17),"Equatorial tropical forest","")</f>
        <v/>
      </c>
      <c r="AZ262" s="22" t="str">
        <f>IF(AND('[1]observations-276632'!W262&gt;'[1]Methods write-up'!$Q$18,'[1]observations-276632'!W262&lt;'[1]Methods write-up'!$R$18,'[1]observations-276632'!X262&gt;'[1]Methods write-up'!$S$18,'[1]observations-276632'!X262&lt;'[1]Methods write-up'!$T$18),"Somali peninsula","")</f>
        <v/>
      </c>
      <c r="BA262" s="22" t="str">
        <f>IF(AND('[1]observations-276632'!W262&gt;'[1]Methods write-up'!$Q$19,'[1]observations-276632'!W262&lt;'[1]Methods write-up'!$R$19,'[1]observations-276632'!X262&gt;'[1]Methods write-up'!$S$19,'[1]observations-276632'!X262&lt;'[1]Methods write-up'!$T$19),"East Africa","")</f>
        <v/>
      </c>
      <c r="BB262" s="22" t="str">
        <f>IF(AND('[1]observations-276632'!W262&gt;'[1]Methods write-up'!$Q$20,'[1]observations-276632'!W262&lt;'[1]Methods write-up'!$R$20,'[1]observations-276632'!X262&gt;'[1]Methods write-up'!$S$20,'[1]observations-276632'!X262&lt;'[1]Methods write-up'!$T$20),"Temperate seasonal","")</f>
        <v/>
      </c>
      <c r="BC262" s="22" t="str">
        <f>IF(AND('[1]observations-276632'!W262&gt;'[1]Methods write-up'!$Q$21,'[1]observations-276632'!W262&lt;'[1]Methods write-up'!$R$21,'[1]observations-276632'!X262&gt;'[1]Methods write-up'!$S$21,'[1]observations-276632'!X262&lt;'[1]Methods write-up'!$T$21),"Desert and high aridity","")</f>
        <v>Desert and high aridity</v>
      </c>
      <c r="BD262" s="23" t="str">
        <f t="shared" si="19"/>
        <v>Desert and high aridity</v>
      </c>
      <c r="BE262" s="24">
        <f t="shared" si="17"/>
        <v>21</v>
      </c>
      <c r="BF262" s="24">
        <f t="shared" si="18"/>
        <v>2</v>
      </c>
    </row>
    <row r="263" spans="1:58" ht="16.25" customHeight="1" x14ac:dyDescent="0.2">
      <c r="A263">
        <v>20825913</v>
      </c>
      <c r="B263" t="s">
        <v>1862</v>
      </c>
      <c r="C263" s="14">
        <v>43471</v>
      </c>
      <c r="D263" t="s">
        <v>1863</v>
      </c>
      <c r="E263" t="s">
        <v>1864</v>
      </c>
      <c r="F263">
        <v>782332</v>
      </c>
      <c r="G263" t="s">
        <v>1865</v>
      </c>
      <c r="I263" t="s">
        <v>1866</v>
      </c>
      <c r="J263" t="s">
        <v>1867</v>
      </c>
      <c r="K263" t="s">
        <v>62</v>
      </c>
      <c r="L263" t="s">
        <v>63</v>
      </c>
      <c r="M263" t="s">
        <v>1868</v>
      </c>
      <c r="N263" t="s">
        <v>1869</v>
      </c>
      <c r="R263">
        <v>3</v>
      </c>
      <c r="S263">
        <v>0</v>
      </c>
      <c r="T263" t="b">
        <v>0</v>
      </c>
      <c r="V263" t="s">
        <v>1870</v>
      </c>
      <c r="W263" s="15">
        <v>2.2774606639999999</v>
      </c>
      <c r="X263" s="15">
        <v>31.564629270000001</v>
      </c>
      <c r="Y263">
        <v>61</v>
      </c>
      <c r="AC263">
        <v>61</v>
      </c>
      <c r="AF263" t="b">
        <v>0</v>
      </c>
      <c r="AI263" t="s">
        <v>71</v>
      </c>
      <c r="AJ263" t="s">
        <v>70</v>
      </c>
      <c r="AK263" t="s">
        <v>71</v>
      </c>
      <c r="AL263" t="s">
        <v>72</v>
      </c>
      <c r="AM263">
        <v>346053</v>
      </c>
      <c r="AO263" s="16" t="s">
        <v>140</v>
      </c>
      <c r="AP263" s="17" t="str">
        <f t="shared" si="16"/>
        <v>Post-emergence nest</v>
      </c>
      <c r="AQ263" s="18">
        <v>14</v>
      </c>
      <c r="AT263" s="19" t="s">
        <v>141</v>
      </c>
      <c r="AU263" s="20" t="s">
        <v>141</v>
      </c>
      <c r="AX263" s="22" t="str">
        <f>IF(AND('[1]observations-276632'!W263&gt;'[1]Methods write-up'!$Q$16,'[1]observations-276632'!W263&lt;'[1]Methods write-up'!$R$16,'[1]observations-276632'!X263&gt;'[1]Methods write-up'!$S$16,'[1]observations-276632'!X263&lt;'[1]Methods write-up'!$T$16),"West and Central Africa","")</f>
        <v/>
      </c>
      <c r="AY263" s="22" t="str">
        <f>IF(AND('[1]observations-276632'!W263&gt;'[1]Methods write-up'!$Q$17,'[1]observations-276632'!W263&lt;'[1]Methods write-up'!$R$17,'[1]observations-276632'!X263&gt;'[1]Methods write-up'!$S$17,'[1]observations-276632'!X263&lt;'[1]Methods write-up'!$T$17),"Equatorial tropical forest","")</f>
        <v/>
      </c>
      <c r="AZ263" s="22" t="str">
        <f>IF(AND('[1]observations-276632'!W263&gt;'[1]Methods write-up'!$Q$18,'[1]observations-276632'!W263&lt;'[1]Methods write-up'!$R$18,'[1]observations-276632'!X263&gt;'[1]Methods write-up'!$S$18,'[1]observations-276632'!X263&lt;'[1]Methods write-up'!$T$18),"Somali peninsula","")</f>
        <v/>
      </c>
      <c r="BA263" s="22" t="str">
        <f>IF(AND('[1]observations-276632'!W263&gt;'[1]Methods write-up'!$Q$19,'[1]observations-276632'!W263&lt;'[1]Methods write-up'!$R$19,'[1]observations-276632'!X263&gt;'[1]Methods write-up'!$S$19,'[1]observations-276632'!X263&lt;'[1]Methods write-up'!$T$19),"East Africa","")</f>
        <v/>
      </c>
      <c r="BB263" s="22" t="str">
        <f>IF(AND('[1]observations-276632'!W263&gt;'[1]Methods write-up'!$Q$20,'[1]observations-276632'!W263&lt;'[1]Methods write-up'!$R$20,'[1]observations-276632'!X263&gt;'[1]Methods write-up'!$S$20,'[1]observations-276632'!X263&lt;'[1]Methods write-up'!$T$20),"Temperate seasonal","")</f>
        <v/>
      </c>
      <c r="BC263" s="22" t="str">
        <f>IF(AND('[1]observations-276632'!W263&gt;'[1]Methods write-up'!$Q$21,'[1]observations-276632'!W263&lt;'[1]Methods write-up'!$R$21,'[1]observations-276632'!X263&gt;'[1]Methods write-up'!$S$21,'[1]observations-276632'!X263&lt;'[1]Methods write-up'!$T$21),"Desert and high aridity","")</f>
        <v/>
      </c>
      <c r="BD263" s="23" t="str">
        <f t="shared" si="19"/>
        <v/>
      </c>
      <c r="BE263" s="24">
        <f t="shared" si="17"/>
        <v>6</v>
      </c>
      <c r="BF263" s="24">
        <f t="shared" si="18"/>
        <v>1</v>
      </c>
    </row>
    <row r="264" spans="1:58" ht="16.25" customHeight="1" x14ac:dyDescent="0.2">
      <c r="A264">
        <v>20950071</v>
      </c>
      <c r="B264" t="s">
        <v>1871</v>
      </c>
      <c r="C264" s="14">
        <v>43526</v>
      </c>
      <c r="D264" t="s">
        <v>1872</v>
      </c>
      <c r="E264" t="s">
        <v>113</v>
      </c>
      <c r="F264">
        <v>659922</v>
      </c>
      <c r="G264" t="s">
        <v>918</v>
      </c>
      <c r="I264" t="s">
        <v>1873</v>
      </c>
      <c r="J264" t="s">
        <v>1874</v>
      </c>
      <c r="K264" t="s">
        <v>157</v>
      </c>
      <c r="L264" t="s">
        <v>63</v>
      </c>
      <c r="M264" t="s">
        <v>1875</v>
      </c>
      <c r="N264" t="s">
        <v>1876</v>
      </c>
      <c r="R264">
        <v>2</v>
      </c>
      <c r="S264">
        <v>0</v>
      </c>
      <c r="T264" t="b">
        <v>0</v>
      </c>
      <c r="V264" t="s">
        <v>1877</v>
      </c>
      <c r="W264" s="15">
        <v>-27.979199999999999</v>
      </c>
      <c r="X264" s="15">
        <v>32.351999999999997</v>
      </c>
      <c r="Y264">
        <v>300</v>
      </c>
      <c r="AC264">
        <v>300</v>
      </c>
      <c r="AF264" t="b">
        <v>0</v>
      </c>
      <c r="AI264" t="s">
        <v>1808</v>
      </c>
      <c r="AJ264" t="s">
        <v>1808</v>
      </c>
      <c r="AL264" t="s">
        <v>72</v>
      </c>
      <c r="AM264">
        <v>861097</v>
      </c>
      <c r="AO264" s="16" t="s">
        <v>140</v>
      </c>
      <c r="AP264" s="17" t="str">
        <f t="shared" si="16"/>
        <v>Post-emergence nest</v>
      </c>
      <c r="AQ264" s="18">
        <v>3</v>
      </c>
      <c r="AT264" s="19" t="s">
        <v>141</v>
      </c>
      <c r="AU264" s="20" t="s">
        <v>104</v>
      </c>
      <c r="AX264" s="22" t="str">
        <f>IF(AND('[1]observations-276632'!W264&gt;'[1]Methods write-up'!$Q$16,'[1]observations-276632'!W264&lt;'[1]Methods write-up'!$R$16,'[1]observations-276632'!X264&gt;'[1]Methods write-up'!$S$16,'[1]observations-276632'!X264&lt;'[1]Methods write-up'!$T$16),"West and Central Africa","")</f>
        <v/>
      </c>
      <c r="AY264" s="22" t="str">
        <f>IF(AND('[1]observations-276632'!W264&gt;'[1]Methods write-up'!$Q$17,'[1]observations-276632'!W264&lt;'[1]Methods write-up'!$R$17,'[1]observations-276632'!X264&gt;'[1]Methods write-up'!$S$17,'[1]observations-276632'!X264&lt;'[1]Methods write-up'!$T$17),"Equatorial tropical forest","")</f>
        <v/>
      </c>
      <c r="AZ264" s="22" t="str">
        <f>IF(AND('[1]observations-276632'!W264&gt;'[1]Methods write-up'!$Q$18,'[1]observations-276632'!W264&lt;'[1]Methods write-up'!$R$18,'[1]observations-276632'!X264&gt;'[1]Methods write-up'!$S$18,'[1]observations-276632'!X264&lt;'[1]Methods write-up'!$T$18),"Somali peninsula","")</f>
        <v/>
      </c>
      <c r="BA264" s="22" t="str">
        <f>IF(AND('[1]observations-276632'!W264&gt;'[1]Methods write-up'!$Q$19,'[1]observations-276632'!W264&lt;'[1]Methods write-up'!$R$19,'[1]observations-276632'!X264&gt;'[1]Methods write-up'!$S$19,'[1]observations-276632'!X264&lt;'[1]Methods write-up'!$T$19),"East Africa","")</f>
        <v/>
      </c>
      <c r="BB264" s="22" t="str">
        <f>IF(AND('[1]observations-276632'!W264&gt;'[1]Methods write-up'!$Q$20,'[1]observations-276632'!W264&lt;'[1]Methods write-up'!$R$20,'[1]observations-276632'!X264&gt;'[1]Methods write-up'!$S$20,'[1]observations-276632'!X264&lt;'[1]Methods write-up'!$T$20),"Temperate seasonal","")</f>
        <v>Temperate seasonal</v>
      </c>
      <c r="BC264" s="22" t="str">
        <f>IF(AND('[1]observations-276632'!W264&gt;'[1]Methods write-up'!$Q$21,'[1]observations-276632'!W264&lt;'[1]Methods write-up'!$R$21,'[1]observations-276632'!X264&gt;'[1]Methods write-up'!$S$21,'[1]observations-276632'!X264&lt;'[1]Methods write-up'!$T$21),"Desert and high aridity","")</f>
        <v/>
      </c>
      <c r="BD264" s="23" t="str">
        <f t="shared" si="19"/>
        <v>Temperate seasonal</v>
      </c>
      <c r="BE264" s="24">
        <f t="shared" si="17"/>
        <v>2</v>
      </c>
      <c r="BF264" s="24">
        <f t="shared" si="18"/>
        <v>3</v>
      </c>
    </row>
    <row r="265" spans="1:58" ht="16.25" customHeight="1" x14ac:dyDescent="0.2">
      <c r="A265">
        <v>21171773</v>
      </c>
      <c r="B265" t="s">
        <v>1878</v>
      </c>
      <c r="C265" s="14">
        <v>43536</v>
      </c>
      <c r="D265" t="s">
        <v>1879</v>
      </c>
      <c r="E265" t="s">
        <v>403</v>
      </c>
      <c r="F265">
        <v>288963</v>
      </c>
      <c r="G265" t="s">
        <v>1880</v>
      </c>
      <c r="H265" t="s">
        <v>1881</v>
      </c>
      <c r="I265" t="s">
        <v>1882</v>
      </c>
      <c r="J265" t="s">
        <v>1883</v>
      </c>
      <c r="K265" t="s">
        <v>62</v>
      </c>
      <c r="L265" t="s">
        <v>63</v>
      </c>
      <c r="M265" t="s">
        <v>1884</v>
      </c>
      <c r="N265" t="s">
        <v>1885</v>
      </c>
      <c r="R265">
        <v>3</v>
      </c>
      <c r="S265">
        <v>0</v>
      </c>
      <c r="T265" t="b">
        <v>0</v>
      </c>
      <c r="U265">
        <v>3</v>
      </c>
      <c r="V265" t="s">
        <v>1886</v>
      </c>
      <c r="W265" s="15">
        <v>9.0325945000000001</v>
      </c>
      <c r="X265" s="15">
        <v>38.781095000000001</v>
      </c>
      <c r="Y265">
        <v>10</v>
      </c>
      <c r="AC265">
        <v>10</v>
      </c>
      <c r="AF265" t="b">
        <v>0</v>
      </c>
      <c r="AI265" t="s">
        <v>71</v>
      </c>
      <c r="AJ265" t="s">
        <v>70</v>
      </c>
      <c r="AK265" t="s">
        <v>71</v>
      </c>
      <c r="AL265" t="s">
        <v>72</v>
      </c>
      <c r="AM265">
        <v>346053</v>
      </c>
      <c r="AO265" s="16" t="s">
        <v>73</v>
      </c>
      <c r="AP265" s="17" t="str">
        <f t="shared" si="16"/>
        <v>Off-nest female</v>
      </c>
      <c r="AX265" s="22" t="str">
        <f>IF(AND('[1]observations-276632'!W265&gt;'[1]Methods write-up'!$Q$16,'[1]observations-276632'!W265&lt;'[1]Methods write-up'!$R$16,'[1]observations-276632'!X265&gt;'[1]Methods write-up'!$S$16,'[1]observations-276632'!X265&lt;'[1]Methods write-up'!$T$16),"West and Central Africa","")</f>
        <v/>
      </c>
      <c r="AY265" s="22" t="str">
        <f>IF(AND('[1]observations-276632'!W265&gt;'[1]Methods write-up'!$Q$17,'[1]observations-276632'!W265&lt;'[1]Methods write-up'!$R$17,'[1]observations-276632'!X265&gt;'[1]Methods write-up'!$S$17,'[1]observations-276632'!X265&lt;'[1]Methods write-up'!$T$17),"Equatorial tropical forest","")</f>
        <v/>
      </c>
      <c r="AZ265" s="22" t="str">
        <f>IF(AND('[1]observations-276632'!W265&gt;'[1]Methods write-up'!$Q$18,'[1]observations-276632'!W265&lt;'[1]Methods write-up'!$R$18,'[1]observations-276632'!X265&gt;'[1]Methods write-up'!$S$18,'[1]observations-276632'!X265&lt;'[1]Methods write-up'!$T$18),"Somali peninsula","")</f>
        <v>Somali peninsula</v>
      </c>
      <c r="BA265" s="22" t="str">
        <f>IF(AND('[1]observations-276632'!W265&gt;'[1]Methods write-up'!$Q$19,'[1]observations-276632'!W265&lt;'[1]Methods write-up'!$R$19,'[1]observations-276632'!X265&gt;'[1]Methods write-up'!$S$19,'[1]observations-276632'!X265&lt;'[1]Methods write-up'!$T$19),"East Africa","")</f>
        <v/>
      </c>
      <c r="BB265" s="22" t="str">
        <f>IF(AND('[1]observations-276632'!W265&gt;'[1]Methods write-up'!$Q$20,'[1]observations-276632'!W265&lt;'[1]Methods write-up'!$R$20,'[1]observations-276632'!X265&gt;'[1]Methods write-up'!$S$20,'[1]observations-276632'!X265&lt;'[1]Methods write-up'!$T$20),"Temperate seasonal","")</f>
        <v/>
      </c>
      <c r="BC265" s="22" t="str">
        <f>IF(AND('[1]observations-276632'!W265&gt;'[1]Methods write-up'!$Q$21,'[1]observations-276632'!W265&lt;'[1]Methods write-up'!$R$21,'[1]observations-276632'!X265&gt;'[1]Methods write-up'!$S$21,'[1]observations-276632'!X265&lt;'[1]Methods write-up'!$T$21),"Desert and high aridity","")</f>
        <v/>
      </c>
      <c r="BD265" s="23" t="str">
        <f t="shared" si="19"/>
        <v>Somali peninsula</v>
      </c>
      <c r="BE265" s="24">
        <f t="shared" si="17"/>
        <v>12</v>
      </c>
      <c r="BF265" s="24">
        <f t="shared" si="18"/>
        <v>3</v>
      </c>
    </row>
    <row r="266" spans="1:58" ht="16.25" customHeight="1" x14ac:dyDescent="0.2">
      <c r="A266">
        <v>21202171</v>
      </c>
      <c r="B266" t="s">
        <v>1887</v>
      </c>
      <c r="C266" s="14">
        <v>43537</v>
      </c>
      <c r="D266" t="s">
        <v>1888</v>
      </c>
      <c r="E266" t="s">
        <v>403</v>
      </c>
      <c r="F266">
        <v>1515559</v>
      </c>
      <c r="G266" t="s">
        <v>1889</v>
      </c>
      <c r="I266" t="s">
        <v>1890</v>
      </c>
      <c r="J266" t="s">
        <v>1891</v>
      </c>
      <c r="K266" t="s">
        <v>62</v>
      </c>
      <c r="L266" t="s">
        <v>63</v>
      </c>
      <c r="M266" t="s">
        <v>1892</v>
      </c>
      <c r="N266" t="s">
        <v>1893</v>
      </c>
      <c r="R266">
        <v>2</v>
      </c>
      <c r="S266">
        <v>0</v>
      </c>
      <c r="T266" t="b">
        <v>0</v>
      </c>
      <c r="U266">
        <v>2</v>
      </c>
      <c r="V266" t="s">
        <v>1894</v>
      </c>
      <c r="W266" s="15">
        <v>11.690107510000001</v>
      </c>
      <c r="X266" s="15">
        <v>37.352148620000001</v>
      </c>
      <c r="Y266">
        <v>55</v>
      </c>
      <c r="AC266">
        <v>55</v>
      </c>
      <c r="AF266" t="b">
        <v>0</v>
      </c>
      <c r="AI266" t="s">
        <v>71</v>
      </c>
      <c r="AJ266" t="s">
        <v>70</v>
      </c>
      <c r="AK266" t="s">
        <v>71</v>
      </c>
      <c r="AL266" t="s">
        <v>72</v>
      </c>
      <c r="AM266">
        <v>346053</v>
      </c>
      <c r="AO266" s="16" t="s">
        <v>140</v>
      </c>
      <c r="AP266" s="17" t="str">
        <f t="shared" si="16"/>
        <v>Post-emergence nest</v>
      </c>
      <c r="AQ266" s="18">
        <v>12</v>
      </c>
      <c r="AT266" s="19" t="s">
        <v>141</v>
      </c>
      <c r="AU266" s="20" t="s">
        <v>104</v>
      </c>
      <c r="AV266" s="21" t="s">
        <v>1895</v>
      </c>
      <c r="AX266" s="22" t="str">
        <f>IF(AND('[1]observations-276632'!W266&gt;'[1]Methods write-up'!$Q$16,'[1]observations-276632'!W266&lt;'[1]Methods write-up'!$R$16,'[1]observations-276632'!X266&gt;'[1]Methods write-up'!$S$16,'[1]observations-276632'!X266&lt;'[1]Methods write-up'!$T$16),"West and Central Africa","")</f>
        <v/>
      </c>
      <c r="AY266" s="22" t="str">
        <f>IF(AND('[1]observations-276632'!W266&gt;'[1]Methods write-up'!$Q$17,'[1]observations-276632'!W266&lt;'[1]Methods write-up'!$R$17,'[1]observations-276632'!X266&gt;'[1]Methods write-up'!$S$17,'[1]observations-276632'!X266&lt;'[1]Methods write-up'!$T$17),"Equatorial tropical forest","")</f>
        <v/>
      </c>
      <c r="AZ266" s="22" t="str">
        <f>IF(AND('[1]observations-276632'!W266&gt;'[1]Methods write-up'!$Q$18,'[1]observations-276632'!W266&lt;'[1]Methods write-up'!$R$18,'[1]observations-276632'!X266&gt;'[1]Methods write-up'!$S$18,'[1]observations-276632'!X266&lt;'[1]Methods write-up'!$T$18),"Somali peninsula","")</f>
        <v>Somali peninsula</v>
      </c>
      <c r="BA266" s="22" t="str">
        <f>IF(AND('[1]observations-276632'!W266&gt;'[1]Methods write-up'!$Q$19,'[1]observations-276632'!W266&lt;'[1]Methods write-up'!$R$19,'[1]observations-276632'!X266&gt;'[1]Methods write-up'!$S$19,'[1]observations-276632'!X266&lt;'[1]Methods write-up'!$T$19),"East Africa","")</f>
        <v/>
      </c>
      <c r="BB266" s="22" t="str">
        <f>IF(AND('[1]observations-276632'!W266&gt;'[1]Methods write-up'!$Q$20,'[1]observations-276632'!W266&lt;'[1]Methods write-up'!$R$20,'[1]observations-276632'!X266&gt;'[1]Methods write-up'!$S$20,'[1]observations-276632'!X266&lt;'[1]Methods write-up'!$T$20),"Temperate seasonal","")</f>
        <v/>
      </c>
      <c r="BC266" s="22" t="str">
        <f>IF(AND('[1]observations-276632'!W266&gt;'[1]Methods write-up'!$Q$21,'[1]observations-276632'!W266&lt;'[1]Methods write-up'!$R$21,'[1]observations-276632'!X266&gt;'[1]Methods write-up'!$S$21,'[1]observations-276632'!X266&lt;'[1]Methods write-up'!$T$21),"Desert and high aridity","")</f>
        <v/>
      </c>
      <c r="BD266" s="23" t="str">
        <f t="shared" si="19"/>
        <v>Somali peninsula</v>
      </c>
      <c r="BE266" s="24">
        <f t="shared" si="17"/>
        <v>13</v>
      </c>
      <c r="BF266" s="24">
        <f t="shared" si="18"/>
        <v>3</v>
      </c>
    </row>
    <row r="267" spans="1:58" ht="16.25" customHeight="1" x14ac:dyDescent="0.2">
      <c r="A267">
        <v>21314532</v>
      </c>
      <c r="B267" t="s">
        <v>1896</v>
      </c>
      <c r="C267" s="14">
        <v>43495</v>
      </c>
      <c r="D267" t="s">
        <v>1897</v>
      </c>
      <c r="E267" t="s">
        <v>193</v>
      </c>
      <c r="F267">
        <v>699971</v>
      </c>
      <c r="G267" t="s">
        <v>1898</v>
      </c>
      <c r="H267" t="s">
        <v>1899</v>
      </c>
      <c r="I267" t="s">
        <v>1900</v>
      </c>
      <c r="J267" t="s">
        <v>1901</v>
      </c>
      <c r="K267" t="s">
        <v>62</v>
      </c>
      <c r="L267" t="s">
        <v>63</v>
      </c>
      <c r="M267" t="s">
        <v>1902</v>
      </c>
      <c r="N267" t="s">
        <v>1903</v>
      </c>
      <c r="P267" t="s">
        <v>1904</v>
      </c>
      <c r="R267">
        <v>3</v>
      </c>
      <c r="S267">
        <v>0</v>
      </c>
      <c r="T267" t="b">
        <v>0</v>
      </c>
      <c r="V267" t="s">
        <v>1905</v>
      </c>
      <c r="W267" s="15">
        <v>-25.444343709999998</v>
      </c>
      <c r="X267" s="15">
        <v>30.968055230000001</v>
      </c>
      <c r="Y267">
        <v>200</v>
      </c>
      <c r="AC267">
        <v>200</v>
      </c>
      <c r="AF267" t="b">
        <v>0</v>
      </c>
      <c r="AI267" t="s">
        <v>71</v>
      </c>
      <c r="AJ267" t="s">
        <v>70</v>
      </c>
      <c r="AK267" t="s">
        <v>71</v>
      </c>
      <c r="AL267" t="s">
        <v>72</v>
      </c>
      <c r="AM267">
        <v>346053</v>
      </c>
      <c r="AO267" s="16" t="s">
        <v>73</v>
      </c>
      <c r="AP267" s="17" t="str">
        <f t="shared" si="16"/>
        <v>Off-nest female</v>
      </c>
      <c r="AX267" s="22" t="str">
        <f>IF(AND('[1]observations-276632'!W267&gt;'[1]Methods write-up'!$Q$16,'[1]observations-276632'!W267&lt;'[1]Methods write-up'!$R$16,'[1]observations-276632'!X267&gt;'[1]Methods write-up'!$S$16,'[1]observations-276632'!X267&lt;'[1]Methods write-up'!$T$16),"West and Central Africa","")</f>
        <v/>
      </c>
      <c r="AY267" s="22" t="str">
        <f>IF(AND('[1]observations-276632'!W267&gt;'[1]Methods write-up'!$Q$17,'[1]observations-276632'!W267&lt;'[1]Methods write-up'!$R$17,'[1]observations-276632'!X267&gt;'[1]Methods write-up'!$S$17,'[1]observations-276632'!X267&lt;'[1]Methods write-up'!$T$17),"Equatorial tropical forest","")</f>
        <v/>
      </c>
      <c r="AZ267" s="22" t="str">
        <f>IF(AND('[1]observations-276632'!W267&gt;'[1]Methods write-up'!$Q$18,'[1]observations-276632'!W267&lt;'[1]Methods write-up'!$R$18,'[1]observations-276632'!X267&gt;'[1]Methods write-up'!$S$18,'[1]observations-276632'!X267&lt;'[1]Methods write-up'!$T$18),"Somali peninsula","")</f>
        <v/>
      </c>
      <c r="BA267" s="22" t="str">
        <f>IF(AND('[1]observations-276632'!W267&gt;'[1]Methods write-up'!$Q$19,'[1]observations-276632'!W267&lt;'[1]Methods write-up'!$R$19,'[1]observations-276632'!X267&gt;'[1]Methods write-up'!$S$19,'[1]observations-276632'!X267&lt;'[1]Methods write-up'!$T$19),"East Africa","")</f>
        <v/>
      </c>
      <c r="BB267" s="22" t="str">
        <f>IF(AND('[1]observations-276632'!W267&gt;'[1]Methods write-up'!$Q$20,'[1]observations-276632'!W267&lt;'[1]Methods write-up'!$R$20,'[1]observations-276632'!X267&gt;'[1]Methods write-up'!$S$20,'[1]observations-276632'!X267&lt;'[1]Methods write-up'!$T$20),"Temperate seasonal","")</f>
        <v>Temperate seasonal</v>
      </c>
      <c r="BC267" s="22" t="str">
        <f>IF(AND('[1]observations-276632'!W267&gt;'[1]Methods write-up'!$Q$21,'[1]observations-276632'!W267&lt;'[1]Methods write-up'!$R$21,'[1]observations-276632'!X267&gt;'[1]Methods write-up'!$S$21,'[1]observations-276632'!X267&lt;'[1]Methods write-up'!$T$21),"Desert and high aridity","")</f>
        <v/>
      </c>
      <c r="BD267" s="23" t="str">
        <f t="shared" si="19"/>
        <v>Temperate seasonal</v>
      </c>
      <c r="BE267" s="24">
        <f t="shared" si="17"/>
        <v>30</v>
      </c>
      <c r="BF267" s="24">
        <f t="shared" si="18"/>
        <v>1</v>
      </c>
    </row>
    <row r="268" spans="1:58" ht="16.25" customHeight="1" x14ac:dyDescent="0.2">
      <c r="A268">
        <v>21314900</v>
      </c>
      <c r="B268" t="s">
        <v>1906</v>
      </c>
      <c r="C268" s="14">
        <v>43540</v>
      </c>
      <c r="D268" t="s">
        <v>1907</v>
      </c>
      <c r="E268" t="s">
        <v>113</v>
      </c>
      <c r="F268">
        <v>741598</v>
      </c>
      <c r="G268" t="s">
        <v>1642</v>
      </c>
      <c r="H268" t="s">
        <v>1643</v>
      </c>
      <c r="I268" t="s">
        <v>1908</v>
      </c>
      <c r="J268" t="s">
        <v>1909</v>
      </c>
      <c r="K268" t="s">
        <v>62</v>
      </c>
      <c r="L268" t="s">
        <v>373</v>
      </c>
      <c r="M268" t="s">
        <v>1910</v>
      </c>
      <c r="N268" t="s">
        <v>1911</v>
      </c>
      <c r="Q268" t="s">
        <v>1912</v>
      </c>
      <c r="R268">
        <v>0</v>
      </c>
      <c r="S268">
        <v>0</v>
      </c>
      <c r="T268" t="b">
        <v>0</v>
      </c>
      <c r="V268" t="s">
        <v>1648</v>
      </c>
      <c r="W268" s="15">
        <v>-32.992042750000003</v>
      </c>
      <c r="X268" s="15">
        <v>27.93796961</v>
      </c>
      <c r="Y268">
        <v>10</v>
      </c>
      <c r="AC268">
        <v>10</v>
      </c>
      <c r="AF268" t="b">
        <v>0</v>
      </c>
      <c r="AI268" t="s">
        <v>161</v>
      </c>
      <c r="AJ268" t="s">
        <v>161</v>
      </c>
      <c r="AL268" t="s">
        <v>72</v>
      </c>
      <c r="AM268">
        <v>366867</v>
      </c>
      <c r="AO268" s="16" t="s">
        <v>73</v>
      </c>
      <c r="AP268" s="17" t="str">
        <f t="shared" si="16"/>
        <v>Off-nest female</v>
      </c>
      <c r="AX268" s="22" t="str">
        <f>IF(AND('[1]observations-276632'!W268&gt;'[1]Methods write-up'!$Q$16,'[1]observations-276632'!W268&lt;'[1]Methods write-up'!$R$16,'[1]observations-276632'!X268&gt;'[1]Methods write-up'!$S$16,'[1]observations-276632'!X268&lt;'[1]Methods write-up'!$T$16),"West and Central Africa","")</f>
        <v/>
      </c>
      <c r="AY268" s="22" t="str">
        <f>IF(AND('[1]observations-276632'!W268&gt;'[1]Methods write-up'!$Q$17,'[1]observations-276632'!W268&lt;'[1]Methods write-up'!$R$17,'[1]observations-276632'!X268&gt;'[1]Methods write-up'!$S$17,'[1]observations-276632'!X268&lt;'[1]Methods write-up'!$T$17),"Equatorial tropical forest","")</f>
        <v/>
      </c>
      <c r="AZ268" s="22" t="str">
        <f>IF(AND('[1]observations-276632'!W268&gt;'[1]Methods write-up'!$Q$18,'[1]observations-276632'!W268&lt;'[1]Methods write-up'!$R$18,'[1]observations-276632'!X268&gt;'[1]Methods write-up'!$S$18,'[1]observations-276632'!X268&lt;'[1]Methods write-up'!$T$18),"Somali peninsula","")</f>
        <v/>
      </c>
      <c r="BA268" s="22" t="str">
        <f>IF(AND('[1]observations-276632'!W268&gt;'[1]Methods write-up'!$Q$19,'[1]observations-276632'!W268&lt;'[1]Methods write-up'!$R$19,'[1]observations-276632'!X268&gt;'[1]Methods write-up'!$S$19,'[1]observations-276632'!X268&lt;'[1]Methods write-up'!$T$19),"East Africa","")</f>
        <v/>
      </c>
      <c r="BB268" s="22" t="str">
        <f>IF(AND('[1]observations-276632'!W268&gt;'[1]Methods write-up'!$Q$20,'[1]observations-276632'!W268&lt;'[1]Methods write-up'!$R$20,'[1]observations-276632'!X268&gt;'[1]Methods write-up'!$S$20,'[1]observations-276632'!X268&lt;'[1]Methods write-up'!$T$20),"Temperate seasonal","")</f>
        <v>Temperate seasonal</v>
      </c>
      <c r="BC268" s="22" t="str">
        <f>IF(AND('[1]observations-276632'!W268&gt;'[1]Methods write-up'!$Q$21,'[1]observations-276632'!W268&lt;'[1]Methods write-up'!$R$21,'[1]observations-276632'!X268&gt;'[1]Methods write-up'!$S$21,'[1]observations-276632'!X268&lt;'[1]Methods write-up'!$T$21),"Desert and high aridity","")</f>
        <v/>
      </c>
      <c r="BD268" s="23" t="str">
        <f t="shared" si="19"/>
        <v>Temperate seasonal</v>
      </c>
      <c r="BE268" s="24">
        <f t="shared" si="17"/>
        <v>16</v>
      </c>
      <c r="BF268" s="24">
        <f t="shared" si="18"/>
        <v>3</v>
      </c>
    </row>
    <row r="269" spans="1:58" ht="16.25" customHeight="1" x14ac:dyDescent="0.2">
      <c r="A269">
        <v>21316662</v>
      </c>
      <c r="B269" s="25">
        <v>43495.463194444441</v>
      </c>
      <c r="C269" s="14">
        <v>43495</v>
      </c>
      <c r="D269" t="s">
        <v>1913</v>
      </c>
      <c r="E269" t="s">
        <v>113</v>
      </c>
      <c r="F269">
        <v>699971</v>
      </c>
      <c r="G269" t="s">
        <v>1898</v>
      </c>
      <c r="H269" t="s">
        <v>1899</v>
      </c>
      <c r="I269" t="s">
        <v>1914</v>
      </c>
      <c r="J269" t="s">
        <v>1915</v>
      </c>
      <c r="K269" t="s">
        <v>62</v>
      </c>
      <c r="L269" t="s">
        <v>63</v>
      </c>
      <c r="M269" t="s">
        <v>1916</v>
      </c>
      <c r="N269" t="s">
        <v>1917</v>
      </c>
      <c r="P269" t="s">
        <v>1918</v>
      </c>
      <c r="R269">
        <v>4</v>
      </c>
      <c r="S269">
        <v>0</v>
      </c>
      <c r="T269" t="b">
        <v>0</v>
      </c>
      <c r="V269" t="s">
        <v>1905</v>
      </c>
      <c r="W269" s="15">
        <v>-25.443875009999999</v>
      </c>
      <c r="X269" s="15">
        <v>30.970799540000002</v>
      </c>
      <c r="Y269">
        <v>31</v>
      </c>
      <c r="AC269">
        <v>31</v>
      </c>
      <c r="AF269" t="b">
        <v>0</v>
      </c>
      <c r="AI269" t="s">
        <v>71</v>
      </c>
      <c r="AJ269" t="s">
        <v>70</v>
      </c>
      <c r="AK269" t="s">
        <v>71</v>
      </c>
      <c r="AL269" t="s">
        <v>72</v>
      </c>
      <c r="AM269">
        <v>346053</v>
      </c>
      <c r="AO269" s="16" t="s">
        <v>140</v>
      </c>
      <c r="AP269" s="17" t="str">
        <f t="shared" si="16"/>
        <v>Post-emergence nest</v>
      </c>
      <c r="AQ269" s="18">
        <v>6</v>
      </c>
      <c r="AT269" s="19" t="s">
        <v>141</v>
      </c>
      <c r="AU269" s="20" t="s">
        <v>104</v>
      </c>
      <c r="AX269" s="22" t="str">
        <f>IF(AND('[1]observations-276632'!W269&gt;'[1]Methods write-up'!$Q$16,'[1]observations-276632'!W269&lt;'[1]Methods write-up'!$R$16,'[1]observations-276632'!X269&gt;'[1]Methods write-up'!$S$16,'[1]observations-276632'!X269&lt;'[1]Methods write-up'!$T$16),"West and Central Africa","")</f>
        <v/>
      </c>
      <c r="AY269" s="22" t="str">
        <f>IF(AND('[1]observations-276632'!W269&gt;'[1]Methods write-up'!$Q$17,'[1]observations-276632'!W269&lt;'[1]Methods write-up'!$R$17,'[1]observations-276632'!X269&gt;'[1]Methods write-up'!$S$17,'[1]observations-276632'!X269&lt;'[1]Methods write-up'!$T$17),"Equatorial tropical forest","")</f>
        <v/>
      </c>
      <c r="AZ269" s="22" t="str">
        <f>IF(AND('[1]observations-276632'!W269&gt;'[1]Methods write-up'!$Q$18,'[1]observations-276632'!W269&lt;'[1]Methods write-up'!$R$18,'[1]observations-276632'!X269&gt;'[1]Methods write-up'!$S$18,'[1]observations-276632'!X269&lt;'[1]Methods write-up'!$T$18),"Somali peninsula","")</f>
        <v/>
      </c>
      <c r="BA269" s="22" t="str">
        <f>IF(AND('[1]observations-276632'!W269&gt;'[1]Methods write-up'!$Q$19,'[1]observations-276632'!W269&lt;'[1]Methods write-up'!$R$19,'[1]observations-276632'!X269&gt;'[1]Methods write-up'!$S$19,'[1]observations-276632'!X269&lt;'[1]Methods write-up'!$T$19),"East Africa","")</f>
        <v/>
      </c>
      <c r="BB269" s="22" t="str">
        <f>IF(AND('[1]observations-276632'!W269&gt;'[1]Methods write-up'!$Q$20,'[1]observations-276632'!W269&lt;'[1]Methods write-up'!$R$20,'[1]observations-276632'!X269&gt;'[1]Methods write-up'!$S$20,'[1]observations-276632'!X269&lt;'[1]Methods write-up'!$T$20),"Temperate seasonal","")</f>
        <v>Temperate seasonal</v>
      </c>
      <c r="BC269" s="22" t="str">
        <f>IF(AND('[1]observations-276632'!W269&gt;'[1]Methods write-up'!$Q$21,'[1]observations-276632'!W269&lt;'[1]Methods write-up'!$R$21,'[1]observations-276632'!X269&gt;'[1]Methods write-up'!$S$21,'[1]observations-276632'!X269&lt;'[1]Methods write-up'!$T$21),"Desert and high aridity","")</f>
        <v/>
      </c>
      <c r="BD269" s="23" t="str">
        <f t="shared" si="19"/>
        <v>Temperate seasonal</v>
      </c>
      <c r="BE269" s="24">
        <f t="shared" si="17"/>
        <v>30</v>
      </c>
      <c r="BF269" s="24">
        <f t="shared" si="18"/>
        <v>1</v>
      </c>
    </row>
    <row r="270" spans="1:58" ht="16.25" customHeight="1" x14ac:dyDescent="0.2">
      <c r="A270">
        <v>21396244</v>
      </c>
      <c r="B270" t="s">
        <v>1919</v>
      </c>
      <c r="C270" s="14">
        <v>43496</v>
      </c>
      <c r="D270" t="s">
        <v>1920</v>
      </c>
      <c r="E270" t="s">
        <v>193</v>
      </c>
      <c r="F270">
        <v>699971</v>
      </c>
      <c r="G270" t="s">
        <v>1898</v>
      </c>
      <c r="H270" t="s">
        <v>1899</v>
      </c>
      <c r="I270" t="s">
        <v>1921</v>
      </c>
      <c r="J270" t="s">
        <v>1922</v>
      </c>
      <c r="K270" t="s">
        <v>62</v>
      </c>
      <c r="L270" t="s">
        <v>63</v>
      </c>
      <c r="M270" t="s">
        <v>1923</v>
      </c>
      <c r="N270" t="s">
        <v>1924</v>
      </c>
      <c r="P270" t="s">
        <v>1925</v>
      </c>
      <c r="R270">
        <v>2</v>
      </c>
      <c r="S270">
        <v>0</v>
      </c>
      <c r="T270" t="b">
        <v>0</v>
      </c>
      <c r="V270" t="s">
        <v>1926</v>
      </c>
      <c r="W270" s="15">
        <v>-26.50613688</v>
      </c>
      <c r="X270" s="15">
        <v>31.199254969999998</v>
      </c>
      <c r="Y270">
        <v>122</v>
      </c>
      <c r="AC270">
        <v>122</v>
      </c>
      <c r="AF270" t="b">
        <v>0</v>
      </c>
      <c r="AI270" t="s">
        <v>71</v>
      </c>
      <c r="AJ270" t="s">
        <v>70</v>
      </c>
      <c r="AK270" t="s">
        <v>71</v>
      </c>
      <c r="AL270" t="s">
        <v>72</v>
      </c>
      <c r="AM270">
        <v>346053</v>
      </c>
      <c r="AO270" s="16" t="s">
        <v>140</v>
      </c>
      <c r="AP270" s="17" t="str">
        <f t="shared" si="16"/>
        <v>Post-emergence nest</v>
      </c>
      <c r="AQ270" s="18">
        <v>2</v>
      </c>
      <c r="AT270" s="19" t="s">
        <v>141</v>
      </c>
      <c r="AU270" s="20" t="s">
        <v>104</v>
      </c>
      <c r="AV270" s="21" t="s">
        <v>1927</v>
      </c>
      <c r="AX270" s="22" t="str">
        <f>IF(AND('[1]observations-276632'!W270&gt;'[1]Methods write-up'!$Q$16,'[1]observations-276632'!W270&lt;'[1]Methods write-up'!$R$16,'[1]observations-276632'!X270&gt;'[1]Methods write-up'!$S$16,'[1]observations-276632'!X270&lt;'[1]Methods write-up'!$T$16),"West and Central Africa","")</f>
        <v/>
      </c>
      <c r="AY270" s="22" t="str">
        <f>IF(AND('[1]observations-276632'!W270&gt;'[1]Methods write-up'!$Q$17,'[1]observations-276632'!W270&lt;'[1]Methods write-up'!$R$17,'[1]observations-276632'!X270&gt;'[1]Methods write-up'!$S$17,'[1]observations-276632'!X270&lt;'[1]Methods write-up'!$T$17),"Equatorial tropical forest","")</f>
        <v/>
      </c>
      <c r="AZ270" s="22" t="str">
        <f>IF(AND('[1]observations-276632'!W270&gt;'[1]Methods write-up'!$Q$18,'[1]observations-276632'!W270&lt;'[1]Methods write-up'!$R$18,'[1]observations-276632'!X270&gt;'[1]Methods write-up'!$S$18,'[1]observations-276632'!X270&lt;'[1]Methods write-up'!$T$18),"Somali peninsula","")</f>
        <v/>
      </c>
      <c r="BA270" s="22" t="str">
        <f>IF(AND('[1]observations-276632'!W270&gt;'[1]Methods write-up'!$Q$19,'[1]observations-276632'!W270&lt;'[1]Methods write-up'!$R$19,'[1]observations-276632'!X270&gt;'[1]Methods write-up'!$S$19,'[1]observations-276632'!X270&lt;'[1]Methods write-up'!$T$19),"East Africa","")</f>
        <v/>
      </c>
      <c r="BB270" s="22" t="str">
        <f>IF(AND('[1]observations-276632'!W270&gt;'[1]Methods write-up'!$Q$20,'[1]observations-276632'!W270&lt;'[1]Methods write-up'!$R$20,'[1]observations-276632'!X270&gt;'[1]Methods write-up'!$S$20,'[1]observations-276632'!X270&lt;'[1]Methods write-up'!$T$20),"Temperate seasonal","")</f>
        <v>Temperate seasonal</v>
      </c>
      <c r="BC270" s="22" t="str">
        <f>IF(AND('[1]observations-276632'!W270&gt;'[1]Methods write-up'!$Q$21,'[1]observations-276632'!W270&lt;'[1]Methods write-up'!$R$21,'[1]observations-276632'!X270&gt;'[1]Methods write-up'!$S$21,'[1]observations-276632'!X270&lt;'[1]Methods write-up'!$T$21),"Desert and high aridity","")</f>
        <v/>
      </c>
      <c r="BD270" s="23" t="str">
        <f t="shared" si="19"/>
        <v>Temperate seasonal</v>
      </c>
      <c r="BE270" s="24">
        <f t="shared" si="17"/>
        <v>31</v>
      </c>
      <c r="BF270" s="24">
        <f t="shared" si="18"/>
        <v>1</v>
      </c>
    </row>
    <row r="271" spans="1:58" ht="16.25" customHeight="1" x14ac:dyDescent="0.2">
      <c r="A271">
        <v>21397291</v>
      </c>
      <c r="B271" t="s">
        <v>1928</v>
      </c>
      <c r="C271" s="14">
        <v>43496</v>
      </c>
      <c r="D271" t="s">
        <v>1929</v>
      </c>
      <c r="E271" t="s">
        <v>193</v>
      </c>
      <c r="F271">
        <v>699971</v>
      </c>
      <c r="G271" t="s">
        <v>1898</v>
      </c>
      <c r="H271" t="s">
        <v>1899</v>
      </c>
      <c r="I271" t="s">
        <v>1930</v>
      </c>
      <c r="J271" t="s">
        <v>1931</v>
      </c>
      <c r="K271" t="s">
        <v>62</v>
      </c>
      <c r="L271" t="s">
        <v>63</v>
      </c>
      <c r="M271" t="s">
        <v>1932</v>
      </c>
      <c r="N271" t="s">
        <v>1933</v>
      </c>
      <c r="P271" t="s">
        <v>1904</v>
      </c>
      <c r="R271">
        <v>3</v>
      </c>
      <c r="S271">
        <v>0</v>
      </c>
      <c r="T271" t="b">
        <v>0</v>
      </c>
      <c r="V271" t="s">
        <v>1934</v>
      </c>
      <c r="W271" s="15">
        <v>-26.50606144</v>
      </c>
      <c r="X271" s="15">
        <v>31.199254969999998</v>
      </c>
      <c r="Y271">
        <v>15</v>
      </c>
      <c r="AC271">
        <v>15</v>
      </c>
      <c r="AF271" t="b">
        <v>0</v>
      </c>
      <c r="AI271" t="s">
        <v>71</v>
      </c>
      <c r="AJ271" t="s">
        <v>70</v>
      </c>
      <c r="AK271" t="s">
        <v>71</v>
      </c>
      <c r="AL271" t="s">
        <v>72</v>
      </c>
      <c r="AM271">
        <v>346053</v>
      </c>
      <c r="AO271" s="16" t="s">
        <v>150</v>
      </c>
      <c r="AP271" s="17" t="str">
        <f t="shared" si="16"/>
        <v>Male (off nest)</v>
      </c>
      <c r="AX271" s="22" t="str">
        <f>IF(AND('[1]observations-276632'!W271&gt;'[1]Methods write-up'!$Q$16,'[1]observations-276632'!W271&lt;'[1]Methods write-up'!$R$16,'[1]observations-276632'!X271&gt;'[1]Methods write-up'!$S$16,'[1]observations-276632'!X271&lt;'[1]Methods write-up'!$T$16),"West and Central Africa","")</f>
        <v/>
      </c>
      <c r="AY271" s="22" t="str">
        <f>IF(AND('[1]observations-276632'!W271&gt;'[1]Methods write-up'!$Q$17,'[1]observations-276632'!W271&lt;'[1]Methods write-up'!$R$17,'[1]observations-276632'!X271&gt;'[1]Methods write-up'!$S$17,'[1]observations-276632'!X271&lt;'[1]Methods write-up'!$T$17),"Equatorial tropical forest","")</f>
        <v/>
      </c>
      <c r="AZ271" s="22" t="str">
        <f>IF(AND('[1]observations-276632'!W271&gt;'[1]Methods write-up'!$Q$18,'[1]observations-276632'!W271&lt;'[1]Methods write-up'!$R$18,'[1]observations-276632'!X271&gt;'[1]Methods write-up'!$S$18,'[1]observations-276632'!X271&lt;'[1]Methods write-up'!$T$18),"Somali peninsula","")</f>
        <v/>
      </c>
      <c r="BA271" s="22" t="str">
        <f>IF(AND('[1]observations-276632'!W271&gt;'[1]Methods write-up'!$Q$19,'[1]observations-276632'!W271&lt;'[1]Methods write-up'!$R$19,'[1]observations-276632'!X271&gt;'[1]Methods write-up'!$S$19,'[1]observations-276632'!X271&lt;'[1]Methods write-up'!$T$19),"East Africa","")</f>
        <v/>
      </c>
      <c r="BB271" s="22" t="str">
        <f>IF(AND('[1]observations-276632'!W271&gt;'[1]Methods write-up'!$Q$20,'[1]observations-276632'!W271&lt;'[1]Methods write-up'!$R$20,'[1]observations-276632'!X271&gt;'[1]Methods write-up'!$S$20,'[1]observations-276632'!X271&lt;'[1]Methods write-up'!$T$20),"Temperate seasonal","")</f>
        <v>Temperate seasonal</v>
      </c>
      <c r="BC271" s="22" t="str">
        <f>IF(AND('[1]observations-276632'!W271&gt;'[1]Methods write-up'!$Q$21,'[1]observations-276632'!W271&lt;'[1]Methods write-up'!$R$21,'[1]observations-276632'!X271&gt;'[1]Methods write-up'!$S$21,'[1]observations-276632'!X271&lt;'[1]Methods write-up'!$T$21),"Desert and high aridity","")</f>
        <v/>
      </c>
      <c r="BD271" s="23" t="str">
        <f t="shared" si="19"/>
        <v>Temperate seasonal</v>
      </c>
      <c r="BE271" s="24">
        <f t="shared" si="17"/>
        <v>31</v>
      </c>
      <c r="BF271" s="24">
        <f t="shared" si="18"/>
        <v>1</v>
      </c>
    </row>
    <row r="272" spans="1:58" ht="16.25" customHeight="1" x14ac:dyDescent="0.2">
      <c r="A272">
        <v>21417275</v>
      </c>
      <c r="B272" s="25">
        <v>43499.338888888888</v>
      </c>
      <c r="C272" s="14">
        <v>43499</v>
      </c>
      <c r="D272" t="s">
        <v>1935</v>
      </c>
      <c r="E272" t="s">
        <v>113</v>
      </c>
      <c r="F272">
        <v>699971</v>
      </c>
      <c r="G272" t="s">
        <v>1898</v>
      </c>
      <c r="H272" t="s">
        <v>1899</v>
      </c>
      <c r="I272" t="s">
        <v>1936</v>
      </c>
      <c r="J272" t="s">
        <v>1937</v>
      </c>
      <c r="K272" t="s">
        <v>62</v>
      </c>
      <c r="L272" t="s">
        <v>63</v>
      </c>
      <c r="M272" t="s">
        <v>1938</v>
      </c>
      <c r="N272" t="s">
        <v>1939</v>
      </c>
      <c r="P272" t="s">
        <v>1940</v>
      </c>
      <c r="R272">
        <v>3</v>
      </c>
      <c r="S272">
        <v>0</v>
      </c>
      <c r="T272" t="b">
        <v>0</v>
      </c>
      <c r="V272" t="s">
        <v>1934</v>
      </c>
      <c r="W272" s="15">
        <v>-26.50608064</v>
      </c>
      <c r="X272" s="15">
        <v>31.199491009999999</v>
      </c>
      <c r="Y272">
        <v>15</v>
      </c>
      <c r="AC272">
        <v>15</v>
      </c>
      <c r="AF272" t="b">
        <v>0</v>
      </c>
      <c r="AI272" t="s">
        <v>71</v>
      </c>
      <c r="AJ272" t="s">
        <v>70</v>
      </c>
      <c r="AK272" t="s">
        <v>71</v>
      </c>
      <c r="AL272" t="s">
        <v>72</v>
      </c>
      <c r="AM272">
        <v>346053</v>
      </c>
      <c r="AO272" s="16" t="s">
        <v>110</v>
      </c>
      <c r="AP272" s="17" t="str">
        <f t="shared" si="16"/>
        <v>Nest (foundress)</v>
      </c>
      <c r="AQ272" s="18">
        <v>3</v>
      </c>
      <c r="AT272" s="19" t="s">
        <v>104</v>
      </c>
      <c r="AX272" s="22" t="str">
        <f>IF(AND('[1]observations-276632'!W272&gt;'[1]Methods write-up'!$Q$16,'[1]observations-276632'!W272&lt;'[1]Methods write-up'!$R$16,'[1]observations-276632'!X272&gt;'[1]Methods write-up'!$S$16,'[1]observations-276632'!X272&lt;'[1]Methods write-up'!$T$16),"West and Central Africa","")</f>
        <v/>
      </c>
      <c r="AY272" s="22" t="str">
        <f>IF(AND('[1]observations-276632'!W272&gt;'[1]Methods write-up'!$Q$17,'[1]observations-276632'!W272&lt;'[1]Methods write-up'!$R$17,'[1]observations-276632'!X272&gt;'[1]Methods write-up'!$S$17,'[1]observations-276632'!X272&lt;'[1]Methods write-up'!$T$17),"Equatorial tropical forest","")</f>
        <v/>
      </c>
      <c r="AZ272" s="22" t="str">
        <f>IF(AND('[1]observations-276632'!W272&gt;'[1]Methods write-up'!$Q$18,'[1]observations-276632'!W272&lt;'[1]Methods write-up'!$R$18,'[1]observations-276632'!X272&gt;'[1]Methods write-up'!$S$18,'[1]observations-276632'!X272&lt;'[1]Methods write-up'!$T$18),"Somali peninsula","")</f>
        <v/>
      </c>
      <c r="BA272" s="22" t="str">
        <f>IF(AND('[1]observations-276632'!W272&gt;'[1]Methods write-up'!$Q$19,'[1]observations-276632'!W272&lt;'[1]Methods write-up'!$R$19,'[1]observations-276632'!X272&gt;'[1]Methods write-up'!$S$19,'[1]observations-276632'!X272&lt;'[1]Methods write-up'!$T$19),"East Africa","")</f>
        <v/>
      </c>
      <c r="BB272" s="22" t="str">
        <f>IF(AND('[1]observations-276632'!W272&gt;'[1]Methods write-up'!$Q$20,'[1]observations-276632'!W272&lt;'[1]Methods write-up'!$R$20,'[1]observations-276632'!X272&gt;'[1]Methods write-up'!$S$20,'[1]observations-276632'!X272&lt;'[1]Methods write-up'!$T$20),"Temperate seasonal","")</f>
        <v>Temperate seasonal</v>
      </c>
      <c r="BC272" s="22" t="str">
        <f>IF(AND('[1]observations-276632'!W272&gt;'[1]Methods write-up'!$Q$21,'[1]observations-276632'!W272&lt;'[1]Methods write-up'!$R$21,'[1]observations-276632'!X272&gt;'[1]Methods write-up'!$S$21,'[1]observations-276632'!X272&lt;'[1]Methods write-up'!$T$21),"Desert and high aridity","")</f>
        <v/>
      </c>
      <c r="BD272" s="23" t="str">
        <f t="shared" si="19"/>
        <v>Temperate seasonal</v>
      </c>
      <c r="BE272" s="24">
        <f t="shared" si="17"/>
        <v>3</v>
      </c>
      <c r="BF272" s="24">
        <f t="shared" si="18"/>
        <v>2</v>
      </c>
    </row>
    <row r="273" spans="1:58" ht="16.25" customHeight="1" x14ac:dyDescent="0.2">
      <c r="A273">
        <v>21461676</v>
      </c>
      <c r="B273" s="25">
        <v>43500.386111111111</v>
      </c>
      <c r="C273" s="14">
        <v>43500</v>
      </c>
      <c r="D273" t="s">
        <v>1941</v>
      </c>
      <c r="E273" t="s">
        <v>113</v>
      </c>
      <c r="F273">
        <v>699971</v>
      </c>
      <c r="G273" t="s">
        <v>1898</v>
      </c>
      <c r="H273" t="s">
        <v>1899</v>
      </c>
      <c r="I273" t="s">
        <v>1942</v>
      </c>
      <c r="J273" t="s">
        <v>1943</v>
      </c>
      <c r="K273" t="s">
        <v>62</v>
      </c>
      <c r="L273" t="s">
        <v>63</v>
      </c>
      <c r="M273" t="s">
        <v>1944</v>
      </c>
      <c r="N273" t="s">
        <v>1945</v>
      </c>
      <c r="P273" t="s">
        <v>1918</v>
      </c>
      <c r="R273">
        <v>3</v>
      </c>
      <c r="S273">
        <v>0</v>
      </c>
      <c r="T273" t="b">
        <v>0</v>
      </c>
      <c r="V273" t="s">
        <v>1946</v>
      </c>
      <c r="W273" s="15">
        <v>-29.54034261</v>
      </c>
      <c r="X273" s="15">
        <v>31.213626040000001</v>
      </c>
      <c r="Y273">
        <v>31</v>
      </c>
      <c r="AC273">
        <v>31</v>
      </c>
      <c r="AF273" t="b">
        <v>0</v>
      </c>
      <c r="AI273" t="s">
        <v>71</v>
      </c>
      <c r="AJ273" t="s">
        <v>70</v>
      </c>
      <c r="AK273" t="s">
        <v>71</v>
      </c>
      <c r="AL273" t="s">
        <v>72</v>
      </c>
      <c r="AM273">
        <v>346053</v>
      </c>
      <c r="AO273" s="16" t="s">
        <v>73</v>
      </c>
      <c r="AP273" s="17" t="str">
        <f t="shared" si="16"/>
        <v>Off-nest female</v>
      </c>
      <c r="AX273" s="22" t="str">
        <f>IF(AND('[1]observations-276632'!W273&gt;'[1]Methods write-up'!$Q$16,'[1]observations-276632'!W273&lt;'[1]Methods write-up'!$R$16,'[1]observations-276632'!X273&gt;'[1]Methods write-up'!$S$16,'[1]observations-276632'!X273&lt;'[1]Methods write-up'!$T$16),"West and Central Africa","")</f>
        <v/>
      </c>
      <c r="AY273" s="22" t="str">
        <f>IF(AND('[1]observations-276632'!W273&gt;'[1]Methods write-up'!$Q$17,'[1]observations-276632'!W273&lt;'[1]Methods write-up'!$R$17,'[1]observations-276632'!X273&gt;'[1]Methods write-up'!$S$17,'[1]observations-276632'!X273&lt;'[1]Methods write-up'!$T$17),"Equatorial tropical forest","")</f>
        <v/>
      </c>
      <c r="AZ273" s="22" t="str">
        <f>IF(AND('[1]observations-276632'!W273&gt;'[1]Methods write-up'!$Q$18,'[1]observations-276632'!W273&lt;'[1]Methods write-up'!$R$18,'[1]observations-276632'!X273&gt;'[1]Methods write-up'!$S$18,'[1]observations-276632'!X273&lt;'[1]Methods write-up'!$T$18),"Somali peninsula","")</f>
        <v/>
      </c>
      <c r="BA273" s="22" t="str">
        <f>IF(AND('[1]observations-276632'!W273&gt;'[1]Methods write-up'!$Q$19,'[1]observations-276632'!W273&lt;'[1]Methods write-up'!$R$19,'[1]observations-276632'!X273&gt;'[1]Methods write-up'!$S$19,'[1]observations-276632'!X273&lt;'[1]Methods write-up'!$T$19),"East Africa","")</f>
        <v/>
      </c>
      <c r="BB273" s="22" t="str">
        <f>IF(AND('[1]observations-276632'!W273&gt;'[1]Methods write-up'!$Q$20,'[1]observations-276632'!W273&lt;'[1]Methods write-up'!$R$20,'[1]observations-276632'!X273&gt;'[1]Methods write-up'!$S$20,'[1]observations-276632'!X273&lt;'[1]Methods write-up'!$T$20),"Temperate seasonal","")</f>
        <v>Temperate seasonal</v>
      </c>
      <c r="BC273" s="22" t="str">
        <f>IF(AND('[1]observations-276632'!W273&gt;'[1]Methods write-up'!$Q$21,'[1]observations-276632'!W273&lt;'[1]Methods write-up'!$R$21,'[1]observations-276632'!X273&gt;'[1]Methods write-up'!$S$21,'[1]observations-276632'!X273&lt;'[1]Methods write-up'!$T$21),"Desert and high aridity","")</f>
        <v/>
      </c>
      <c r="BD273" s="23" t="str">
        <f t="shared" si="19"/>
        <v>Temperate seasonal</v>
      </c>
      <c r="BE273" s="24">
        <f t="shared" si="17"/>
        <v>4</v>
      </c>
      <c r="BF273" s="24">
        <f t="shared" si="18"/>
        <v>2</v>
      </c>
    </row>
    <row r="274" spans="1:58" ht="16.25" customHeight="1" x14ac:dyDescent="0.2">
      <c r="A274">
        <v>21488610</v>
      </c>
      <c r="B274" s="25">
        <v>43542.713194444441</v>
      </c>
      <c r="C274" s="14">
        <v>43542</v>
      </c>
      <c r="D274" t="s">
        <v>1947</v>
      </c>
      <c r="E274" t="s">
        <v>113</v>
      </c>
      <c r="F274">
        <v>552380</v>
      </c>
      <c r="G274" t="s">
        <v>1948</v>
      </c>
      <c r="H274" t="s">
        <v>1949</v>
      </c>
      <c r="I274" t="s">
        <v>1950</v>
      </c>
      <c r="J274" t="s">
        <v>1951</v>
      </c>
      <c r="K274" t="s">
        <v>62</v>
      </c>
      <c r="L274" t="s">
        <v>98</v>
      </c>
      <c r="M274" t="s">
        <v>1952</v>
      </c>
      <c r="N274" t="s">
        <v>1953</v>
      </c>
      <c r="R274">
        <v>3</v>
      </c>
      <c r="S274">
        <v>0</v>
      </c>
      <c r="T274" t="b">
        <v>0</v>
      </c>
      <c r="U274">
        <v>179</v>
      </c>
      <c r="V274" t="s">
        <v>1954</v>
      </c>
      <c r="W274" s="15">
        <v>-33.749902779999999</v>
      </c>
      <c r="X274" s="15">
        <v>26.533502779999999</v>
      </c>
      <c r="Y274">
        <v>10</v>
      </c>
      <c r="AC274">
        <v>10</v>
      </c>
      <c r="AF274" t="b">
        <v>0</v>
      </c>
      <c r="AI274" t="s">
        <v>71</v>
      </c>
      <c r="AJ274" t="s">
        <v>70</v>
      </c>
      <c r="AK274" t="s">
        <v>71</v>
      </c>
      <c r="AL274" t="s">
        <v>72</v>
      </c>
      <c r="AM274">
        <v>346053</v>
      </c>
      <c r="AO274" s="16" t="s">
        <v>73</v>
      </c>
      <c r="AP274" s="17" t="str">
        <f t="shared" si="16"/>
        <v>Off-nest female</v>
      </c>
      <c r="AX274" s="22" t="str">
        <f>IF(AND('[1]observations-276632'!W274&gt;'[1]Methods write-up'!$Q$16,'[1]observations-276632'!W274&lt;'[1]Methods write-up'!$R$16,'[1]observations-276632'!X274&gt;'[1]Methods write-up'!$S$16,'[1]observations-276632'!X274&lt;'[1]Methods write-up'!$T$16),"West and Central Africa","")</f>
        <v/>
      </c>
      <c r="AY274" s="22" t="str">
        <f>IF(AND('[1]observations-276632'!W274&gt;'[1]Methods write-up'!$Q$17,'[1]observations-276632'!W274&lt;'[1]Methods write-up'!$R$17,'[1]observations-276632'!X274&gt;'[1]Methods write-up'!$S$17,'[1]observations-276632'!X274&lt;'[1]Methods write-up'!$T$17),"Equatorial tropical forest","")</f>
        <v/>
      </c>
      <c r="AZ274" s="22" t="str">
        <f>IF(AND('[1]observations-276632'!W274&gt;'[1]Methods write-up'!$Q$18,'[1]observations-276632'!W274&lt;'[1]Methods write-up'!$R$18,'[1]observations-276632'!X274&gt;'[1]Methods write-up'!$S$18,'[1]observations-276632'!X274&lt;'[1]Methods write-up'!$T$18),"Somali peninsula","")</f>
        <v/>
      </c>
      <c r="BA274" s="22" t="str">
        <f>IF(AND('[1]observations-276632'!W274&gt;'[1]Methods write-up'!$Q$19,'[1]observations-276632'!W274&lt;'[1]Methods write-up'!$R$19,'[1]observations-276632'!X274&gt;'[1]Methods write-up'!$S$19,'[1]observations-276632'!X274&lt;'[1]Methods write-up'!$T$19),"East Africa","")</f>
        <v/>
      </c>
      <c r="BB274" s="22" t="str">
        <f>IF(AND('[1]observations-276632'!W274&gt;'[1]Methods write-up'!$Q$20,'[1]observations-276632'!W274&lt;'[1]Methods write-up'!$R$20,'[1]observations-276632'!X274&gt;'[1]Methods write-up'!$S$20,'[1]observations-276632'!X274&lt;'[1]Methods write-up'!$T$20),"Temperate seasonal","")</f>
        <v/>
      </c>
      <c r="BC274" s="22" t="str">
        <f>IF(AND('[1]observations-276632'!W274&gt;'[1]Methods write-up'!$Q$21,'[1]observations-276632'!W274&lt;'[1]Methods write-up'!$R$21,'[1]observations-276632'!X274&gt;'[1]Methods write-up'!$S$21,'[1]observations-276632'!X274&lt;'[1]Methods write-up'!$T$21),"Desert and high aridity","")</f>
        <v/>
      </c>
      <c r="BD274" s="23" t="str">
        <f t="shared" si="19"/>
        <v/>
      </c>
      <c r="BE274" s="24">
        <f t="shared" si="17"/>
        <v>18</v>
      </c>
      <c r="BF274" s="24">
        <f t="shared" si="18"/>
        <v>3</v>
      </c>
    </row>
    <row r="275" spans="1:58" ht="16.25" customHeight="1" x14ac:dyDescent="0.2">
      <c r="A275">
        <v>21606076</v>
      </c>
      <c r="B275" t="s">
        <v>1955</v>
      </c>
      <c r="C275" s="14">
        <v>43535</v>
      </c>
      <c r="D275" t="s">
        <v>1956</v>
      </c>
      <c r="E275" t="s">
        <v>1957</v>
      </c>
      <c r="F275">
        <v>1369015</v>
      </c>
      <c r="G275" t="s">
        <v>1958</v>
      </c>
      <c r="H275" t="s">
        <v>1959</v>
      </c>
      <c r="I275" t="s">
        <v>1960</v>
      </c>
      <c r="J275" t="s">
        <v>1961</v>
      </c>
      <c r="K275" t="s">
        <v>157</v>
      </c>
      <c r="L275" t="s">
        <v>63</v>
      </c>
      <c r="M275" t="s">
        <v>1962</v>
      </c>
      <c r="N275" t="s">
        <v>1963</v>
      </c>
      <c r="R275">
        <v>1</v>
      </c>
      <c r="S275">
        <v>0</v>
      </c>
      <c r="T275" t="b">
        <v>0</v>
      </c>
      <c r="V275" t="s">
        <v>1964</v>
      </c>
      <c r="W275" s="15">
        <v>-26.66532737</v>
      </c>
      <c r="X275" s="15">
        <v>16.25971492</v>
      </c>
      <c r="Y275">
        <v>148</v>
      </c>
      <c r="AC275">
        <v>148</v>
      </c>
      <c r="AF275" t="b">
        <v>0</v>
      </c>
      <c r="AI275" t="s">
        <v>756</v>
      </c>
      <c r="AJ275" t="s">
        <v>756</v>
      </c>
      <c r="AL275" t="s">
        <v>72</v>
      </c>
      <c r="AM275">
        <v>652800</v>
      </c>
      <c r="AO275" s="16" t="s">
        <v>73</v>
      </c>
      <c r="AP275" s="17" t="str">
        <f t="shared" si="16"/>
        <v>Off-nest female</v>
      </c>
      <c r="AX275" s="22" t="str">
        <f>IF(AND('[1]observations-276632'!W275&gt;'[1]Methods write-up'!$Q$16,'[1]observations-276632'!W275&lt;'[1]Methods write-up'!$R$16,'[1]observations-276632'!X275&gt;'[1]Methods write-up'!$S$16,'[1]observations-276632'!X275&lt;'[1]Methods write-up'!$T$16),"West and Central Africa","")</f>
        <v/>
      </c>
      <c r="AY275" s="22" t="str">
        <f>IF(AND('[1]observations-276632'!W275&gt;'[1]Methods write-up'!$Q$17,'[1]observations-276632'!W275&lt;'[1]Methods write-up'!$R$17,'[1]observations-276632'!X275&gt;'[1]Methods write-up'!$S$17,'[1]observations-276632'!X275&lt;'[1]Methods write-up'!$T$17),"Equatorial tropical forest","")</f>
        <v/>
      </c>
      <c r="AZ275" s="22" t="str">
        <f>IF(AND('[1]observations-276632'!W275&gt;'[1]Methods write-up'!$Q$18,'[1]observations-276632'!W275&lt;'[1]Methods write-up'!$R$18,'[1]observations-276632'!X275&gt;'[1]Methods write-up'!$S$18,'[1]observations-276632'!X275&lt;'[1]Methods write-up'!$T$18),"Somali peninsula","")</f>
        <v/>
      </c>
      <c r="BA275" s="22" t="str">
        <f>IF(AND('[1]observations-276632'!W275&gt;'[1]Methods write-up'!$Q$19,'[1]observations-276632'!W275&lt;'[1]Methods write-up'!$R$19,'[1]observations-276632'!X275&gt;'[1]Methods write-up'!$S$19,'[1]observations-276632'!X275&lt;'[1]Methods write-up'!$T$19),"East Africa","")</f>
        <v/>
      </c>
      <c r="BB275" s="22" t="str">
        <f>IF(AND('[1]observations-276632'!W275&gt;'[1]Methods write-up'!$Q$20,'[1]observations-276632'!W275&lt;'[1]Methods write-up'!$R$20,'[1]observations-276632'!X275&gt;'[1]Methods write-up'!$S$20,'[1]observations-276632'!X275&lt;'[1]Methods write-up'!$T$20),"Temperate seasonal","")</f>
        <v/>
      </c>
      <c r="BC275" s="22" t="str">
        <f>IF(AND('[1]observations-276632'!W275&gt;'[1]Methods write-up'!$Q$21,'[1]observations-276632'!W275&lt;'[1]Methods write-up'!$R$21,'[1]observations-276632'!X275&gt;'[1]Methods write-up'!$S$21,'[1]observations-276632'!X275&lt;'[1]Methods write-up'!$T$21),"Desert and high aridity","")</f>
        <v>Desert and high aridity</v>
      </c>
      <c r="BD275" s="23" t="str">
        <f t="shared" si="19"/>
        <v>Desert and high aridity</v>
      </c>
      <c r="BE275" s="24">
        <f t="shared" si="17"/>
        <v>11</v>
      </c>
      <c r="BF275" s="24">
        <f t="shared" si="18"/>
        <v>3</v>
      </c>
    </row>
    <row r="276" spans="1:58" ht="16.25" customHeight="1" x14ac:dyDescent="0.2">
      <c r="A276">
        <v>21661088</v>
      </c>
      <c r="B276" t="s">
        <v>1965</v>
      </c>
      <c r="C276" s="14">
        <v>43537</v>
      </c>
      <c r="D276" t="s">
        <v>1966</v>
      </c>
      <c r="E276" t="s">
        <v>1957</v>
      </c>
      <c r="F276">
        <v>1369015</v>
      </c>
      <c r="G276" t="s">
        <v>1958</v>
      </c>
      <c r="H276" t="s">
        <v>1959</v>
      </c>
      <c r="I276" t="s">
        <v>1967</v>
      </c>
      <c r="J276" t="s">
        <v>1968</v>
      </c>
      <c r="K276" t="s">
        <v>157</v>
      </c>
      <c r="L276" t="s">
        <v>63</v>
      </c>
      <c r="M276" t="s">
        <v>1969</v>
      </c>
      <c r="N276" t="s">
        <v>1970</v>
      </c>
      <c r="R276">
        <v>2</v>
      </c>
      <c r="S276">
        <v>0</v>
      </c>
      <c r="T276" t="b">
        <v>0</v>
      </c>
      <c r="V276" t="s">
        <v>1971</v>
      </c>
      <c r="W276" s="15">
        <v>-25.89092565</v>
      </c>
      <c r="X276" s="15">
        <v>16.823096150000001</v>
      </c>
      <c r="Y276">
        <v>15</v>
      </c>
      <c r="AC276">
        <v>15</v>
      </c>
      <c r="AF276" t="b">
        <v>0</v>
      </c>
      <c r="AI276" t="s">
        <v>70</v>
      </c>
      <c r="AJ276" t="s">
        <v>70</v>
      </c>
      <c r="AK276" t="s">
        <v>71</v>
      </c>
      <c r="AL276" t="s">
        <v>72</v>
      </c>
      <c r="AM276">
        <v>346053</v>
      </c>
      <c r="AO276" s="16" t="s">
        <v>818</v>
      </c>
      <c r="AP276" s="17" t="str">
        <f t="shared" si="16"/>
        <v>Abandoned post-emergence nest</v>
      </c>
      <c r="AX276" s="22" t="str">
        <f>IF(AND('[1]observations-276632'!W276&gt;'[1]Methods write-up'!$Q$16,'[1]observations-276632'!W276&lt;'[1]Methods write-up'!$R$16,'[1]observations-276632'!X276&gt;'[1]Methods write-up'!$S$16,'[1]observations-276632'!X276&lt;'[1]Methods write-up'!$T$16),"West and Central Africa","")</f>
        <v/>
      </c>
      <c r="AY276" s="22" t="str">
        <f>IF(AND('[1]observations-276632'!W276&gt;'[1]Methods write-up'!$Q$17,'[1]observations-276632'!W276&lt;'[1]Methods write-up'!$R$17,'[1]observations-276632'!X276&gt;'[1]Methods write-up'!$S$17,'[1]observations-276632'!X276&lt;'[1]Methods write-up'!$T$17),"Equatorial tropical forest","")</f>
        <v/>
      </c>
      <c r="AZ276" s="22" t="str">
        <f>IF(AND('[1]observations-276632'!W276&gt;'[1]Methods write-up'!$Q$18,'[1]observations-276632'!W276&lt;'[1]Methods write-up'!$R$18,'[1]observations-276632'!X276&gt;'[1]Methods write-up'!$S$18,'[1]observations-276632'!X276&lt;'[1]Methods write-up'!$T$18),"Somali peninsula","")</f>
        <v/>
      </c>
      <c r="BA276" s="22" t="str">
        <f>IF(AND('[1]observations-276632'!W276&gt;'[1]Methods write-up'!$Q$19,'[1]observations-276632'!W276&lt;'[1]Methods write-up'!$R$19,'[1]observations-276632'!X276&gt;'[1]Methods write-up'!$S$19,'[1]observations-276632'!X276&lt;'[1]Methods write-up'!$T$19),"East Africa","")</f>
        <v/>
      </c>
      <c r="BB276" s="22" t="str">
        <f>IF(AND('[1]observations-276632'!W276&gt;'[1]Methods write-up'!$Q$20,'[1]observations-276632'!W276&lt;'[1]Methods write-up'!$R$20,'[1]observations-276632'!X276&gt;'[1]Methods write-up'!$S$20,'[1]observations-276632'!X276&lt;'[1]Methods write-up'!$T$20),"Temperate seasonal","")</f>
        <v/>
      </c>
      <c r="BC276" s="22" t="str">
        <f>IF(AND('[1]observations-276632'!W276&gt;'[1]Methods write-up'!$Q$21,'[1]observations-276632'!W276&lt;'[1]Methods write-up'!$R$21,'[1]observations-276632'!X276&gt;'[1]Methods write-up'!$S$21,'[1]observations-276632'!X276&lt;'[1]Methods write-up'!$T$21),"Desert and high aridity","")</f>
        <v>Desert and high aridity</v>
      </c>
      <c r="BD276" s="23" t="str">
        <f t="shared" si="19"/>
        <v>Desert and high aridity</v>
      </c>
      <c r="BE276" s="24">
        <f t="shared" si="17"/>
        <v>13</v>
      </c>
      <c r="BF276" s="24">
        <f t="shared" si="18"/>
        <v>3</v>
      </c>
    </row>
    <row r="277" spans="1:58" ht="16.25" customHeight="1" x14ac:dyDescent="0.2">
      <c r="A277">
        <v>21675734</v>
      </c>
      <c r="B277" t="s">
        <v>1972</v>
      </c>
      <c r="C277" s="14">
        <v>43506</v>
      </c>
      <c r="D277" t="s">
        <v>1973</v>
      </c>
      <c r="E277" t="s">
        <v>193</v>
      </c>
      <c r="F277">
        <v>699971</v>
      </c>
      <c r="G277" t="s">
        <v>1898</v>
      </c>
      <c r="H277" t="s">
        <v>1899</v>
      </c>
      <c r="I277" t="s">
        <v>1974</v>
      </c>
      <c r="J277" t="s">
        <v>1975</v>
      </c>
      <c r="K277" t="s">
        <v>62</v>
      </c>
      <c r="L277" t="s">
        <v>63</v>
      </c>
      <c r="M277" t="s">
        <v>1976</v>
      </c>
      <c r="N277" t="s">
        <v>1977</v>
      </c>
      <c r="P277" t="s">
        <v>1918</v>
      </c>
      <c r="R277">
        <v>6</v>
      </c>
      <c r="S277">
        <v>0</v>
      </c>
      <c r="T277" t="b">
        <v>0</v>
      </c>
      <c r="V277" t="s">
        <v>1978</v>
      </c>
      <c r="W277" s="15">
        <v>-30.9212147</v>
      </c>
      <c r="X277" s="15">
        <v>30.295232599999999</v>
      </c>
      <c r="Y277">
        <v>161</v>
      </c>
      <c r="AC277">
        <v>161</v>
      </c>
      <c r="AF277" t="b">
        <v>0</v>
      </c>
      <c r="AI277" t="s">
        <v>71</v>
      </c>
      <c r="AJ277" t="s">
        <v>70</v>
      </c>
      <c r="AK277" t="s">
        <v>71</v>
      </c>
      <c r="AL277" t="s">
        <v>72</v>
      </c>
      <c r="AM277">
        <v>346053</v>
      </c>
      <c r="AO277" s="16" t="s">
        <v>140</v>
      </c>
      <c r="AP277" s="17" t="str">
        <f t="shared" si="16"/>
        <v>Post-emergence nest</v>
      </c>
      <c r="AQ277" s="18">
        <v>3</v>
      </c>
      <c r="AT277" s="19" t="s">
        <v>104</v>
      </c>
      <c r="AU277" s="20" t="s">
        <v>141</v>
      </c>
      <c r="AX277" s="22" t="str">
        <f>IF(AND('[1]observations-276632'!W277&gt;'[1]Methods write-up'!$Q$16,'[1]observations-276632'!W277&lt;'[1]Methods write-up'!$R$16,'[1]observations-276632'!X277&gt;'[1]Methods write-up'!$S$16,'[1]observations-276632'!X277&lt;'[1]Methods write-up'!$T$16),"West and Central Africa","")</f>
        <v/>
      </c>
      <c r="AY277" s="22" t="str">
        <f>IF(AND('[1]observations-276632'!W277&gt;'[1]Methods write-up'!$Q$17,'[1]observations-276632'!W277&lt;'[1]Methods write-up'!$R$17,'[1]observations-276632'!X277&gt;'[1]Methods write-up'!$S$17,'[1]observations-276632'!X277&lt;'[1]Methods write-up'!$T$17),"Equatorial tropical forest","")</f>
        <v/>
      </c>
      <c r="AZ277" s="22" t="str">
        <f>IF(AND('[1]observations-276632'!W277&gt;'[1]Methods write-up'!$Q$18,'[1]observations-276632'!W277&lt;'[1]Methods write-up'!$R$18,'[1]observations-276632'!X277&gt;'[1]Methods write-up'!$S$18,'[1]observations-276632'!X277&lt;'[1]Methods write-up'!$T$18),"Somali peninsula","")</f>
        <v/>
      </c>
      <c r="BA277" s="22" t="str">
        <f>IF(AND('[1]observations-276632'!W277&gt;'[1]Methods write-up'!$Q$19,'[1]observations-276632'!W277&lt;'[1]Methods write-up'!$R$19,'[1]observations-276632'!X277&gt;'[1]Methods write-up'!$S$19,'[1]observations-276632'!X277&lt;'[1]Methods write-up'!$T$19),"East Africa","")</f>
        <v/>
      </c>
      <c r="BB277" s="22" t="str">
        <f>IF(AND('[1]observations-276632'!W277&gt;'[1]Methods write-up'!$Q$20,'[1]observations-276632'!W277&lt;'[1]Methods write-up'!$R$20,'[1]observations-276632'!X277&gt;'[1]Methods write-up'!$S$20,'[1]observations-276632'!X277&lt;'[1]Methods write-up'!$T$20),"Temperate seasonal","")</f>
        <v>Temperate seasonal</v>
      </c>
      <c r="BC277" s="22" t="str">
        <f>IF(AND('[1]observations-276632'!W277&gt;'[1]Methods write-up'!$Q$21,'[1]observations-276632'!W277&lt;'[1]Methods write-up'!$R$21,'[1]observations-276632'!X277&gt;'[1]Methods write-up'!$S$21,'[1]observations-276632'!X277&lt;'[1]Methods write-up'!$T$21),"Desert and high aridity","")</f>
        <v/>
      </c>
      <c r="BD277" s="23" t="str">
        <f t="shared" si="19"/>
        <v>Temperate seasonal</v>
      </c>
      <c r="BE277" s="24">
        <f t="shared" si="17"/>
        <v>10</v>
      </c>
      <c r="BF277" s="24">
        <f t="shared" si="18"/>
        <v>2</v>
      </c>
    </row>
    <row r="278" spans="1:58" ht="16.25" customHeight="1" x14ac:dyDescent="0.2">
      <c r="A278">
        <v>22128539</v>
      </c>
      <c r="B278" t="s">
        <v>1979</v>
      </c>
      <c r="C278" s="14">
        <v>43561</v>
      </c>
      <c r="D278" t="s">
        <v>1980</v>
      </c>
      <c r="E278" t="s">
        <v>113</v>
      </c>
      <c r="F278">
        <v>662724</v>
      </c>
      <c r="G278" t="s">
        <v>903</v>
      </c>
      <c r="H278" t="s">
        <v>904</v>
      </c>
      <c r="I278" t="s">
        <v>1981</v>
      </c>
      <c r="J278" t="s">
        <v>1982</v>
      </c>
      <c r="K278" t="s">
        <v>62</v>
      </c>
      <c r="L278" t="s">
        <v>63</v>
      </c>
      <c r="M278" t="s">
        <v>1983</v>
      </c>
      <c r="N278" t="s">
        <v>1984</v>
      </c>
      <c r="Q278" s="26" t="s">
        <v>1985</v>
      </c>
      <c r="R278">
        <v>2</v>
      </c>
      <c r="S278">
        <v>0</v>
      </c>
      <c r="T278" t="b">
        <v>0</v>
      </c>
      <c r="V278" t="s">
        <v>1146</v>
      </c>
      <c r="W278" s="15">
        <v>-30.301164010000001</v>
      </c>
      <c r="X278" s="15">
        <v>30.742528239999999</v>
      </c>
      <c r="Y278">
        <v>2</v>
      </c>
      <c r="AC278">
        <v>2</v>
      </c>
      <c r="AF278" t="b">
        <v>0</v>
      </c>
      <c r="AI278" t="s">
        <v>71</v>
      </c>
      <c r="AJ278" t="s">
        <v>70</v>
      </c>
      <c r="AK278" t="s">
        <v>71</v>
      </c>
      <c r="AL278" t="s">
        <v>72</v>
      </c>
      <c r="AM278">
        <v>346053</v>
      </c>
      <c r="AO278" s="16" t="s">
        <v>73</v>
      </c>
      <c r="AP278" s="17" t="str">
        <f t="shared" si="16"/>
        <v>Off-nest female</v>
      </c>
      <c r="AX278" s="22" t="str">
        <f>IF(AND('[1]observations-276632'!W278&gt;'[1]Methods write-up'!$Q$16,'[1]observations-276632'!W278&lt;'[1]Methods write-up'!$R$16,'[1]observations-276632'!X278&gt;'[1]Methods write-up'!$S$16,'[1]observations-276632'!X278&lt;'[1]Methods write-up'!$T$16),"West and Central Africa","")</f>
        <v/>
      </c>
      <c r="AY278" s="22" t="str">
        <f>IF(AND('[1]observations-276632'!W278&gt;'[1]Methods write-up'!$Q$17,'[1]observations-276632'!W278&lt;'[1]Methods write-up'!$R$17,'[1]observations-276632'!X278&gt;'[1]Methods write-up'!$S$17,'[1]observations-276632'!X278&lt;'[1]Methods write-up'!$T$17),"Equatorial tropical forest","")</f>
        <v/>
      </c>
      <c r="AZ278" s="22" t="str">
        <f>IF(AND('[1]observations-276632'!W278&gt;'[1]Methods write-up'!$Q$18,'[1]observations-276632'!W278&lt;'[1]Methods write-up'!$R$18,'[1]observations-276632'!X278&gt;'[1]Methods write-up'!$S$18,'[1]observations-276632'!X278&lt;'[1]Methods write-up'!$T$18),"Somali peninsula","")</f>
        <v/>
      </c>
      <c r="BA278" s="22" t="str">
        <f>IF(AND('[1]observations-276632'!W278&gt;'[1]Methods write-up'!$Q$19,'[1]observations-276632'!W278&lt;'[1]Methods write-up'!$R$19,'[1]observations-276632'!X278&gt;'[1]Methods write-up'!$S$19,'[1]observations-276632'!X278&lt;'[1]Methods write-up'!$T$19),"East Africa","")</f>
        <v/>
      </c>
      <c r="BB278" s="22" t="str">
        <f>IF(AND('[1]observations-276632'!W278&gt;'[1]Methods write-up'!$Q$20,'[1]observations-276632'!W278&lt;'[1]Methods write-up'!$R$20,'[1]observations-276632'!X278&gt;'[1]Methods write-up'!$S$20,'[1]observations-276632'!X278&lt;'[1]Methods write-up'!$T$20),"Temperate seasonal","")</f>
        <v>Temperate seasonal</v>
      </c>
      <c r="BC278" s="22" t="str">
        <f>IF(AND('[1]observations-276632'!W278&gt;'[1]Methods write-up'!$Q$21,'[1]observations-276632'!W278&lt;'[1]Methods write-up'!$R$21,'[1]observations-276632'!X278&gt;'[1]Methods write-up'!$S$21,'[1]observations-276632'!X278&lt;'[1]Methods write-up'!$T$21),"Desert and high aridity","")</f>
        <v/>
      </c>
      <c r="BD278" s="23" t="str">
        <f t="shared" si="19"/>
        <v>Temperate seasonal</v>
      </c>
      <c r="BE278" s="24">
        <f t="shared" si="17"/>
        <v>6</v>
      </c>
      <c r="BF278" s="24">
        <f t="shared" si="18"/>
        <v>4</v>
      </c>
    </row>
    <row r="279" spans="1:58" ht="16.25" customHeight="1" x14ac:dyDescent="0.2">
      <c r="A279">
        <v>22254010</v>
      </c>
      <c r="B279" t="s">
        <v>1986</v>
      </c>
      <c r="C279" s="14">
        <v>40370</v>
      </c>
      <c r="D279" t="s">
        <v>1987</v>
      </c>
      <c r="E279" t="s">
        <v>1988</v>
      </c>
      <c r="F279">
        <v>1585396</v>
      </c>
      <c r="G279" t="s">
        <v>1989</v>
      </c>
      <c r="H279" t="s">
        <v>1990</v>
      </c>
      <c r="I279" t="s">
        <v>1991</v>
      </c>
      <c r="J279" t="s">
        <v>1992</v>
      </c>
      <c r="K279" t="s">
        <v>62</v>
      </c>
      <c r="M279" t="s">
        <v>1993</v>
      </c>
      <c r="N279" t="s">
        <v>1994</v>
      </c>
      <c r="R279">
        <v>2</v>
      </c>
      <c r="S279">
        <v>0</v>
      </c>
      <c r="T279" t="b">
        <v>0</v>
      </c>
      <c r="U279">
        <v>2</v>
      </c>
      <c r="V279" t="s">
        <v>1995</v>
      </c>
      <c r="W279" s="15">
        <v>-11.8239851</v>
      </c>
      <c r="X279" s="15">
        <v>34.177458620000003</v>
      </c>
      <c r="Y279">
        <v>704</v>
      </c>
      <c r="AC279">
        <v>704</v>
      </c>
      <c r="AF279" t="b">
        <v>0</v>
      </c>
      <c r="AG279" t="s">
        <v>350</v>
      </c>
      <c r="AH279" t="s">
        <v>350</v>
      </c>
      <c r="AI279" t="s">
        <v>71</v>
      </c>
      <c r="AJ279" t="s">
        <v>70</v>
      </c>
      <c r="AK279" t="s">
        <v>71</v>
      </c>
      <c r="AL279" t="s">
        <v>72</v>
      </c>
      <c r="AM279">
        <v>346053</v>
      </c>
      <c r="AO279" s="16" t="s">
        <v>150</v>
      </c>
      <c r="AP279" s="17" t="str">
        <f t="shared" si="16"/>
        <v>Male (off nest)</v>
      </c>
      <c r="AX279" s="22" t="str">
        <f>IF(AND('[1]observations-276632'!W279&gt;'[1]Methods write-up'!$Q$16,'[1]observations-276632'!W279&lt;'[1]Methods write-up'!$R$16,'[1]observations-276632'!X279&gt;'[1]Methods write-up'!$S$16,'[1]observations-276632'!X279&lt;'[1]Methods write-up'!$T$16),"West and Central Africa","")</f>
        <v/>
      </c>
      <c r="AY279" s="22" t="str">
        <f>IF(AND('[1]observations-276632'!W279&gt;'[1]Methods write-up'!$Q$17,'[1]observations-276632'!W279&lt;'[1]Methods write-up'!$R$17,'[1]observations-276632'!X279&gt;'[1]Methods write-up'!$S$17,'[1]observations-276632'!X279&lt;'[1]Methods write-up'!$T$17),"Equatorial tropical forest","")</f>
        <v/>
      </c>
      <c r="AZ279" s="22" t="str">
        <f>IF(AND('[1]observations-276632'!W279&gt;'[1]Methods write-up'!$Q$18,'[1]observations-276632'!W279&lt;'[1]Methods write-up'!$R$18,'[1]observations-276632'!X279&gt;'[1]Methods write-up'!$S$18,'[1]observations-276632'!X279&lt;'[1]Methods write-up'!$T$18),"Somali peninsula","")</f>
        <v/>
      </c>
      <c r="BA279" s="22" t="str">
        <f>IF(AND('[1]observations-276632'!W279&gt;'[1]Methods write-up'!$Q$19,'[1]observations-276632'!W279&lt;'[1]Methods write-up'!$R$19,'[1]observations-276632'!X279&gt;'[1]Methods write-up'!$S$19,'[1]observations-276632'!X279&lt;'[1]Methods write-up'!$T$19),"East Africa","")</f>
        <v/>
      </c>
      <c r="BB279" s="22" t="str">
        <f>IF(AND('[1]observations-276632'!W279&gt;'[1]Methods write-up'!$Q$20,'[1]observations-276632'!W279&lt;'[1]Methods write-up'!$R$20,'[1]observations-276632'!X279&gt;'[1]Methods write-up'!$S$20,'[1]observations-276632'!X279&lt;'[1]Methods write-up'!$T$20),"Temperate seasonal","")</f>
        <v/>
      </c>
      <c r="BC279" s="22" t="str">
        <f>IF(AND('[1]observations-276632'!W279&gt;'[1]Methods write-up'!$Q$21,'[1]observations-276632'!W279&lt;'[1]Methods write-up'!$R$21,'[1]observations-276632'!X279&gt;'[1]Methods write-up'!$S$21,'[1]observations-276632'!X279&lt;'[1]Methods write-up'!$T$21),"Desert and high aridity","")</f>
        <v/>
      </c>
      <c r="BD279" s="23" t="str">
        <f t="shared" si="19"/>
        <v/>
      </c>
      <c r="BE279" s="24">
        <f t="shared" si="17"/>
        <v>11</v>
      </c>
      <c r="BF279" s="24">
        <f t="shared" si="18"/>
        <v>7</v>
      </c>
    </row>
    <row r="280" spans="1:58" ht="16.25" customHeight="1" x14ac:dyDescent="0.2">
      <c r="A280">
        <v>22409781</v>
      </c>
      <c r="B280" t="s">
        <v>1996</v>
      </c>
      <c r="C280" s="14">
        <v>40975</v>
      </c>
      <c r="D280" t="s">
        <v>1997</v>
      </c>
      <c r="E280" t="s">
        <v>57</v>
      </c>
      <c r="F280">
        <v>100845</v>
      </c>
      <c r="G280" t="s">
        <v>1775</v>
      </c>
      <c r="H280" t="s">
        <v>1776</v>
      </c>
      <c r="I280" t="s">
        <v>1998</v>
      </c>
      <c r="J280" t="s">
        <v>1999</v>
      </c>
      <c r="K280" t="s">
        <v>157</v>
      </c>
      <c r="L280" t="s">
        <v>63</v>
      </c>
      <c r="M280" t="s">
        <v>2000</v>
      </c>
      <c r="N280" t="s">
        <v>2001</v>
      </c>
      <c r="Q280" t="s">
        <v>2002</v>
      </c>
      <c r="R280">
        <v>2</v>
      </c>
      <c r="S280">
        <v>0</v>
      </c>
      <c r="T280" t="b">
        <v>0</v>
      </c>
      <c r="V280" t="s">
        <v>2003</v>
      </c>
      <c r="W280" s="15">
        <v>-25.889640050000001</v>
      </c>
      <c r="X280" s="15">
        <v>28.29904118</v>
      </c>
      <c r="Y280">
        <v>244</v>
      </c>
      <c r="AC280">
        <v>244</v>
      </c>
      <c r="AF280" t="b">
        <v>0</v>
      </c>
      <c r="AI280" t="s">
        <v>2004</v>
      </c>
      <c r="AJ280" t="s">
        <v>2004</v>
      </c>
      <c r="AL280" t="s">
        <v>72</v>
      </c>
      <c r="AM280">
        <v>652802</v>
      </c>
      <c r="AO280" s="16" t="s">
        <v>140</v>
      </c>
      <c r="AP280" s="17" t="str">
        <f t="shared" si="16"/>
        <v>Post-emergence nest</v>
      </c>
      <c r="AQ280" s="18">
        <v>46</v>
      </c>
      <c r="AT280" s="19" t="s">
        <v>141</v>
      </c>
      <c r="AU280" s="20" t="s">
        <v>141</v>
      </c>
      <c r="AX280" s="22" t="str">
        <f>IF(AND('[1]observations-276632'!W280&gt;'[1]Methods write-up'!$Q$16,'[1]observations-276632'!W280&lt;'[1]Methods write-up'!$R$16,'[1]observations-276632'!X280&gt;'[1]Methods write-up'!$S$16,'[1]observations-276632'!X280&lt;'[1]Methods write-up'!$T$16),"West and Central Africa","")</f>
        <v/>
      </c>
      <c r="AY280" s="22" t="str">
        <f>IF(AND('[1]observations-276632'!W280&gt;'[1]Methods write-up'!$Q$17,'[1]observations-276632'!W280&lt;'[1]Methods write-up'!$R$17,'[1]observations-276632'!X280&gt;'[1]Methods write-up'!$S$17,'[1]observations-276632'!X280&lt;'[1]Methods write-up'!$T$17),"Equatorial tropical forest","")</f>
        <v/>
      </c>
      <c r="AZ280" s="22" t="str">
        <f>IF(AND('[1]observations-276632'!W280&gt;'[1]Methods write-up'!$Q$18,'[1]observations-276632'!W280&lt;'[1]Methods write-up'!$R$18,'[1]observations-276632'!X280&gt;'[1]Methods write-up'!$S$18,'[1]observations-276632'!X280&lt;'[1]Methods write-up'!$T$18),"Somali peninsula","")</f>
        <v/>
      </c>
      <c r="BA280" s="22" t="str">
        <f>IF(AND('[1]observations-276632'!W280&gt;'[1]Methods write-up'!$Q$19,'[1]observations-276632'!W280&lt;'[1]Methods write-up'!$R$19,'[1]observations-276632'!X280&gt;'[1]Methods write-up'!$S$19,'[1]observations-276632'!X280&lt;'[1]Methods write-up'!$T$19),"East Africa","")</f>
        <v/>
      </c>
      <c r="BB280" s="22" t="str">
        <f>IF(AND('[1]observations-276632'!W280&gt;'[1]Methods write-up'!$Q$20,'[1]observations-276632'!W280&lt;'[1]Methods write-up'!$R$20,'[1]observations-276632'!X280&gt;'[1]Methods write-up'!$S$20,'[1]observations-276632'!X280&lt;'[1]Methods write-up'!$T$20),"Temperate seasonal","")</f>
        <v>Temperate seasonal</v>
      </c>
      <c r="BC280" s="22" t="str">
        <f>IF(AND('[1]observations-276632'!W280&gt;'[1]Methods write-up'!$Q$21,'[1]observations-276632'!W280&lt;'[1]Methods write-up'!$R$21,'[1]observations-276632'!X280&gt;'[1]Methods write-up'!$S$21,'[1]observations-276632'!X280&lt;'[1]Methods write-up'!$T$21),"Desert and high aridity","")</f>
        <v/>
      </c>
      <c r="BD280" s="23" t="str">
        <f t="shared" si="19"/>
        <v>Temperate seasonal</v>
      </c>
      <c r="BE280" s="24">
        <f t="shared" si="17"/>
        <v>7</v>
      </c>
      <c r="BF280" s="24">
        <f t="shared" si="18"/>
        <v>3</v>
      </c>
    </row>
    <row r="281" spans="1:58" ht="16.25" customHeight="1" x14ac:dyDescent="0.2">
      <c r="A281">
        <v>22877663</v>
      </c>
      <c r="B281" t="s">
        <v>2005</v>
      </c>
      <c r="C281" s="14">
        <v>43576</v>
      </c>
      <c r="D281" t="s">
        <v>2006</v>
      </c>
      <c r="E281" t="s">
        <v>113</v>
      </c>
      <c r="F281">
        <v>659922</v>
      </c>
      <c r="G281" t="s">
        <v>918</v>
      </c>
      <c r="I281" t="s">
        <v>2007</v>
      </c>
      <c r="J281" t="s">
        <v>2008</v>
      </c>
      <c r="K281" t="s">
        <v>62</v>
      </c>
      <c r="L281" t="s">
        <v>63</v>
      </c>
      <c r="M281" t="s">
        <v>2009</v>
      </c>
      <c r="N281" t="s">
        <v>2010</v>
      </c>
      <c r="R281">
        <v>4</v>
      </c>
      <c r="S281">
        <v>0</v>
      </c>
      <c r="T281" t="b">
        <v>0</v>
      </c>
      <c r="V281" t="s">
        <v>2011</v>
      </c>
      <c r="W281" s="15">
        <v>-28.296600000000002</v>
      </c>
      <c r="X281" s="15">
        <v>32.462600000000002</v>
      </c>
      <c r="Y281">
        <v>200</v>
      </c>
      <c r="AC281">
        <v>200</v>
      </c>
      <c r="AF281" t="b">
        <v>0</v>
      </c>
      <c r="AI281" t="s">
        <v>71</v>
      </c>
      <c r="AJ281" t="s">
        <v>70</v>
      </c>
      <c r="AK281" t="s">
        <v>71</v>
      </c>
      <c r="AL281" t="s">
        <v>72</v>
      </c>
      <c r="AM281">
        <v>346053</v>
      </c>
      <c r="AO281" s="16" t="s">
        <v>73</v>
      </c>
      <c r="AP281" s="17" t="str">
        <f t="shared" si="16"/>
        <v>Off-nest female</v>
      </c>
      <c r="AX281" s="22" t="str">
        <f>IF(AND('[1]observations-276632'!W281&gt;'[1]Methods write-up'!$Q$16,'[1]observations-276632'!W281&lt;'[1]Methods write-up'!$R$16,'[1]observations-276632'!X281&gt;'[1]Methods write-up'!$S$16,'[1]observations-276632'!X281&lt;'[1]Methods write-up'!$T$16),"West and Central Africa","")</f>
        <v/>
      </c>
      <c r="AY281" s="22" t="str">
        <f>IF(AND('[1]observations-276632'!W281&gt;'[1]Methods write-up'!$Q$17,'[1]observations-276632'!W281&lt;'[1]Methods write-up'!$R$17,'[1]observations-276632'!X281&gt;'[1]Methods write-up'!$S$17,'[1]observations-276632'!X281&lt;'[1]Methods write-up'!$T$17),"Equatorial tropical forest","")</f>
        <v/>
      </c>
      <c r="AZ281" s="22" t="str">
        <f>IF(AND('[1]observations-276632'!W281&gt;'[1]Methods write-up'!$Q$18,'[1]observations-276632'!W281&lt;'[1]Methods write-up'!$R$18,'[1]observations-276632'!X281&gt;'[1]Methods write-up'!$S$18,'[1]observations-276632'!X281&lt;'[1]Methods write-up'!$T$18),"Somali peninsula","")</f>
        <v/>
      </c>
      <c r="BA281" s="22" t="str">
        <f>IF(AND('[1]observations-276632'!W281&gt;'[1]Methods write-up'!$Q$19,'[1]observations-276632'!W281&lt;'[1]Methods write-up'!$R$19,'[1]observations-276632'!X281&gt;'[1]Methods write-up'!$S$19,'[1]observations-276632'!X281&lt;'[1]Methods write-up'!$T$19),"East Africa","")</f>
        <v/>
      </c>
      <c r="BB281" s="22" t="str">
        <f>IF(AND('[1]observations-276632'!W281&gt;'[1]Methods write-up'!$Q$20,'[1]observations-276632'!W281&lt;'[1]Methods write-up'!$R$20,'[1]observations-276632'!X281&gt;'[1]Methods write-up'!$S$20,'[1]observations-276632'!X281&lt;'[1]Methods write-up'!$T$20),"Temperate seasonal","")</f>
        <v>Temperate seasonal</v>
      </c>
      <c r="BC281" s="22" t="str">
        <f>IF(AND('[1]observations-276632'!W281&gt;'[1]Methods write-up'!$Q$21,'[1]observations-276632'!W281&lt;'[1]Methods write-up'!$R$21,'[1]observations-276632'!X281&gt;'[1]Methods write-up'!$S$21,'[1]observations-276632'!X281&lt;'[1]Methods write-up'!$T$21),"Desert and high aridity","")</f>
        <v/>
      </c>
      <c r="BD281" s="23" t="str">
        <f t="shared" si="19"/>
        <v>Temperate seasonal</v>
      </c>
      <c r="BE281" s="24">
        <f t="shared" si="17"/>
        <v>21</v>
      </c>
      <c r="BF281" s="24">
        <f t="shared" si="18"/>
        <v>4</v>
      </c>
    </row>
    <row r="282" spans="1:58" ht="16.25" customHeight="1" x14ac:dyDescent="0.2">
      <c r="A282">
        <v>23229185</v>
      </c>
      <c r="B282" t="s">
        <v>2012</v>
      </c>
      <c r="C282" s="14">
        <v>43581</v>
      </c>
      <c r="D282" t="s">
        <v>2013</v>
      </c>
      <c r="E282" t="s">
        <v>84</v>
      </c>
      <c r="F282">
        <v>97044</v>
      </c>
      <c r="G282" t="s">
        <v>1609</v>
      </c>
      <c r="H282" t="s">
        <v>1610</v>
      </c>
      <c r="I282" t="s">
        <v>2014</v>
      </c>
      <c r="J282" t="s">
        <v>2015</v>
      </c>
      <c r="K282" t="s">
        <v>62</v>
      </c>
      <c r="M282" t="s">
        <v>2016</v>
      </c>
      <c r="N282" t="s">
        <v>2017</v>
      </c>
      <c r="R282">
        <v>2</v>
      </c>
      <c r="S282">
        <v>0</v>
      </c>
      <c r="T282" t="b">
        <v>0</v>
      </c>
      <c r="U282">
        <v>2</v>
      </c>
      <c r="V282" t="s">
        <v>2018</v>
      </c>
      <c r="W282" s="15">
        <v>-1.33796</v>
      </c>
      <c r="X282" s="15">
        <v>36.772851000000003</v>
      </c>
      <c r="Y282">
        <v>3</v>
      </c>
      <c r="AC282">
        <v>3</v>
      </c>
      <c r="AF282" t="b">
        <v>0</v>
      </c>
      <c r="AI282" t="s">
        <v>71</v>
      </c>
      <c r="AJ282" t="s">
        <v>70</v>
      </c>
      <c r="AK282" t="s">
        <v>71</v>
      </c>
      <c r="AL282" t="s">
        <v>72</v>
      </c>
      <c r="AM282">
        <v>346053</v>
      </c>
      <c r="AO282" s="16" t="s">
        <v>73</v>
      </c>
      <c r="AP282" s="17" t="str">
        <f t="shared" si="16"/>
        <v>Off-nest female</v>
      </c>
      <c r="AX282" s="22" t="str">
        <f>IF(AND('[1]observations-276632'!W282&gt;'[1]Methods write-up'!$Q$16,'[1]observations-276632'!W282&lt;'[1]Methods write-up'!$R$16,'[1]observations-276632'!X282&gt;'[1]Methods write-up'!$S$16,'[1]observations-276632'!X282&lt;'[1]Methods write-up'!$T$16),"West and Central Africa","")</f>
        <v/>
      </c>
      <c r="AY282" s="22" t="str">
        <f>IF(AND('[1]observations-276632'!W282&gt;'[1]Methods write-up'!$Q$17,'[1]observations-276632'!W282&lt;'[1]Methods write-up'!$R$17,'[1]observations-276632'!X282&gt;'[1]Methods write-up'!$S$17,'[1]observations-276632'!X282&lt;'[1]Methods write-up'!$T$17),"Equatorial tropical forest","")</f>
        <v/>
      </c>
      <c r="AZ282" s="22" t="str">
        <f>IF(AND('[1]observations-276632'!W282&gt;'[1]Methods write-up'!$Q$18,'[1]observations-276632'!W282&lt;'[1]Methods write-up'!$R$18,'[1]observations-276632'!X282&gt;'[1]Methods write-up'!$S$18,'[1]observations-276632'!X282&lt;'[1]Methods write-up'!$T$18),"Somali peninsula","")</f>
        <v/>
      </c>
      <c r="BA282" s="22" t="str">
        <f>IF(AND('[1]observations-276632'!W282&gt;'[1]Methods write-up'!$Q$19,'[1]observations-276632'!W282&lt;'[1]Methods write-up'!$R$19,'[1]observations-276632'!X282&gt;'[1]Methods write-up'!$S$19,'[1]observations-276632'!X282&lt;'[1]Methods write-up'!$T$19),"East Africa","")</f>
        <v>East Africa</v>
      </c>
      <c r="BB282" s="22" t="str">
        <f>IF(AND('[1]observations-276632'!W282&gt;'[1]Methods write-up'!$Q$20,'[1]observations-276632'!W282&lt;'[1]Methods write-up'!$R$20,'[1]observations-276632'!X282&gt;'[1]Methods write-up'!$S$20,'[1]observations-276632'!X282&lt;'[1]Methods write-up'!$T$20),"Temperate seasonal","")</f>
        <v/>
      </c>
      <c r="BC282" s="22" t="str">
        <f>IF(AND('[1]observations-276632'!W282&gt;'[1]Methods write-up'!$Q$21,'[1]observations-276632'!W282&lt;'[1]Methods write-up'!$R$21,'[1]observations-276632'!X282&gt;'[1]Methods write-up'!$S$21,'[1]observations-276632'!X282&lt;'[1]Methods write-up'!$T$21),"Desert and high aridity","")</f>
        <v/>
      </c>
      <c r="BD282" s="23" t="str">
        <f t="shared" si="19"/>
        <v>East Africa</v>
      </c>
      <c r="BE282" s="24">
        <f t="shared" si="17"/>
        <v>26</v>
      </c>
      <c r="BF282" s="24">
        <f t="shared" si="18"/>
        <v>4</v>
      </c>
    </row>
    <row r="283" spans="1:58" ht="16.25" customHeight="1" x14ac:dyDescent="0.2">
      <c r="A283">
        <v>23707543</v>
      </c>
      <c r="B283" t="s">
        <v>2019</v>
      </c>
      <c r="C283" s="14">
        <v>40837</v>
      </c>
      <c r="D283" t="s">
        <v>2020</v>
      </c>
      <c r="E283" t="s">
        <v>113</v>
      </c>
      <c r="F283">
        <v>121603</v>
      </c>
      <c r="G283" t="s">
        <v>1286</v>
      </c>
      <c r="I283" t="s">
        <v>2021</v>
      </c>
      <c r="J283" t="s">
        <v>2022</v>
      </c>
      <c r="K283" t="s">
        <v>62</v>
      </c>
      <c r="L283" t="s">
        <v>63</v>
      </c>
      <c r="M283" t="s">
        <v>2023</v>
      </c>
      <c r="N283" t="s">
        <v>2024</v>
      </c>
      <c r="R283">
        <v>2</v>
      </c>
      <c r="S283">
        <v>0</v>
      </c>
      <c r="T283" t="b">
        <v>0</v>
      </c>
      <c r="V283" t="s">
        <v>2025</v>
      </c>
      <c r="W283" s="15">
        <v>-0.907026216</v>
      </c>
      <c r="X283" s="15">
        <v>10.177724570000001</v>
      </c>
      <c r="Y283">
        <v>140</v>
      </c>
      <c r="AC283">
        <v>140</v>
      </c>
      <c r="AF283" t="b">
        <v>0</v>
      </c>
      <c r="AI283" t="s">
        <v>71</v>
      </c>
      <c r="AJ283" t="s">
        <v>70</v>
      </c>
      <c r="AK283" t="s">
        <v>71</v>
      </c>
      <c r="AL283" t="s">
        <v>72</v>
      </c>
      <c r="AM283">
        <v>346053</v>
      </c>
      <c r="AO283" s="16" t="s">
        <v>140</v>
      </c>
      <c r="AP283" s="17" t="str">
        <f t="shared" si="16"/>
        <v>Post-emergence nest</v>
      </c>
      <c r="AQ283" s="18">
        <v>16</v>
      </c>
      <c r="AT283" s="19" t="s">
        <v>141</v>
      </c>
      <c r="AU283" s="20" t="s">
        <v>141</v>
      </c>
      <c r="AX283" s="22" t="str">
        <f>IF(AND('[1]observations-276632'!W283&gt;'[1]Methods write-up'!$Q$16,'[1]observations-276632'!W283&lt;'[1]Methods write-up'!$R$16,'[1]observations-276632'!X283&gt;'[1]Methods write-up'!$S$16,'[1]observations-276632'!X283&lt;'[1]Methods write-up'!$T$16),"West and Central Africa","")</f>
        <v>West and Central Africa</v>
      </c>
      <c r="AY283" s="22" t="str">
        <f>IF(AND('[1]observations-276632'!W283&gt;'[1]Methods write-up'!$Q$17,'[1]observations-276632'!W283&lt;'[1]Methods write-up'!$R$17,'[1]observations-276632'!X283&gt;'[1]Methods write-up'!$S$17,'[1]observations-276632'!X283&lt;'[1]Methods write-up'!$T$17),"Equatorial tropical forest","")</f>
        <v/>
      </c>
      <c r="AZ283" s="22" t="str">
        <f>IF(AND('[1]observations-276632'!W283&gt;'[1]Methods write-up'!$Q$18,'[1]observations-276632'!W283&lt;'[1]Methods write-up'!$R$18,'[1]observations-276632'!X283&gt;'[1]Methods write-up'!$S$18,'[1]observations-276632'!X283&lt;'[1]Methods write-up'!$T$18),"Somali peninsula","")</f>
        <v/>
      </c>
      <c r="BA283" s="22" t="str">
        <f>IF(AND('[1]observations-276632'!W283&gt;'[1]Methods write-up'!$Q$19,'[1]observations-276632'!W283&lt;'[1]Methods write-up'!$R$19,'[1]observations-276632'!X283&gt;'[1]Methods write-up'!$S$19,'[1]observations-276632'!X283&lt;'[1]Methods write-up'!$T$19),"East Africa","")</f>
        <v/>
      </c>
      <c r="BB283" s="22" t="str">
        <f>IF(AND('[1]observations-276632'!W283&gt;'[1]Methods write-up'!$Q$20,'[1]observations-276632'!W283&lt;'[1]Methods write-up'!$R$20,'[1]observations-276632'!X283&gt;'[1]Methods write-up'!$S$20,'[1]observations-276632'!X283&lt;'[1]Methods write-up'!$T$20),"Temperate seasonal","")</f>
        <v/>
      </c>
      <c r="BC283" s="22" t="str">
        <f>IF(AND('[1]observations-276632'!W283&gt;'[1]Methods write-up'!$Q$21,'[1]observations-276632'!W283&lt;'[1]Methods write-up'!$R$21,'[1]observations-276632'!X283&gt;'[1]Methods write-up'!$S$21,'[1]observations-276632'!X283&lt;'[1]Methods write-up'!$T$21),"Desert and high aridity","")</f>
        <v/>
      </c>
      <c r="BD283" s="23" t="str">
        <f t="shared" si="19"/>
        <v>West and Central Africa</v>
      </c>
      <c r="BE283" s="24">
        <f t="shared" si="17"/>
        <v>21</v>
      </c>
      <c r="BF283" s="24">
        <f t="shared" si="18"/>
        <v>10</v>
      </c>
    </row>
    <row r="284" spans="1:58" ht="16.25" customHeight="1" x14ac:dyDescent="0.2">
      <c r="A284">
        <v>24160775</v>
      </c>
      <c r="B284" t="s">
        <v>2026</v>
      </c>
      <c r="C284" s="14">
        <v>43583</v>
      </c>
      <c r="D284" t="s">
        <v>2027</v>
      </c>
      <c r="E284" t="s">
        <v>84</v>
      </c>
      <c r="F284">
        <v>97044</v>
      </c>
      <c r="G284" t="s">
        <v>1609</v>
      </c>
      <c r="H284" t="s">
        <v>1610</v>
      </c>
      <c r="I284" t="s">
        <v>2028</v>
      </c>
      <c r="J284" t="s">
        <v>2029</v>
      </c>
      <c r="K284" t="s">
        <v>157</v>
      </c>
      <c r="M284" t="s">
        <v>2030</v>
      </c>
      <c r="N284" t="s">
        <v>2031</v>
      </c>
      <c r="Q284" t="s">
        <v>2032</v>
      </c>
      <c r="R284">
        <v>2</v>
      </c>
      <c r="S284">
        <v>0</v>
      </c>
      <c r="T284" t="b">
        <v>0</v>
      </c>
      <c r="U284">
        <v>2</v>
      </c>
      <c r="V284" t="s">
        <v>2033</v>
      </c>
      <c r="W284" s="15">
        <v>-1.333814979</v>
      </c>
      <c r="X284" s="15">
        <v>36.757900239999998</v>
      </c>
      <c r="AF284" t="b">
        <v>0</v>
      </c>
      <c r="AG284" t="s">
        <v>350</v>
      </c>
      <c r="AH284" t="s">
        <v>350</v>
      </c>
      <c r="AI284" t="s">
        <v>71</v>
      </c>
      <c r="AJ284" t="s">
        <v>70</v>
      </c>
      <c r="AK284" t="s">
        <v>71</v>
      </c>
      <c r="AL284" t="s">
        <v>72</v>
      </c>
      <c r="AM284">
        <v>346053</v>
      </c>
      <c r="AO284" s="16" t="s">
        <v>2034</v>
      </c>
      <c r="AP284" s="17" t="str">
        <f t="shared" si="16"/>
        <v>FLAGGED: abandoned nest, but not likely Belonogaster</v>
      </c>
      <c r="AX284" s="22" t="str">
        <f>IF(AND('[1]observations-276632'!W284&gt;'[1]Methods write-up'!$Q$16,'[1]observations-276632'!W284&lt;'[1]Methods write-up'!$R$16,'[1]observations-276632'!X284&gt;'[1]Methods write-up'!$S$16,'[1]observations-276632'!X284&lt;'[1]Methods write-up'!$T$16),"West and Central Africa","")</f>
        <v/>
      </c>
      <c r="AY284" s="22" t="str">
        <f>IF(AND('[1]observations-276632'!W284&gt;'[1]Methods write-up'!$Q$17,'[1]observations-276632'!W284&lt;'[1]Methods write-up'!$R$17,'[1]observations-276632'!X284&gt;'[1]Methods write-up'!$S$17,'[1]observations-276632'!X284&lt;'[1]Methods write-up'!$T$17),"Equatorial tropical forest","")</f>
        <v/>
      </c>
      <c r="AZ284" s="22" t="str">
        <f>IF(AND('[1]observations-276632'!W284&gt;'[1]Methods write-up'!$Q$18,'[1]observations-276632'!W284&lt;'[1]Methods write-up'!$R$18,'[1]observations-276632'!X284&gt;'[1]Methods write-up'!$S$18,'[1]observations-276632'!X284&lt;'[1]Methods write-up'!$T$18),"Somali peninsula","")</f>
        <v/>
      </c>
      <c r="BA284" s="22" t="str">
        <f>IF(AND('[1]observations-276632'!W284&gt;'[1]Methods write-up'!$Q$19,'[1]observations-276632'!W284&lt;'[1]Methods write-up'!$R$19,'[1]observations-276632'!X284&gt;'[1]Methods write-up'!$S$19,'[1]observations-276632'!X284&lt;'[1]Methods write-up'!$T$19),"East Africa","")</f>
        <v>East Africa</v>
      </c>
      <c r="BB284" s="22" t="str">
        <f>IF(AND('[1]observations-276632'!W284&gt;'[1]Methods write-up'!$Q$20,'[1]observations-276632'!W284&lt;'[1]Methods write-up'!$R$20,'[1]observations-276632'!X284&gt;'[1]Methods write-up'!$S$20,'[1]observations-276632'!X284&lt;'[1]Methods write-up'!$T$20),"Temperate seasonal","")</f>
        <v/>
      </c>
      <c r="BC284" s="22" t="str">
        <f>IF(AND('[1]observations-276632'!W284&gt;'[1]Methods write-up'!$Q$21,'[1]observations-276632'!W284&lt;'[1]Methods write-up'!$R$21,'[1]observations-276632'!X284&gt;'[1]Methods write-up'!$S$21,'[1]observations-276632'!X284&lt;'[1]Methods write-up'!$T$21),"Desert and high aridity","")</f>
        <v/>
      </c>
      <c r="BD284" s="23" t="str">
        <f t="shared" si="19"/>
        <v>East Africa</v>
      </c>
      <c r="BE284" s="24">
        <f t="shared" si="17"/>
        <v>28</v>
      </c>
      <c r="BF284" s="24">
        <f t="shared" si="18"/>
        <v>4</v>
      </c>
    </row>
    <row r="285" spans="1:58" ht="16.25" customHeight="1" x14ac:dyDescent="0.2">
      <c r="A285">
        <v>24176393</v>
      </c>
      <c r="B285" s="13">
        <v>38094</v>
      </c>
      <c r="C285" s="14">
        <v>38094</v>
      </c>
      <c r="E285" t="s">
        <v>201</v>
      </c>
      <c r="F285">
        <v>1653038</v>
      </c>
      <c r="G285" t="s">
        <v>2035</v>
      </c>
      <c r="H285" t="s">
        <v>2036</v>
      </c>
      <c r="I285" t="s">
        <v>2037</v>
      </c>
      <c r="J285" t="s">
        <v>2037</v>
      </c>
      <c r="K285" t="s">
        <v>2038</v>
      </c>
      <c r="L285" t="s">
        <v>63</v>
      </c>
      <c r="M285" t="s">
        <v>2039</v>
      </c>
      <c r="Q285" t="s">
        <v>2040</v>
      </c>
      <c r="R285">
        <v>0</v>
      </c>
      <c r="S285">
        <v>0</v>
      </c>
      <c r="T285" t="b">
        <v>0</v>
      </c>
      <c r="V285" t="s">
        <v>2041</v>
      </c>
      <c r="W285" s="15">
        <v>-28.516667000000002</v>
      </c>
      <c r="X285" s="15">
        <v>28.616667</v>
      </c>
      <c r="Y285">
        <v>5040</v>
      </c>
      <c r="AC285">
        <v>5040</v>
      </c>
      <c r="AF285" t="b">
        <v>0</v>
      </c>
      <c r="AI285" t="s">
        <v>161</v>
      </c>
      <c r="AJ285" t="s">
        <v>161</v>
      </c>
      <c r="AL285" t="s">
        <v>72</v>
      </c>
      <c r="AM285">
        <v>366867</v>
      </c>
      <c r="AO285" s="16" t="s">
        <v>2042</v>
      </c>
      <c r="AP285" s="16"/>
      <c r="AX285" s="22" t="str">
        <f>IF(AND('[1]observations-276632'!W285&gt;'[1]Methods write-up'!$Q$16,'[1]observations-276632'!W285&lt;'[1]Methods write-up'!$R$16,'[1]observations-276632'!X285&gt;'[1]Methods write-up'!$S$16,'[1]observations-276632'!X285&lt;'[1]Methods write-up'!$T$16),"West Africa","")</f>
        <v/>
      </c>
      <c r="AY285" s="22" t="str">
        <f>IF(AND('[1]observations-276632'!W285&gt;'[1]Methods write-up'!$Q$17,'[1]observations-276632'!W285&lt;'[1]Methods write-up'!$R$17,'[1]observations-276632'!X285&gt;'[1]Methods write-up'!$S$17,'[1]observations-276632'!X285&lt;'[1]Methods write-up'!$T$17),"Equatorial tropical forest","")</f>
        <v/>
      </c>
      <c r="AZ285" s="22" t="str">
        <f>IF(AND('[1]observations-276632'!W285&gt;'[1]Methods write-up'!$Q$18,'[1]observations-276632'!W285&lt;'[1]Methods write-up'!$R$18,'[1]observations-276632'!X285&gt;'[1]Methods write-up'!$S$18,'[1]observations-276632'!X285&lt;'[1]Methods write-up'!$T$18),"Somali peninsula","")</f>
        <v/>
      </c>
      <c r="BA285" s="22" t="str">
        <f>IF(AND('[1]observations-276632'!W285&gt;'[1]Methods write-up'!$Q$19,'[1]observations-276632'!W285&lt;'[1]Methods write-up'!$R$19,'[1]observations-276632'!X285&gt;'[1]Methods write-up'!$S$19,'[1]observations-276632'!X285&lt;'[1]Methods write-up'!$T$19),"East Africa","")</f>
        <v/>
      </c>
      <c r="BB285" s="22" t="str">
        <f>IF(AND('[1]observations-276632'!W285&gt;'[1]Methods write-up'!$Q$20,'[1]observations-276632'!W285&lt;'[1]Methods write-up'!$R$20,'[1]observations-276632'!X285&gt;'[1]Methods write-up'!$S$20,'[1]observations-276632'!X285&lt;'[1]Methods write-up'!$T$20),"Temperate seasonal","")</f>
        <v>Temperate seasonal</v>
      </c>
      <c r="BC285" s="22" t="str">
        <f>IF(AND('[1]observations-276632'!W285&gt;'[1]Methods write-up'!$Q$21,'[1]observations-276632'!W285&lt;'[1]Methods write-up'!$R$21,'[1]observations-276632'!X285&gt;'[1]Methods write-up'!$S$21,'[1]observations-276632'!X285&lt;'[1]Methods write-up'!$T$21),"Desert and high aridity","")</f>
        <v/>
      </c>
      <c r="BD285" s="23" t="str">
        <f t="shared" si="19"/>
        <v>Temperate seasonal</v>
      </c>
      <c r="BE285" s="24">
        <f t="shared" si="17"/>
        <v>17</v>
      </c>
      <c r="BF285" s="24">
        <f t="shared" si="18"/>
        <v>4</v>
      </c>
    </row>
    <row r="286" spans="1:58" ht="16.25" customHeight="1" x14ac:dyDescent="0.2">
      <c r="A286">
        <v>24204895</v>
      </c>
      <c r="B286" t="s">
        <v>2043</v>
      </c>
      <c r="C286" s="14">
        <v>43581</v>
      </c>
      <c r="E286" t="s">
        <v>1408</v>
      </c>
      <c r="F286">
        <v>1495437</v>
      </c>
      <c r="G286" t="s">
        <v>2044</v>
      </c>
      <c r="I286" t="s">
        <v>2045</v>
      </c>
      <c r="J286" t="s">
        <v>2046</v>
      </c>
      <c r="K286" t="s">
        <v>62</v>
      </c>
      <c r="L286" t="s">
        <v>63</v>
      </c>
      <c r="M286" t="s">
        <v>2047</v>
      </c>
      <c r="N286" t="s">
        <v>2048</v>
      </c>
      <c r="R286">
        <v>2</v>
      </c>
      <c r="S286">
        <v>0</v>
      </c>
      <c r="T286" t="b">
        <v>0</v>
      </c>
      <c r="V286" t="s">
        <v>667</v>
      </c>
      <c r="W286" s="15">
        <v>-1.3249799209999999</v>
      </c>
      <c r="X286" s="15">
        <v>36.702398539999997</v>
      </c>
      <c r="Y286">
        <v>15</v>
      </c>
      <c r="AC286">
        <v>15</v>
      </c>
      <c r="AF286" t="b">
        <v>0</v>
      </c>
      <c r="AI286" t="s">
        <v>71</v>
      </c>
      <c r="AJ286" t="s">
        <v>70</v>
      </c>
      <c r="AK286" t="s">
        <v>71</v>
      </c>
      <c r="AL286" t="s">
        <v>72</v>
      </c>
      <c r="AM286">
        <v>346053</v>
      </c>
      <c r="AO286" s="16" t="s">
        <v>73</v>
      </c>
      <c r="AP286" s="17" t="str">
        <f t="shared" ref="AP286:AP317" si="20">IF(COUNTIF(AO286,"*foundress*"),"Nest (foundress)",AO286)</f>
        <v>Off-nest female</v>
      </c>
      <c r="AX286" s="22" t="str">
        <f>IF(AND('[1]observations-276632'!W286&gt;'[1]Methods write-up'!$Q$16,'[1]observations-276632'!W286&lt;'[1]Methods write-up'!$R$16,'[1]observations-276632'!X286&gt;'[1]Methods write-up'!$S$16,'[1]observations-276632'!X286&lt;'[1]Methods write-up'!$T$16),"West and Central Africa","")</f>
        <v/>
      </c>
      <c r="AY286" s="22" t="str">
        <f>IF(AND('[1]observations-276632'!W286&gt;'[1]Methods write-up'!$Q$17,'[1]observations-276632'!W286&lt;'[1]Methods write-up'!$R$17,'[1]observations-276632'!X286&gt;'[1]Methods write-up'!$S$17,'[1]observations-276632'!X286&lt;'[1]Methods write-up'!$T$17),"Equatorial tropical forest","")</f>
        <v/>
      </c>
      <c r="AZ286" s="22" t="str">
        <f>IF(AND('[1]observations-276632'!W286&gt;'[1]Methods write-up'!$Q$18,'[1]observations-276632'!W286&lt;'[1]Methods write-up'!$R$18,'[1]observations-276632'!X286&gt;'[1]Methods write-up'!$S$18,'[1]observations-276632'!X286&lt;'[1]Methods write-up'!$T$18),"Somali peninsula","")</f>
        <v/>
      </c>
      <c r="BA286" s="22" t="str">
        <f>IF(AND('[1]observations-276632'!W286&gt;'[1]Methods write-up'!$Q$19,'[1]observations-276632'!W286&lt;'[1]Methods write-up'!$R$19,'[1]observations-276632'!X286&gt;'[1]Methods write-up'!$S$19,'[1]observations-276632'!X286&lt;'[1]Methods write-up'!$T$19),"East Africa","")</f>
        <v>East Africa</v>
      </c>
      <c r="BB286" s="22" t="str">
        <f>IF(AND('[1]observations-276632'!W286&gt;'[1]Methods write-up'!$Q$20,'[1]observations-276632'!W286&lt;'[1]Methods write-up'!$R$20,'[1]observations-276632'!X286&gt;'[1]Methods write-up'!$S$20,'[1]observations-276632'!X286&lt;'[1]Methods write-up'!$T$20),"Temperate seasonal","")</f>
        <v/>
      </c>
      <c r="BC286" s="22" t="str">
        <f>IF(AND('[1]observations-276632'!W286&gt;'[1]Methods write-up'!$Q$21,'[1]observations-276632'!W286&lt;'[1]Methods write-up'!$R$21,'[1]observations-276632'!X286&gt;'[1]Methods write-up'!$S$21,'[1]observations-276632'!X286&lt;'[1]Methods write-up'!$T$21),"Desert and high aridity","")</f>
        <v/>
      </c>
      <c r="BD286" s="23" t="str">
        <f t="shared" si="19"/>
        <v>East Africa</v>
      </c>
      <c r="BE286" s="24">
        <f t="shared" si="17"/>
        <v>26</v>
      </c>
      <c r="BF286" s="24">
        <f t="shared" si="18"/>
        <v>4</v>
      </c>
    </row>
    <row r="287" spans="1:58" ht="16.25" customHeight="1" x14ac:dyDescent="0.2">
      <c r="A287">
        <v>24366791</v>
      </c>
      <c r="B287" s="13">
        <v>41144</v>
      </c>
      <c r="C287" s="14">
        <v>41144</v>
      </c>
      <c r="E287" t="s">
        <v>122</v>
      </c>
      <c r="F287">
        <v>1673632</v>
      </c>
      <c r="G287" t="s">
        <v>2049</v>
      </c>
      <c r="I287" t="s">
        <v>2050</v>
      </c>
      <c r="J287" t="s">
        <v>2051</v>
      </c>
      <c r="K287" t="s">
        <v>62</v>
      </c>
      <c r="L287" t="s">
        <v>373</v>
      </c>
      <c r="M287" t="s">
        <v>2052</v>
      </c>
      <c r="N287" t="s">
        <v>2053</v>
      </c>
      <c r="R287">
        <v>2</v>
      </c>
      <c r="S287">
        <v>0</v>
      </c>
      <c r="T287" t="b">
        <v>0</v>
      </c>
      <c r="V287" t="s">
        <v>2054</v>
      </c>
      <c r="W287" s="15">
        <v>-6.7758260000000003</v>
      </c>
      <c r="X287" s="15">
        <v>39.208968900000002</v>
      </c>
      <c r="Y287">
        <v>1726</v>
      </c>
      <c r="AC287">
        <v>1726</v>
      </c>
      <c r="AF287" t="b">
        <v>0</v>
      </c>
      <c r="AI287" t="s">
        <v>71</v>
      </c>
      <c r="AJ287" t="s">
        <v>70</v>
      </c>
      <c r="AK287" t="s">
        <v>71</v>
      </c>
      <c r="AL287" t="s">
        <v>72</v>
      </c>
      <c r="AM287">
        <v>346053</v>
      </c>
      <c r="AO287" s="16" t="s">
        <v>140</v>
      </c>
      <c r="AP287" s="17" t="str">
        <f t="shared" si="20"/>
        <v>Post-emergence nest</v>
      </c>
      <c r="AQ287" s="18">
        <v>2</v>
      </c>
      <c r="AT287" s="19" t="s">
        <v>141</v>
      </c>
      <c r="AU287" s="20" t="s">
        <v>104</v>
      </c>
      <c r="AX287" s="22" t="str">
        <f>IF(AND('[1]observations-276632'!W287&gt;'[1]Methods write-up'!$Q$16,'[1]observations-276632'!W287&lt;'[1]Methods write-up'!$R$16,'[1]observations-276632'!X287&gt;'[1]Methods write-up'!$S$16,'[1]observations-276632'!X287&lt;'[1]Methods write-up'!$T$16),"West and Central Africa","")</f>
        <v/>
      </c>
      <c r="AY287" s="22" t="str">
        <f>IF(AND('[1]observations-276632'!W287&gt;'[1]Methods write-up'!$Q$17,'[1]observations-276632'!W287&lt;'[1]Methods write-up'!$R$17,'[1]observations-276632'!X287&gt;'[1]Methods write-up'!$S$17,'[1]observations-276632'!X287&lt;'[1]Methods write-up'!$T$17),"Equatorial tropical forest","")</f>
        <v/>
      </c>
      <c r="AZ287" s="22" t="str">
        <f>IF(AND('[1]observations-276632'!W287&gt;'[1]Methods write-up'!$Q$18,'[1]observations-276632'!W287&lt;'[1]Methods write-up'!$R$18,'[1]observations-276632'!X287&gt;'[1]Methods write-up'!$S$18,'[1]observations-276632'!X287&lt;'[1]Methods write-up'!$T$18),"Somali peninsula","")</f>
        <v/>
      </c>
      <c r="BA287" s="22" t="str">
        <f>IF(AND('[1]observations-276632'!W287&gt;'[1]Methods write-up'!$Q$19,'[1]observations-276632'!W287&lt;'[1]Methods write-up'!$R$19,'[1]observations-276632'!X287&gt;'[1]Methods write-up'!$S$19,'[1]observations-276632'!X287&lt;'[1]Methods write-up'!$T$19),"East Africa","")</f>
        <v>East Africa</v>
      </c>
      <c r="BB287" s="22" t="str">
        <f>IF(AND('[1]observations-276632'!W287&gt;'[1]Methods write-up'!$Q$20,'[1]observations-276632'!W287&lt;'[1]Methods write-up'!$R$20,'[1]observations-276632'!X287&gt;'[1]Methods write-up'!$S$20,'[1]observations-276632'!X287&lt;'[1]Methods write-up'!$T$20),"Temperate seasonal","")</f>
        <v/>
      </c>
      <c r="BC287" s="22" t="str">
        <f>IF(AND('[1]observations-276632'!W287&gt;'[1]Methods write-up'!$Q$21,'[1]observations-276632'!W287&lt;'[1]Methods write-up'!$R$21,'[1]observations-276632'!X287&gt;'[1]Methods write-up'!$S$21,'[1]observations-276632'!X287&lt;'[1]Methods write-up'!$T$21),"Desert and high aridity","")</f>
        <v/>
      </c>
      <c r="BD287" s="23" t="str">
        <f t="shared" si="19"/>
        <v>East Africa</v>
      </c>
      <c r="BE287" s="24">
        <f t="shared" si="17"/>
        <v>23</v>
      </c>
      <c r="BF287" s="24">
        <f t="shared" si="18"/>
        <v>8</v>
      </c>
    </row>
    <row r="288" spans="1:58" ht="16.25" customHeight="1" x14ac:dyDescent="0.2">
      <c r="A288">
        <v>24623030</v>
      </c>
      <c r="B288" t="s">
        <v>2055</v>
      </c>
      <c r="C288" s="14">
        <v>43558</v>
      </c>
      <c r="E288" t="s">
        <v>1408</v>
      </c>
      <c r="F288">
        <v>1609208</v>
      </c>
      <c r="G288" t="s">
        <v>2056</v>
      </c>
      <c r="I288" t="s">
        <v>2057</v>
      </c>
      <c r="J288" t="s">
        <v>2058</v>
      </c>
      <c r="K288" t="s">
        <v>62</v>
      </c>
      <c r="L288" t="s">
        <v>63</v>
      </c>
      <c r="M288" t="s">
        <v>2059</v>
      </c>
      <c r="N288" t="s">
        <v>2060</v>
      </c>
      <c r="R288">
        <v>2</v>
      </c>
      <c r="S288">
        <v>0</v>
      </c>
      <c r="T288" t="b">
        <v>0</v>
      </c>
      <c r="V288" t="s">
        <v>2061</v>
      </c>
      <c r="W288" s="15">
        <v>-21.264769000000001</v>
      </c>
      <c r="X288" s="15">
        <v>47.420178999999997</v>
      </c>
      <c r="Y288">
        <v>123</v>
      </c>
      <c r="AC288">
        <v>123</v>
      </c>
      <c r="AF288" t="b">
        <v>0</v>
      </c>
      <c r="AI288" t="s">
        <v>71</v>
      </c>
      <c r="AJ288" t="s">
        <v>70</v>
      </c>
      <c r="AK288" t="s">
        <v>71</v>
      </c>
      <c r="AL288" t="s">
        <v>72</v>
      </c>
      <c r="AM288">
        <v>346053</v>
      </c>
      <c r="AO288" s="16" t="s">
        <v>140</v>
      </c>
      <c r="AP288" s="17" t="str">
        <f t="shared" si="20"/>
        <v>Post-emergence nest</v>
      </c>
      <c r="AQ288" s="18">
        <v>10</v>
      </c>
      <c r="AT288" s="19" t="s">
        <v>141</v>
      </c>
      <c r="AU288" s="20" t="s">
        <v>104</v>
      </c>
      <c r="AX288" s="22" t="str">
        <f>IF(AND('[1]observations-276632'!W288&gt;'[1]Methods write-up'!$Q$16,'[1]observations-276632'!W288&lt;'[1]Methods write-up'!$R$16,'[1]observations-276632'!X288&gt;'[1]Methods write-up'!$S$16,'[1]observations-276632'!X288&lt;'[1]Methods write-up'!$T$16),"West and Central Africa","")</f>
        <v/>
      </c>
      <c r="AY288" s="22" t="str">
        <f>IF(AND('[1]observations-276632'!W288&gt;'[1]Methods write-up'!$Q$17,'[1]observations-276632'!W288&lt;'[1]Methods write-up'!$R$17,'[1]observations-276632'!X288&gt;'[1]Methods write-up'!$S$17,'[1]observations-276632'!X288&lt;'[1]Methods write-up'!$T$17),"Equatorial tropical forest","")</f>
        <v/>
      </c>
      <c r="AZ288" s="22" t="str">
        <f>IF(AND('[1]observations-276632'!W288&gt;'[1]Methods write-up'!$Q$18,'[1]observations-276632'!W288&lt;'[1]Methods write-up'!$R$18,'[1]observations-276632'!X288&gt;'[1]Methods write-up'!$S$18,'[1]observations-276632'!X288&lt;'[1]Methods write-up'!$T$18),"Somali peninsula","")</f>
        <v/>
      </c>
      <c r="BA288" s="22" t="str">
        <f>IF(AND('[1]observations-276632'!W288&gt;'[1]Methods write-up'!$Q$19,'[1]observations-276632'!W288&lt;'[1]Methods write-up'!$R$19,'[1]observations-276632'!X288&gt;'[1]Methods write-up'!$S$19,'[1]observations-276632'!X288&lt;'[1]Methods write-up'!$T$19),"East Africa","")</f>
        <v/>
      </c>
      <c r="BB288" s="22" t="str">
        <f>IF(AND('[1]observations-276632'!W288&gt;'[1]Methods write-up'!$Q$20,'[1]observations-276632'!W288&lt;'[1]Methods write-up'!$R$20,'[1]observations-276632'!X288&gt;'[1]Methods write-up'!$S$20,'[1]observations-276632'!X288&lt;'[1]Methods write-up'!$T$20),"Temperate seasonal","")</f>
        <v/>
      </c>
      <c r="BC288" s="22" t="str">
        <f>IF(AND('[1]observations-276632'!W288&gt;'[1]Methods write-up'!$Q$21,'[1]observations-276632'!W288&lt;'[1]Methods write-up'!$R$21,'[1]observations-276632'!X288&gt;'[1]Methods write-up'!$S$21,'[1]observations-276632'!X288&lt;'[1]Methods write-up'!$T$21),"Desert and high aridity","")</f>
        <v/>
      </c>
      <c r="BD288" s="23" t="str">
        <f t="shared" si="19"/>
        <v/>
      </c>
      <c r="BE288" s="24">
        <f t="shared" si="17"/>
        <v>3</v>
      </c>
      <c r="BF288" s="24">
        <f t="shared" si="18"/>
        <v>4</v>
      </c>
    </row>
    <row r="289" spans="1:58" ht="16.25" customHeight="1" x14ac:dyDescent="0.2">
      <c r="A289">
        <v>25012860</v>
      </c>
      <c r="B289" s="25">
        <v>43591.272222222222</v>
      </c>
      <c r="C289" s="14">
        <v>43591</v>
      </c>
      <c r="E289" t="s">
        <v>2062</v>
      </c>
      <c r="F289">
        <v>1426044</v>
      </c>
      <c r="G289" t="s">
        <v>2063</v>
      </c>
      <c r="H289" t="s">
        <v>2064</v>
      </c>
      <c r="I289" t="s">
        <v>2065</v>
      </c>
      <c r="J289" t="s">
        <v>2066</v>
      </c>
      <c r="K289" t="s">
        <v>62</v>
      </c>
      <c r="L289" t="s">
        <v>63</v>
      </c>
      <c r="M289" t="s">
        <v>2067</v>
      </c>
      <c r="N289" t="s">
        <v>2068</v>
      </c>
      <c r="R289">
        <v>3</v>
      </c>
      <c r="S289">
        <v>0</v>
      </c>
      <c r="T289" t="b">
        <v>0</v>
      </c>
      <c r="V289" t="s">
        <v>2069</v>
      </c>
      <c r="W289" s="15">
        <v>-24.674015279999999</v>
      </c>
      <c r="X289" s="15">
        <v>30.811312220000001</v>
      </c>
      <c r="AF289" t="b">
        <v>0</v>
      </c>
      <c r="AI289" t="s">
        <v>71</v>
      </c>
      <c r="AJ289" t="s">
        <v>70</v>
      </c>
      <c r="AK289" t="s">
        <v>71</v>
      </c>
      <c r="AL289" t="s">
        <v>72</v>
      </c>
      <c r="AM289">
        <v>346053</v>
      </c>
      <c r="AO289" s="16" t="s">
        <v>386</v>
      </c>
      <c r="AP289" s="17" t="str">
        <f t="shared" si="20"/>
        <v>Nest (foundress)</v>
      </c>
      <c r="AQ289" s="18">
        <v>4</v>
      </c>
      <c r="AT289" s="19" t="s">
        <v>141</v>
      </c>
      <c r="AV289" s="21" t="s">
        <v>2070</v>
      </c>
      <c r="AX289" s="22" t="str">
        <f>IF(AND('[1]observations-276632'!W289&gt;'[1]Methods write-up'!$Q$16,'[1]observations-276632'!W289&lt;'[1]Methods write-up'!$R$16,'[1]observations-276632'!X289&gt;'[1]Methods write-up'!$S$16,'[1]observations-276632'!X289&lt;'[1]Methods write-up'!$T$16),"West and Central Africa","")</f>
        <v/>
      </c>
      <c r="AY289" s="22" t="str">
        <f>IF(AND('[1]observations-276632'!W289&gt;'[1]Methods write-up'!$Q$17,'[1]observations-276632'!W289&lt;'[1]Methods write-up'!$R$17,'[1]observations-276632'!X289&gt;'[1]Methods write-up'!$S$17,'[1]observations-276632'!X289&lt;'[1]Methods write-up'!$T$17),"Equatorial tropical forest","")</f>
        <v/>
      </c>
      <c r="AZ289" s="22" t="str">
        <f>IF(AND('[1]observations-276632'!W289&gt;'[1]Methods write-up'!$Q$18,'[1]observations-276632'!W289&lt;'[1]Methods write-up'!$R$18,'[1]observations-276632'!X289&gt;'[1]Methods write-up'!$S$18,'[1]observations-276632'!X289&lt;'[1]Methods write-up'!$T$18),"Somali peninsula","")</f>
        <v/>
      </c>
      <c r="BA289" s="22" t="str">
        <f>IF(AND('[1]observations-276632'!W289&gt;'[1]Methods write-up'!$Q$19,'[1]observations-276632'!W289&lt;'[1]Methods write-up'!$R$19,'[1]observations-276632'!X289&gt;'[1]Methods write-up'!$S$19,'[1]observations-276632'!X289&lt;'[1]Methods write-up'!$T$19),"East Africa","")</f>
        <v/>
      </c>
      <c r="BB289" s="22" t="str">
        <f>IF(AND('[1]observations-276632'!W289&gt;'[1]Methods write-up'!$Q$20,'[1]observations-276632'!W289&lt;'[1]Methods write-up'!$R$20,'[1]observations-276632'!X289&gt;'[1]Methods write-up'!$S$20,'[1]observations-276632'!X289&lt;'[1]Methods write-up'!$T$20),"Temperate seasonal","")</f>
        <v/>
      </c>
      <c r="BC289" s="22" t="str">
        <f>IF(AND('[1]observations-276632'!W289&gt;'[1]Methods write-up'!$Q$21,'[1]observations-276632'!W289&lt;'[1]Methods write-up'!$R$21,'[1]observations-276632'!X289&gt;'[1]Methods write-up'!$S$21,'[1]observations-276632'!X289&lt;'[1]Methods write-up'!$T$21),"Desert and high aridity","")</f>
        <v/>
      </c>
      <c r="BD289" s="23" t="str">
        <f t="shared" si="19"/>
        <v/>
      </c>
      <c r="BE289" s="24">
        <f t="shared" si="17"/>
        <v>6</v>
      </c>
      <c r="BF289" s="24">
        <f t="shared" si="18"/>
        <v>5</v>
      </c>
    </row>
    <row r="290" spans="1:58" ht="16.25" customHeight="1" x14ac:dyDescent="0.2">
      <c r="A290">
        <v>25310211</v>
      </c>
      <c r="B290" t="s">
        <v>2071</v>
      </c>
      <c r="C290" s="14">
        <v>43603</v>
      </c>
      <c r="D290" t="s">
        <v>2072</v>
      </c>
      <c r="E290" t="s">
        <v>243</v>
      </c>
      <c r="F290">
        <v>1526291</v>
      </c>
      <c r="G290" t="s">
        <v>2073</v>
      </c>
      <c r="H290" t="s">
        <v>2074</v>
      </c>
      <c r="I290" t="s">
        <v>2075</v>
      </c>
      <c r="J290" t="s">
        <v>2076</v>
      </c>
      <c r="K290" t="s">
        <v>62</v>
      </c>
      <c r="M290" t="s">
        <v>2077</v>
      </c>
      <c r="N290" t="s">
        <v>2078</v>
      </c>
      <c r="R290">
        <v>2</v>
      </c>
      <c r="S290">
        <v>0</v>
      </c>
      <c r="T290" t="b">
        <v>0</v>
      </c>
      <c r="U290">
        <v>2</v>
      </c>
      <c r="V290" t="s">
        <v>2079</v>
      </c>
      <c r="W290" s="15">
        <v>-25.334692140000001</v>
      </c>
      <c r="X290" s="15">
        <v>27.143990500000001</v>
      </c>
      <c r="Y290">
        <v>12</v>
      </c>
      <c r="AC290">
        <v>12</v>
      </c>
      <c r="AF290" t="b">
        <v>0</v>
      </c>
      <c r="AI290" t="s">
        <v>71</v>
      </c>
      <c r="AJ290" t="s">
        <v>70</v>
      </c>
      <c r="AK290" t="s">
        <v>71</v>
      </c>
      <c r="AL290" t="s">
        <v>72</v>
      </c>
      <c r="AM290">
        <v>346053</v>
      </c>
      <c r="AO290" s="16" t="s">
        <v>110</v>
      </c>
      <c r="AP290" s="17" t="str">
        <f t="shared" si="20"/>
        <v>Nest (foundress)</v>
      </c>
      <c r="AQ290" s="18">
        <v>1</v>
      </c>
      <c r="AT290" s="19" t="s">
        <v>104</v>
      </c>
      <c r="AX290" s="22" t="str">
        <f>IF(AND('[1]observations-276632'!W290&gt;'[1]Methods write-up'!$Q$16,'[1]observations-276632'!W290&lt;'[1]Methods write-up'!$R$16,'[1]observations-276632'!X290&gt;'[1]Methods write-up'!$S$16,'[1]observations-276632'!X290&lt;'[1]Methods write-up'!$T$16),"West and Central Africa","")</f>
        <v/>
      </c>
      <c r="AY290" s="22" t="str">
        <f>IF(AND('[1]observations-276632'!W290&gt;'[1]Methods write-up'!$Q$17,'[1]observations-276632'!W290&lt;'[1]Methods write-up'!$R$17,'[1]observations-276632'!X290&gt;'[1]Methods write-up'!$S$17,'[1]observations-276632'!X290&lt;'[1]Methods write-up'!$T$17),"Equatorial tropical forest","")</f>
        <v/>
      </c>
      <c r="AZ290" s="22" t="str">
        <f>IF(AND('[1]observations-276632'!W290&gt;'[1]Methods write-up'!$Q$18,'[1]observations-276632'!W290&lt;'[1]Methods write-up'!$R$18,'[1]observations-276632'!X290&gt;'[1]Methods write-up'!$S$18,'[1]observations-276632'!X290&lt;'[1]Methods write-up'!$T$18),"Somali peninsula","")</f>
        <v/>
      </c>
      <c r="BA290" s="22" t="str">
        <f>IF(AND('[1]observations-276632'!W290&gt;'[1]Methods write-up'!$Q$19,'[1]observations-276632'!W290&lt;'[1]Methods write-up'!$R$19,'[1]observations-276632'!X290&gt;'[1]Methods write-up'!$S$19,'[1]observations-276632'!X290&lt;'[1]Methods write-up'!$T$19),"East Africa","")</f>
        <v/>
      </c>
      <c r="BB290" s="22" t="str">
        <f>IF(AND('[1]observations-276632'!W290&gt;'[1]Methods write-up'!$Q$20,'[1]observations-276632'!W290&lt;'[1]Methods write-up'!$R$20,'[1]observations-276632'!X290&gt;'[1]Methods write-up'!$S$20,'[1]observations-276632'!X290&lt;'[1]Methods write-up'!$T$20),"Temperate seasonal","")</f>
        <v>Temperate seasonal</v>
      </c>
      <c r="BC290" s="22" t="str">
        <f>IF(AND('[1]observations-276632'!W290&gt;'[1]Methods write-up'!$Q$21,'[1]observations-276632'!W290&lt;'[1]Methods write-up'!$R$21,'[1]observations-276632'!X290&gt;'[1]Methods write-up'!$S$21,'[1]observations-276632'!X290&lt;'[1]Methods write-up'!$T$21),"Desert and high aridity","")</f>
        <v/>
      </c>
      <c r="BD290" s="23" t="str">
        <f t="shared" si="19"/>
        <v>Temperate seasonal</v>
      </c>
      <c r="BE290" s="24">
        <f t="shared" si="17"/>
        <v>18</v>
      </c>
      <c r="BF290" s="24">
        <f t="shared" si="18"/>
        <v>5</v>
      </c>
    </row>
    <row r="291" spans="1:58" ht="16.25" customHeight="1" x14ac:dyDescent="0.2">
      <c r="A291">
        <v>25489325</v>
      </c>
      <c r="B291" t="s">
        <v>2080</v>
      </c>
      <c r="C291" s="14">
        <v>42334</v>
      </c>
      <c r="D291" t="s">
        <v>2081</v>
      </c>
      <c r="E291" t="s">
        <v>2082</v>
      </c>
      <c r="F291">
        <v>410488</v>
      </c>
      <c r="G291" t="s">
        <v>2083</v>
      </c>
      <c r="H291" t="s">
        <v>2083</v>
      </c>
      <c r="I291" t="s">
        <v>2084</v>
      </c>
      <c r="J291" t="s">
        <v>2085</v>
      </c>
      <c r="K291" t="s">
        <v>62</v>
      </c>
      <c r="L291" t="s">
        <v>63</v>
      </c>
      <c r="M291" t="s">
        <v>2086</v>
      </c>
      <c r="N291" t="s">
        <v>2087</v>
      </c>
      <c r="R291">
        <v>3</v>
      </c>
      <c r="S291">
        <v>0</v>
      </c>
      <c r="T291" t="b">
        <v>0</v>
      </c>
      <c r="V291" t="s">
        <v>2088</v>
      </c>
      <c r="W291" s="15">
        <v>-24.518373560000001</v>
      </c>
      <c r="X291" s="15">
        <v>31.059780020000002</v>
      </c>
      <c r="AC291">
        <v>30069</v>
      </c>
      <c r="AD291" t="s">
        <v>839</v>
      </c>
      <c r="AF291" t="b">
        <v>1</v>
      </c>
      <c r="AI291" t="s">
        <v>71</v>
      </c>
      <c r="AJ291" t="s">
        <v>70</v>
      </c>
      <c r="AK291" t="s">
        <v>71</v>
      </c>
      <c r="AL291" t="s">
        <v>72</v>
      </c>
      <c r="AM291">
        <v>346053</v>
      </c>
      <c r="AO291" s="16" t="s">
        <v>73</v>
      </c>
      <c r="AP291" s="17" t="str">
        <f t="shared" si="20"/>
        <v>Off-nest female</v>
      </c>
      <c r="AX291" s="22" t="str">
        <f>IF(AND('[1]observations-276632'!W291&gt;'[1]Methods write-up'!$Q$16,'[1]observations-276632'!W291&lt;'[1]Methods write-up'!$R$16,'[1]observations-276632'!X291&gt;'[1]Methods write-up'!$S$16,'[1]observations-276632'!X291&lt;'[1]Methods write-up'!$T$16),"West and Central Africa","")</f>
        <v/>
      </c>
      <c r="AY291" s="22" t="str">
        <f>IF(AND('[1]observations-276632'!W291&gt;'[1]Methods write-up'!$Q$17,'[1]observations-276632'!W291&lt;'[1]Methods write-up'!$R$17,'[1]observations-276632'!X291&gt;'[1]Methods write-up'!$S$17,'[1]observations-276632'!X291&lt;'[1]Methods write-up'!$T$17),"Equatorial tropical forest","")</f>
        <v/>
      </c>
      <c r="AZ291" s="22" t="str">
        <f>IF(AND('[1]observations-276632'!W291&gt;'[1]Methods write-up'!$Q$18,'[1]observations-276632'!W291&lt;'[1]Methods write-up'!$R$18,'[1]observations-276632'!X291&gt;'[1]Methods write-up'!$S$18,'[1]observations-276632'!X291&lt;'[1]Methods write-up'!$T$18),"Somali peninsula","")</f>
        <v/>
      </c>
      <c r="BA291" s="22" t="str">
        <f>IF(AND('[1]observations-276632'!W291&gt;'[1]Methods write-up'!$Q$19,'[1]observations-276632'!W291&lt;'[1]Methods write-up'!$R$19,'[1]observations-276632'!X291&gt;'[1]Methods write-up'!$S$19,'[1]observations-276632'!X291&lt;'[1]Methods write-up'!$T$19),"East Africa","")</f>
        <v/>
      </c>
      <c r="BB291" s="22" t="str">
        <f>IF(AND('[1]observations-276632'!W291&gt;'[1]Methods write-up'!$Q$20,'[1]observations-276632'!W291&lt;'[1]Methods write-up'!$R$20,'[1]observations-276632'!X291&gt;'[1]Methods write-up'!$S$20,'[1]observations-276632'!X291&lt;'[1]Methods write-up'!$T$20),"Temperate seasonal","")</f>
        <v/>
      </c>
      <c r="BC291" s="22" t="str">
        <f>IF(AND('[1]observations-276632'!W291&gt;'[1]Methods write-up'!$Q$21,'[1]observations-276632'!W291&lt;'[1]Methods write-up'!$R$21,'[1]observations-276632'!X291&gt;'[1]Methods write-up'!$S$21,'[1]observations-276632'!X291&lt;'[1]Methods write-up'!$T$21),"Desert and high aridity","")</f>
        <v/>
      </c>
      <c r="BD291" s="23" t="str">
        <f t="shared" si="19"/>
        <v/>
      </c>
      <c r="BE291" s="24">
        <f t="shared" si="17"/>
        <v>26</v>
      </c>
      <c r="BF291" s="24">
        <f t="shared" si="18"/>
        <v>11</v>
      </c>
    </row>
    <row r="292" spans="1:58" ht="16.25" customHeight="1" x14ac:dyDescent="0.2">
      <c r="A292">
        <v>25660221</v>
      </c>
      <c r="B292" t="s">
        <v>2089</v>
      </c>
      <c r="C292" s="14">
        <v>43604</v>
      </c>
      <c r="D292" t="s">
        <v>2090</v>
      </c>
      <c r="E292" t="s">
        <v>113</v>
      </c>
      <c r="F292">
        <v>662724</v>
      </c>
      <c r="G292" t="s">
        <v>903</v>
      </c>
      <c r="H292" t="s">
        <v>904</v>
      </c>
      <c r="I292" t="s">
        <v>2091</v>
      </c>
      <c r="J292" t="s">
        <v>2092</v>
      </c>
      <c r="K292" t="s">
        <v>62</v>
      </c>
      <c r="L292" t="s">
        <v>63</v>
      </c>
      <c r="M292" t="s">
        <v>2093</v>
      </c>
      <c r="N292" t="s">
        <v>2094</v>
      </c>
      <c r="Q292" s="26" t="s">
        <v>2095</v>
      </c>
      <c r="R292">
        <v>3</v>
      </c>
      <c r="S292">
        <v>0</v>
      </c>
      <c r="T292" t="b">
        <v>0</v>
      </c>
      <c r="V292" t="s">
        <v>1146</v>
      </c>
      <c r="W292" s="15">
        <v>-30.301183099999999</v>
      </c>
      <c r="X292" s="15">
        <v>30.74244083</v>
      </c>
      <c r="Y292">
        <v>2</v>
      </c>
      <c r="AC292">
        <v>2</v>
      </c>
      <c r="AF292" t="b">
        <v>0</v>
      </c>
      <c r="AI292" t="s">
        <v>71</v>
      </c>
      <c r="AJ292" t="s">
        <v>70</v>
      </c>
      <c r="AK292" t="s">
        <v>71</v>
      </c>
      <c r="AL292" t="s">
        <v>72</v>
      </c>
      <c r="AM292">
        <v>346053</v>
      </c>
      <c r="AO292" s="16" t="s">
        <v>1067</v>
      </c>
      <c r="AP292" s="17" t="str">
        <f t="shared" si="20"/>
        <v>Hibernation cluster</v>
      </c>
      <c r="AQ292" s="18">
        <v>10</v>
      </c>
      <c r="AV292" s="21" t="s">
        <v>2096</v>
      </c>
      <c r="AX292" s="22" t="str">
        <f>IF(AND('[1]observations-276632'!W292&gt;'[1]Methods write-up'!$Q$16,'[1]observations-276632'!W292&lt;'[1]Methods write-up'!$R$16,'[1]observations-276632'!X292&gt;'[1]Methods write-up'!$S$16,'[1]observations-276632'!X292&lt;'[1]Methods write-up'!$T$16),"West and Central Africa","")</f>
        <v/>
      </c>
      <c r="AY292" s="22" t="str">
        <f>IF(AND('[1]observations-276632'!W292&gt;'[1]Methods write-up'!$Q$17,'[1]observations-276632'!W292&lt;'[1]Methods write-up'!$R$17,'[1]observations-276632'!X292&gt;'[1]Methods write-up'!$S$17,'[1]observations-276632'!X292&lt;'[1]Methods write-up'!$T$17),"Equatorial tropical forest","")</f>
        <v/>
      </c>
      <c r="AZ292" s="22" t="str">
        <f>IF(AND('[1]observations-276632'!W292&gt;'[1]Methods write-up'!$Q$18,'[1]observations-276632'!W292&lt;'[1]Methods write-up'!$R$18,'[1]observations-276632'!X292&gt;'[1]Methods write-up'!$S$18,'[1]observations-276632'!X292&lt;'[1]Methods write-up'!$T$18),"Somali peninsula","")</f>
        <v/>
      </c>
      <c r="BA292" s="22" t="str">
        <f>IF(AND('[1]observations-276632'!W292&gt;'[1]Methods write-up'!$Q$19,'[1]observations-276632'!W292&lt;'[1]Methods write-up'!$R$19,'[1]observations-276632'!X292&gt;'[1]Methods write-up'!$S$19,'[1]observations-276632'!X292&lt;'[1]Methods write-up'!$T$19),"East Africa","")</f>
        <v/>
      </c>
      <c r="BB292" s="22" t="str">
        <f>IF(AND('[1]observations-276632'!W292&gt;'[1]Methods write-up'!$Q$20,'[1]observations-276632'!W292&lt;'[1]Methods write-up'!$R$20,'[1]observations-276632'!X292&gt;'[1]Methods write-up'!$S$20,'[1]observations-276632'!X292&lt;'[1]Methods write-up'!$T$20),"Temperate seasonal","")</f>
        <v>Temperate seasonal</v>
      </c>
      <c r="BC292" s="22" t="str">
        <f>IF(AND('[1]observations-276632'!W292&gt;'[1]Methods write-up'!$Q$21,'[1]observations-276632'!W292&lt;'[1]Methods write-up'!$R$21,'[1]observations-276632'!X292&gt;'[1]Methods write-up'!$S$21,'[1]observations-276632'!X292&lt;'[1]Methods write-up'!$T$21),"Desert and high aridity","")</f>
        <v/>
      </c>
      <c r="BD292" s="23" t="str">
        <f t="shared" si="19"/>
        <v>Temperate seasonal</v>
      </c>
      <c r="BE292" s="24">
        <f t="shared" si="17"/>
        <v>19</v>
      </c>
      <c r="BF292" s="24">
        <f t="shared" si="18"/>
        <v>5</v>
      </c>
    </row>
    <row r="293" spans="1:58" ht="16.25" customHeight="1" x14ac:dyDescent="0.2">
      <c r="A293">
        <v>25936208</v>
      </c>
      <c r="B293" t="s">
        <v>2097</v>
      </c>
      <c r="C293" s="14">
        <v>43589</v>
      </c>
      <c r="D293" t="s">
        <v>2098</v>
      </c>
      <c r="E293" t="s">
        <v>93</v>
      </c>
      <c r="F293">
        <v>81948</v>
      </c>
      <c r="G293" t="s">
        <v>2099</v>
      </c>
      <c r="H293" t="s">
        <v>2100</v>
      </c>
      <c r="I293" t="s">
        <v>2101</v>
      </c>
      <c r="J293" t="s">
        <v>2102</v>
      </c>
      <c r="K293" t="s">
        <v>62</v>
      </c>
      <c r="L293" t="s">
        <v>98</v>
      </c>
      <c r="M293" t="s">
        <v>2103</v>
      </c>
      <c r="N293" t="s">
        <v>2104</v>
      </c>
      <c r="R293">
        <v>2</v>
      </c>
      <c r="S293">
        <v>0</v>
      </c>
      <c r="T293" t="b">
        <v>0</v>
      </c>
      <c r="V293" t="s">
        <v>2105</v>
      </c>
      <c r="W293" s="15">
        <v>-12.463775</v>
      </c>
      <c r="X293" s="15">
        <v>33.531599999999997</v>
      </c>
      <c r="AF293" t="b">
        <v>0</v>
      </c>
      <c r="AI293" t="s">
        <v>71</v>
      </c>
      <c r="AJ293" t="s">
        <v>70</v>
      </c>
      <c r="AK293" t="s">
        <v>71</v>
      </c>
      <c r="AL293" t="s">
        <v>72</v>
      </c>
      <c r="AM293">
        <v>346053</v>
      </c>
      <c r="AO293" s="16" t="s">
        <v>73</v>
      </c>
      <c r="AP293" s="17" t="str">
        <f t="shared" si="20"/>
        <v>Off-nest female</v>
      </c>
      <c r="AX293" s="22" t="str">
        <f>IF(AND('[1]observations-276632'!W293&gt;'[1]Methods write-up'!$Q$16,'[1]observations-276632'!W293&lt;'[1]Methods write-up'!$R$16,'[1]observations-276632'!X293&gt;'[1]Methods write-up'!$S$16,'[1]observations-276632'!X293&lt;'[1]Methods write-up'!$T$16),"West and Central Africa","")</f>
        <v/>
      </c>
      <c r="AY293" s="22" t="str">
        <f>IF(AND('[1]observations-276632'!W293&gt;'[1]Methods write-up'!$Q$17,'[1]observations-276632'!W293&lt;'[1]Methods write-up'!$R$17,'[1]observations-276632'!X293&gt;'[1]Methods write-up'!$S$17,'[1]observations-276632'!X293&lt;'[1]Methods write-up'!$T$17),"Equatorial tropical forest","")</f>
        <v/>
      </c>
      <c r="AZ293" s="22" t="str">
        <f>IF(AND('[1]observations-276632'!W293&gt;'[1]Methods write-up'!$Q$18,'[1]observations-276632'!W293&lt;'[1]Methods write-up'!$R$18,'[1]observations-276632'!X293&gt;'[1]Methods write-up'!$S$18,'[1]observations-276632'!X293&lt;'[1]Methods write-up'!$T$18),"Somali peninsula","")</f>
        <v/>
      </c>
      <c r="BA293" s="22" t="str">
        <f>IF(AND('[1]observations-276632'!W293&gt;'[1]Methods write-up'!$Q$19,'[1]observations-276632'!W293&lt;'[1]Methods write-up'!$R$19,'[1]observations-276632'!X293&gt;'[1]Methods write-up'!$S$19,'[1]observations-276632'!X293&lt;'[1]Methods write-up'!$T$19),"East Africa","")</f>
        <v/>
      </c>
      <c r="BB293" s="22" t="str">
        <f>IF(AND('[1]observations-276632'!W293&gt;'[1]Methods write-up'!$Q$20,'[1]observations-276632'!W293&lt;'[1]Methods write-up'!$R$20,'[1]observations-276632'!X293&gt;'[1]Methods write-up'!$S$20,'[1]observations-276632'!X293&lt;'[1]Methods write-up'!$T$20),"Temperate seasonal","")</f>
        <v/>
      </c>
      <c r="BC293" s="22" t="str">
        <f>IF(AND('[1]observations-276632'!W293&gt;'[1]Methods write-up'!$Q$21,'[1]observations-276632'!W293&lt;'[1]Methods write-up'!$R$21,'[1]observations-276632'!X293&gt;'[1]Methods write-up'!$S$21,'[1]observations-276632'!X293&lt;'[1]Methods write-up'!$T$21),"Desert and high aridity","")</f>
        <v/>
      </c>
      <c r="BD293" s="23" t="str">
        <f t="shared" si="19"/>
        <v/>
      </c>
      <c r="BE293" s="24">
        <f t="shared" si="17"/>
        <v>4</v>
      </c>
      <c r="BF293" s="24">
        <f t="shared" si="18"/>
        <v>5</v>
      </c>
    </row>
    <row r="294" spans="1:58" ht="16.25" customHeight="1" x14ac:dyDescent="0.2">
      <c r="A294">
        <v>26307284</v>
      </c>
      <c r="B294" t="s">
        <v>2106</v>
      </c>
      <c r="C294" s="14">
        <v>43618</v>
      </c>
      <c r="D294" t="s">
        <v>2107</v>
      </c>
      <c r="E294" t="s">
        <v>113</v>
      </c>
      <c r="F294">
        <v>659922</v>
      </c>
      <c r="G294" t="s">
        <v>918</v>
      </c>
      <c r="I294" t="s">
        <v>2108</v>
      </c>
      <c r="J294" t="s">
        <v>2109</v>
      </c>
      <c r="K294" t="s">
        <v>62</v>
      </c>
      <c r="L294" t="s">
        <v>63</v>
      </c>
      <c r="M294" t="s">
        <v>2110</v>
      </c>
      <c r="N294" t="s">
        <v>2111</v>
      </c>
      <c r="R294">
        <v>4</v>
      </c>
      <c r="S294">
        <v>0</v>
      </c>
      <c r="T294" t="b">
        <v>0</v>
      </c>
      <c r="V294" t="s">
        <v>2011</v>
      </c>
      <c r="W294" s="15">
        <v>-28.320499999999999</v>
      </c>
      <c r="X294" s="15">
        <v>32.362400000000001</v>
      </c>
      <c r="Y294">
        <v>500</v>
      </c>
      <c r="AC294">
        <v>500</v>
      </c>
      <c r="AF294" t="b">
        <v>0</v>
      </c>
      <c r="AI294" t="s">
        <v>71</v>
      </c>
      <c r="AJ294" t="s">
        <v>70</v>
      </c>
      <c r="AK294" t="s">
        <v>71</v>
      </c>
      <c r="AL294" t="s">
        <v>72</v>
      </c>
      <c r="AM294">
        <v>346053</v>
      </c>
      <c r="AO294" s="16" t="s">
        <v>73</v>
      </c>
      <c r="AP294" s="17" t="str">
        <f t="shared" si="20"/>
        <v>Off-nest female</v>
      </c>
      <c r="AX294" s="22" t="str">
        <f>IF(AND('[1]observations-276632'!W294&gt;'[1]Methods write-up'!$Q$16,'[1]observations-276632'!W294&lt;'[1]Methods write-up'!$R$16,'[1]observations-276632'!X294&gt;'[1]Methods write-up'!$S$16,'[1]observations-276632'!X294&lt;'[1]Methods write-up'!$T$16),"West and Central Africa","")</f>
        <v/>
      </c>
      <c r="AY294" s="22" t="str">
        <f>IF(AND('[1]observations-276632'!W294&gt;'[1]Methods write-up'!$Q$17,'[1]observations-276632'!W294&lt;'[1]Methods write-up'!$R$17,'[1]observations-276632'!X294&gt;'[1]Methods write-up'!$S$17,'[1]observations-276632'!X294&lt;'[1]Methods write-up'!$T$17),"Equatorial tropical forest","")</f>
        <v/>
      </c>
      <c r="AZ294" s="22" t="str">
        <f>IF(AND('[1]observations-276632'!W294&gt;'[1]Methods write-up'!$Q$18,'[1]observations-276632'!W294&lt;'[1]Methods write-up'!$R$18,'[1]observations-276632'!X294&gt;'[1]Methods write-up'!$S$18,'[1]observations-276632'!X294&lt;'[1]Methods write-up'!$T$18),"Somali peninsula","")</f>
        <v/>
      </c>
      <c r="BA294" s="22" t="str">
        <f>IF(AND('[1]observations-276632'!W294&gt;'[1]Methods write-up'!$Q$19,'[1]observations-276632'!W294&lt;'[1]Methods write-up'!$R$19,'[1]observations-276632'!X294&gt;'[1]Methods write-up'!$S$19,'[1]observations-276632'!X294&lt;'[1]Methods write-up'!$T$19),"East Africa","")</f>
        <v/>
      </c>
      <c r="BB294" s="22" t="str">
        <f>IF(AND('[1]observations-276632'!W294&gt;'[1]Methods write-up'!$Q$20,'[1]observations-276632'!W294&lt;'[1]Methods write-up'!$R$20,'[1]observations-276632'!X294&gt;'[1]Methods write-up'!$S$20,'[1]observations-276632'!X294&lt;'[1]Methods write-up'!$T$20),"Temperate seasonal","")</f>
        <v>Temperate seasonal</v>
      </c>
      <c r="BC294" s="22" t="str">
        <f>IF(AND('[1]observations-276632'!W294&gt;'[1]Methods write-up'!$Q$21,'[1]observations-276632'!W294&lt;'[1]Methods write-up'!$R$21,'[1]observations-276632'!X294&gt;'[1]Methods write-up'!$S$21,'[1]observations-276632'!X294&lt;'[1]Methods write-up'!$T$21),"Desert and high aridity","")</f>
        <v/>
      </c>
      <c r="BD294" s="23" t="str">
        <f t="shared" si="19"/>
        <v>Temperate seasonal</v>
      </c>
      <c r="BE294" s="24">
        <f t="shared" si="17"/>
        <v>2</v>
      </c>
      <c r="BF294" s="24">
        <f t="shared" si="18"/>
        <v>6</v>
      </c>
    </row>
    <row r="295" spans="1:58" ht="16.25" customHeight="1" x14ac:dyDescent="0.2">
      <c r="A295">
        <v>26394154</v>
      </c>
      <c r="B295" t="s">
        <v>2112</v>
      </c>
      <c r="C295" s="14">
        <v>43619</v>
      </c>
      <c r="D295" t="s">
        <v>2113</v>
      </c>
      <c r="E295" t="s">
        <v>122</v>
      </c>
      <c r="F295">
        <v>650775</v>
      </c>
      <c r="G295" t="s">
        <v>2114</v>
      </c>
      <c r="H295" t="s">
        <v>2115</v>
      </c>
      <c r="I295" t="s">
        <v>2116</v>
      </c>
      <c r="J295" t="s">
        <v>2117</v>
      </c>
      <c r="K295" t="s">
        <v>62</v>
      </c>
      <c r="L295" t="s">
        <v>373</v>
      </c>
      <c r="M295" t="s">
        <v>2118</v>
      </c>
      <c r="N295" t="s">
        <v>2119</v>
      </c>
      <c r="R295">
        <v>2</v>
      </c>
      <c r="S295">
        <v>0</v>
      </c>
      <c r="T295" t="b">
        <v>0</v>
      </c>
      <c r="V295" t="s">
        <v>2120</v>
      </c>
      <c r="W295" s="15">
        <v>-1.238489291</v>
      </c>
      <c r="X295" s="15">
        <v>36.830471799999998</v>
      </c>
      <c r="Y295">
        <v>1543</v>
      </c>
      <c r="AC295">
        <v>1543</v>
      </c>
      <c r="AF295" t="b">
        <v>0</v>
      </c>
      <c r="AI295" t="s">
        <v>71</v>
      </c>
      <c r="AJ295" t="s">
        <v>70</v>
      </c>
      <c r="AK295" t="s">
        <v>71</v>
      </c>
      <c r="AL295" t="s">
        <v>72</v>
      </c>
      <c r="AM295">
        <v>346053</v>
      </c>
      <c r="AO295" s="16" t="s">
        <v>73</v>
      </c>
      <c r="AP295" s="17" t="str">
        <f t="shared" si="20"/>
        <v>Off-nest female</v>
      </c>
      <c r="AX295" s="22" t="str">
        <f>IF(AND('[1]observations-276632'!W295&gt;'[1]Methods write-up'!$Q$16,'[1]observations-276632'!W295&lt;'[1]Methods write-up'!$R$16,'[1]observations-276632'!X295&gt;'[1]Methods write-up'!$S$16,'[1]observations-276632'!X295&lt;'[1]Methods write-up'!$T$16),"West and Central Africa","")</f>
        <v/>
      </c>
      <c r="AY295" s="22" t="str">
        <f>IF(AND('[1]observations-276632'!W295&gt;'[1]Methods write-up'!$Q$17,'[1]observations-276632'!W295&lt;'[1]Methods write-up'!$R$17,'[1]observations-276632'!X295&gt;'[1]Methods write-up'!$S$17,'[1]observations-276632'!X295&lt;'[1]Methods write-up'!$T$17),"Equatorial tropical forest","")</f>
        <v/>
      </c>
      <c r="AZ295" s="22" t="str">
        <f>IF(AND('[1]observations-276632'!W295&gt;'[1]Methods write-up'!$Q$18,'[1]observations-276632'!W295&lt;'[1]Methods write-up'!$R$18,'[1]observations-276632'!X295&gt;'[1]Methods write-up'!$S$18,'[1]observations-276632'!X295&lt;'[1]Methods write-up'!$T$18),"Somali peninsula","")</f>
        <v/>
      </c>
      <c r="BA295" s="22" t="str">
        <f>IF(AND('[1]observations-276632'!W295&gt;'[1]Methods write-up'!$Q$19,'[1]observations-276632'!W295&lt;'[1]Methods write-up'!$R$19,'[1]observations-276632'!X295&gt;'[1]Methods write-up'!$S$19,'[1]observations-276632'!X295&lt;'[1]Methods write-up'!$T$19),"East Africa","")</f>
        <v>East Africa</v>
      </c>
      <c r="BB295" s="22" t="str">
        <f>IF(AND('[1]observations-276632'!W295&gt;'[1]Methods write-up'!$Q$20,'[1]observations-276632'!W295&lt;'[1]Methods write-up'!$R$20,'[1]observations-276632'!X295&gt;'[1]Methods write-up'!$S$20,'[1]observations-276632'!X295&lt;'[1]Methods write-up'!$T$20),"Temperate seasonal","")</f>
        <v/>
      </c>
      <c r="BC295" s="22" t="str">
        <f>IF(AND('[1]observations-276632'!W295&gt;'[1]Methods write-up'!$Q$21,'[1]observations-276632'!W295&lt;'[1]Methods write-up'!$R$21,'[1]observations-276632'!X295&gt;'[1]Methods write-up'!$S$21,'[1]observations-276632'!X295&lt;'[1]Methods write-up'!$T$21),"Desert and high aridity","")</f>
        <v/>
      </c>
      <c r="BD295" s="23" t="str">
        <f t="shared" si="19"/>
        <v>East Africa</v>
      </c>
      <c r="BE295" s="24">
        <f t="shared" si="17"/>
        <v>3</v>
      </c>
      <c r="BF295" s="24">
        <f t="shared" si="18"/>
        <v>6</v>
      </c>
    </row>
    <row r="296" spans="1:58" ht="16.25" customHeight="1" x14ac:dyDescent="0.2">
      <c r="A296">
        <v>26398795</v>
      </c>
      <c r="B296" t="s">
        <v>2121</v>
      </c>
      <c r="C296" s="14">
        <v>43618</v>
      </c>
      <c r="D296" t="s">
        <v>2122</v>
      </c>
      <c r="E296" t="s">
        <v>113</v>
      </c>
      <c r="F296">
        <v>659922</v>
      </c>
      <c r="G296" t="s">
        <v>918</v>
      </c>
      <c r="I296" t="s">
        <v>2123</v>
      </c>
      <c r="J296" t="s">
        <v>2124</v>
      </c>
      <c r="K296" t="s">
        <v>62</v>
      </c>
      <c r="L296" t="s">
        <v>63</v>
      </c>
      <c r="M296" t="s">
        <v>2125</v>
      </c>
      <c r="N296" t="s">
        <v>2126</v>
      </c>
      <c r="R296">
        <v>3</v>
      </c>
      <c r="S296">
        <v>0</v>
      </c>
      <c r="T296" t="b">
        <v>0</v>
      </c>
      <c r="V296" t="s">
        <v>2011</v>
      </c>
      <c r="W296" s="15">
        <v>-28.331199999999999</v>
      </c>
      <c r="X296" s="15">
        <v>32.3613</v>
      </c>
      <c r="Y296">
        <v>100</v>
      </c>
      <c r="AC296">
        <v>100</v>
      </c>
      <c r="AF296" t="b">
        <v>0</v>
      </c>
      <c r="AI296" t="s">
        <v>71</v>
      </c>
      <c r="AJ296" t="s">
        <v>70</v>
      </c>
      <c r="AK296" t="s">
        <v>71</v>
      </c>
      <c r="AL296" t="s">
        <v>72</v>
      </c>
      <c r="AM296">
        <v>346053</v>
      </c>
      <c r="AO296" s="16" t="s">
        <v>110</v>
      </c>
      <c r="AP296" s="17" t="str">
        <f t="shared" si="20"/>
        <v>Nest (foundress)</v>
      </c>
      <c r="AQ296" s="18">
        <v>1</v>
      </c>
      <c r="AT296" s="19" t="s">
        <v>104</v>
      </c>
      <c r="AX296" s="22" t="str">
        <f>IF(AND('[1]observations-276632'!W296&gt;'[1]Methods write-up'!$Q$16,'[1]observations-276632'!W296&lt;'[1]Methods write-up'!$R$16,'[1]observations-276632'!X296&gt;'[1]Methods write-up'!$S$16,'[1]observations-276632'!X296&lt;'[1]Methods write-up'!$T$16),"West and Central Africa","")</f>
        <v/>
      </c>
      <c r="AY296" s="22" t="str">
        <f>IF(AND('[1]observations-276632'!W296&gt;'[1]Methods write-up'!$Q$17,'[1]observations-276632'!W296&lt;'[1]Methods write-up'!$R$17,'[1]observations-276632'!X296&gt;'[1]Methods write-up'!$S$17,'[1]observations-276632'!X296&lt;'[1]Methods write-up'!$T$17),"Equatorial tropical forest","")</f>
        <v/>
      </c>
      <c r="AZ296" s="22" t="str">
        <f>IF(AND('[1]observations-276632'!W296&gt;'[1]Methods write-up'!$Q$18,'[1]observations-276632'!W296&lt;'[1]Methods write-up'!$R$18,'[1]observations-276632'!X296&gt;'[1]Methods write-up'!$S$18,'[1]observations-276632'!X296&lt;'[1]Methods write-up'!$T$18),"Somali peninsula","")</f>
        <v/>
      </c>
      <c r="BA296" s="22" t="str">
        <f>IF(AND('[1]observations-276632'!W296&gt;'[1]Methods write-up'!$Q$19,'[1]observations-276632'!W296&lt;'[1]Methods write-up'!$R$19,'[1]observations-276632'!X296&gt;'[1]Methods write-up'!$S$19,'[1]observations-276632'!X296&lt;'[1]Methods write-up'!$T$19),"East Africa","")</f>
        <v/>
      </c>
      <c r="BB296" s="22" t="str">
        <f>IF(AND('[1]observations-276632'!W296&gt;'[1]Methods write-up'!$Q$20,'[1]observations-276632'!W296&lt;'[1]Methods write-up'!$R$20,'[1]observations-276632'!X296&gt;'[1]Methods write-up'!$S$20,'[1]observations-276632'!X296&lt;'[1]Methods write-up'!$T$20),"Temperate seasonal","")</f>
        <v>Temperate seasonal</v>
      </c>
      <c r="BC296" s="22" t="str">
        <f>IF(AND('[1]observations-276632'!W296&gt;'[1]Methods write-up'!$Q$21,'[1]observations-276632'!W296&lt;'[1]Methods write-up'!$R$21,'[1]observations-276632'!X296&gt;'[1]Methods write-up'!$S$21,'[1]observations-276632'!X296&lt;'[1]Methods write-up'!$T$21),"Desert and high aridity","")</f>
        <v/>
      </c>
      <c r="BD296" s="23" t="str">
        <f t="shared" si="19"/>
        <v>Temperate seasonal</v>
      </c>
      <c r="BE296" s="24">
        <f t="shared" si="17"/>
        <v>2</v>
      </c>
      <c r="BF296" s="24">
        <f t="shared" si="18"/>
        <v>6</v>
      </c>
    </row>
    <row r="297" spans="1:58" ht="16.25" customHeight="1" x14ac:dyDescent="0.2">
      <c r="A297">
        <v>26541994</v>
      </c>
      <c r="B297" t="s">
        <v>2127</v>
      </c>
      <c r="C297" s="14">
        <v>43603</v>
      </c>
      <c r="D297" t="s">
        <v>2128</v>
      </c>
      <c r="E297" t="s">
        <v>93</v>
      </c>
      <c r="F297">
        <v>81948</v>
      </c>
      <c r="G297" t="s">
        <v>2099</v>
      </c>
      <c r="H297" t="s">
        <v>2100</v>
      </c>
      <c r="I297" t="s">
        <v>2129</v>
      </c>
      <c r="J297" t="s">
        <v>2130</v>
      </c>
      <c r="K297" t="s">
        <v>62</v>
      </c>
      <c r="L297" t="s">
        <v>98</v>
      </c>
      <c r="M297" t="s">
        <v>2131</v>
      </c>
      <c r="N297" t="s">
        <v>2132</v>
      </c>
      <c r="R297">
        <v>3</v>
      </c>
      <c r="S297">
        <v>0</v>
      </c>
      <c r="T297" t="b">
        <v>0</v>
      </c>
      <c r="V297" t="s">
        <v>2133</v>
      </c>
      <c r="W297" s="15">
        <v>-13.364886569999999</v>
      </c>
      <c r="X297" s="15">
        <v>34.007113570000001</v>
      </c>
      <c r="AF297" t="b">
        <v>0</v>
      </c>
      <c r="AI297" t="s">
        <v>71</v>
      </c>
      <c r="AJ297" t="s">
        <v>70</v>
      </c>
      <c r="AK297" t="s">
        <v>71</v>
      </c>
      <c r="AL297" t="s">
        <v>72</v>
      </c>
      <c r="AM297">
        <v>346053</v>
      </c>
      <c r="AO297" s="16" t="s">
        <v>73</v>
      </c>
      <c r="AP297" s="17" t="str">
        <f t="shared" si="20"/>
        <v>Off-nest female</v>
      </c>
      <c r="AX297" s="22" t="str">
        <f>IF(AND('[1]observations-276632'!W297&gt;'[1]Methods write-up'!$Q$16,'[1]observations-276632'!W297&lt;'[1]Methods write-up'!$R$16,'[1]observations-276632'!X297&gt;'[1]Methods write-up'!$S$16,'[1]observations-276632'!X297&lt;'[1]Methods write-up'!$T$16),"West and Central Africa","")</f>
        <v/>
      </c>
      <c r="AY297" s="22" t="str">
        <f>IF(AND('[1]observations-276632'!W297&gt;'[1]Methods write-up'!$Q$17,'[1]observations-276632'!W297&lt;'[1]Methods write-up'!$R$17,'[1]observations-276632'!X297&gt;'[1]Methods write-up'!$S$17,'[1]observations-276632'!X297&lt;'[1]Methods write-up'!$T$17),"Equatorial tropical forest","")</f>
        <v/>
      </c>
      <c r="AZ297" s="22" t="str">
        <f>IF(AND('[1]observations-276632'!W297&gt;'[1]Methods write-up'!$Q$18,'[1]observations-276632'!W297&lt;'[1]Methods write-up'!$R$18,'[1]observations-276632'!X297&gt;'[1]Methods write-up'!$S$18,'[1]observations-276632'!X297&lt;'[1]Methods write-up'!$T$18),"Somali peninsula","")</f>
        <v/>
      </c>
      <c r="BA297" s="22" t="str">
        <f>IF(AND('[1]observations-276632'!W297&gt;'[1]Methods write-up'!$Q$19,'[1]observations-276632'!W297&lt;'[1]Methods write-up'!$R$19,'[1]observations-276632'!X297&gt;'[1]Methods write-up'!$S$19,'[1]observations-276632'!X297&lt;'[1]Methods write-up'!$T$19),"East Africa","")</f>
        <v/>
      </c>
      <c r="BB297" s="22" t="str">
        <f>IF(AND('[1]observations-276632'!W297&gt;'[1]Methods write-up'!$Q$20,'[1]observations-276632'!W297&lt;'[1]Methods write-up'!$R$20,'[1]observations-276632'!X297&gt;'[1]Methods write-up'!$S$20,'[1]observations-276632'!X297&lt;'[1]Methods write-up'!$T$20),"Temperate seasonal","")</f>
        <v/>
      </c>
      <c r="BC297" s="22" t="str">
        <f>IF(AND('[1]observations-276632'!W297&gt;'[1]Methods write-up'!$Q$21,'[1]observations-276632'!W297&lt;'[1]Methods write-up'!$R$21,'[1]observations-276632'!X297&gt;'[1]Methods write-up'!$S$21,'[1]observations-276632'!X297&lt;'[1]Methods write-up'!$T$21),"Desert and high aridity","")</f>
        <v/>
      </c>
      <c r="BD297" s="23" t="str">
        <f t="shared" si="19"/>
        <v/>
      </c>
      <c r="BE297" s="24">
        <f t="shared" si="17"/>
        <v>18</v>
      </c>
      <c r="BF297" s="24">
        <f t="shared" si="18"/>
        <v>5</v>
      </c>
    </row>
    <row r="298" spans="1:58" ht="16.25" customHeight="1" x14ac:dyDescent="0.2">
      <c r="A298">
        <v>26546171</v>
      </c>
      <c r="B298" t="s">
        <v>2134</v>
      </c>
      <c r="C298" s="14">
        <v>43599</v>
      </c>
      <c r="D298" t="s">
        <v>2135</v>
      </c>
      <c r="E298" t="s">
        <v>57</v>
      </c>
      <c r="F298">
        <v>703114</v>
      </c>
      <c r="G298" t="s">
        <v>2136</v>
      </c>
      <c r="H298" t="s">
        <v>2137</v>
      </c>
      <c r="I298" t="s">
        <v>2138</v>
      </c>
      <c r="J298" t="s">
        <v>2139</v>
      </c>
      <c r="K298" t="s">
        <v>62</v>
      </c>
      <c r="L298" t="s">
        <v>98</v>
      </c>
      <c r="M298" t="s">
        <v>2140</v>
      </c>
      <c r="N298" t="s">
        <v>2141</v>
      </c>
      <c r="R298">
        <v>3</v>
      </c>
      <c r="S298">
        <v>0</v>
      </c>
      <c r="T298" t="b">
        <v>0</v>
      </c>
      <c r="V298" t="s">
        <v>2142</v>
      </c>
      <c r="W298" s="15">
        <v>-29.544102460000001</v>
      </c>
      <c r="X298" s="15">
        <v>30.268761260000002</v>
      </c>
      <c r="Y298">
        <v>408</v>
      </c>
      <c r="AC298">
        <v>408</v>
      </c>
      <c r="AF298" t="b">
        <v>0</v>
      </c>
      <c r="AI298" t="s">
        <v>71</v>
      </c>
      <c r="AJ298" t="s">
        <v>70</v>
      </c>
      <c r="AK298" t="s">
        <v>71</v>
      </c>
      <c r="AL298" t="s">
        <v>72</v>
      </c>
      <c r="AM298">
        <v>346053</v>
      </c>
      <c r="AO298" s="16" t="s">
        <v>73</v>
      </c>
      <c r="AP298" s="17" t="str">
        <f t="shared" si="20"/>
        <v>Off-nest female</v>
      </c>
      <c r="AX298" s="22" t="str">
        <f>IF(AND('[1]observations-276632'!W298&gt;'[1]Methods write-up'!$Q$16,'[1]observations-276632'!W298&lt;'[1]Methods write-up'!$R$16,'[1]observations-276632'!X298&gt;'[1]Methods write-up'!$S$16,'[1]observations-276632'!X298&lt;'[1]Methods write-up'!$T$16),"West and Central Africa","")</f>
        <v/>
      </c>
      <c r="AY298" s="22" t="str">
        <f>IF(AND('[1]observations-276632'!W298&gt;'[1]Methods write-up'!$Q$17,'[1]observations-276632'!W298&lt;'[1]Methods write-up'!$R$17,'[1]observations-276632'!X298&gt;'[1]Methods write-up'!$S$17,'[1]observations-276632'!X298&lt;'[1]Methods write-up'!$T$17),"Equatorial tropical forest","")</f>
        <v/>
      </c>
      <c r="AZ298" s="22" t="str">
        <f>IF(AND('[1]observations-276632'!W298&gt;'[1]Methods write-up'!$Q$18,'[1]observations-276632'!W298&lt;'[1]Methods write-up'!$R$18,'[1]observations-276632'!X298&gt;'[1]Methods write-up'!$S$18,'[1]observations-276632'!X298&lt;'[1]Methods write-up'!$T$18),"Somali peninsula","")</f>
        <v/>
      </c>
      <c r="BA298" s="22" t="str">
        <f>IF(AND('[1]observations-276632'!W298&gt;'[1]Methods write-up'!$Q$19,'[1]observations-276632'!W298&lt;'[1]Methods write-up'!$R$19,'[1]observations-276632'!X298&gt;'[1]Methods write-up'!$S$19,'[1]observations-276632'!X298&lt;'[1]Methods write-up'!$T$19),"East Africa","")</f>
        <v/>
      </c>
      <c r="BB298" s="22" t="str">
        <f>IF(AND('[1]observations-276632'!W298&gt;'[1]Methods write-up'!$Q$20,'[1]observations-276632'!W298&lt;'[1]Methods write-up'!$R$20,'[1]observations-276632'!X298&gt;'[1]Methods write-up'!$S$20,'[1]observations-276632'!X298&lt;'[1]Methods write-up'!$T$20),"Temperate seasonal","")</f>
        <v>Temperate seasonal</v>
      </c>
      <c r="BC298" s="22" t="str">
        <f>IF(AND('[1]observations-276632'!W298&gt;'[1]Methods write-up'!$Q$21,'[1]observations-276632'!W298&lt;'[1]Methods write-up'!$R$21,'[1]observations-276632'!X298&gt;'[1]Methods write-up'!$S$21,'[1]observations-276632'!X298&lt;'[1]Methods write-up'!$T$21),"Desert and high aridity","")</f>
        <v/>
      </c>
      <c r="BD298" s="23" t="str">
        <f t="shared" si="19"/>
        <v>Temperate seasonal</v>
      </c>
      <c r="BE298" s="24">
        <f t="shared" si="17"/>
        <v>14</v>
      </c>
      <c r="BF298" s="24">
        <f t="shared" si="18"/>
        <v>5</v>
      </c>
    </row>
    <row r="299" spans="1:58" ht="16.25" customHeight="1" x14ac:dyDescent="0.2">
      <c r="A299">
        <v>26677536</v>
      </c>
      <c r="B299" t="s">
        <v>2143</v>
      </c>
      <c r="C299" s="14">
        <v>43613</v>
      </c>
      <c r="D299" t="s">
        <v>2144</v>
      </c>
      <c r="E299" t="s">
        <v>57</v>
      </c>
      <c r="F299">
        <v>703114</v>
      </c>
      <c r="G299" t="s">
        <v>2136</v>
      </c>
      <c r="H299" t="s">
        <v>2137</v>
      </c>
      <c r="I299" t="s">
        <v>2145</v>
      </c>
      <c r="J299" t="s">
        <v>2146</v>
      </c>
      <c r="K299" t="s">
        <v>62</v>
      </c>
      <c r="L299" t="s">
        <v>98</v>
      </c>
      <c r="M299" t="s">
        <v>2147</v>
      </c>
      <c r="N299" t="s">
        <v>2148</v>
      </c>
      <c r="R299">
        <v>3</v>
      </c>
      <c r="S299">
        <v>0</v>
      </c>
      <c r="T299" t="b">
        <v>0</v>
      </c>
      <c r="V299" t="s">
        <v>2142</v>
      </c>
      <c r="W299" s="15">
        <v>-29.544102460000001</v>
      </c>
      <c r="X299" s="15">
        <v>30.268761260000002</v>
      </c>
      <c r="Y299">
        <v>408</v>
      </c>
      <c r="AC299">
        <v>408</v>
      </c>
      <c r="AF299" t="b">
        <v>0</v>
      </c>
      <c r="AI299" t="s">
        <v>71</v>
      </c>
      <c r="AJ299" t="s">
        <v>70</v>
      </c>
      <c r="AK299" t="s">
        <v>71</v>
      </c>
      <c r="AL299" t="s">
        <v>72</v>
      </c>
      <c r="AM299">
        <v>346053</v>
      </c>
      <c r="AO299" s="16" t="s">
        <v>73</v>
      </c>
      <c r="AP299" s="17" t="str">
        <f t="shared" si="20"/>
        <v>Off-nest female</v>
      </c>
      <c r="AX299" s="22" t="str">
        <f>IF(AND('[1]observations-276632'!W299&gt;'[1]Methods write-up'!$Q$16,'[1]observations-276632'!W299&lt;'[1]Methods write-up'!$R$16,'[1]observations-276632'!X299&gt;'[1]Methods write-up'!$S$16,'[1]observations-276632'!X299&lt;'[1]Methods write-up'!$T$16),"West and Central Africa","")</f>
        <v/>
      </c>
      <c r="AY299" s="22" t="str">
        <f>IF(AND('[1]observations-276632'!W299&gt;'[1]Methods write-up'!$Q$17,'[1]observations-276632'!W299&lt;'[1]Methods write-up'!$R$17,'[1]observations-276632'!X299&gt;'[1]Methods write-up'!$S$17,'[1]observations-276632'!X299&lt;'[1]Methods write-up'!$T$17),"Equatorial tropical forest","")</f>
        <v/>
      </c>
      <c r="AZ299" s="22" t="str">
        <f>IF(AND('[1]observations-276632'!W299&gt;'[1]Methods write-up'!$Q$18,'[1]observations-276632'!W299&lt;'[1]Methods write-up'!$R$18,'[1]observations-276632'!X299&gt;'[1]Methods write-up'!$S$18,'[1]observations-276632'!X299&lt;'[1]Methods write-up'!$T$18),"Somali peninsula","")</f>
        <v/>
      </c>
      <c r="BA299" s="22" t="str">
        <f>IF(AND('[1]observations-276632'!W299&gt;'[1]Methods write-up'!$Q$19,'[1]observations-276632'!W299&lt;'[1]Methods write-up'!$R$19,'[1]observations-276632'!X299&gt;'[1]Methods write-up'!$S$19,'[1]observations-276632'!X299&lt;'[1]Methods write-up'!$T$19),"East Africa","")</f>
        <v/>
      </c>
      <c r="BB299" s="22" t="str">
        <f>IF(AND('[1]observations-276632'!W299&gt;'[1]Methods write-up'!$Q$20,'[1]observations-276632'!W299&lt;'[1]Methods write-up'!$R$20,'[1]observations-276632'!X299&gt;'[1]Methods write-up'!$S$20,'[1]observations-276632'!X299&lt;'[1]Methods write-up'!$T$20),"Temperate seasonal","")</f>
        <v>Temperate seasonal</v>
      </c>
      <c r="BC299" s="22" t="str">
        <f>IF(AND('[1]observations-276632'!W299&gt;'[1]Methods write-up'!$Q$21,'[1]observations-276632'!W299&lt;'[1]Methods write-up'!$R$21,'[1]observations-276632'!X299&gt;'[1]Methods write-up'!$S$21,'[1]observations-276632'!X299&lt;'[1]Methods write-up'!$T$21),"Desert and high aridity","")</f>
        <v/>
      </c>
      <c r="BD299" s="23" t="str">
        <f t="shared" si="19"/>
        <v>Temperate seasonal</v>
      </c>
      <c r="BE299" s="24">
        <f t="shared" si="17"/>
        <v>28</v>
      </c>
      <c r="BF299" s="24">
        <f t="shared" si="18"/>
        <v>5</v>
      </c>
    </row>
    <row r="300" spans="1:58" ht="16.25" customHeight="1" x14ac:dyDescent="0.2">
      <c r="A300">
        <v>27000044</v>
      </c>
      <c r="B300" t="s">
        <v>2149</v>
      </c>
      <c r="C300" s="14">
        <v>43349</v>
      </c>
      <c r="D300" t="s">
        <v>2150</v>
      </c>
      <c r="E300" t="s">
        <v>1988</v>
      </c>
      <c r="F300">
        <v>120940</v>
      </c>
      <c r="G300" t="s">
        <v>2151</v>
      </c>
      <c r="I300" t="s">
        <v>2152</v>
      </c>
      <c r="J300" t="s">
        <v>2153</v>
      </c>
      <c r="K300" t="s">
        <v>62</v>
      </c>
      <c r="L300" t="s">
        <v>373</v>
      </c>
      <c r="M300" t="s">
        <v>2154</v>
      </c>
      <c r="N300" t="s">
        <v>2155</v>
      </c>
      <c r="P300" t="s">
        <v>2156</v>
      </c>
      <c r="Q300" t="s">
        <v>2157</v>
      </c>
      <c r="R300">
        <v>1</v>
      </c>
      <c r="S300">
        <v>0</v>
      </c>
      <c r="T300" t="b">
        <v>0</v>
      </c>
      <c r="V300" t="s">
        <v>2158</v>
      </c>
      <c r="W300" s="15">
        <v>-0.42217932899999999</v>
      </c>
      <c r="X300" s="15">
        <v>36.129857989999998</v>
      </c>
      <c r="Y300">
        <v>22</v>
      </c>
      <c r="AC300">
        <v>22</v>
      </c>
      <c r="AF300" t="b">
        <v>0</v>
      </c>
      <c r="AI300" t="s">
        <v>71</v>
      </c>
      <c r="AJ300" t="s">
        <v>70</v>
      </c>
      <c r="AK300" t="s">
        <v>71</v>
      </c>
      <c r="AL300" t="s">
        <v>72</v>
      </c>
      <c r="AM300">
        <v>346053</v>
      </c>
      <c r="AO300" s="16" t="s">
        <v>150</v>
      </c>
      <c r="AP300" s="17" t="str">
        <f t="shared" si="20"/>
        <v>Male (off nest)</v>
      </c>
      <c r="AX300" s="22" t="str">
        <f>IF(AND('[1]observations-276632'!W300&gt;'[1]Methods write-up'!$Q$16,'[1]observations-276632'!W300&lt;'[1]Methods write-up'!$R$16,'[1]observations-276632'!X300&gt;'[1]Methods write-up'!$S$16,'[1]observations-276632'!X300&lt;'[1]Methods write-up'!$T$16),"West and Central Africa","")</f>
        <v/>
      </c>
      <c r="AY300" s="22" t="str">
        <f>IF(AND('[1]observations-276632'!W300&gt;'[1]Methods write-up'!$Q$17,'[1]observations-276632'!W300&lt;'[1]Methods write-up'!$R$17,'[1]observations-276632'!X300&gt;'[1]Methods write-up'!$S$17,'[1]observations-276632'!X300&lt;'[1]Methods write-up'!$T$17),"Equatorial tropical forest","")</f>
        <v/>
      </c>
      <c r="AZ300" s="22" t="str">
        <f>IF(AND('[1]observations-276632'!W300&gt;'[1]Methods write-up'!$Q$18,'[1]observations-276632'!W300&lt;'[1]Methods write-up'!$R$18,'[1]observations-276632'!X300&gt;'[1]Methods write-up'!$S$18,'[1]observations-276632'!X300&lt;'[1]Methods write-up'!$T$18),"Somali peninsula","")</f>
        <v/>
      </c>
      <c r="BA300" s="22" t="str">
        <f>IF(AND('[1]observations-276632'!W300&gt;'[1]Methods write-up'!$Q$19,'[1]observations-276632'!W300&lt;'[1]Methods write-up'!$R$19,'[1]observations-276632'!X300&gt;'[1]Methods write-up'!$S$19,'[1]observations-276632'!X300&lt;'[1]Methods write-up'!$T$19),"East Africa","")</f>
        <v>East Africa</v>
      </c>
      <c r="BB300" s="22" t="str">
        <f>IF(AND('[1]observations-276632'!W300&gt;'[1]Methods write-up'!$Q$20,'[1]observations-276632'!W300&lt;'[1]Methods write-up'!$R$20,'[1]observations-276632'!X300&gt;'[1]Methods write-up'!$S$20,'[1]observations-276632'!X300&lt;'[1]Methods write-up'!$T$20),"Temperate seasonal","")</f>
        <v/>
      </c>
      <c r="BC300" s="22" t="str">
        <f>IF(AND('[1]observations-276632'!W300&gt;'[1]Methods write-up'!$Q$21,'[1]observations-276632'!W300&lt;'[1]Methods write-up'!$R$21,'[1]observations-276632'!X300&gt;'[1]Methods write-up'!$S$21,'[1]observations-276632'!X300&lt;'[1]Methods write-up'!$T$21),"Desert and high aridity","")</f>
        <v/>
      </c>
      <c r="BD300" s="23" t="str">
        <f t="shared" si="19"/>
        <v>East Africa</v>
      </c>
      <c r="BE300" s="24">
        <f t="shared" si="17"/>
        <v>6</v>
      </c>
      <c r="BF300" s="24">
        <f t="shared" si="18"/>
        <v>9</v>
      </c>
    </row>
    <row r="301" spans="1:58" ht="16.25" customHeight="1" x14ac:dyDescent="0.2">
      <c r="A301">
        <v>27093481</v>
      </c>
      <c r="B301" t="s">
        <v>2159</v>
      </c>
      <c r="C301" s="14">
        <v>43616</v>
      </c>
      <c r="D301" t="s">
        <v>2160</v>
      </c>
      <c r="E301" t="s">
        <v>243</v>
      </c>
      <c r="F301">
        <v>565236</v>
      </c>
      <c r="G301" t="s">
        <v>360</v>
      </c>
      <c r="H301" t="s">
        <v>361</v>
      </c>
      <c r="I301" t="s">
        <v>2161</v>
      </c>
      <c r="J301" t="s">
        <v>2162</v>
      </c>
      <c r="K301" t="s">
        <v>62</v>
      </c>
      <c r="M301" t="s">
        <v>2163</v>
      </c>
      <c r="N301" t="s">
        <v>2164</v>
      </c>
      <c r="R301">
        <v>2</v>
      </c>
      <c r="S301">
        <v>0</v>
      </c>
      <c r="T301" t="b">
        <v>0</v>
      </c>
      <c r="V301" t="s">
        <v>2165</v>
      </c>
      <c r="W301" s="15">
        <v>-1.8403350000000001</v>
      </c>
      <c r="X301" s="15">
        <v>31.61741</v>
      </c>
      <c r="AF301" t="b">
        <v>0</v>
      </c>
      <c r="AI301" t="s">
        <v>71</v>
      </c>
      <c r="AJ301" t="s">
        <v>70</v>
      </c>
      <c r="AK301" t="s">
        <v>71</v>
      </c>
      <c r="AL301" t="s">
        <v>72</v>
      </c>
      <c r="AM301">
        <v>346053</v>
      </c>
      <c r="AO301" s="16" t="s">
        <v>73</v>
      </c>
      <c r="AP301" s="17" t="str">
        <f t="shared" si="20"/>
        <v>Off-nest female</v>
      </c>
      <c r="AX301" s="22" t="str">
        <f>IF(AND('[1]observations-276632'!W301&gt;'[1]Methods write-up'!$Q$16,'[1]observations-276632'!W301&lt;'[1]Methods write-up'!$R$16,'[1]observations-276632'!X301&gt;'[1]Methods write-up'!$S$16,'[1]observations-276632'!X301&lt;'[1]Methods write-up'!$T$16),"West and Central Africa","")</f>
        <v/>
      </c>
      <c r="AY301" s="22" t="str">
        <f>IF(AND('[1]observations-276632'!W301&gt;'[1]Methods write-up'!$Q$17,'[1]observations-276632'!W301&lt;'[1]Methods write-up'!$R$17,'[1]observations-276632'!X301&gt;'[1]Methods write-up'!$S$17,'[1]observations-276632'!X301&lt;'[1]Methods write-up'!$T$17),"Equatorial tropical forest","")</f>
        <v/>
      </c>
      <c r="AZ301" s="22" t="str">
        <f>IF(AND('[1]observations-276632'!W301&gt;'[1]Methods write-up'!$Q$18,'[1]observations-276632'!W301&lt;'[1]Methods write-up'!$R$18,'[1]observations-276632'!X301&gt;'[1]Methods write-up'!$S$18,'[1]observations-276632'!X301&lt;'[1]Methods write-up'!$T$18),"Somali peninsula","")</f>
        <v/>
      </c>
      <c r="BA301" s="22" t="str">
        <f>IF(AND('[1]observations-276632'!W301&gt;'[1]Methods write-up'!$Q$19,'[1]observations-276632'!W301&lt;'[1]Methods write-up'!$R$19,'[1]observations-276632'!X301&gt;'[1]Methods write-up'!$S$19,'[1]observations-276632'!X301&lt;'[1]Methods write-up'!$T$19),"East Africa","")</f>
        <v/>
      </c>
      <c r="BB301" s="22" t="str">
        <f>IF(AND('[1]observations-276632'!W301&gt;'[1]Methods write-up'!$Q$20,'[1]observations-276632'!W301&lt;'[1]Methods write-up'!$R$20,'[1]observations-276632'!X301&gt;'[1]Methods write-up'!$S$20,'[1]observations-276632'!X301&lt;'[1]Methods write-up'!$T$20),"Temperate seasonal","")</f>
        <v/>
      </c>
      <c r="BC301" s="22" t="str">
        <f>IF(AND('[1]observations-276632'!W301&gt;'[1]Methods write-up'!$Q$21,'[1]observations-276632'!W301&lt;'[1]Methods write-up'!$R$21,'[1]observations-276632'!X301&gt;'[1]Methods write-up'!$S$21,'[1]observations-276632'!X301&lt;'[1]Methods write-up'!$T$21),"Desert and high aridity","")</f>
        <v/>
      </c>
      <c r="BD301" s="23" t="str">
        <f t="shared" si="19"/>
        <v/>
      </c>
      <c r="BE301" s="24">
        <f t="shared" si="17"/>
        <v>31</v>
      </c>
      <c r="BF301" s="24">
        <f t="shared" si="18"/>
        <v>5</v>
      </c>
    </row>
    <row r="302" spans="1:58" ht="16.25" customHeight="1" x14ac:dyDescent="0.2">
      <c r="A302">
        <v>27653232</v>
      </c>
      <c r="B302" t="s">
        <v>2166</v>
      </c>
      <c r="C302" s="14">
        <v>43313</v>
      </c>
      <c r="D302" t="s">
        <v>2167</v>
      </c>
      <c r="E302" t="s">
        <v>256</v>
      </c>
      <c r="F302">
        <v>768615</v>
      </c>
      <c r="G302" t="s">
        <v>2168</v>
      </c>
      <c r="I302" t="s">
        <v>2169</v>
      </c>
      <c r="J302" t="s">
        <v>2170</v>
      </c>
      <c r="K302" t="s">
        <v>62</v>
      </c>
      <c r="L302" t="s">
        <v>63</v>
      </c>
      <c r="M302" t="s">
        <v>2171</v>
      </c>
      <c r="N302" t="s">
        <v>2172</v>
      </c>
      <c r="R302">
        <v>2</v>
      </c>
      <c r="S302">
        <v>0</v>
      </c>
      <c r="T302" t="b">
        <v>0</v>
      </c>
      <c r="U302">
        <v>3</v>
      </c>
      <c r="V302" t="s">
        <v>2173</v>
      </c>
      <c r="W302" s="15">
        <v>0.51800000000000002</v>
      </c>
      <c r="X302" s="15">
        <v>35.27525</v>
      </c>
      <c r="Y302">
        <v>1414</v>
      </c>
      <c r="AC302">
        <v>1414</v>
      </c>
      <c r="AF302" t="b">
        <v>0</v>
      </c>
      <c r="AI302" t="s">
        <v>71</v>
      </c>
      <c r="AJ302" t="s">
        <v>70</v>
      </c>
      <c r="AK302" t="s">
        <v>71</v>
      </c>
      <c r="AL302" t="s">
        <v>72</v>
      </c>
      <c r="AM302">
        <v>346053</v>
      </c>
      <c r="AO302" s="16" t="s">
        <v>140</v>
      </c>
      <c r="AP302" s="17" t="str">
        <f t="shared" si="20"/>
        <v>Post-emergence nest</v>
      </c>
      <c r="AQ302" s="18">
        <v>12</v>
      </c>
      <c r="AT302" s="19" t="s">
        <v>141</v>
      </c>
      <c r="AU302" s="20" t="s">
        <v>104</v>
      </c>
      <c r="AX302" s="22" t="str">
        <f>IF(AND('[1]observations-276632'!W302&gt;'[1]Methods write-up'!$Q$16,'[1]observations-276632'!W302&lt;'[1]Methods write-up'!$R$16,'[1]observations-276632'!X302&gt;'[1]Methods write-up'!$S$16,'[1]observations-276632'!X302&lt;'[1]Methods write-up'!$T$16),"West and Central Africa","")</f>
        <v/>
      </c>
      <c r="AY302" s="22" t="str">
        <f>IF(AND('[1]observations-276632'!W302&gt;'[1]Methods write-up'!$Q$17,'[1]observations-276632'!W302&lt;'[1]Methods write-up'!$R$17,'[1]observations-276632'!X302&gt;'[1]Methods write-up'!$S$17,'[1]observations-276632'!X302&lt;'[1]Methods write-up'!$T$17),"Equatorial tropical forest","")</f>
        <v/>
      </c>
      <c r="AZ302" s="22" t="str">
        <f>IF(AND('[1]observations-276632'!W302&gt;'[1]Methods write-up'!$Q$18,'[1]observations-276632'!W302&lt;'[1]Methods write-up'!$R$18,'[1]observations-276632'!X302&gt;'[1]Methods write-up'!$S$18,'[1]observations-276632'!X302&lt;'[1]Methods write-up'!$T$18),"Somali peninsula","")</f>
        <v/>
      </c>
      <c r="BA302" s="22" t="str">
        <f>IF(AND('[1]observations-276632'!W302&gt;'[1]Methods write-up'!$Q$19,'[1]observations-276632'!W302&lt;'[1]Methods write-up'!$R$19,'[1]observations-276632'!X302&gt;'[1]Methods write-up'!$S$19,'[1]observations-276632'!X302&lt;'[1]Methods write-up'!$T$19),"East Africa","")</f>
        <v>East Africa</v>
      </c>
      <c r="BB302" s="22" t="str">
        <f>IF(AND('[1]observations-276632'!W302&gt;'[1]Methods write-up'!$Q$20,'[1]observations-276632'!W302&lt;'[1]Methods write-up'!$R$20,'[1]observations-276632'!X302&gt;'[1]Methods write-up'!$S$20,'[1]observations-276632'!X302&lt;'[1]Methods write-up'!$T$20),"Temperate seasonal","")</f>
        <v/>
      </c>
      <c r="BC302" s="22" t="str">
        <f>IF(AND('[1]observations-276632'!W302&gt;'[1]Methods write-up'!$Q$21,'[1]observations-276632'!W302&lt;'[1]Methods write-up'!$R$21,'[1]observations-276632'!X302&gt;'[1]Methods write-up'!$S$21,'[1]observations-276632'!X302&lt;'[1]Methods write-up'!$T$21),"Desert and high aridity","")</f>
        <v/>
      </c>
      <c r="BD302" s="23" t="str">
        <f t="shared" si="19"/>
        <v>East Africa</v>
      </c>
      <c r="BE302" s="24">
        <f t="shared" si="17"/>
        <v>1</v>
      </c>
      <c r="BF302" s="24">
        <f t="shared" si="18"/>
        <v>8</v>
      </c>
    </row>
    <row r="303" spans="1:58" ht="16.25" customHeight="1" x14ac:dyDescent="0.2">
      <c r="A303">
        <v>28161368</v>
      </c>
      <c r="B303" t="s">
        <v>2174</v>
      </c>
      <c r="C303" s="14">
        <v>43650</v>
      </c>
      <c r="D303" t="s">
        <v>2175</v>
      </c>
      <c r="E303" t="s">
        <v>84</v>
      </c>
      <c r="F303">
        <v>2491</v>
      </c>
      <c r="G303" t="s">
        <v>1693</v>
      </c>
      <c r="H303" t="s">
        <v>1694</v>
      </c>
      <c r="I303" t="s">
        <v>2176</v>
      </c>
      <c r="J303" t="s">
        <v>2177</v>
      </c>
      <c r="K303" t="s">
        <v>62</v>
      </c>
      <c r="M303" t="s">
        <v>2178</v>
      </c>
      <c r="N303" t="s">
        <v>2179</v>
      </c>
      <c r="R303">
        <v>2</v>
      </c>
      <c r="S303">
        <v>0</v>
      </c>
      <c r="T303" t="b">
        <v>0</v>
      </c>
      <c r="U303">
        <v>3</v>
      </c>
      <c r="V303" t="s">
        <v>2180</v>
      </c>
      <c r="W303" s="15">
        <v>-1.3233983229999999</v>
      </c>
      <c r="X303" s="15">
        <v>36.688427410000003</v>
      </c>
      <c r="Y303">
        <v>11</v>
      </c>
      <c r="AC303">
        <v>11</v>
      </c>
      <c r="AF303" t="b">
        <v>0</v>
      </c>
      <c r="AI303" t="s">
        <v>71</v>
      </c>
      <c r="AJ303" t="s">
        <v>70</v>
      </c>
      <c r="AK303" t="s">
        <v>71</v>
      </c>
      <c r="AL303" t="s">
        <v>72</v>
      </c>
      <c r="AM303">
        <v>346053</v>
      </c>
      <c r="AO303" s="16" t="s">
        <v>140</v>
      </c>
      <c r="AP303" s="17" t="str">
        <f t="shared" si="20"/>
        <v>Post-emergence nest</v>
      </c>
      <c r="AQ303" s="18">
        <v>6</v>
      </c>
      <c r="AT303" s="19" t="s">
        <v>141</v>
      </c>
      <c r="AU303" s="20" t="s">
        <v>104</v>
      </c>
      <c r="AX303" s="22" t="str">
        <f>IF(AND('[1]observations-276632'!W303&gt;'[1]Methods write-up'!$Q$16,'[1]observations-276632'!W303&lt;'[1]Methods write-up'!$R$16,'[1]observations-276632'!X303&gt;'[1]Methods write-up'!$S$16,'[1]observations-276632'!X303&lt;'[1]Methods write-up'!$T$16),"West and Central Africa","")</f>
        <v/>
      </c>
      <c r="AY303" s="22" t="str">
        <f>IF(AND('[1]observations-276632'!W303&gt;'[1]Methods write-up'!$Q$17,'[1]observations-276632'!W303&lt;'[1]Methods write-up'!$R$17,'[1]observations-276632'!X303&gt;'[1]Methods write-up'!$S$17,'[1]observations-276632'!X303&lt;'[1]Methods write-up'!$T$17),"Equatorial tropical forest","")</f>
        <v/>
      </c>
      <c r="AZ303" s="22" t="str">
        <f>IF(AND('[1]observations-276632'!W303&gt;'[1]Methods write-up'!$Q$18,'[1]observations-276632'!W303&lt;'[1]Methods write-up'!$R$18,'[1]observations-276632'!X303&gt;'[1]Methods write-up'!$S$18,'[1]observations-276632'!X303&lt;'[1]Methods write-up'!$T$18),"Somali peninsula","")</f>
        <v/>
      </c>
      <c r="BA303" s="22" t="str">
        <f>IF(AND('[1]observations-276632'!W303&gt;'[1]Methods write-up'!$Q$19,'[1]observations-276632'!W303&lt;'[1]Methods write-up'!$R$19,'[1]observations-276632'!X303&gt;'[1]Methods write-up'!$S$19,'[1]observations-276632'!X303&lt;'[1]Methods write-up'!$T$19),"East Africa","")</f>
        <v>East Africa</v>
      </c>
      <c r="BB303" s="22" t="str">
        <f>IF(AND('[1]observations-276632'!W303&gt;'[1]Methods write-up'!$Q$20,'[1]observations-276632'!W303&lt;'[1]Methods write-up'!$R$20,'[1]observations-276632'!X303&gt;'[1]Methods write-up'!$S$20,'[1]observations-276632'!X303&lt;'[1]Methods write-up'!$T$20),"Temperate seasonal","")</f>
        <v/>
      </c>
      <c r="BC303" s="22" t="str">
        <f>IF(AND('[1]observations-276632'!W303&gt;'[1]Methods write-up'!$Q$21,'[1]observations-276632'!W303&lt;'[1]Methods write-up'!$R$21,'[1]observations-276632'!X303&gt;'[1]Methods write-up'!$S$21,'[1]observations-276632'!X303&lt;'[1]Methods write-up'!$T$21),"Desert and high aridity","")</f>
        <v/>
      </c>
      <c r="BD303" s="23" t="str">
        <f t="shared" si="19"/>
        <v>East Africa</v>
      </c>
      <c r="BE303" s="24">
        <f t="shared" si="17"/>
        <v>4</v>
      </c>
      <c r="BF303" s="24">
        <f t="shared" si="18"/>
        <v>7</v>
      </c>
    </row>
    <row r="304" spans="1:58" ht="16.25" customHeight="1" x14ac:dyDescent="0.2">
      <c r="A304">
        <v>28362643</v>
      </c>
      <c r="B304" t="s">
        <v>2181</v>
      </c>
      <c r="C304" s="14">
        <v>43640</v>
      </c>
      <c r="D304" t="s">
        <v>2182</v>
      </c>
      <c r="E304" t="s">
        <v>193</v>
      </c>
      <c r="F304">
        <v>1526281</v>
      </c>
      <c r="G304" t="s">
        <v>2183</v>
      </c>
      <c r="H304" t="s">
        <v>2184</v>
      </c>
      <c r="I304" t="s">
        <v>2185</v>
      </c>
      <c r="J304" t="s">
        <v>2186</v>
      </c>
      <c r="K304" t="s">
        <v>62</v>
      </c>
      <c r="M304" t="s">
        <v>2187</v>
      </c>
      <c r="N304" t="s">
        <v>2188</v>
      </c>
      <c r="R304">
        <v>2</v>
      </c>
      <c r="S304">
        <v>0</v>
      </c>
      <c r="T304" t="b">
        <v>0</v>
      </c>
      <c r="U304">
        <v>3</v>
      </c>
      <c r="V304" t="s">
        <v>2189</v>
      </c>
      <c r="W304" s="15">
        <v>-3.7720549999999999</v>
      </c>
      <c r="X304" s="15">
        <v>35.858233329999997</v>
      </c>
      <c r="Y304">
        <v>12</v>
      </c>
      <c r="AC304">
        <v>12</v>
      </c>
      <c r="AF304" t="b">
        <v>0</v>
      </c>
      <c r="AI304" t="s">
        <v>71</v>
      </c>
      <c r="AJ304" t="s">
        <v>70</v>
      </c>
      <c r="AK304" t="s">
        <v>71</v>
      </c>
      <c r="AL304" t="s">
        <v>72</v>
      </c>
      <c r="AM304">
        <v>346053</v>
      </c>
      <c r="AO304" s="16" t="s">
        <v>73</v>
      </c>
      <c r="AP304" s="17" t="str">
        <f t="shared" si="20"/>
        <v>Off-nest female</v>
      </c>
      <c r="AX304" s="22" t="str">
        <f>IF(AND('[1]observations-276632'!W304&gt;'[1]Methods write-up'!$Q$16,'[1]observations-276632'!W304&lt;'[1]Methods write-up'!$R$16,'[1]observations-276632'!X304&gt;'[1]Methods write-up'!$S$16,'[1]observations-276632'!X304&lt;'[1]Methods write-up'!$T$16),"West and Central Africa","")</f>
        <v/>
      </c>
      <c r="AY304" s="22" t="str">
        <f>IF(AND('[1]observations-276632'!W304&gt;'[1]Methods write-up'!$Q$17,'[1]observations-276632'!W304&lt;'[1]Methods write-up'!$R$17,'[1]observations-276632'!X304&gt;'[1]Methods write-up'!$S$17,'[1]observations-276632'!X304&lt;'[1]Methods write-up'!$T$17),"Equatorial tropical forest","")</f>
        <v/>
      </c>
      <c r="AZ304" s="22" t="str">
        <f>IF(AND('[1]observations-276632'!W304&gt;'[1]Methods write-up'!$Q$18,'[1]observations-276632'!W304&lt;'[1]Methods write-up'!$R$18,'[1]observations-276632'!X304&gt;'[1]Methods write-up'!$S$18,'[1]observations-276632'!X304&lt;'[1]Methods write-up'!$T$18),"Somali peninsula","")</f>
        <v/>
      </c>
      <c r="BA304" s="22" t="str">
        <f>IF(AND('[1]observations-276632'!W304&gt;'[1]Methods write-up'!$Q$19,'[1]observations-276632'!W304&lt;'[1]Methods write-up'!$R$19,'[1]observations-276632'!X304&gt;'[1]Methods write-up'!$S$19,'[1]observations-276632'!X304&lt;'[1]Methods write-up'!$T$19),"East Africa","")</f>
        <v>East Africa</v>
      </c>
      <c r="BB304" s="22" t="str">
        <f>IF(AND('[1]observations-276632'!W304&gt;'[1]Methods write-up'!$Q$20,'[1]observations-276632'!W304&lt;'[1]Methods write-up'!$R$20,'[1]observations-276632'!X304&gt;'[1]Methods write-up'!$S$20,'[1]observations-276632'!X304&lt;'[1]Methods write-up'!$T$20),"Temperate seasonal","")</f>
        <v/>
      </c>
      <c r="BC304" s="22" t="str">
        <f>IF(AND('[1]observations-276632'!W304&gt;'[1]Methods write-up'!$Q$21,'[1]observations-276632'!W304&lt;'[1]Methods write-up'!$R$21,'[1]observations-276632'!X304&gt;'[1]Methods write-up'!$S$21,'[1]observations-276632'!X304&lt;'[1]Methods write-up'!$T$21),"Desert and high aridity","")</f>
        <v/>
      </c>
      <c r="BD304" s="23" t="str">
        <f t="shared" si="19"/>
        <v>East Africa</v>
      </c>
      <c r="BE304" s="24">
        <f t="shared" si="17"/>
        <v>24</v>
      </c>
      <c r="BF304" s="24">
        <f t="shared" si="18"/>
        <v>6</v>
      </c>
    </row>
    <row r="305" spans="1:58" ht="16.25" customHeight="1" x14ac:dyDescent="0.2">
      <c r="A305">
        <v>28609486</v>
      </c>
      <c r="B305" t="s">
        <v>2190</v>
      </c>
      <c r="C305" s="14">
        <v>43626</v>
      </c>
      <c r="D305" t="s">
        <v>2191</v>
      </c>
      <c r="E305" t="s">
        <v>243</v>
      </c>
      <c r="F305">
        <v>565236</v>
      </c>
      <c r="G305" t="s">
        <v>360</v>
      </c>
      <c r="H305" t="s">
        <v>361</v>
      </c>
      <c r="I305" t="s">
        <v>2192</v>
      </c>
      <c r="J305" t="s">
        <v>2193</v>
      </c>
      <c r="K305" t="s">
        <v>62</v>
      </c>
      <c r="M305" t="s">
        <v>2194</v>
      </c>
      <c r="N305" t="s">
        <v>2195</v>
      </c>
      <c r="R305">
        <v>3</v>
      </c>
      <c r="S305">
        <v>0</v>
      </c>
      <c r="T305" t="b">
        <v>0</v>
      </c>
      <c r="V305" t="s">
        <v>2196</v>
      </c>
      <c r="W305" s="15">
        <v>0.15804933900000001</v>
      </c>
      <c r="X305" s="15">
        <v>32.559862500000001</v>
      </c>
      <c r="Y305">
        <v>4</v>
      </c>
      <c r="AC305">
        <v>4</v>
      </c>
      <c r="AF305" t="b">
        <v>0</v>
      </c>
      <c r="AI305" t="s">
        <v>71</v>
      </c>
      <c r="AJ305" t="s">
        <v>70</v>
      </c>
      <c r="AK305" t="s">
        <v>71</v>
      </c>
      <c r="AL305" t="s">
        <v>72</v>
      </c>
      <c r="AM305">
        <v>346053</v>
      </c>
      <c r="AO305" s="16" t="s">
        <v>110</v>
      </c>
      <c r="AP305" s="17" t="str">
        <f t="shared" si="20"/>
        <v>Nest (foundress)</v>
      </c>
      <c r="AQ305" s="18">
        <v>1</v>
      </c>
      <c r="AT305" s="19" t="s">
        <v>104</v>
      </c>
      <c r="AX305" s="22" t="str">
        <f>IF(AND('[1]observations-276632'!W305&gt;'[1]Methods write-up'!$Q$16,'[1]observations-276632'!W305&lt;'[1]Methods write-up'!$R$16,'[1]observations-276632'!X305&gt;'[1]Methods write-up'!$S$16,'[1]observations-276632'!X305&lt;'[1]Methods write-up'!$T$16),"West and Central Africa","")</f>
        <v/>
      </c>
      <c r="AY305" s="22" t="str">
        <f>IF(AND('[1]observations-276632'!W305&gt;'[1]Methods write-up'!$Q$17,'[1]observations-276632'!W305&lt;'[1]Methods write-up'!$R$17,'[1]observations-276632'!X305&gt;'[1]Methods write-up'!$S$17,'[1]observations-276632'!X305&lt;'[1]Methods write-up'!$T$17),"Equatorial tropical forest","")</f>
        <v/>
      </c>
      <c r="AZ305" s="22" t="str">
        <f>IF(AND('[1]observations-276632'!W305&gt;'[1]Methods write-up'!$Q$18,'[1]observations-276632'!W305&lt;'[1]Methods write-up'!$R$18,'[1]observations-276632'!X305&gt;'[1]Methods write-up'!$S$18,'[1]observations-276632'!X305&lt;'[1]Methods write-up'!$T$18),"Somali peninsula","")</f>
        <v/>
      </c>
      <c r="BA305" s="22" t="str">
        <f>IF(AND('[1]observations-276632'!W305&gt;'[1]Methods write-up'!$Q$19,'[1]observations-276632'!W305&lt;'[1]Methods write-up'!$R$19,'[1]observations-276632'!X305&gt;'[1]Methods write-up'!$S$19,'[1]observations-276632'!X305&lt;'[1]Methods write-up'!$T$19),"East Africa","")</f>
        <v>East Africa</v>
      </c>
      <c r="BB305" s="22" t="str">
        <f>IF(AND('[1]observations-276632'!W305&gt;'[1]Methods write-up'!$Q$20,'[1]observations-276632'!W305&lt;'[1]Methods write-up'!$R$20,'[1]observations-276632'!X305&gt;'[1]Methods write-up'!$S$20,'[1]observations-276632'!X305&lt;'[1]Methods write-up'!$T$20),"Temperate seasonal","")</f>
        <v/>
      </c>
      <c r="BC305" s="22" t="str">
        <f>IF(AND('[1]observations-276632'!W305&gt;'[1]Methods write-up'!$Q$21,'[1]observations-276632'!W305&lt;'[1]Methods write-up'!$R$21,'[1]observations-276632'!X305&gt;'[1]Methods write-up'!$S$21,'[1]observations-276632'!X305&lt;'[1]Methods write-up'!$T$21),"Desert and high aridity","")</f>
        <v/>
      </c>
      <c r="BD305" s="23" t="str">
        <f t="shared" si="19"/>
        <v>East Africa</v>
      </c>
      <c r="BE305" s="24">
        <f t="shared" si="17"/>
        <v>10</v>
      </c>
      <c r="BF305" s="24">
        <f t="shared" si="18"/>
        <v>6</v>
      </c>
    </row>
    <row r="306" spans="1:58" ht="16.25" customHeight="1" x14ac:dyDescent="0.2">
      <c r="A306">
        <v>28746713</v>
      </c>
      <c r="B306" t="s">
        <v>2197</v>
      </c>
      <c r="C306" s="14">
        <v>43638</v>
      </c>
      <c r="D306" t="s">
        <v>2198</v>
      </c>
      <c r="E306" t="s">
        <v>113</v>
      </c>
      <c r="F306">
        <v>1941562</v>
      </c>
      <c r="G306" t="s">
        <v>2199</v>
      </c>
      <c r="I306" t="s">
        <v>2200</v>
      </c>
      <c r="J306" t="s">
        <v>2201</v>
      </c>
      <c r="K306" t="s">
        <v>62</v>
      </c>
      <c r="L306" t="s">
        <v>63</v>
      </c>
      <c r="M306" t="s">
        <v>2202</v>
      </c>
      <c r="N306" t="s">
        <v>2203</v>
      </c>
      <c r="Q306" t="s">
        <v>2204</v>
      </c>
      <c r="R306">
        <v>2</v>
      </c>
      <c r="S306">
        <v>0</v>
      </c>
      <c r="T306" t="b">
        <v>0</v>
      </c>
      <c r="U306">
        <v>3</v>
      </c>
      <c r="V306" t="s">
        <v>2205</v>
      </c>
      <c r="W306" s="15">
        <v>-17.795908350000001</v>
      </c>
      <c r="X306" s="15">
        <v>25.152691780000001</v>
      </c>
      <c r="Y306">
        <v>212</v>
      </c>
      <c r="AC306">
        <v>212</v>
      </c>
      <c r="AF306" t="b">
        <v>0</v>
      </c>
      <c r="AI306" t="s">
        <v>71</v>
      </c>
      <c r="AJ306" t="s">
        <v>70</v>
      </c>
      <c r="AK306" t="s">
        <v>71</v>
      </c>
      <c r="AL306" t="s">
        <v>72</v>
      </c>
      <c r="AM306">
        <v>346053</v>
      </c>
      <c r="AO306" s="16" t="s">
        <v>73</v>
      </c>
      <c r="AP306" s="17" t="str">
        <f t="shared" si="20"/>
        <v>Off-nest female</v>
      </c>
      <c r="AX306" s="22" t="str">
        <f>IF(AND('[1]observations-276632'!W306&gt;'[1]Methods write-up'!$Q$16,'[1]observations-276632'!W306&lt;'[1]Methods write-up'!$R$16,'[1]observations-276632'!X306&gt;'[1]Methods write-up'!$S$16,'[1]observations-276632'!X306&lt;'[1]Methods write-up'!$T$16),"West and Central Africa","")</f>
        <v>West and Central Africa</v>
      </c>
      <c r="AY306" s="22" t="str">
        <f>IF(AND('[1]observations-276632'!W306&gt;'[1]Methods write-up'!$Q$17,'[1]observations-276632'!W306&lt;'[1]Methods write-up'!$R$17,'[1]observations-276632'!X306&gt;'[1]Methods write-up'!$S$17,'[1]observations-276632'!X306&lt;'[1]Methods write-up'!$T$17),"Equatorial tropical forest","")</f>
        <v/>
      </c>
      <c r="AZ306" s="22" t="str">
        <f>IF(AND('[1]observations-276632'!W306&gt;'[1]Methods write-up'!$Q$18,'[1]observations-276632'!W306&lt;'[1]Methods write-up'!$R$18,'[1]observations-276632'!X306&gt;'[1]Methods write-up'!$S$18,'[1]observations-276632'!X306&lt;'[1]Methods write-up'!$T$18),"Somali peninsula","")</f>
        <v/>
      </c>
      <c r="BA306" s="22" t="str">
        <f>IF(AND('[1]observations-276632'!W306&gt;'[1]Methods write-up'!$Q$19,'[1]observations-276632'!W306&lt;'[1]Methods write-up'!$R$19,'[1]observations-276632'!X306&gt;'[1]Methods write-up'!$S$19,'[1]observations-276632'!X306&lt;'[1]Methods write-up'!$T$19),"East Africa","")</f>
        <v/>
      </c>
      <c r="BB306" s="22" t="str">
        <f>IF(AND('[1]observations-276632'!W306&gt;'[1]Methods write-up'!$Q$20,'[1]observations-276632'!W306&lt;'[1]Methods write-up'!$R$20,'[1]observations-276632'!X306&gt;'[1]Methods write-up'!$S$20,'[1]observations-276632'!X306&lt;'[1]Methods write-up'!$T$20),"Temperate seasonal","")</f>
        <v/>
      </c>
      <c r="BC306" s="22" t="str">
        <f>IF(AND('[1]observations-276632'!W306&gt;'[1]Methods write-up'!$Q$21,'[1]observations-276632'!W306&lt;'[1]Methods write-up'!$R$21,'[1]observations-276632'!X306&gt;'[1]Methods write-up'!$S$21,'[1]observations-276632'!X306&lt;'[1]Methods write-up'!$T$21),"Desert and high aridity","")</f>
        <v/>
      </c>
      <c r="BD306" s="23" t="str">
        <f t="shared" si="19"/>
        <v>West and Central Africa</v>
      </c>
      <c r="BE306" s="24">
        <f t="shared" si="17"/>
        <v>22</v>
      </c>
      <c r="BF306" s="24">
        <f t="shared" si="18"/>
        <v>6</v>
      </c>
    </row>
    <row r="307" spans="1:58" ht="16.25" customHeight="1" x14ac:dyDescent="0.2">
      <c r="A307">
        <v>28751770</v>
      </c>
      <c r="B307" t="s">
        <v>2206</v>
      </c>
      <c r="C307" s="14">
        <v>43502</v>
      </c>
      <c r="D307" t="s">
        <v>2207</v>
      </c>
      <c r="E307" t="s">
        <v>2208</v>
      </c>
      <c r="F307">
        <v>303567</v>
      </c>
      <c r="G307" t="s">
        <v>2209</v>
      </c>
      <c r="I307" t="s">
        <v>2210</v>
      </c>
      <c r="J307" t="s">
        <v>2211</v>
      </c>
      <c r="K307" t="s">
        <v>62</v>
      </c>
      <c r="M307" t="s">
        <v>2212</v>
      </c>
      <c r="N307" t="s">
        <v>2213</v>
      </c>
      <c r="Q307" t="s">
        <v>2214</v>
      </c>
      <c r="R307">
        <v>2</v>
      </c>
      <c r="S307">
        <v>0</v>
      </c>
      <c r="T307" t="b">
        <v>0</v>
      </c>
      <c r="V307" t="s">
        <v>2215</v>
      </c>
      <c r="W307" s="15">
        <v>2.4628822000000001</v>
      </c>
      <c r="X307" s="15">
        <v>31.520826599999999</v>
      </c>
      <c r="Y307">
        <v>533</v>
      </c>
      <c r="AC307">
        <v>533</v>
      </c>
      <c r="AF307" t="b">
        <v>0</v>
      </c>
      <c r="AI307" t="s">
        <v>71</v>
      </c>
      <c r="AJ307" t="s">
        <v>70</v>
      </c>
      <c r="AK307" t="s">
        <v>71</v>
      </c>
      <c r="AL307" t="s">
        <v>72</v>
      </c>
      <c r="AM307">
        <v>346053</v>
      </c>
      <c r="AO307" s="16" t="s">
        <v>73</v>
      </c>
      <c r="AP307" s="17" t="str">
        <f t="shared" si="20"/>
        <v>Off-nest female</v>
      </c>
      <c r="AX307" s="22" t="str">
        <f>IF(AND('[1]observations-276632'!W307&gt;'[1]Methods write-up'!$Q$16,'[1]observations-276632'!W307&lt;'[1]Methods write-up'!$R$16,'[1]observations-276632'!X307&gt;'[1]Methods write-up'!$S$16,'[1]observations-276632'!X307&lt;'[1]Methods write-up'!$T$16),"West and Central Africa","")</f>
        <v/>
      </c>
      <c r="AY307" s="22" t="str">
        <f>IF(AND('[1]observations-276632'!W307&gt;'[1]Methods write-up'!$Q$17,'[1]observations-276632'!W307&lt;'[1]Methods write-up'!$R$17,'[1]observations-276632'!X307&gt;'[1]Methods write-up'!$S$17,'[1]observations-276632'!X307&lt;'[1]Methods write-up'!$T$17),"Equatorial tropical forest","")</f>
        <v/>
      </c>
      <c r="AZ307" s="22" t="str">
        <f>IF(AND('[1]observations-276632'!W307&gt;'[1]Methods write-up'!$Q$18,'[1]observations-276632'!W307&lt;'[1]Methods write-up'!$R$18,'[1]observations-276632'!X307&gt;'[1]Methods write-up'!$S$18,'[1]observations-276632'!X307&lt;'[1]Methods write-up'!$T$18),"Somali peninsula","")</f>
        <v/>
      </c>
      <c r="BA307" s="22" t="str">
        <f>IF(AND('[1]observations-276632'!W307&gt;'[1]Methods write-up'!$Q$19,'[1]observations-276632'!W307&lt;'[1]Methods write-up'!$R$19,'[1]observations-276632'!X307&gt;'[1]Methods write-up'!$S$19,'[1]observations-276632'!X307&lt;'[1]Methods write-up'!$T$19),"East Africa","")</f>
        <v/>
      </c>
      <c r="BB307" s="22" t="str">
        <f>IF(AND('[1]observations-276632'!W307&gt;'[1]Methods write-up'!$Q$20,'[1]observations-276632'!W307&lt;'[1]Methods write-up'!$R$20,'[1]observations-276632'!X307&gt;'[1]Methods write-up'!$S$20,'[1]observations-276632'!X307&lt;'[1]Methods write-up'!$T$20),"Temperate seasonal","")</f>
        <v/>
      </c>
      <c r="BC307" s="22" t="str">
        <f>IF(AND('[1]observations-276632'!W307&gt;'[1]Methods write-up'!$Q$21,'[1]observations-276632'!W307&lt;'[1]Methods write-up'!$R$21,'[1]observations-276632'!X307&gt;'[1]Methods write-up'!$S$21,'[1]observations-276632'!X307&lt;'[1]Methods write-up'!$T$21),"Desert and high aridity","")</f>
        <v/>
      </c>
      <c r="BD307" s="23" t="str">
        <f t="shared" si="19"/>
        <v/>
      </c>
      <c r="BE307" s="24">
        <f t="shared" si="17"/>
        <v>6</v>
      </c>
      <c r="BF307" s="24">
        <f t="shared" si="18"/>
        <v>2</v>
      </c>
    </row>
    <row r="308" spans="1:58" ht="16.25" customHeight="1" x14ac:dyDescent="0.2">
      <c r="A308">
        <v>28927842</v>
      </c>
      <c r="B308" t="s">
        <v>2216</v>
      </c>
      <c r="C308" s="14">
        <v>41915</v>
      </c>
      <c r="D308" t="s">
        <v>2217</v>
      </c>
      <c r="E308" t="s">
        <v>2218</v>
      </c>
      <c r="F308">
        <v>1167568</v>
      </c>
      <c r="G308" t="s">
        <v>2219</v>
      </c>
      <c r="H308" t="s">
        <v>2220</v>
      </c>
      <c r="I308" t="s">
        <v>2221</v>
      </c>
      <c r="J308" t="s">
        <v>2222</v>
      </c>
      <c r="K308" t="s">
        <v>62</v>
      </c>
      <c r="L308" t="s">
        <v>98</v>
      </c>
      <c r="M308" t="s">
        <v>2223</v>
      </c>
      <c r="N308" t="s">
        <v>2224</v>
      </c>
      <c r="R308">
        <v>2</v>
      </c>
      <c r="S308">
        <v>0</v>
      </c>
      <c r="T308" t="b">
        <v>0</v>
      </c>
      <c r="V308" t="s">
        <v>2225</v>
      </c>
      <c r="W308" s="15">
        <v>-14.443954099999999</v>
      </c>
      <c r="X308" s="15">
        <v>49.769985939999998</v>
      </c>
      <c r="Y308">
        <v>3982</v>
      </c>
      <c r="AC308">
        <v>3982</v>
      </c>
      <c r="AF308" t="b">
        <v>0</v>
      </c>
      <c r="AI308" t="s">
        <v>71</v>
      </c>
      <c r="AJ308" t="s">
        <v>70</v>
      </c>
      <c r="AK308" t="s">
        <v>71</v>
      </c>
      <c r="AL308" t="s">
        <v>72</v>
      </c>
      <c r="AM308">
        <v>346053</v>
      </c>
      <c r="AO308" s="16" t="s">
        <v>73</v>
      </c>
      <c r="AP308" s="17" t="str">
        <f t="shared" si="20"/>
        <v>Off-nest female</v>
      </c>
      <c r="AX308" s="22" t="str">
        <f>IF(AND('[1]observations-276632'!W308&gt;'[1]Methods write-up'!$Q$16,'[1]observations-276632'!W308&lt;'[1]Methods write-up'!$R$16,'[1]observations-276632'!X308&gt;'[1]Methods write-up'!$S$16,'[1]observations-276632'!X308&lt;'[1]Methods write-up'!$T$16),"West and Central Africa","")</f>
        <v/>
      </c>
      <c r="AY308" s="22" t="str">
        <f>IF(AND('[1]observations-276632'!W308&gt;'[1]Methods write-up'!$Q$17,'[1]observations-276632'!W308&lt;'[1]Methods write-up'!$R$17,'[1]observations-276632'!X308&gt;'[1]Methods write-up'!$S$17,'[1]observations-276632'!X308&lt;'[1]Methods write-up'!$T$17),"Equatorial tropical forest","")</f>
        <v/>
      </c>
      <c r="AZ308" s="22" t="str">
        <f>IF(AND('[1]observations-276632'!W308&gt;'[1]Methods write-up'!$Q$18,'[1]observations-276632'!W308&lt;'[1]Methods write-up'!$R$18,'[1]observations-276632'!X308&gt;'[1]Methods write-up'!$S$18,'[1]observations-276632'!X308&lt;'[1]Methods write-up'!$T$18),"Somali peninsula","")</f>
        <v/>
      </c>
      <c r="BA308" s="22" t="str">
        <f>IF(AND('[1]observations-276632'!W308&gt;'[1]Methods write-up'!$Q$19,'[1]observations-276632'!W308&lt;'[1]Methods write-up'!$R$19,'[1]observations-276632'!X308&gt;'[1]Methods write-up'!$S$19,'[1]observations-276632'!X308&lt;'[1]Methods write-up'!$T$19),"East Africa","")</f>
        <v/>
      </c>
      <c r="BB308" s="22" t="str">
        <f>IF(AND('[1]observations-276632'!W308&gt;'[1]Methods write-up'!$Q$20,'[1]observations-276632'!W308&lt;'[1]Methods write-up'!$R$20,'[1]observations-276632'!X308&gt;'[1]Methods write-up'!$S$20,'[1]observations-276632'!X308&lt;'[1]Methods write-up'!$T$20),"Temperate seasonal","")</f>
        <v/>
      </c>
      <c r="BC308" s="22" t="str">
        <f>IF(AND('[1]observations-276632'!W308&gt;'[1]Methods write-up'!$Q$21,'[1]observations-276632'!W308&lt;'[1]Methods write-up'!$R$21,'[1]observations-276632'!X308&gt;'[1]Methods write-up'!$S$21,'[1]observations-276632'!X308&lt;'[1]Methods write-up'!$T$21),"Desert and high aridity","")</f>
        <v/>
      </c>
      <c r="BD308" s="23" t="str">
        <f t="shared" si="19"/>
        <v/>
      </c>
      <c r="BE308" s="24">
        <f t="shared" si="17"/>
        <v>3</v>
      </c>
      <c r="BF308" s="24">
        <f t="shared" si="18"/>
        <v>10</v>
      </c>
    </row>
    <row r="309" spans="1:58" ht="16.25" customHeight="1" x14ac:dyDescent="0.2">
      <c r="A309">
        <v>29158733</v>
      </c>
      <c r="B309" t="s">
        <v>2226</v>
      </c>
      <c r="C309" s="14">
        <v>43665</v>
      </c>
      <c r="D309" t="s">
        <v>2227</v>
      </c>
      <c r="E309" t="s">
        <v>113</v>
      </c>
      <c r="F309">
        <v>1590036</v>
      </c>
      <c r="G309" t="s">
        <v>2228</v>
      </c>
      <c r="I309" t="s">
        <v>2229</v>
      </c>
      <c r="J309" t="s">
        <v>2230</v>
      </c>
      <c r="K309" t="s">
        <v>62</v>
      </c>
      <c r="L309" t="s">
        <v>63</v>
      </c>
      <c r="M309" t="s">
        <v>2231</v>
      </c>
      <c r="N309" t="s">
        <v>2232</v>
      </c>
      <c r="R309">
        <v>1</v>
      </c>
      <c r="S309">
        <v>0</v>
      </c>
      <c r="T309" t="b">
        <v>0</v>
      </c>
      <c r="V309" t="s">
        <v>2233</v>
      </c>
      <c r="W309" s="15">
        <v>-15.78316517</v>
      </c>
      <c r="X309" s="15">
        <v>34.996262250000001</v>
      </c>
      <c r="Y309">
        <v>61</v>
      </c>
      <c r="AC309">
        <v>61</v>
      </c>
      <c r="AF309" t="b">
        <v>0</v>
      </c>
      <c r="AI309" t="s">
        <v>71</v>
      </c>
      <c r="AJ309" t="s">
        <v>70</v>
      </c>
      <c r="AK309" t="s">
        <v>71</v>
      </c>
      <c r="AL309" t="s">
        <v>72</v>
      </c>
      <c r="AM309">
        <v>346053</v>
      </c>
      <c r="AO309" s="16" t="s">
        <v>73</v>
      </c>
      <c r="AP309" s="17" t="str">
        <f t="shared" si="20"/>
        <v>Off-nest female</v>
      </c>
      <c r="AX309" s="22" t="str">
        <f>IF(AND('[1]observations-276632'!W309&gt;'[1]Methods write-up'!$Q$16,'[1]observations-276632'!W309&lt;'[1]Methods write-up'!$R$16,'[1]observations-276632'!X309&gt;'[1]Methods write-up'!$S$16,'[1]observations-276632'!X309&lt;'[1]Methods write-up'!$T$16),"West and Central Africa","")</f>
        <v/>
      </c>
      <c r="AY309" s="22" t="str">
        <f>IF(AND('[1]observations-276632'!W309&gt;'[1]Methods write-up'!$Q$17,'[1]observations-276632'!W309&lt;'[1]Methods write-up'!$R$17,'[1]observations-276632'!X309&gt;'[1]Methods write-up'!$S$17,'[1]observations-276632'!X309&lt;'[1]Methods write-up'!$T$17),"Equatorial tropical forest","")</f>
        <v/>
      </c>
      <c r="AZ309" s="22" t="str">
        <f>IF(AND('[1]observations-276632'!W309&gt;'[1]Methods write-up'!$Q$18,'[1]observations-276632'!W309&lt;'[1]Methods write-up'!$R$18,'[1]observations-276632'!X309&gt;'[1]Methods write-up'!$S$18,'[1]observations-276632'!X309&lt;'[1]Methods write-up'!$T$18),"Somali peninsula","")</f>
        <v/>
      </c>
      <c r="BA309" s="22" t="str">
        <f>IF(AND('[1]observations-276632'!W309&gt;'[1]Methods write-up'!$Q$19,'[1]observations-276632'!W309&lt;'[1]Methods write-up'!$R$19,'[1]observations-276632'!X309&gt;'[1]Methods write-up'!$S$19,'[1]observations-276632'!X309&lt;'[1]Methods write-up'!$T$19),"East Africa","")</f>
        <v/>
      </c>
      <c r="BB309" s="22" t="str">
        <f>IF(AND('[1]observations-276632'!W309&gt;'[1]Methods write-up'!$Q$20,'[1]observations-276632'!W309&lt;'[1]Methods write-up'!$R$20,'[1]observations-276632'!X309&gt;'[1]Methods write-up'!$S$20,'[1]observations-276632'!X309&lt;'[1]Methods write-up'!$T$20),"Temperate seasonal","")</f>
        <v/>
      </c>
      <c r="BC309" s="22" t="str">
        <f>IF(AND('[1]observations-276632'!W309&gt;'[1]Methods write-up'!$Q$21,'[1]observations-276632'!W309&lt;'[1]Methods write-up'!$R$21,'[1]observations-276632'!X309&gt;'[1]Methods write-up'!$S$21,'[1]observations-276632'!X309&lt;'[1]Methods write-up'!$T$21),"Desert and high aridity","")</f>
        <v/>
      </c>
      <c r="BD309" s="23" t="str">
        <f t="shared" si="19"/>
        <v/>
      </c>
      <c r="BE309" s="24">
        <f t="shared" si="17"/>
        <v>19</v>
      </c>
      <c r="BF309" s="24">
        <f t="shared" si="18"/>
        <v>7</v>
      </c>
    </row>
    <row r="310" spans="1:58" ht="16.25" customHeight="1" x14ac:dyDescent="0.2">
      <c r="A310">
        <v>30046665</v>
      </c>
      <c r="B310" t="s">
        <v>2234</v>
      </c>
      <c r="C310" s="14">
        <v>43672</v>
      </c>
      <c r="D310" t="s">
        <v>2235</v>
      </c>
      <c r="E310" t="s">
        <v>403</v>
      </c>
      <c r="F310">
        <v>495746</v>
      </c>
      <c r="G310" t="s">
        <v>2236</v>
      </c>
      <c r="I310" t="s">
        <v>2237</v>
      </c>
      <c r="J310" t="s">
        <v>2238</v>
      </c>
      <c r="K310" t="s">
        <v>62</v>
      </c>
      <c r="M310" t="s">
        <v>2239</v>
      </c>
      <c r="N310" t="s">
        <v>2240</v>
      </c>
      <c r="R310">
        <v>1</v>
      </c>
      <c r="S310">
        <v>0</v>
      </c>
      <c r="T310" t="b">
        <v>0</v>
      </c>
      <c r="U310">
        <v>3</v>
      </c>
      <c r="V310" t="s">
        <v>2241</v>
      </c>
      <c r="W310" s="15">
        <v>-1.3666514700000001</v>
      </c>
      <c r="X310" s="15">
        <v>36.766385649999997</v>
      </c>
      <c r="Y310">
        <v>720</v>
      </c>
      <c r="AC310">
        <v>720</v>
      </c>
      <c r="AF310" t="b">
        <v>0</v>
      </c>
      <c r="AI310" t="s">
        <v>71</v>
      </c>
      <c r="AJ310" t="s">
        <v>70</v>
      </c>
      <c r="AK310" t="s">
        <v>71</v>
      </c>
      <c r="AL310" t="s">
        <v>72</v>
      </c>
      <c r="AM310">
        <v>346053</v>
      </c>
      <c r="AO310" s="16" t="s">
        <v>73</v>
      </c>
      <c r="AP310" s="17" t="str">
        <f t="shared" si="20"/>
        <v>Off-nest female</v>
      </c>
      <c r="AX310" s="22" t="str">
        <f>IF(AND('[1]observations-276632'!W310&gt;'[1]Methods write-up'!$Q$16,'[1]observations-276632'!W310&lt;'[1]Methods write-up'!$R$16,'[1]observations-276632'!X310&gt;'[1]Methods write-up'!$S$16,'[1]observations-276632'!X310&lt;'[1]Methods write-up'!$T$16),"West and Central Africa","")</f>
        <v/>
      </c>
      <c r="AY310" s="22" t="str">
        <f>IF(AND('[1]observations-276632'!W310&gt;'[1]Methods write-up'!$Q$17,'[1]observations-276632'!W310&lt;'[1]Methods write-up'!$R$17,'[1]observations-276632'!X310&gt;'[1]Methods write-up'!$S$17,'[1]observations-276632'!X310&lt;'[1]Methods write-up'!$T$17),"Equatorial tropical forest","")</f>
        <v/>
      </c>
      <c r="AZ310" s="22" t="str">
        <f>IF(AND('[1]observations-276632'!W310&gt;'[1]Methods write-up'!$Q$18,'[1]observations-276632'!W310&lt;'[1]Methods write-up'!$R$18,'[1]observations-276632'!X310&gt;'[1]Methods write-up'!$S$18,'[1]observations-276632'!X310&lt;'[1]Methods write-up'!$T$18),"Somali peninsula","")</f>
        <v/>
      </c>
      <c r="BA310" s="22" t="str">
        <f>IF(AND('[1]observations-276632'!W310&gt;'[1]Methods write-up'!$Q$19,'[1]observations-276632'!W310&lt;'[1]Methods write-up'!$R$19,'[1]observations-276632'!X310&gt;'[1]Methods write-up'!$S$19,'[1]observations-276632'!X310&lt;'[1]Methods write-up'!$T$19),"East Africa","")</f>
        <v>East Africa</v>
      </c>
      <c r="BB310" s="22" t="str">
        <f>IF(AND('[1]observations-276632'!W310&gt;'[1]Methods write-up'!$Q$20,'[1]observations-276632'!W310&lt;'[1]Methods write-up'!$R$20,'[1]observations-276632'!X310&gt;'[1]Methods write-up'!$S$20,'[1]observations-276632'!X310&lt;'[1]Methods write-up'!$T$20),"Temperate seasonal","")</f>
        <v/>
      </c>
      <c r="BC310" s="22" t="str">
        <f>IF(AND('[1]observations-276632'!W310&gt;'[1]Methods write-up'!$Q$21,'[1]observations-276632'!W310&lt;'[1]Methods write-up'!$R$21,'[1]observations-276632'!X310&gt;'[1]Methods write-up'!$S$21,'[1]observations-276632'!X310&lt;'[1]Methods write-up'!$T$21),"Desert and high aridity","")</f>
        <v/>
      </c>
      <c r="BD310" s="23" t="str">
        <f t="shared" si="19"/>
        <v>East Africa</v>
      </c>
      <c r="BE310" s="24">
        <f t="shared" si="17"/>
        <v>26</v>
      </c>
      <c r="BF310" s="24">
        <f t="shared" si="18"/>
        <v>7</v>
      </c>
    </row>
    <row r="311" spans="1:58" ht="16.25" customHeight="1" x14ac:dyDescent="0.2">
      <c r="A311">
        <v>30103141</v>
      </c>
      <c r="B311" t="s">
        <v>2242</v>
      </c>
      <c r="C311" s="14">
        <v>43650</v>
      </c>
      <c r="D311" t="s">
        <v>2243</v>
      </c>
      <c r="E311" t="s">
        <v>463</v>
      </c>
      <c r="F311">
        <v>330406</v>
      </c>
      <c r="G311" t="s">
        <v>2244</v>
      </c>
      <c r="H311" t="s">
        <v>2245</v>
      </c>
      <c r="I311" t="s">
        <v>2246</v>
      </c>
      <c r="J311" t="s">
        <v>2247</v>
      </c>
      <c r="K311" t="s">
        <v>157</v>
      </c>
      <c r="L311" t="s">
        <v>63</v>
      </c>
      <c r="M311" t="s">
        <v>2248</v>
      </c>
      <c r="N311" t="s">
        <v>2249</v>
      </c>
      <c r="Q311" t="s">
        <v>2250</v>
      </c>
      <c r="R311">
        <v>2</v>
      </c>
      <c r="S311">
        <v>0</v>
      </c>
      <c r="T311" t="b">
        <v>0</v>
      </c>
      <c r="V311" t="s">
        <v>2251</v>
      </c>
      <c r="W311" s="15">
        <v>-18.930841000000001</v>
      </c>
      <c r="X311" s="15">
        <v>47.525376999999999</v>
      </c>
      <c r="AF311" t="b">
        <v>0</v>
      </c>
      <c r="AI311" t="s">
        <v>2252</v>
      </c>
      <c r="AJ311" t="s">
        <v>2252</v>
      </c>
      <c r="AL311" t="s">
        <v>72</v>
      </c>
      <c r="AM311">
        <v>1098052</v>
      </c>
      <c r="AO311" s="16" t="s">
        <v>140</v>
      </c>
      <c r="AP311" s="17" t="str">
        <f t="shared" si="20"/>
        <v>Post-emergence nest</v>
      </c>
      <c r="AQ311" s="18">
        <v>11</v>
      </c>
      <c r="AT311" s="19" t="s">
        <v>141</v>
      </c>
      <c r="AU311" s="20" t="s">
        <v>141</v>
      </c>
      <c r="AX311" s="22" t="str">
        <f>IF(AND('[1]observations-276632'!W311&gt;'[1]Methods write-up'!$Q$16,'[1]observations-276632'!W311&lt;'[1]Methods write-up'!$R$16,'[1]observations-276632'!X311&gt;'[1]Methods write-up'!$S$16,'[1]observations-276632'!X311&lt;'[1]Methods write-up'!$T$16),"West and Central Africa","")</f>
        <v/>
      </c>
      <c r="AY311" s="22" t="str">
        <f>IF(AND('[1]observations-276632'!W311&gt;'[1]Methods write-up'!$Q$17,'[1]observations-276632'!W311&lt;'[1]Methods write-up'!$R$17,'[1]observations-276632'!X311&gt;'[1]Methods write-up'!$S$17,'[1]observations-276632'!X311&lt;'[1]Methods write-up'!$T$17),"Equatorial tropical forest","")</f>
        <v/>
      </c>
      <c r="AZ311" s="22" t="str">
        <f>IF(AND('[1]observations-276632'!W311&gt;'[1]Methods write-up'!$Q$18,'[1]observations-276632'!W311&lt;'[1]Methods write-up'!$R$18,'[1]observations-276632'!X311&gt;'[1]Methods write-up'!$S$18,'[1]observations-276632'!X311&lt;'[1]Methods write-up'!$T$18),"Somali peninsula","")</f>
        <v/>
      </c>
      <c r="BA311" s="22" t="str">
        <f>IF(AND('[1]observations-276632'!W311&gt;'[1]Methods write-up'!$Q$19,'[1]observations-276632'!W311&lt;'[1]Methods write-up'!$R$19,'[1]observations-276632'!X311&gt;'[1]Methods write-up'!$S$19,'[1]observations-276632'!X311&lt;'[1]Methods write-up'!$T$19),"East Africa","")</f>
        <v/>
      </c>
      <c r="BB311" s="22" t="str">
        <f>IF(AND('[1]observations-276632'!W311&gt;'[1]Methods write-up'!$Q$20,'[1]observations-276632'!W311&lt;'[1]Methods write-up'!$R$20,'[1]observations-276632'!X311&gt;'[1]Methods write-up'!$S$20,'[1]observations-276632'!X311&lt;'[1]Methods write-up'!$T$20),"Temperate seasonal","")</f>
        <v/>
      </c>
      <c r="BC311" s="22" t="str">
        <f>IF(AND('[1]observations-276632'!W311&gt;'[1]Methods write-up'!$Q$21,'[1]observations-276632'!W311&lt;'[1]Methods write-up'!$R$21,'[1]observations-276632'!X311&gt;'[1]Methods write-up'!$S$21,'[1]observations-276632'!X311&lt;'[1]Methods write-up'!$T$21),"Desert and high aridity","")</f>
        <v/>
      </c>
      <c r="BD311" s="23" t="str">
        <f t="shared" si="19"/>
        <v/>
      </c>
      <c r="BE311" s="24">
        <f t="shared" si="17"/>
        <v>4</v>
      </c>
      <c r="BF311" s="24">
        <f t="shared" si="18"/>
        <v>7</v>
      </c>
    </row>
    <row r="312" spans="1:58" ht="16.25" customHeight="1" x14ac:dyDescent="0.2">
      <c r="A312">
        <v>30693386</v>
      </c>
      <c r="B312" t="s">
        <v>2253</v>
      </c>
      <c r="C312" s="14">
        <v>43689</v>
      </c>
      <c r="D312" t="s">
        <v>2254</v>
      </c>
      <c r="E312" t="s">
        <v>113</v>
      </c>
      <c r="F312">
        <v>1775134</v>
      </c>
      <c r="G312" t="s">
        <v>2255</v>
      </c>
      <c r="H312" t="s">
        <v>2256</v>
      </c>
      <c r="I312" t="s">
        <v>2257</v>
      </c>
      <c r="J312" t="s">
        <v>2258</v>
      </c>
      <c r="K312" t="s">
        <v>62</v>
      </c>
      <c r="M312" t="s">
        <v>2259</v>
      </c>
      <c r="N312" t="s">
        <v>2260</v>
      </c>
      <c r="R312">
        <v>2</v>
      </c>
      <c r="S312">
        <v>0</v>
      </c>
      <c r="T312" t="b">
        <v>0</v>
      </c>
      <c r="U312">
        <v>2</v>
      </c>
      <c r="V312" t="s">
        <v>2261</v>
      </c>
      <c r="W312" s="15">
        <v>-28.068564259999999</v>
      </c>
      <c r="X312" s="15">
        <v>32.141681429999998</v>
      </c>
      <c r="Y312">
        <v>66</v>
      </c>
      <c r="AC312">
        <v>66</v>
      </c>
      <c r="AF312" t="b">
        <v>0</v>
      </c>
      <c r="AG312" t="s">
        <v>350</v>
      </c>
      <c r="AH312" t="s">
        <v>350</v>
      </c>
      <c r="AI312" t="s">
        <v>71</v>
      </c>
      <c r="AJ312" t="s">
        <v>70</v>
      </c>
      <c r="AK312" t="s">
        <v>71</v>
      </c>
      <c r="AL312" t="s">
        <v>72</v>
      </c>
      <c r="AM312">
        <v>346053</v>
      </c>
      <c r="AO312" s="16" t="s">
        <v>110</v>
      </c>
      <c r="AP312" s="17" t="str">
        <f t="shared" si="20"/>
        <v>Nest (foundress)</v>
      </c>
      <c r="AQ312" s="18">
        <v>1</v>
      </c>
      <c r="AT312" s="19" t="s">
        <v>104</v>
      </c>
      <c r="AX312" s="22" t="str">
        <f>IF(AND('[1]observations-276632'!W312&gt;'[1]Methods write-up'!$Q$16,'[1]observations-276632'!W312&lt;'[1]Methods write-up'!$R$16,'[1]observations-276632'!X312&gt;'[1]Methods write-up'!$S$16,'[1]observations-276632'!X312&lt;'[1]Methods write-up'!$T$16),"West and Central Africa","")</f>
        <v/>
      </c>
      <c r="AY312" s="22" t="str">
        <f>IF(AND('[1]observations-276632'!W312&gt;'[1]Methods write-up'!$Q$17,'[1]observations-276632'!W312&lt;'[1]Methods write-up'!$R$17,'[1]observations-276632'!X312&gt;'[1]Methods write-up'!$S$17,'[1]observations-276632'!X312&lt;'[1]Methods write-up'!$T$17),"Equatorial tropical forest","")</f>
        <v/>
      </c>
      <c r="AZ312" s="22" t="str">
        <f>IF(AND('[1]observations-276632'!W312&gt;'[1]Methods write-up'!$Q$18,'[1]observations-276632'!W312&lt;'[1]Methods write-up'!$R$18,'[1]observations-276632'!X312&gt;'[1]Methods write-up'!$S$18,'[1]observations-276632'!X312&lt;'[1]Methods write-up'!$T$18),"Somali peninsula","")</f>
        <v/>
      </c>
      <c r="BA312" s="22" t="str">
        <f>IF(AND('[1]observations-276632'!W312&gt;'[1]Methods write-up'!$Q$19,'[1]observations-276632'!W312&lt;'[1]Methods write-up'!$R$19,'[1]observations-276632'!X312&gt;'[1]Methods write-up'!$S$19,'[1]observations-276632'!X312&lt;'[1]Methods write-up'!$T$19),"East Africa","")</f>
        <v/>
      </c>
      <c r="BB312" s="22" t="str">
        <f>IF(AND('[1]observations-276632'!W312&gt;'[1]Methods write-up'!$Q$20,'[1]observations-276632'!W312&lt;'[1]Methods write-up'!$R$20,'[1]observations-276632'!X312&gt;'[1]Methods write-up'!$S$20,'[1]observations-276632'!X312&lt;'[1]Methods write-up'!$T$20),"Temperate seasonal","")</f>
        <v>Temperate seasonal</v>
      </c>
      <c r="BC312" s="22" t="str">
        <f>IF(AND('[1]observations-276632'!W312&gt;'[1]Methods write-up'!$Q$21,'[1]observations-276632'!W312&lt;'[1]Methods write-up'!$R$21,'[1]observations-276632'!X312&gt;'[1]Methods write-up'!$S$21,'[1]observations-276632'!X312&lt;'[1]Methods write-up'!$T$21),"Desert and high aridity","")</f>
        <v/>
      </c>
      <c r="BD312" s="23" t="str">
        <f t="shared" si="19"/>
        <v>Temperate seasonal</v>
      </c>
      <c r="BE312" s="24">
        <f t="shared" si="17"/>
        <v>12</v>
      </c>
      <c r="BF312" s="24">
        <f t="shared" si="18"/>
        <v>8</v>
      </c>
    </row>
    <row r="313" spans="1:58" ht="16.25" customHeight="1" x14ac:dyDescent="0.2">
      <c r="A313">
        <v>30744806</v>
      </c>
      <c r="B313" t="s">
        <v>2262</v>
      </c>
      <c r="C313" s="14">
        <v>43652</v>
      </c>
      <c r="D313" t="s">
        <v>2263</v>
      </c>
      <c r="E313" t="s">
        <v>2264</v>
      </c>
      <c r="F313">
        <v>388564</v>
      </c>
      <c r="G313" t="s">
        <v>2265</v>
      </c>
      <c r="H313" t="s">
        <v>2266</v>
      </c>
      <c r="I313" t="s">
        <v>2267</v>
      </c>
      <c r="J313" t="s">
        <v>2268</v>
      </c>
      <c r="K313" t="s">
        <v>62</v>
      </c>
      <c r="L313" t="s">
        <v>63</v>
      </c>
      <c r="M313" t="s">
        <v>2269</v>
      </c>
      <c r="N313" t="s">
        <v>2270</v>
      </c>
      <c r="R313">
        <v>2</v>
      </c>
      <c r="S313">
        <v>0</v>
      </c>
      <c r="T313" t="b">
        <v>0</v>
      </c>
      <c r="V313" t="s">
        <v>2271</v>
      </c>
      <c r="W313" s="15">
        <v>8.2291691310000008</v>
      </c>
      <c r="X313" s="15">
        <v>37.578544819999998</v>
      </c>
      <c r="Y313">
        <v>15</v>
      </c>
      <c r="AC313">
        <v>15</v>
      </c>
      <c r="AF313" t="b">
        <v>0</v>
      </c>
      <c r="AI313" t="s">
        <v>71</v>
      </c>
      <c r="AJ313" t="s">
        <v>70</v>
      </c>
      <c r="AK313" t="s">
        <v>71</v>
      </c>
      <c r="AL313" t="s">
        <v>72</v>
      </c>
      <c r="AM313">
        <v>346053</v>
      </c>
      <c r="AO313" s="16" t="s">
        <v>73</v>
      </c>
      <c r="AP313" s="17" t="str">
        <f t="shared" si="20"/>
        <v>Off-nest female</v>
      </c>
      <c r="AX313" s="22" t="str">
        <f>IF(AND('[1]observations-276632'!W313&gt;'[1]Methods write-up'!$Q$16,'[1]observations-276632'!W313&lt;'[1]Methods write-up'!$R$16,'[1]observations-276632'!X313&gt;'[1]Methods write-up'!$S$16,'[1]observations-276632'!X313&lt;'[1]Methods write-up'!$T$16),"West and Central Africa","")</f>
        <v/>
      </c>
      <c r="AY313" s="22" t="str">
        <f>IF(AND('[1]observations-276632'!W313&gt;'[1]Methods write-up'!$Q$17,'[1]observations-276632'!W313&lt;'[1]Methods write-up'!$R$17,'[1]observations-276632'!X313&gt;'[1]Methods write-up'!$S$17,'[1]observations-276632'!X313&lt;'[1]Methods write-up'!$T$17),"Equatorial tropical forest","")</f>
        <v/>
      </c>
      <c r="AZ313" s="22" t="str">
        <f>IF(AND('[1]observations-276632'!W313&gt;'[1]Methods write-up'!$Q$18,'[1]observations-276632'!W313&lt;'[1]Methods write-up'!$R$18,'[1]observations-276632'!X313&gt;'[1]Methods write-up'!$S$18,'[1]observations-276632'!X313&lt;'[1]Methods write-up'!$T$18),"Somali peninsula","")</f>
        <v>Somali peninsula</v>
      </c>
      <c r="BA313" s="22" t="str">
        <f>IF(AND('[1]observations-276632'!W313&gt;'[1]Methods write-up'!$Q$19,'[1]observations-276632'!W313&lt;'[1]Methods write-up'!$R$19,'[1]observations-276632'!X313&gt;'[1]Methods write-up'!$S$19,'[1]observations-276632'!X313&lt;'[1]Methods write-up'!$T$19),"East Africa","")</f>
        <v/>
      </c>
      <c r="BB313" s="22" t="str">
        <f>IF(AND('[1]observations-276632'!W313&gt;'[1]Methods write-up'!$Q$20,'[1]observations-276632'!W313&lt;'[1]Methods write-up'!$R$20,'[1]observations-276632'!X313&gt;'[1]Methods write-up'!$S$20,'[1]observations-276632'!X313&lt;'[1]Methods write-up'!$T$20),"Temperate seasonal","")</f>
        <v/>
      </c>
      <c r="BC313" s="22" t="str">
        <f>IF(AND('[1]observations-276632'!W313&gt;'[1]Methods write-up'!$Q$21,'[1]observations-276632'!W313&lt;'[1]Methods write-up'!$R$21,'[1]observations-276632'!X313&gt;'[1]Methods write-up'!$S$21,'[1]observations-276632'!X313&lt;'[1]Methods write-up'!$T$21),"Desert and high aridity","")</f>
        <v/>
      </c>
      <c r="BD313" s="23" t="str">
        <f t="shared" si="19"/>
        <v>Somali peninsula</v>
      </c>
      <c r="BE313" s="24">
        <f t="shared" si="17"/>
        <v>6</v>
      </c>
      <c r="BF313" s="24">
        <f t="shared" si="18"/>
        <v>7</v>
      </c>
    </row>
    <row r="314" spans="1:58" ht="16.25" customHeight="1" x14ac:dyDescent="0.2">
      <c r="A314">
        <v>30941770</v>
      </c>
      <c r="B314" t="s">
        <v>2272</v>
      </c>
      <c r="C314" s="14">
        <v>43693</v>
      </c>
      <c r="D314" t="s">
        <v>2273</v>
      </c>
      <c r="E314" t="s">
        <v>57</v>
      </c>
      <c r="F314">
        <v>1653038</v>
      </c>
      <c r="G314" t="s">
        <v>2035</v>
      </c>
      <c r="H314" t="s">
        <v>2036</v>
      </c>
      <c r="I314" t="s">
        <v>2274</v>
      </c>
      <c r="J314" t="s">
        <v>2275</v>
      </c>
      <c r="K314" t="s">
        <v>62</v>
      </c>
      <c r="L314" t="s">
        <v>63</v>
      </c>
      <c r="M314" t="s">
        <v>2276</v>
      </c>
      <c r="N314" t="s">
        <v>2277</v>
      </c>
      <c r="Q314" t="s">
        <v>2278</v>
      </c>
      <c r="R314">
        <v>2</v>
      </c>
      <c r="S314">
        <v>0</v>
      </c>
      <c r="T314" t="b">
        <v>0</v>
      </c>
      <c r="U314">
        <v>2</v>
      </c>
      <c r="V314" t="s">
        <v>2279</v>
      </c>
      <c r="W314" s="15">
        <v>-21.136388780000001</v>
      </c>
      <c r="X314" s="15">
        <v>27.505556110000001</v>
      </c>
      <c r="AF314" t="b">
        <v>0</v>
      </c>
      <c r="AG314" t="s">
        <v>350</v>
      </c>
      <c r="AH314" t="s">
        <v>350</v>
      </c>
      <c r="AI314" t="s">
        <v>71</v>
      </c>
      <c r="AJ314" t="s">
        <v>70</v>
      </c>
      <c r="AK314" t="s">
        <v>71</v>
      </c>
      <c r="AL314" t="s">
        <v>72</v>
      </c>
      <c r="AM314">
        <v>346053</v>
      </c>
      <c r="AO314" s="16" t="s">
        <v>110</v>
      </c>
      <c r="AP314" s="17" t="str">
        <f t="shared" si="20"/>
        <v>Nest (foundress)</v>
      </c>
      <c r="AQ314" s="18">
        <v>1</v>
      </c>
      <c r="AT314" s="19" t="s">
        <v>104</v>
      </c>
      <c r="AX314" s="22" t="str">
        <f>IF(AND('[1]observations-276632'!W314&gt;'[1]Methods write-up'!$Q$16,'[1]observations-276632'!W314&lt;'[1]Methods write-up'!$R$16,'[1]observations-276632'!X314&gt;'[1]Methods write-up'!$S$16,'[1]observations-276632'!X314&lt;'[1]Methods write-up'!$T$16),"West and Central Africa","")</f>
        <v/>
      </c>
      <c r="AY314" s="22" t="str">
        <f>IF(AND('[1]observations-276632'!W314&gt;'[1]Methods write-up'!$Q$17,'[1]observations-276632'!W314&lt;'[1]Methods write-up'!$R$17,'[1]observations-276632'!X314&gt;'[1]Methods write-up'!$S$17,'[1]observations-276632'!X314&lt;'[1]Methods write-up'!$T$17),"Equatorial tropical forest","")</f>
        <v/>
      </c>
      <c r="AZ314" s="22" t="str">
        <f>IF(AND('[1]observations-276632'!W314&gt;'[1]Methods write-up'!$Q$18,'[1]observations-276632'!W314&lt;'[1]Methods write-up'!$R$18,'[1]observations-276632'!X314&gt;'[1]Methods write-up'!$S$18,'[1]observations-276632'!X314&lt;'[1]Methods write-up'!$T$18),"Somali peninsula","")</f>
        <v/>
      </c>
      <c r="BA314" s="22" t="str">
        <f>IF(AND('[1]observations-276632'!W314&gt;'[1]Methods write-up'!$Q$19,'[1]observations-276632'!W314&lt;'[1]Methods write-up'!$R$19,'[1]observations-276632'!X314&gt;'[1]Methods write-up'!$S$19,'[1]observations-276632'!X314&lt;'[1]Methods write-up'!$T$19),"East Africa","")</f>
        <v/>
      </c>
      <c r="BB314" s="22" t="str">
        <f>IF(AND('[1]observations-276632'!W314&gt;'[1]Methods write-up'!$Q$20,'[1]observations-276632'!W314&lt;'[1]Methods write-up'!$R$20,'[1]observations-276632'!X314&gt;'[1]Methods write-up'!$S$20,'[1]observations-276632'!X314&lt;'[1]Methods write-up'!$T$20),"Temperate seasonal","")</f>
        <v/>
      </c>
      <c r="BC314" s="22" t="str">
        <f>IF(AND('[1]observations-276632'!W314&gt;'[1]Methods write-up'!$Q$21,'[1]observations-276632'!W314&lt;'[1]Methods write-up'!$R$21,'[1]observations-276632'!X314&gt;'[1]Methods write-up'!$S$21,'[1]observations-276632'!X314&lt;'[1]Methods write-up'!$T$21),"Desert and high aridity","")</f>
        <v/>
      </c>
      <c r="BD314" s="23" t="str">
        <f t="shared" si="19"/>
        <v/>
      </c>
      <c r="BE314" s="24">
        <f t="shared" si="17"/>
        <v>16</v>
      </c>
      <c r="BF314" s="24">
        <f t="shared" si="18"/>
        <v>8</v>
      </c>
    </row>
    <row r="315" spans="1:58" ht="16.25" customHeight="1" x14ac:dyDescent="0.2">
      <c r="A315">
        <v>31199940</v>
      </c>
      <c r="B315" t="s">
        <v>2280</v>
      </c>
      <c r="C315" s="14">
        <v>43676</v>
      </c>
      <c r="D315" t="s">
        <v>2281</v>
      </c>
      <c r="E315" t="s">
        <v>463</v>
      </c>
      <c r="F315">
        <v>24973</v>
      </c>
      <c r="G315" t="s">
        <v>2282</v>
      </c>
      <c r="H315" t="s">
        <v>2283</v>
      </c>
      <c r="I315" t="s">
        <v>2284</v>
      </c>
      <c r="J315" t="s">
        <v>2285</v>
      </c>
      <c r="K315" t="s">
        <v>62</v>
      </c>
      <c r="L315" t="s">
        <v>98</v>
      </c>
      <c r="M315" t="s">
        <v>2286</v>
      </c>
      <c r="N315" t="s">
        <v>2287</v>
      </c>
      <c r="R315">
        <v>3</v>
      </c>
      <c r="S315">
        <v>0</v>
      </c>
      <c r="T315" t="b">
        <v>0</v>
      </c>
      <c r="V315" t="s">
        <v>2288</v>
      </c>
      <c r="W315" s="15">
        <v>-5.3657999999999997E-2</v>
      </c>
      <c r="X315" s="15">
        <v>30.013345999999999</v>
      </c>
      <c r="Y315">
        <v>531</v>
      </c>
      <c r="AC315">
        <v>531</v>
      </c>
      <c r="AF315" t="b">
        <v>0</v>
      </c>
      <c r="AI315" t="s">
        <v>71</v>
      </c>
      <c r="AJ315" t="s">
        <v>70</v>
      </c>
      <c r="AK315" t="s">
        <v>71</v>
      </c>
      <c r="AL315" t="s">
        <v>72</v>
      </c>
      <c r="AM315">
        <v>346053</v>
      </c>
      <c r="AO315" s="16" t="s">
        <v>140</v>
      </c>
      <c r="AP315" s="17" t="str">
        <f t="shared" si="20"/>
        <v>Post-emergence nest</v>
      </c>
      <c r="AQ315" s="18">
        <v>2</v>
      </c>
      <c r="AT315" s="19" t="s">
        <v>141</v>
      </c>
      <c r="AU315" s="20" t="s">
        <v>104</v>
      </c>
      <c r="AX315" s="22" t="str">
        <f>IF(AND('[1]observations-276632'!W315&gt;'[1]Methods write-up'!$Q$16,'[1]observations-276632'!W315&lt;'[1]Methods write-up'!$R$16,'[1]observations-276632'!X315&gt;'[1]Methods write-up'!$S$16,'[1]observations-276632'!X315&lt;'[1]Methods write-up'!$T$16),"West and Central Africa","")</f>
        <v>West and Central Africa</v>
      </c>
      <c r="AY315" s="22" t="str">
        <f>IF(AND('[1]observations-276632'!W315&gt;'[1]Methods write-up'!$Q$17,'[1]observations-276632'!W315&lt;'[1]Methods write-up'!$R$17,'[1]observations-276632'!X315&gt;'[1]Methods write-up'!$S$17,'[1]observations-276632'!X315&lt;'[1]Methods write-up'!$T$17),"Equatorial tropical forest","")</f>
        <v/>
      </c>
      <c r="AZ315" s="22" t="str">
        <f>IF(AND('[1]observations-276632'!W315&gt;'[1]Methods write-up'!$Q$18,'[1]observations-276632'!W315&lt;'[1]Methods write-up'!$R$18,'[1]observations-276632'!X315&gt;'[1]Methods write-up'!$S$18,'[1]observations-276632'!X315&lt;'[1]Methods write-up'!$T$18),"Somali peninsula","")</f>
        <v/>
      </c>
      <c r="BA315" s="22" t="str">
        <f>IF(AND('[1]observations-276632'!W315&gt;'[1]Methods write-up'!$Q$19,'[1]observations-276632'!W315&lt;'[1]Methods write-up'!$R$19,'[1]observations-276632'!X315&gt;'[1]Methods write-up'!$S$19,'[1]observations-276632'!X315&lt;'[1]Methods write-up'!$T$19),"East Africa","")</f>
        <v/>
      </c>
      <c r="BB315" s="22" t="str">
        <f>IF(AND('[1]observations-276632'!W315&gt;'[1]Methods write-up'!$Q$20,'[1]observations-276632'!W315&lt;'[1]Methods write-up'!$R$20,'[1]observations-276632'!X315&gt;'[1]Methods write-up'!$S$20,'[1]observations-276632'!X315&lt;'[1]Methods write-up'!$T$20),"Temperate seasonal","")</f>
        <v/>
      </c>
      <c r="BC315" s="22" t="str">
        <f>IF(AND('[1]observations-276632'!W315&gt;'[1]Methods write-up'!$Q$21,'[1]observations-276632'!W315&lt;'[1]Methods write-up'!$R$21,'[1]observations-276632'!X315&gt;'[1]Methods write-up'!$S$21,'[1]observations-276632'!X315&lt;'[1]Methods write-up'!$T$21),"Desert and high aridity","")</f>
        <v/>
      </c>
      <c r="BD315" s="23" t="str">
        <f t="shared" si="19"/>
        <v>West and Central Africa</v>
      </c>
      <c r="BE315" s="24">
        <f t="shared" si="17"/>
        <v>30</v>
      </c>
      <c r="BF315" s="24">
        <f t="shared" si="18"/>
        <v>7</v>
      </c>
    </row>
    <row r="316" spans="1:58" ht="16.25" customHeight="1" x14ac:dyDescent="0.2">
      <c r="A316">
        <v>31734324</v>
      </c>
      <c r="B316" t="s">
        <v>2289</v>
      </c>
      <c r="C316" s="14">
        <v>42290</v>
      </c>
      <c r="D316" t="s">
        <v>2290</v>
      </c>
      <c r="E316" t="s">
        <v>243</v>
      </c>
      <c r="F316">
        <v>1563639</v>
      </c>
      <c r="G316" t="s">
        <v>2291</v>
      </c>
      <c r="H316" t="s">
        <v>2292</v>
      </c>
      <c r="I316" t="s">
        <v>2293</v>
      </c>
      <c r="J316" t="s">
        <v>2294</v>
      </c>
      <c r="K316" t="s">
        <v>62</v>
      </c>
      <c r="L316" t="s">
        <v>98</v>
      </c>
      <c r="M316" t="s">
        <v>2295</v>
      </c>
      <c r="N316" t="s">
        <v>2296</v>
      </c>
      <c r="R316">
        <v>2</v>
      </c>
      <c r="S316">
        <v>0</v>
      </c>
      <c r="T316" t="b">
        <v>0</v>
      </c>
      <c r="U316">
        <v>2</v>
      </c>
      <c r="V316" t="s">
        <v>2297</v>
      </c>
      <c r="W316" s="15">
        <v>-18.829049300000001</v>
      </c>
      <c r="X316" s="15">
        <v>48.46715949</v>
      </c>
      <c r="Y316">
        <v>11154</v>
      </c>
      <c r="AC316">
        <v>11154</v>
      </c>
      <c r="AF316" t="b">
        <v>0</v>
      </c>
      <c r="AG316" t="s">
        <v>350</v>
      </c>
      <c r="AH316" t="s">
        <v>350</v>
      </c>
      <c r="AI316" t="s">
        <v>71</v>
      </c>
      <c r="AJ316" t="s">
        <v>70</v>
      </c>
      <c r="AK316" t="s">
        <v>71</v>
      </c>
      <c r="AL316" t="s">
        <v>72</v>
      </c>
      <c r="AM316">
        <v>346053</v>
      </c>
      <c r="AO316" s="16" t="s">
        <v>140</v>
      </c>
      <c r="AP316" s="17" t="str">
        <f t="shared" si="20"/>
        <v>Post-emergence nest</v>
      </c>
      <c r="AQ316" s="18">
        <v>3</v>
      </c>
      <c r="AT316" s="19" t="s">
        <v>141</v>
      </c>
      <c r="AU316" s="20" t="s">
        <v>104</v>
      </c>
      <c r="AX316" s="22" t="str">
        <f>IF(AND('[1]observations-276632'!W316&gt;'[1]Methods write-up'!$Q$16,'[1]observations-276632'!W316&lt;'[1]Methods write-up'!$R$16,'[1]observations-276632'!X316&gt;'[1]Methods write-up'!$S$16,'[1]observations-276632'!X316&lt;'[1]Methods write-up'!$T$16),"West and Central Africa","")</f>
        <v/>
      </c>
      <c r="AY316" s="22" t="str">
        <f>IF(AND('[1]observations-276632'!W316&gt;'[1]Methods write-up'!$Q$17,'[1]observations-276632'!W316&lt;'[1]Methods write-up'!$R$17,'[1]observations-276632'!X316&gt;'[1]Methods write-up'!$S$17,'[1]observations-276632'!X316&lt;'[1]Methods write-up'!$T$17),"Equatorial tropical forest","")</f>
        <v/>
      </c>
      <c r="AZ316" s="22" t="str">
        <f>IF(AND('[1]observations-276632'!W316&gt;'[1]Methods write-up'!$Q$18,'[1]observations-276632'!W316&lt;'[1]Methods write-up'!$R$18,'[1]observations-276632'!X316&gt;'[1]Methods write-up'!$S$18,'[1]observations-276632'!X316&lt;'[1]Methods write-up'!$T$18),"Somali peninsula","")</f>
        <v/>
      </c>
      <c r="BA316" s="22" t="str">
        <f>IF(AND('[1]observations-276632'!W316&gt;'[1]Methods write-up'!$Q$19,'[1]observations-276632'!W316&lt;'[1]Methods write-up'!$R$19,'[1]observations-276632'!X316&gt;'[1]Methods write-up'!$S$19,'[1]observations-276632'!X316&lt;'[1]Methods write-up'!$T$19),"East Africa","")</f>
        <v/>
      </c>
      <c r="BB316" s="22" t="str">
        <f>IF(AND('[1]observations-276632'!W316&gt;'[1]Methods write-up'!$Q$20,'[1]observations-276632'!W316&lt;'[1]Methods write-up'!$R$20,'[1]observations-276632'!X316&gt;'[1]Methods write-up'!$S$20,'[1]observations-276632'!X316&lt;'[1]Methods write-up'!$T$20),"Temperate seasonal","")</f>
        <v/>
      </c>
      <c r="BC316" s="22" t="str">
        <f>IF(AND('[1]observations-276632'!W316&gt;'[1]Methods write-up'!$Q$21,'[1]observations-276632'!W316&lt;'[1]Methods write-up'!$R$21,'[1]observations-276632'!X316&gt;'[1]Methods write-up'!$S$21,'[1]observations-276632'!X316&lt;'[1]Methods write-up'!$T$21),"Desert and high aridity","")</f>
        <v/>
      </c>
      <c r="BD316" s="23" t="str">
        <f t="shared" si="19"/>
        <v/>
      </c>
      <c r="BE316" s="24">
        <f t="shared" si="17"/>
        <v>13</v>
      </c>
      <c r="BF316" s="24">
        <f t="shared" si="18"/>
        <v>10</v>
      </c>
    </row>
    <row r="317" spans="1:58" ht="16.25" customHeight="1" x14ac:dyDescent="0.2">
      <c r="A317">
        <v>32048466</v>
      </c>
      <c r="B317" t="s">
        <v>2298</v>
      </c>
      <c r="C317" s="14">
        <v>43563</v>
      </c>
      <c r="D317" t="s">
        <v>2299</v>
      </c>
      <c r="E317" t="s">
        <v>113</v>
      </c>
      <c r="F317">
        <v>1653038</v>
      </c>
      <c r="G317" t="s">
        <v>2035</v>
      </c>
      <c r="H317" t="s">
        <v>2036</v>
      </c>
      <c r="I317" t="s">
        <v>2300</v>
      </c>
      <c r="J317" t="s">
        <v>2301</v>
      </c>
      <c r="K317" t="s">
        <v>62</v>
      </c>
      <c r="L317" t="s">
        <v>63</v>
      </c>
      <c r="M317" t="s">
        <v>2302</v>
      </c>
      <c r="N317" t="s">
        <v>2303</v>
      </c>
      <c r="Q317" t="s">
        <v>2278</v>
      </c>
      <c r="R317">
        <v>3</v>
      </c>
      <c r="S317">
        <v>0</v>
      </c>
      <c r="T317" t="b">
        <v>0</v>
      </c>
      <c r="U317">
        <v>2</v>
      </c>
      <c r="V317" t="s">
        <v>2304</v>
      </c>
      <c r="W317" s="15">
        <v>-25.908282450000002</v>
      </c>
      <c r="X317" s="15">
        <v>27.932417990000001</v>
      </c>
      <c r="Y317">
        <v>8</v>
      </c>
      <c r="AC317">
        <v>8</v>
      </c>
      <c r="AF317" t="b">
        <v>0</v>
      </c>
      <c r="AI317" t="s">
        <v>71</v>
      </c>
      <c r="AJ317" t="s">
        <v>70</v>
      </c>
      <c r="AK317" t="s">
        <v>71</v>
      </c>
      <c r="AL317" t="s">
        <v>72</v>
      </c>
      <c r="AM317">
        <v>346053</v>
      </c>
      <c r="AO317" s="16" t="s">
        <v>150</v>
      </c>
      <c r="AP317" s="17" t="str">
        <f t="shared" si="20"/>
        <v>Male (off nest)</v>
      </c>
      <c r="AX317" s="22" t="str">
        <f>IF(AND('[1]observations-276632'!W317&gt;'[1]Methods write-up'!$Q$16,'[1]observations-276632'!W317&lt;'[1]Methods write-up'!$R$16,'[1]observations-276632'!X317&gt;'[1]Methods write-up'!$S$16,'[1]observations-276632'!X317&lt;'[1]Methods write-up'!$T$16),"West and Central Africa","")</f>
        <v/>
      </c>
      <c r="AY317" s="22" t="str">
        <f>IF(AND('[1]observations-276632'!W317&gt;'[1]Methods write-up'!$Q$17,'[1]observations-276632'!W317&lt;'[1]Methods write-up'!$R$17,'[1]observations-276632'!X317&gt;'[1]Methods write-up'!$S$17,'[1]observations-276632'!X317&lt;'[1]Methods write-up'!$T$17),"Equatorial tropical forest","")</f>
        <v/>
      </c>
      <c r="AZ317" s="22" t="str">
        <f>IF(AND('[1]observations-276632'!W317&gt;'[1]Methods write-up'!$Q$18,'[1]observations-276632'!W317&lt;'[1]Methods write-up'!$R$18,'[1]observations-276632'!X317&gt;'[1]Methods write-up'!$S$18,'[1]observations-276632'!X317&lt;'[1]Methods write-up'!$T$18),"Somali peninsula","")</f>
        <v/>
      </c>
      <c r="BA317" s="22" t="str">
        <f>IF(AND('[1]observations-276632'!W317&gt;'[1]Methods write-up'!$Q$19,'[1]observations-276632'!W317&lt;'[1]Methods write-up'!$R$19,'[1]observations-276632'!X317&gt;'[1]Methods write-up'!$S$19,'[1]observations-276632'!X317&lt;'[1]Methods write-up'!$T$19),"East Africa","")</f>
        <v/>
      </c>
      <c r="BB317" s="22" t="str">
        <f>IF(AND('[1]observations-276632'!W317&gt;'[1]Methods write-up'!$Q$20,'[1]observations-276632'!W317&lt;'[1]Methods write-up'!$R$20,'[1]observations-276632'!X317&gt;'[1]Methods write-up'!$S$20,'[1]observations-276632'!X317&lt;'[1]Methods write-up'!$T$20),"Temperate seasonal","")</f>
        <v>Temperate seasonal</v>
      </c>
      <c r="BC317" s="22" t="str">
        <f>IF(AND('[1]observations-276632'!W317&gt;'[1]Methods write-up'!$Q$21,'[1]observations-276632'!W317&lt;'[1]Methods write-up'!$R$21,'[1]observations-276632'!X317&gt;'[1]Methods write-up'!$S$21,'[1]observations-276632'!X317&lt;'[1]Methods write-up'!$T$21),"Desert and high aridity","")</f>
        <v/>
      </c>
      <c r="BD317" s="23" t="str">
        <f t="shared" si="19"/>
        <v>Temperate seasonal</v>
      </c>
      <c r="BE317" s="24">
        <f t="shared" si="17"/>
        <v>8</v>
      </c>
      <c r="BF317" s="24">
        <f t="shared" si="18"/>
        <v>4</v>
      </c>
    </row>
    <row r="318" spans="1:58" ht="16.25" customHeight="1" x14ac:dyDescent="0.2">
      <c r="A318">
        <v>32194768</v>
      </c>
      <c r="E318" t="s">
        <v>2305</v>
      </c>
      <c r="F318">
        <v>1498326</v>
      </c>
      <c r="G318" t="s">
        <v>2306</v>
      </c>
      <c r="H318" t="s">
        <v>2307</v>
      </c>
      <c r="I318" t="s">
        <v>2308</v>
      </c>
      <c r="J318" t="s">
        <v>2309</v>
      </c>
      <c r="K318" t="s">
        <v>2038</v>
      </c>
      <c r="M318" t="s">
        <v>2310</v>
      </c>
      <c r="N318" t="s">
        <v>2311</v>
      </c>
      <c r="R318">
        <v>0</v>
      </c>
      <c r="S318">
        <v>0</v>
      </c>
      <c r="T318" t="b">
        <v>0</v>
      </c>
      <c r="U318">
        <v>2</v>
      </c>
      <c r="AF318" t="b">
        <v>0</v>
      </c>
      <c r="AI318" t="s">
        <v>71</v>
      </c>
      <c r="AJ318" t="s">
        <v>70</v>
      </c>
      <c r="AK318" t="s">
        <v>71</v>
      </c>
      <c r="AL318" t="s">
        <v>72</v>
      </c>
      <c r="AM318">
        <v>346053</v>
      </c>
      <c r="AO318" s="16" t="s">
        <v>2312</v>
      </c>
      <c r="AP318" s="16"/>
      <c r="AX318" s="22" t="str">
        <f>IF(AND('[1]observations-276632'!W318&gt;'[1]Methods write-up'!$Q$16,'[1]observations-276632'!W318&lt;'[1]Methods write-up'!$R$16,'[1]observations-276632'!X318&gt;'[1]Methods write-up'!$S$16,'[1]observations-276632'!X318&lt;'[1]Methods write-up'!$T$16),"West Africa","")</f>
        <v>West Africa</v>
      </c>
      <c r="AY318" s="22" t="str">
        <f>IF(AND('[1]observations-276632'!W318&gt;'[1]Methods write-up'!$Q$17,'[1]observations-276632'!W318&lt;'[1]Methods write-up'!$R$17,'[1]observations-276632'!X318&gt;'[1]Methods write-up'!$S$17,'[1]observations-276632'!X318&lt;'[1]Methods write-up'!$T$17),"Equatorial tropical forest","")</f>
        <v/>
      </c>
      <c r="AZ318" s="22" t="str">
        <f>IF(AND('[1]observations-276632'!W318&gt;'[1]Methods write-up'!$Q$18,'[1]observations-276632'!W318&lt;'[1]Methods write-up'!$R$18,'[1]observations-276632'!X318&gt;'[1]Methods write-up'!$S$18,'[1]observations-276632'!X318&lt;'[1]Methods write-up'!$T$18),"Somali peninsula","")</f>
        <v/>
      </c>
      <c r="BA318" s="22" t="str">
        <f>IF(AND('[1]observations-276632'!W318&gt;'[1]Methods write-up'!$Q$19,'[1]observations-276632'!W318&lt;'[1]Methods write-up'!$R$19,'[1]observations-276632'!X318&gt;'[1]Methods write-up'!$S$19,'[1]observations-276632'!X318&lt;'[1]Methods write-up'!$T$19),"East Africa","")</f>
        <v/>
      </c>
      <c r="BB318" s="22" t="str">
        <f>IF(AND('[1]observations-276632'!W318&gt;'[1]Methods write-up'!$Q$20,'[1]observations-276632'!W318&lt;'[1]Methods write-up'!$R$20,'[1]observations-276632'!X318&gt;'[1]Methods write-up'!$S$20,'[1]observations-276632'!X318&lt;'[1]Methods write-up'!$T$20),"Temperate seasonal","")</f>
        <v/>
      </c>
      <c r="BC318" s="22" t="str">
        <f>IF(AND('[1]observations-276632'!W318&gt;'[1]Methods write-up'!$Q$21,'[1]observations-276632'!W318&lt;'[1]Methods write-up'!$R$21,'[1]observations-276632'!X318&gt;'[1]Methods write-up'!$S$21,'[1]observations-276632'!X318&lt;'[1]Methods write-up'!$T$21),"Desert and high aridity","")</f>
        <v/>
      </c>
      <c r="BD318" s="23" t="str">
        <f t="shared" si="19"/>
        <v>West Africa</v>
      </c>
      <c r="BE318" s="24">
        <f t="shared" si="17"/>
        <v>0</v>
      </c>
      <c r="BF318" s="24">
        <f t="shared" si="18"/>
        <v>1</v>
      </c>
    </row>
    <row r="319" spans="1:58" ht="16.25" customHeight="1" x14ac:dyDescent="0.2">
      <c r="A319">
        <v>32326643</v>
      </c>
      <c r="B319" t="s">
        <v>2313</v>
      </c>
      <c r="C319" s="14">
        <v>43568</v>
      </c>
      <c r="D319" t="s">
        <v>2314</v>
      </c>
      <c r="E319" t="s">
        <v>57</v>
      </c>
      <c r="F319">
        <v>678008</v>
      </c>
      <c r="G319" t="s">
        <v>2315</v>
      </c>
      <c r="I319" t="s">
        <v>2316</v>
      </c>
      <c r="J319" t="s">
        <v>2317</v>
      </c>
      <c r="K319" t="s">
        <v>62</v>
      </c>
      <c r="L319" t="s">
        <v>63</v>
      </c>
      <c r="M319" t="s">
        <v>2318</v>
      </c>
      <c r="N319" t="s">
        <v>2319</v>
      </c>
      <c r="R319">
        <v>2</v>
      </c>
      <c r="S319">
        <v>0</v>
      </c>
      <c r="T319" t="b">
        <v>0</v>
      </c>
      <c r="V319" t="s">
        <v>2320</v>
      </c>
      <c r="W319" s="15">
        <v>-15.369832540000001</v>
      </c>
      <c r="X319" s="15">
        <v>28.315752029999999</v>
      </c>
      <c r="Y319">
        <v>2</v>
      </c>
      <c r="AC319">
        <v>2</v>
      </c>
      <c r="AF319" t="b">
        <v>0</v>
      </c>
      <c r="AI319" t="s">
        <v>71</v>
      </c>
      <c r="AJ319" t="s">
        <v>70</v>
      </c>
      <c r="AK319" t="s">
        <v>71</v>
      </c>
      <c r="AL319" t="s">
        <v>72</v>
      </c>
      <c r="AM319">
        <v>346053</v>
      </c>
      <c r="AO319" s="16" t="s">
        <v>442</v>
      </c>
      <c r="AP319" s="17" t="str">
        <f t="shared" ref="AP319:AP332" si="21">IF(COUNTIF(AO319,"*foundress*"),"Nest (foundress)",AO319)</f>
        <v>Dead female</v>
      </c>
      <c r="AX319" s="22" t="str">
        <f>IF(AND('[1]observations-276632'!W319&gt;'[1]Methods write-up'!$Q$16,'[1]observations-276632'!W319&lt;'[1]Methods write-up'!$R$16,'[1]observations-276632'!X319&gt;'[1]Methods write-up'!$S$16,'[1]observations-276632'!X319&lt;'[1]Methods write-up'!$T$16),"West and Central Africa","")</f>
        <v>West and Central Africa</v>
      </c>
      <c r="AY319" s="22" t="str">
        <f>IF(AND('[1]observations-276632'!W319&gt;'[1]Methods write-up'!$Q$17,'[1]observations-276632'!W319&lt;'[1]Methods write-up'!$R$17,'[1]observations-276632'!X319&gt;'[1]Methods write-up'!$S$17,'[1]observations-276632'!X319&lt;'[1]Methods write-up'!$T$17),"Equatorial tropical forest","")</f>
        <v/>
      </c>
      <c r="AZ319" s="22" t="str">
        <f>IF(AND('[1]observations-276632'!W319&gt;'[1]Methods write-up'!$Q$18,'[1]observations-276632'!W319&lt;'[1]Methods write-up'!$R$18,'[1]observations-276632'!X319&gt;'[1]Methods write-up'!$S$18,'[1]observations-276632'!X319&lt;'[1]Methods write-up'!$T$18),"Somali peninsula","")</f>
        <v/>
      </c>
      <c r="BA319" s="22" t="str">
        <f>IF(AND('[1]observations-276632'!W319&gt;'[1]Methods write-up'!$Q$19,'[1]observations-276632'!W319&lt;'[1]Methods write-up'!$R$19,'[1]observations-276632'!X319&gt;'[1]Methods write-up'!$S$19,'[1]observations-276632'!X319&lt;'[1]Methods write-up'!$T$19),"East Africa","")</f>
        <v/>
      </c>
      <c r="BB319" s="22" t="str">
        <f>IF(AND('[1]observations-276632'!W319&gt;'[1]Methods write-up'!$Q$20,'[1]observations-276632'!W319&lt;'[1]Methods write-up'!$R$20,'[1]observations-276632'!X319&gt;'[1]Methods write-up'!$S$20,'[1]observations-276632'!X319&lt;'[1]Methods write-up'!$T$20),"Temperate seasonal","")</f>
        <v/>
      </c>
      <c r="BC319" s="22" t="str">
        <f>IF(AND('[1]observations-276632'!W319&gt;'[1]Methods write-up'!$Q$21,'[1]observations-276632'!W319&lt;'[1]Methods write-up'!$R$21,'[1]observations-276632'!X319&gt;'[1]Methods write-up'!$S$21,'[1]observations-276632'!X319&lt;'[1]Methods write-up'!$T$21),"Desert and high aridity","")</f>
        <v/>
      </c>
      <c r="BD319" s="23" t="str">
        <f t="shared" si="19"/>
        <v>West and Central Africa</v>
      </c>
      <c r="BE319" s="24">
        <f t="shared" si="17"/>
        <v>13</v>
      </c>
      <c r="BF319" s="24">
        <f t="shared" si="18"/>
        <v>4</v>
      </c>
    </row>
    <row r="320" spans="1:58" ht="16.25" customHeight="1" x14ac:dyDescent="0.2">
      <c r="A320">
        <v>32347971</v>
      </c>
      <c r="B320" t="s">
        <v>2321</v>
      </c>
      <c r="C320" s="14">
        <v>42915</v>
      </c>
      <c r="D320" t="s">
        <v>2322</v>
      </c>
      <c r="E320" t="s">
        <v>2323</v>
      </c>
      <c r="F320">
        <v>898963</v>
      </c>
      <c r="G320" t="s">
        <v>2324</v>
      </c>
      <c r="H320" t="s">
        <v>2325</v>
      </c>
      <c r="I320" t="s">
        <v>2326</v>
      </c>
      <c r="J320" t="s">
        <v>2327</v>
      </c>
      <c r="K320" t="s">
        <v>62</v>
      </c>
      <c r="L320" t="s">
        <v>63</v>
      </c>
      <c r="M320" t="s">
        <v>2328</v>
      </c>
      <c r="N320" t="s">
        <v>2329</v>
      </c>
      <c r="R320">
        <v>2</v>
      </c>
      <c r="S320">
        <v>0</v>
      </c>
      <c r="T320" t="b">
        <v>0</v>
      </c>
      <c r="U320">
        <v>2</v>
      </c>
      <c r="V320" t="s">
        <v>2330</v>
      </c>
      <c r="W320" s="15">
        <v>-14.255723619999999</v>
      </c>
      <c r="X320" s="15">
        <v>12.368912659999999</v>
      </c>
      <c r="Y320">
        <v>4208</v>
      </c>
      <c r="AC320">
        <v>4208</v>
      </c>
      <c r="AF320" t="b">
        <v>0</v>
      </c>
      <c r="AG320" t="s">
        <v>350</v>
      </c>
      <c r="AH320" t="s">
        <v>350</v>
      </c>
      <c r="AI320" t="s">
        <v>71</v>
      </c>
      <c r="AJ320" t="s">
        <v>70</v>
      </c>
      <c r="AK320" t="s">
        <v>71</v>
      </c>
      <c r="AL320" t="s">
        <v>72</v>
      </c>
      <c r="AM320">
        <v>346053</v>
      </c>
      <c r="AO320" s="16" t="s">
        <v>140</v>
      </c>
      <c r="AP320" s="17" t="str">
        <f t="shared" si="21"/>
        <v>Post-emergence nest</v>
      </c>
      <c r="AQ320" s="18">
        <v>19</v>
      </c>
      <c r="AT320" s="19" t="s">
        <v>141</v>
      </c>
      <c r="AU320" s="20" t="s">
        <v>141</v>
      </c>
      <c r="AX320" s="22" t="str">
        <f>IF(AND('[1]observations-276632'!W320&gt;'[1]Methods write-up'!$Q$16,'[1]observations-276632'!W320&lt;'[1]Methods write-up'!$R$16,'[1]observations-276632'!X320&gt;'[1]Methods write-up'!$S$16,'[1]observations-276632'!X320&lt;'[1]Methods write-up'!$T$16),"West and Central Africa","")</f>
        <v>West and Central Africa</v>
      </c>
      <c r="AY320" s="22" t="str">
        <f>IF(AND('[1]observations-276632'!W320&gt;'[1]Methods write-up'!$Q$17,'[1]observations-276632'!W320&lt;'[1]Methods write-up'!$R$17,'[1]observations-276632'!X320&gt;'[1]Methods write-up'!$S$17,'[1]observations-276632'!X320&lt;'[1]Methods write-up'!$T$17),"Equatorial tropical forest","")</f>
        <v/>
      </c>
      <c r="AZ320" s="22" t="str">
        <f>IF(AND('[1]observations-276632'!W320&gt;'[1]Methods write-up'!$Q$18,'[1]observations-276632'!W320&lt;'[1]Methods write-up'!$R$18,'[1]observations-276632'!X320&gt;'[1]Methods write-up'!$S$18,'[1]observations-276632'!X320&lt;'[1]Methods write-up'!$T$18),"Somali peninsula","")</f>
        <v/>
      </c>
      <c r="BA320" s="22" t="str">
        <f>IF(AND('[1]observations-276632'!W320&gt;'[1]Methods write-up'!$Q$19,'[1]observations-276632'!W320&lt;'[1]Methods write-up'!$R$19,'[1]observations-276632'!X320&gt;'[1]Methods write-up'!$S$19,'[1]observations-276632'!X320&lt;'[1]Methods write-up'!$T$19),"East Africa","")</f>
        <v/>
      </c>
      <c r="BB320" s="22" t="str">
        <f>IF(AND('[1]observations-276632'!W320&gt;'[1]Methods write-up'!$Q$20,'[1]observations-276632'!W320&lt;'[1]Methods write-up'!$R$20,'[1]observations-276632'!X320&gt;'[1]Methods write-up'!$S$20,'[1]observations-276632'!X320&lt;'[1]Methods write-up'!$T$20),"Temperate seasonal","")</f>
        <v/>
      </c>
      <c r="BC320" s="22" t="str">
        <f>IF(AND('[1]observations-276632'!W320&gt;'[1]Methods write-up'!$Q$21,'[1]observations-276632'!W320&lt;'[1]Methods write-up'!$R$21,'[1]observations-276632'!X320&gt;'[1]Methods write-up'!$S$21,'[1]observations-276632'!X320&lt;'[1]Methods write-up'!$T$21),"Desert and high aridity","")</f>
        <v/>
      </c>
      <c r="BD320" s="23" t="str">
        <f t="shared" si="19"/>
        <v>West and Central Africa</v>
      </c>
      <c r="BE320" s="24">
        <f t="shared" si="17"/>
        <v>29</v>
      </c>
      <c r="BF320" s="24">
        <f t="shared" si="18"/>
        <v>6</v>
      </c>
    </row>
    <row r="321" spans="1:58" ht="16.25" customHeight="1" x14ac:dyDescent="0.2">
      <c r="C321" s="14">
        <v>42915</v>
      </c>
      <c r="M321" t="s">
        <v>182</v>
      </c>
      <c r="W321" s="15">
        <v>-14.255723619999999</v>
      </c>
      <c r="X321" s="15">
        <v>12.368912659999999</v>
      </c>
      <c r="AO321" s="16" t="s">
        <v>1574</v>
      </c>
      <c r="AP321" s="17" t="str">
        <f t="shared" si="21"/>
        <v>Nest (foundress)</v>
      </c>
      <c r="AQ321" s="18">
        <v>1</v>
      </c>
      <c r="AV321" s="21" t="s">
        <v>2331</v>
      </c>
      <c r="AX321" s="22" t="str">
        <f>IF(AND('[1]observations-276632'!W321&gt;'[1]Methods write-up'!$Q$16,'[1]observations-276632'!W321&lt;'[1]Methods write-up'!$R$16,'[1]observations-276632'!X321&gt;'[1]Methods write-up'!$S$16,'[1]observations-276632'!X321&lt;'[1]Methods write-up'!$T$16),"West and Central Africa","")</f>
        <v>West and Central Africa</v>
      </c>
      <c r="AY321" s="22" t="str">
        <f>IF(AND('[1]observations-276632'!W321&gt;'[1]Methods write-up'!$Q$17,'[1]observations-276632'!W321&lt;'[1]Methods write-up'!$R$17,'[1]observations-276632'!X321&gt;'[1]Methods write-up'!$S$17,'[1]observations-276632'!X321&lt;'[1]Methods write-up'!$T$17),"Equatorial tropical forest","")</f>
        <v/>
      </c>
      <c r="AZ321" s="22" t="str">
        <f>IF(AND('[1]observations-276632'!W321&gt;'[1]Methods write-up'!$Q$18,'[1]observations-276632'!W321&lt;'[1]Methods write-up'!$R$18,'[1]observations-276632'!X321&gt;'[1]Methods write-up'!$S$18,'[1]observations-276632'!X321&lt;'[1]Methods write-up'!$T$18),"Somali peninsula","")</f>
        <v/>
      </c>
      <c r="BA321" s="22" t="str">
        <f>IF(AND('[1]observations-276632'!W321&gt;'[1]Methods write-up'!$Q$19,'[1]observations-276632'!W321&lt;'[1]Methods write-up'!$R$19,'[1]observations-276632'!X321&gt;'[1]Methods write-up'!$S$19,'[1]observations-276632'!X321&lt;'[1]Methods write-up'!$T$19),"East Africa","")</f>
        <v/>
      </c>
      <c r="BB321" s="22" t="str">
        <f>IF(AND('[1]observations-276632'!W321&gt;'[1]Methods write-up'!$Q$20,'[1]observations-276632'!W321&lt;'[1]Methods write-up'!$R$20,'[1]observations-276632'!X321&gt;'[1]Methods write-up'!$S$20,'[1]observations-276632'!X321&lt;'[1]Methods write-up'!$T$20),"Temperate seasonal","")</f>
        <v/>
      </c>
      <c r="BC321" s="22" t="str">
        <f>IF(AND('[1]observations-276632'!W321&gt;'[1]Methods write-up'!$Q$21,'[1]observations-276632'!W321&lt;'[1]Methods write-up'!$R$21,'[1]observations-276632'!X321&gt;'[1]Methods write-up'!$S$21,'[1]observations-276632'!X321&lt;'[1]Methods write-up'!$T$21),"Desert and high aridity","")</f>
        <v/>
      </c>
      <c r="BD321" s="23" t="str">
        <f t="shared" si="19"/>
        <v>West and Central Africa</v>
      </c>
      <c r="BE321" s="24">
        <f t="shared" si="17"/>
        <v>29</v>
      </c>
      <c r="BF321" s="24">
        <f t="shared" si="18"/>
        <v>6</v>
      </c>
    </row>
    <row r="322" spans="1:58" ht="16.25" customHeight="1" x14ac:dyDescent="0.2">
      <c r="A322">
        <v>32624793</v>
      </c>
      <c r="B322" t="s">
        <v>2332</v>
      </c>
      <c r="C322" s="14">
        <v>43687</v>
      </c>
      <c r="D322" t="s">
        <v>2333</v>
      </c>
      <c r="E322" t="s">
        <v>463</v>
      </c>
      <c r="F322">
        <v>24973</v>
      </c>
      <c r="G322" t="s">
        <v>2282</v>
      </c>
      <c r="H322" t="s">
        <v>2283</v>
      </c>
      <c r="I322" t="s">
        <v>2334</v>
      </c>
      <c r="J322" t="s">
        <v>2335</v>
      </c>
      <c r="K322" t="s">
        <v>62</v>
      </c>
      <c r="L322" t="s">
        <v>98</v>
      </c>
      <c r="M322" t="s">
        <v>2336</v>
      </c>
      <c r="N322" t="s">
        <v>2337</v>
      </c>
      <c r="R322">
        <v>3</v>
      </c>
      <c r="S322">
        <v>0</v>
      </c>
      <c r="T322" t="b">
        <v>0</v>
      </c>
      <c r="V322" t="s">
        <v>2338</v>
      </c>
      <c r="W322" s="15">
        <v>0.38122200000000001</v>
      </c>
      <c r="X322" s="15">
        <v>33.017443</v>
      </c>
      <c r="Y322">
        <v>15</v>
      </c>
      <c r="AC322">
        <v>15</v>
      </c>
      <c r="AF322" t="b">
        <v>0</v>
      </c>
      <c r="AI322" t="s">
        <v>71</v>
      </c>
      <c r="AJ322" t="s">
        <v>70</v>
      </c>
      <c r="AK322" t="s">
        <v>71</v>
      </c>
      <c r="AL322" t="s">
        <v>72</v>
      </c>
      <c r="AM322">
        <v>346053</v>
      </c>
      <c r="AO322" s="16" t="s">
        <v>140</v>
      </c>
      <c r="AP322" s="17" t="str">
        <f t="shared" si="21"/>
        <v>Post-emergence nest</v>
      </c>
      <c r="AQ322" s="18">
        <v>1</v>
      </c>
      <c r="AT322" s="19" t="s">
        <v>141</v>
      </c>
      <c r="AU322" s="20" t="s">
        <v>104</v>
      </c>
      <c r="AV322" s="21" t="s">
        <v>2339</v>
      </c>
      <c r="AX322" s="22" t="str">
        <f>IF(AND('[1]observations-276632'!W322&gt;'[1]Methods write-up'!$Q$16,'[1]observations-276632'!W322&lt;'[1]Methods write-up'!$R$16,'[1]observations-276632'!X322&gt;'[1]Methods write-up'!$S$16,'[1]observations-276632'!X322&lt;'[1]Methods write-up'!$T$16),"West and Central Africa","")</f>
        <v/>
      </c>
      <c r="AY322" s="22" t="str">
        <f>IF(AND('[1]observations-276632'!W322&gt;'[1]Methods write-up'!$Q$17,'[1]observations-276632'!W322&lt;'[1]Methods write-up'!$R$17,'[1]observations-276632'!X322&gt;'[1]Methods write-up'!$S$17,'[1]observations-276632'!X322&lt;'[1]Methods write-up'!$T$17),"Equatorial tropical forest","")</f>
        <v/>
      </c>
      <c r="AZ322" s="22" t="str">
        <f>IF(AND('[1]observations-276632'!W322&gt;'[1]Methods write-up'!$Q$18,'[1]observations-276632'!W322&lt;'[1]Methods write-up'!$R$18,'[1]observations-276632'!X322&gt;'[1]Methods write-up'!$S$18,'[1]observations-276632'!X322&lt;'[1]Methods write-up'!$T$18),"Somali peninsula","")</f>
        <v/>
      </c>
      <c r="BA322" s="22" t="str">
        <f>IF(AND('[1]observations-276632'!W322&gt;'[1]Methods write-up'!$Q$19,'[1]observations-276632'!W322&lt;'[1]Methods write-up'!$R$19,'[1]observations-276632'!X322&gt;'[1]Methods write-up'!$S$19,'[1]observations-276632'!X322&lt;'[1]Methods write-up'!$T$19),"East Africa","")</f>
        <v>East Africa</v>
      </c>
      <c r="BB322" s="22" t="str">
        <f>IF(AND('[1]observations-276632'!W322&gt;'[1]Methods write-up'!$Q$20,'[1]observations-276632'!W322&lt;'[1]Methods write-up'!$R$20,'[1]observations-276632'!X322&gt;'[1]Methods write-up'!$S$20,'[1]observations-276632'!X322&lt;'[1]Methods write-up'!$T$20),"Temperate seasonal","")</f>
        <v/>
      </c>
      <c r="BC322" s="22" t="str">
        <f>IF(AND('[1]observations-276632'!W322&gt;'[1]Methods write-up'!$Q$21,'[1]observations-276632'!W322&lt;'[1]Methods write-up'!$R$21,'[1]observations-276632'!X322&gt;'[1]Methods write-up'!$S$21,'[1]observations-276632'!X322&lt;'[1]Methods write-up'!$T$21),"Desert and high aridity","")</f>
        <v/>
      </c>
      <c r="BD322" s="23" t="str">
        <f t="shared" si="19"/>
        <v>East Africa</v>
      </c>
      <c r="BE322" s="24">
        <f t="shared" ref="BE322:BE385" si="22">DAY(C322)</f>
        <v>10</v>
      </c>
      <c r="BF322" s="24">
        <f t="shared" ref="BF322:BF385" si="23">MONTH(C322)</f>
        <v>8</v>
      </c>
    </row>
    <row r="323" spans="1:58" ht="16.25" customHeight="1" x14ac:dyDescent="0.2">
      <c r="A323">
        <v>32821728</v>
      </c>
      <c r="B323" t="s">
        <v>2340</v>
      </c>
      <c r="C323" s="14">
        <v>43714</v>
      </c>
      <c r="D323" t="s">
        <v>2341</v>
      </c>
      <c r="E323" t="s">
        <v>243</v>
      </c>
      <c r="F323">
        <v>1258096</v>
      </c>
      <c r="G323" t="s">
        <v>2342</v>
      </c>
      <c r="H323" t="s">
        <v>2343</v>
      </c>
      <c r="I323" t="s">
        <v>2344</v>
      </c>
      <c r="J323" t="s">
        <v>2345</v>
      </c>
      <c r="K323" t="s">
        <v>62</v>
      </c>
      <c r="L323" t="s">
        <v>63</v>
      </c>
      <c r="M323" t="s">
        <v>2346</v>
      </c>
      <c r="N323" t="s">
        <v>2347</v>
      </c>
      <c r="R323">
        <v>2</v>
      </c>
      <c r="S323">
        <v>0</v>
      </c>
      <c r="T323" t="b">
        <v>0</v>
      </c>
      <c r="V323" t="s">
        <v>2348</v>
      </c>
      <c r="W323" s="15">
        <v>6.5003251940000002</v>
      </c>
      <c r="X323" s="15">
        <v>2.3493013330000001</v>
      </c>
      <c r="AF323" t="b">
        <v>0</v>
      </c>
      <c r="AI323" t="s">
        <v>71</v>
      </c>
      <c r="AJ323" t="s">
        <v>70</v>
      </c>
      <c r="AK323" t="s">
        <v>71</v>
      </c>
      <c r="AL323" t="s">
        <v>72</v>
      </c>
      <c r="AM323">
        <v>346053</v>
      </c>
      <c r="AO323" s="16" t="s">
        <v>1574</v>
      </c>
      <c r="AP323" s="17" t="str">
        <f t="shared" si="21"/>
        <v>Nest (foundress)</v>
      </c>
      <c r="AQ323" s="18">
        <v>3</v>
      </c>
      <c r="AT323" s="19" t="s">
        <v>104</v>
      </c>
      <c r="AX323" s="22" t="str">
        <f>IF(AND('[1]observations-276632'!W323&gt;'[1]Methods write-up'!$Q$16,'[1]observations-276632'!W323&lt;'[1]Methods write-up'!$R$16,'[1]observations-276632'!X323&gt;'[1]Methods write-up'!$S$16,'[1]observations-276632'!X323&lt;'[1]Methods write-up'!$T$16),"West and Central Africa","")</f>
        <v>West and Central Africa</v>
      </c>
      <c r="AY323" s="22" t="str">
        <f>IF(AND('[1]observations-276632'!W323&gt;'[1]Methods write-up'!$Q$17,'[1]observations-276632'!W323&lt;'[1]Methods write-up'!$R$17,'[1]observations-276632'!X323&gt;'[1]Methods write-up'!$S$17,'[1]observations-276632'!X323&lt;'[1]Methods write-up'!$T$17),"Equatorial tropical forest","")</f>
        <v/>
      </c>
      <c r="AZ323" s="22" t="str">
        <f>IF(AND('[1]observations-276632'!W323&gt;'[1]Methods write-up'!$Q$18,'[1]observations-276632'!W323&lt;'[1]Methods write-up'!$R$18,'[1]observations-276632'!X323&gt;'[1]Methods write-up'!$S$18,'[1]observations-276632'!X323&lt;'[1]Methods write-up'!$T$18),"Somali peninsula","")</f>
        <v/>
      </c>
      <c r="BA323" s="22" t="str">
        <f>IF(AND('[1]observations-276632'!W323&gt;'[1]Methods write-up'!$Q$19,'[1]observations-276632'!W323&lt;'[1]Methods write-up'!$R$19,'[1]observations-276632'!X323&gt;'[1]Methods write-up'!$S$19,'[1]observations-276632'!X323&lt;'[1]Methods write-up'!$T$19),"East Africa","")</f>
        <v/>
      </c>
      <c r="BB323" s="22" t="str">
        <f>IF(AND('[1]observations-276632'!W323&gt;'[1]Methods write-up'!$Q$20,'[1]observations-276632'!W323&lt;'[1]Methods write-up'!$R$20,'[1]observations-276632'!X323&gt;'[1]Methods write-up'!$S$20,'[1]observations-276632'!X323&lt;'[1]Methods write-up'!$T$20),"Temperate seasonal","")</f>
        <v/>
      </c>
      <c r="BC323" s="22" t="str">
        <f>IF(AND('[1]observations-276632'!W323&gt;'[1]Methods write-up'!$Q$21,'[1]observations-276632'!W323&lt;'[1]Methods write-up'!$R$21,'[1]observations-276632'!X323&gt;'[1]Methods write-up'!$S$21,'[1]observations-276632'!X323&lt;'[1]Methods write-up'!$T$21),"Desert and high aridity","")</f>
        <v/>
      </c>
      <c r="BD323" s="23" t="str">
        <f t="shared" ref="BD323:BD386" si="24">AX323&amp;AY323&amp;AZ323&amp;BA323&amp;BB323&amp;BC323</f>
        <v>West and Central Africa</v>
      </c>
      <c r="BE323" s="24">
        <f t="shared" si="22"/>
        <v>6</v>
      </c>
      <c r="BF323" s="24">
        <f t="shared" si="23"/>
        <v>9</v>
      </c>
    </row>
    <row r="324" spans="1:58" ht="16.25" customHeight="1" x14ac:dyDescent="0.2">
      <c r="A324">
        <v>32852352</v>
      </c>
      <c r="B324" t="s">
        <v>2349</v>
      </c>
      <c r="C324" s="14">
        <v>43724</v>
      </c>
      <c r="D324" t="s">
        <v>2350</v>
      </c>
      <c r="E324" t="s">
        <v>403</v>
      </c>
      <c r="F324">
        <v>2095944</v>
      </c>
      <c r="G324" t="s">
        <v>2351</v>
      </c>
      <c r="H324" t="s">
        <v>2352</v>
      </c>
      <c r="I324" t="s">
        <v>2353</v>
      </c>
      <c r="J324" t="s">
        <v>2354</v>
      </c>
      <c r="K324" t="s">
        <v>62</v>
      </c>
      <c r="L324" t="s">
        <v>63</v>
      </c>
      <c r="M324" t="s">
        <v>2355</v>
      </c>
      <c r="N324" t="s">
        <v>2356</v>
      </c>
      <c r="R324">
        <v>2</v>
      </c>
      <c r="S324">
        <v>0</v>
      </c>
      <c r="T324" t="b">
        <v>0</v>
      </c>
      <c r="U324">
        <v>2</v>
      </c>
      <c r="V324" t="s">
        <v>2357</v>
      </c>
      <c r="W324" s="15">
        <v>-1.338333368</v>
      </c>
      <c r="X324" s="15">
        <v>36.697223659999999</v>
      </c>
      <c r="AF324" t="b">
        <v>0</v>
      </c>
      <c r="AG324" t="s">
        <v>350</v>
      </c>
      <c r="AH324" t="s">
        <v>350</v>
      </c>
      <c r="AI324" t="s">
        <v>70</v>
      </c>
      <c r="AJ324" t="s">
        <v>70</v>
      </c>
      <c r="AK324" t="s">
        <v>71</v>
      </c>
      <c r="AL324" t="s">
        <v>72</v>
      </c>
      <c r="AM324">
        <v>346053</v>
      </c>
      <c r="AO324" s="16" t="s">
        <v>140</v>
      </c>
      <c r="AP324" s="17" t="str">
        <f t="shared" si="21"/>
        <v>Post-emergence nest</v>
      </c>
      <c r="AQ324" s="18">
        <v>7</v>
      </c>
      <c r="AT324" s="19" t="s">
        <v>141</v>
      </c>
      <c r="AU324" s="20" t="s">
        <v>315</v>
      </c>
      <c r="AX324" s="22" t="str">
        <f>IF(AND('[1]observations-276632'!W324&gt;'[1]Methods write-up'!$Q$16,'[1]observations-276632'!W324&lt;'[1]Methods write-up'!$R$16,'[1]observations-276632'!X324&gt;'[1]Methods write-up'!$S$16,'[1]observations-276632'!X324&lt;'[1]Methods write-up'!$T$16),"West and Central Africa","")</f>
        <v/>
      </c>
      <c r="AY324" s="22" t="str">
        <f>IF(AND('[1]observations-276632'!W324&gt;'[1]Methods write-up'!$Q$17,'[1]observations-276632'!W324&lt;'[1]Methods write-up'!$R$17,'[1]observations-276632'!X324&gt;'[1]Methods write-up'!$S$17,'[1]observations-276632'!X324&lt;'[1]Methods write-up'!$T$17),"Equatorial tropical forest","")</f>
        <v/>
      </c>
      <c r="AZ324" s="22" t="str">
        <f>IF(AND('[1]observations-276632'!W324&gt;'[1]Methods write-up'!$Q$18,'[1]observations-276632'!W324&lt;'[1]Methods write-up'!$R$18,'[1]observations-276632'!X324&gt;'[1]Methods write-up'!$S$18,'[1]observations-276632'!X324&lt;'[1]Methods write-up'!$T$18),"Somali peninsula","")</f>
        <v/>
      </c>
      <c r="BA324" s="22" t="str">
        <f>IF(AND('[1]observations-276632'!W324&gt;'[1]Methods write-up'!$Q$19,'[1]observations-276632'!W324&lt;'[1]Methods write-up'!$R$19,'[1]observations-276632'!X324&gt;'[1]Methods write-up'!$S$19,'[1]observations-276632'!X324&lt;'[1]Methods write-up'!$T$19),"East Africa","")</f>
        <v>East Africa</v>
      </c>
      <c r="BB324" s="22" t="str">
        <f>IF(AND('[1]observations-276632'!W324&gt;'[1]Methods write-up'!$Q$20,'[1]observations-276632'!W324&lt;'[1]Methods write-up'!$R$20,'[1]observations-276632'!X324&gt;'[1]Methods write-up'!$S$20,'[1]observations-276632'!X324&lt;'[1]Methods write-up'!$T$20),"Temperate seasonal","")</f>
        <v/>
      </c>
      <c r="BC324" s="22" t="str">
        <f>IF(AND('[1]observations-276632'!W324&gt;'[1]Methods write-up'!$Q$21,'[1]observations-276632'!W324&lt;'[1]Methods write-up'!$R$21,'[1]observations-276632'!X324&gt;'[1]Methods write-up'!$S$21,'[1]observations-276632'!X324&lt;'[1]Methods write-up'!$T$21),"Desert and high aridity","")</f>
        <v/>
      </c>
      <c r="BD324" s="23" t="str">
        <f t="shared" si="24"/>
        <v>East Africa</v>
      </c>
      <c r="BE324" s="24">
        <f t="shared" si="22"/>
        <v>16</v>
      </c>
      <c r="BF324" s="24">
        <f t="shared" si="23"/>
        <v>9</v>
      </c>
    </row>
    <row r="325" spans="1:58" ht="16.25" customHeight="1" x14ac:dyDescent="0.2">
      <c r="A325">
        <v>32940105</v>
      </c>
      <c r="B325" t="s">
        <v>2358</v>
      </c>
      <c r="C325" s="14">
        <v>43726</v>
      </c>
      <c r="D325" t="s">
        <v>2359</v>
      </c>
      <c r="E325" t="s">
        <v>113</v>
      </c>
      <c r="F325">
        <v>50393</v>
      </c>
      <c r="G325" t="s">
        <v>194</v>
      </c>
      <c r="I325" t="s">
        <v>2360</v>
      </c>
      <c r="J325" t="s">
        <v>2361</v>
      </c>
      <c r="K325" t="s">
        <v>62</v>
      </c>
      <c r="L325" t="s">
        <v>63</v>
      </c>
      <c r="M325" t="s">
        <v>2362</v>
      </c>
      <c r="N325" t="s">
        <v>2363</v>
      </c>
      <c r="R325">
        <v>3</v>
      </c>
      <c r="S325">
        <v>0</v>
      </c>
      <c r="T325" t="b">
        <v>0</v>
      </c>
      <c r="U325">
        <v>3</v>
      </c>
      <c r="V325" t="s">
        <v>2364</v>
      </c>
      <c r="W325" s="15">
        <v>3.7576366669999999</v>
      </c>
      <c r="X325" s="15">
        <v>29.52815</v>
      </c>
      <c r="Y325">
        <v>9</v>
      </c>
      <c r="AC325">
        <v>9</v>
      </c>
      <c r="AF325" t="b">
        <v>0</v>
      </c>
      <c r="AI325" t="s">
        <v>71</v>
      </c>
      <c r="AJ325" t="s">
        <v>70</v>
      </c>
      <c r="AK325" t="s">
        <v>71</v>
      </c>
      <c r="AL325" t="s">
        <v>72</v>
      </c>
      <c r="AM325">
        <v>346053</v>
      </c>
      <c r="AO325" s="16" t="s">
        <v>73</v>
      </c>
      <c r="AP325" s="17" t="str">
        <f t="shared" si="21"/>
        <v>Off-nest female</v>
      </c>
      <c r="AX325" s="22" t="str">
        <f>IF(AND('[1]observations-276632'!W325&gt;'[1]Methods write-up'!$Q$16,'[1]observations-276632'!W325&lt;'[1]Methods write-up'!$R$16,'[1]observations-276632'!X325&gt;'[1]Methods write-up'!$S$16,'[1]observations-276632'!X325&lt;'[1]Methods write-up'!$T$16),"West and Central Africa","")</f>
        <v>West and Central Africa</v>
      </c>
      <c r="AY325" s="22" t="str">
        <f>IF(AND('[1]observations-276632'!W325&gt;'[1]Methods write-up'!$Q$17,'[1]observations-276632'!W325&lt;'[1]Methods write-up'!$R$17,'[1]observations-276632'!X325&gt;'[1]Methods write-up'!$S$17,'[1]observations-276632'!X325&lt;'[1]Methods write-up'!$T$17),"Equatorial tropical forest","")</f>
        <v/>
      </c>
      <c r="AZ325" s="22" t="str">
        <f>IF(AND('[1]observations-276632'!W325&gt;'[1]Methods write-up'!$Q$18,'[1]observations-276632'!W325&lt;'[1]Methods write-up'!$R$18,'[1]observations-276632'!X325&gt;'[1]Methods write-up'!$S$18,'[1]observations-276632'!X325&lt;'[1]Methods write-up'!$T$18),"Somali peninsula","")</f>
        <v/>
      </c>
      <c r="BA325" s="22" t="str">
        <f>IF(AND('[1]observations-276632'!W325&gt;'[1]Methods write-up'!$Q$19,'[1]observations-276632'!W325&lt;'[1]Methods write-up'!$R$19,'[1]observations-276632'!X325&gt;'[1]Methods write-up'!$S$19,'[1]observations-276632'!X325&lt;'[1]Methods write-up'!$T$19),"East Africa","")</f>
        <v/>
      </c>
      <c r="BB325" s="22" t="str">
        <f>IF(AND('[1]observations-276632'!W325&gt;'[1]Methods write-up'!$Q$20,'[1]observations-276632'!W325&lt;'[1]Methods write-up'!$R$20,'[1]observations-276632'!X325&gt;'[1]Methods write-up'!$S$20,'[1]observations-276632'!X325&lt;'[1]Methods write-up'!$T$20),"Temperate seasonal","")</f>
        <v/>
      </c>
      <c r="BC325" s="22" t="str">
        <f>IF(AND('[1]observations-276632'!W325&gt;'[1]Methods write-up'!$Q$21,'[1]observations-276632'!W325&lt;'[1]Methods write-up'!$R$21,'[1]observations-276632'!X325&gt;'[1]Methods write-up'!$S$21,'[1]observations-276632'!X325&lt;'[1]Methods write-up'!$T$21),"Desert and high aridity","")</f>
        <v/>
      </c>
      <c r="BD325" s="23" t="str">
        <f t="shared" si="24"/>
        <v>West and Central Africa</v>
      </c>
      <c r="BE325" s="24">
        <f t="shared" si="22"/>
        <v>18</v>
      </c>
      <c r="BF325" s="24">
        <f t="shared" si="23"/>
        <v>9</v>
      </c>
    </row>
    <row r="326" spans="1:58" ht="16.25" customHeight="1" x14ac:dyDescent="0.2">
      <c r="A326">
        <v>33004659</v>
      </c>
      <c r="B326" t="s">
        <v>2365</v>
      </c>
      <c r="C326" s="14">
        <v>42114</v>
      </c>
      <c r="D326" t="s">
        <v>2366</v>
      </c>
      <c r="E326" t="s">
        <v>113</v>
      </c>
      <c r="F326">
        <v>1288995</v>
      </c>
      <c r="G326" t="s">
        <v>2367</v>
      </c>
      <c r="H326" t="s">
        <v>2368</v>
      </c>
      <c r="I326" t="s">
        <v>2369</v>
      </c>
      <c r="J326" t="s">
        <v>2370</v>
      </c>
      <c r="K326" t="s">
        <v>62</v>
      </c>
      <c r="L326" t="s">
        <v>63</v>
      </c>
      <c r="M326" t="s">
        <v>2371</v>
      </c>
      <c r="N326" t="s">
        <v>2372</v>
      </c>
      <c r="R326">
        <v>3</v>
      </c>
      <c r="S326">
        <v>0</v>
      </c>
      <c r="T326" t="b">
        <v>0</v>
      </c>
      <c r="V326" t="s">
        <v>2373</v>
      </c>
      <c r="W326" s="15">
        <v>-24.366654700000002</v>
      </c>
      <c r="X326" s="15">
        <v>28.84437308</v>
      </c>
      <c r="Y326">
        <v>7813</v>
      </c>
      <c r="AC326">
        <v>7813</v>
      </c>
      <c r="AF326" t="b">
        <v>0</v>
      </c>
      <c r="AI326" t="s">
        <v>71</v>
      </c>
      <c r="AJ326" t="s">
        <v>70</v>
      </c>
      <c r="AK326" t="s">
        <v>71</v>
      </c>
      <c r="AL326" t="s">
        <v>72</v>
      </c>
      <c r="AM326">
        <v>346053</v>
      </c>
      <c r="AO326" s="16" t="s">
        <v>73</v>
      </c>
      <c r="AP326" s="17" t="str">
        <f t="shared" si="21"/>
        <v>Off-nest female</v>
      </c>
      <c r="AX326" s="22" t="str">
        <f>IF(AND('[1]observations-276632'!W326&gt;'[1]Methods write-up'!$Q$16,'[1]observations-276632'!W326&lt;'[1]Methods write-up'!$R$16,'[1]observations-276632'!X326&gt;'[1]Methods write-up'!$S$16,'[1]observations-276632'!X326&lt;'[1]Methods write-up'!$T$16),"West and Central Africa","")</f>
        <v/>
      </c>
      <c r="AY326" s="22" t="str">
        <f>IF(AND('[1]observations-276632'!W326&gt;'[1]Methods write-up'!$Q$17,'[1]observations-276632'!W326&lt;'[1]Methods write-up'!$R$17,'[1]observations-276632'!X326&gt;'[1]Methods write-up'!$S$17,'[1]observations-276632'!X326&lt;'[1]Methods write-up'!$T$17),"Equatorial tropical forest","")</f>
        <v/>
      </c>
      <c r="AZ326" s="22" t="str">
        <f>IF(AND('[1]observations-276632'!W326&gt;'[1]Methods write-up'!$Q$18,'[1]observations-276632'!W326&lt;'[1]Methods write-up'!$R$18,'[1]observations-276632'!X326&gt;'[1]Methods write-up'!$S$18,'[1]observations-276632'!X326&lt;'[1]Methods write-up'!$T$18),"Somali peninsula","")</f>
        <v/>
      </c>
      <c r="BA326" s="22" t="str">
        <f>IF(AND('[1]observations-276632'!W326&gt;'[1]Methods write-up'!$Q$19,'[1]observations-276632'!W326&lt;'[1]Methods write-up'!$R$19,'[1]observations-276632'!X326&gt;'[1]Methods write-up'!$S$19,'[1]observations-276632'!X326&lt;'[1]Methods write-up'!$T$19),"East Africa","")</f>
        <v/>
      </c>
      <c r="BB326" s="22" t="str">
        <f>IF(AND('[1]observations-276632'!W326&gt;'[1]Methods write-up'!$Q$20,'[1]observations-276632'!W326&lt;'[1]Methods write-up'!$R$20,'[1]observations-276632'!X326&gt;'[1]Methods write-up'!$S$20,'[1]observations-276632'!X326&lt;'[1]Methods write-up'!$T$20),"Temperate seasonal","")</f>
        <v/>
      </c>
      <c r="BC326" s="22" t="str">
        <f>IF(AND('[1]observations-276632'!W326&gt;'[1]Methods write-up'!$Q$21,'[1]observations-276632'!W326&lt;'[1]Methods write-up'!$R$21,'[1]observations-276632'!X326&gt;'[1]Methods write-up'!$S$21,'[1]observations-276632'!X326&lt;'[1]Methods write-up'!$T$21),"Desert and high aridity","")</f>
        <v/>
      </c>
      <c r="BD326" s="23" t="str">
        <f t="shared" si="24"/>
        <v/>
      </c>
      <c r="BE326" s="24">
        <f t="shared" si="22"/>
        <v>20</v>
      </c>
      <c r="BF326" s="24">
        <f t="shared" si="23"/>
        <v>4</v>
      </c>
    </row>
    <row r="327" spans="1:58" ht="16.25" customHeight="1" x14ac:dyDescent="0.2">
      <c r="A327">
        <v>33114218</v>
      </c>
      <c r="B327" t="s">
        <v>2374</v>
      </c>
      <c r="C327" s="14">
        <v>42121</v>
      </c>
      <c r="D327" t="s">
        <v>2375</v>
      </c>
      <c r="E327" t="s">
        <v>113</v>
      </c>
      <c r="F327">
        <v>1288995</v>
      </c>
      <c r="G327" t="s">
        <v>2367</v>
      </c>
      <c r="H327" t="s">
        <v>2368</v>
      </c>
      <c r="I327" t="s">
        <v>2376</v>
      </c>
      <c r="J327" t="s">
        <v>2377</v>
      </c>
      <c r="K327" t="s">
        <v>62</v>
      </c>
      <c r="L327" t="s">
        <v>63</v>
      </c>
      <c r="M327" t="s">
        <v>2378</v>
      </c>
      <c r="N327" t="s">
        <v>2379</v>
      </c>
      <c r="R327">
        <v>2</v>
      </c>
      <c r="S327">
        <v>0</v>
      </c>
      <c r="T327" t="b">
        <v>0</v>
      </c>
      <c r="V327" t="s">
        <v>2380</v>
      </c>
      <c r="W327" s="15">
        <v>-25.968513510000001</v>
      </c>
      <c r="X327" s="15">
        <v>27.86104022</v>
      </c>
      <c r="Y327">
        <v>371</v>
      </c>
      <c r="AC327">
        <v>371</v>
      </c>
      <c r="AF327" t="b">
        <v>0</v>
      </c>
      <c r="AI327" t="s">
        <v>71</v>
      </c>
      <c r="AJ327" t="s">
        <v>70</v>
      </c>
      <c r="AK327" t="s">
        <v>71</v>
      </c>
      <c r="AL327" t="s">
        <v>72</v>
      </c>
      <c r="AM327">
        <v>346053</v>
      </c>
      <c r="AO327" s="16" t="s">
        <v>73</v>
      </c>
      <c r="AP327" s="17" t="str">
        <f t="shared" si="21"/>
        <v>Off-nest female</v>
      </c>
      <c r="AX327" s="22" t="str">
        <f>IF(AND('[1]observations-276632'!W327&gt;'[1]Methods write-up'!$Q$16,'[1]observations-276632'!W327&lt;'[1]Methods write-up'!$R$16,'[1]observations-276632'!X327&gt;'[1]Methods write-up'!$S$16,'[1]observations-276632'!X327&lt;'[1]Methods write-up'!$T$16),"West and Central Africa","")</f>
        <v/>
      </c>
      <c r="AY327" s="22" t="str">
        <f>IF(AND('[1]observations-276632'!W327&gt;'[1]Methods write-up'!$Q$17,'[1]observations-276632'!W327&lt;'[1]Methods write-up'!$R$17,'[1]observations-276632'!X327&gt;'[1]Methods write-up'!$S$17,'[1]observations-276632'!X327&lt;'[1]Methods write-up'!$T$17),"Equatorial tropical forest","")</f>
        <v/>
      </c>
      <c r="AZ327" s="22" t="str">
        <f>IF(AND('[1]observations-276632'!W327&gt;'[1]Methods write-up'!$Q$18,'[1]observations-276632'!W327&lt;'[1]Methods write-up'!$R$18,'[1]observations-276632'!X327&gt;'[1]Methods write-up'!$S$18,'[1]observations-276632'!X327&lt;'[1]Methods write-up'!$T$18),"Somali peninsula","")</f>
        <v/>
      </c>
      <c r="BA327" s="22" t="str">
        <f>IF(AND('[1]observations-276632'!W327&gt;'[1]Methods write-up'!$Q$19,'[1]observations-276632'!W327&lt;'[1]Methods write-up'!$R$19,'[1]observations-276632'!X327&gt;'[1]Methods write-up'!$S$19,'[1]observations-276632'!X327&lt;'[1]Methods write-up'!$T$19),"East Africa","")</f>
        <v/>
      </c>
      <c r="BB327" s="22" t="str">
        <f>IF(AND('[1]observations-276632'!W327&gt;'[1]Methods write-up'!$Q$20,'[1]observations-276632'!W327&lt;'[1]Methods write-up'!$R$20,'[1]observations-276632'!X327&gt;'[1]Methods write-up'!$S$20,'[1]observations-276632'!X327&lt;'[1]Methods write-up'!$T$20),"Temperate seasonal","")</f>
        <v>Temperate seasonal</v>
      </c>
      <c r="BC327" s="22" t="str">
        <f>IF(AND('[1]observations-276632'!W327&gt;'[1]Methods write-up'!$Q$21,'[1]observations-276632'!W327&lt;'[1]Methods write-up'!$R$21,'[1]observations-276632'!X327&gt;'[1]Methods write-up'!$S$21,'[1]observations-276632'!X327&lt;'[1]Methods write-up'!$T$21),"Desert and high aridity","")</f>
        <v/>
      </c>
      <c r="BD327" s="23" t="str">
        <f t="shared" si="24"/>
        <v>Temperate seasonal</v>
      </c>
      <c r="BE327" s="24">
        <f t="shared" si="22"/>
        <v>27</v>
      </c>
      <c r="BF327" s="24">
        <f t="shared" si="23"/>
        <v>4</v>
      </c>
    </row>
    <row r="328" spans="1:58" ht="16.25" customHeight="1" x14ac:dyDescent="0.2">
      <c r="A328">
        <v>33123094</v>
      </c>
      <c r="B328" t="s">
        <v>2381</v>
      </c>
      <c r="C328" s="14">
        <v>43729</v>
      </c>
      <c r="D328" t="s">
        <v>2382</v>
      </c>
      <c r="E328" t="s">
        <v>113</v>
      </c>
      <c r="F328">
        <v>50393</v>
      </c>
      <c r="G328" t="s">
        <v>194</v>
      </c>
      <c r="I328" t="s">
        <v>2383</v>
      </c>
      <c r="J328" t="s">
        <v>2384</v>
      </c>
      <c r="K328" t="s">
        <v>62</v>
      </c>
      <c r="L328" t="s">
        <v>63</v>
      </c>
      <c r="M328" t="s">
        <v>2385</v>
      </c>
      <c r="N328" t="s">
        <v>2386</v>
      </c>
      <c r="R328">
        <v>2</v>
      </c>
      <c r="S328">
        <v>0</v>
      </c>
      <c r="T328" t="b">
        <v>0</v>
      </c>
      <c r="U328">
        <v>3</v>
      </c>
      <c r="V328" t="s">
        <v>2364</v>
      </c>
      <c r="W328" s="15">
        <v>3.75715888</v>
      </c>
      <c r="X328" s="15">
        <v>29.528604609999999</v>
      </c>
      <c r="Y328">
        <v>30</v>
      </c>
      <c r="AC328">
        <v>30</v>
      </c>
      <c r="AF328" t="b">
        <v>0</v>
      </c>
      <c r="AI328" t="s">
        <v>71</v>
      </c>
      <c r="AJ328" t="s">
        <v>70</v>
      </c>
      <c r="AK328" t="s">
        <v>71</v>
      </c>
      <c r="AL328" t="s">
        <v>72</v>
      </c>
      <c r="AM328">
        <v>346053</v>
      </c>
      <c r="AO328" s="16" t="s">
        <v>73</v>
      </c>
      <c r="AP328" s="17" t="str">
        <f t="shared" si="21"/>
        <v>Off-nest female</v>
      </c>
      <c r="AX328" s="22" t="str">
        <f>IF(AND('[1]observations-276632'!W328&gt;'[1]Methods write-up'!$Q$16,'[1]observations-276632'!W328&lt;'[1]Methods write-up'!$R$16,'[1]observations-276632'!X328&gt;'[1]Methods write-up'!$S$16,'[1]observations-276632'!X328&lt;'[1]Methods write-up'!$T$16),"West and Central Africa","")</f>
        <v>West and Central Africa</v>
      </c>
      <c r="AY328" s="22" t="str">
        <f>IF(AND('[1]observations-276632'!W328&gt;'[1]Methods write-up'!$Q$17,'[1]observations-276632'!W328&lt;'[1]Methods write-up'!$R$17,'[1]observations-276632'!X328&gt;'[1]Methods write-up'!$S$17,'[1]observations-276632'!X328&lt;'[1]Methods write-up'!$T$17),"Equatorial tropical forest","")</f>
        <v/>
      </c>
      <c r="AZ328" s="22" t="str">
        <f>IF(AND('[1]observations-276632'!W328&gt;'[1]Methods write-up'!$Q$18,'[1]observations-276632'!W328&lt;'[1]Methods write-up'!$R$18,'[1]observations-276632'!X328&gt;'[1]Methods write-up'!$S$18,'[1]observations-276632'!X328&lt;'[1]Methods write-up'!$T$18),"Somali peninsula","")</f>
        <v/>
      </c>
      <c r="BA328" s="22" t="str">
        <f>IF(AND('[1]observations-276632'!W328&gt;'[1]Methods write-up'!$Q$19,'[1]observations-276632'!W328&lt;'[1]Methods write-up'!$R$19,'[1]observations-276632'!X328&gt;'[1]Methods write-up'!$S$19,'[1]observations-276632'!X328&lt;'[1]Methods write-up'!$T$19),"East Africa","")</f>
        <v/>
      </c>
      <c r="BB328" s="22" t="str">
        <f>IF(AND('[1]observations-276632'!W328&gt;'[1]Methods write-up'!$Q$20,'[1]observations-276632'!W328&lt;'[1]Methods write-up'!$R$20,'[1]observations-276632'!X328&gt;'[1]Methods write-up'!$S$20,'[1]observations-276632'!X328&lt;'[1]Methods write-up'!$T$20),"Temperate seasonal","")</f>
        <v/>
      </c>
      <c r="BC328" s="22" t="str">
        <f>IF(AND('[1]observations-276632'!W328&gt;'[1]Methods write-up'!$Q$21,'[1]observations-276632'!W328&lt;'[1]Methods write-up'!$R$21,'[1]observations-276632'!X328&gt;'[1]Methods write-up'!$S$21,'[1]observations-276632'!X328&lt;'[1]Methods write-up'!$T$21),"Desert and high aridity","")</f>
        <v/>
      </c>
      <c r="BD328" s="23" t="str">
        <f t="shared" si="24"/>
        <v>West and Central Africa</v>
      </c>
      <c r="BE328" s="24">
        <f t="shared" si="22"/>
        <v>21</v>
      </c>
      <c r="BF328" s="24">
        <f t="shared" si="23"/>
        <v>9</v>
      </c>
    </row>
    <row r="329" spans="1:58" ht="16.25" customHeight="1" x14ac:dyDescent="0.2">
      <c r="A329">
        <v>33411706</v>
      </c>
      <c r="B329" t="s">
        <v>2387</v>
      </c>
      <c r="C329" s="14">
        <v>43733</v>
      </c>
      <c r="D329" t="s">
        <v>2388</v>
      </c>
      <c r="E329" t="s">
        <v>113</v>
      </c>
      <c r="F329">
        <v>662724</v>
      </c>
      <c r="G329" t="s">
        <v>903</v>
      </c>
      <c r="H329" t="s">
        <v>904</v>
      </c>
      <c r="I329" t="s">
        <v>2389</v>
      </c>
      <c r="J329" t="s">
        <v>2390</v>
      </c>
      <c r="K329" t="s">
        <v>62</v>
      </c>
      <c r="L329" t="s">
        <v>63</v>
      </c>
      <c r="M329" t="s">
        <v>2391</v>
      </c>
      <c r="N329" t="s">
        <v>2392</v>
      </c>
      <c r="Q329" s="26" t="s">
        <v>2393</v>
      </c>
      <c r="R329">
        <v>4</v>
      </c>
      <c r="S329">
        <v>0</v>
      </c>
      <c r="T329" t="b">
        <v>0</v>
      </c>
      <c r="V329" t="s">
        <v>1146</v>
      </c>
      <c r="W329" s="15">
        <v>-30.30115786</v>
      </c>
      <c r="X329" s="15">
        <v>30.742438150000002</v>
      </c>
      <c r="Y329">
        <v>2</v>
      </c>
      <c r="AC329">
        <v>2</v>
      </c>
      <c r="AF329" t="b">
        <v>0</v>
      </c>
      <c r="AI329" t="s">
        <v>71</v>
      </c>
      <c r="AJ329" t="s">
        <v>70</v>
      </c>
      <c r="AK329" t="s">
        <v>71</v>
      </c>
      <c r="AL329" t="s">
        <v>72</v>
      </c>
      <c r="AM329">
        <v>346053</v>
      </c>
      <c r="AO329" s="16" t="s">
        <v>1356</v>
      </c>
      <c r="AP329" s="17" t="str">
        <f t="shared" si="21"/>
        <v>Nest (foundress)</v>
      </c>
      <c r="AQ329" s="18">
        <v>1</v>
      </c>
      <c r="AT329" s="19" t="s">
        <v>104</v>
      </c>
      <c r="AX329" s="22" t="str">
        <f>IF(AND('[1]observations-276632'!W329&gt;'[1]Methods write-up'!$Q$16,'[1]observations-276632'!W329&lt;'[1]Methods write-up'!$R$16,'[1]observations-276632'!X329&gt;'[1]Methods write-up'!$S$16,'[1]observations-276632'!X329&lt;'[1]Methods write-up'!$T$16),"West and Central Africa","")</f>
        <v/>
      </c>
      <c r="AY329" s="22" t="str">
        <f>IF(AND('[1]observations-276632'!W329&gt;'[1]Methods write-up'!$Q$17,'[1]observations-276632'!W329&lt;'[1]Methods write-up'!$R$17,'[1]observations-276632'!X329&gt;'[1]Methods write-up'!$S$17,'[1]observations-276632'!X329&lt;'[1]Methods write-up'!$T$17),"Equatorial tropical forest","")</f>
        <v/>
      </c>
      <c r="AZ329" s="22" t="str">
        <f>IF(AND('[1]observations-276632'!W329&gt;'[1]Methods write-up'!$Q$18,'[1]observations-276632'!W329&lt;'[1]Methods write-up'!$R$18,'[1]observations-276632'!X329&gt;'[1]Methods write-up'!$S$18,'[1]observations-276632'!X329&lt;'[1]Methods write-up'!$T$18),"Somali peninsula","")</f>
        <v/>
      </c>
      <c r="BA329" s="22" t="str">
        <f>IF(AND('[1]observations-276632'!W329&gt;'[1]Methods write-up'!$Q$19,'[1]observations-276632'!W329&lt;'[1]Methods write-up'!$R$19,'[1]observations-276632'!X329&gt;'[1]Methods write-up'!$S$19,'[1]observations-276632'!X329&lt;'[1]Methods write-up'!$T$19),"East Africa","")</f>
        <v/>
      </c>
      <c r="BB329" s="22" t="str">
        <f>IF(AND('[1]observations-276632'!W329&gt;'[1]Methods write-up'!$Q$20,'[1]observations-276632'!W329&lt;'[1]Methods write-up'!$R$20,'[1]observations-276632'!X329&gt;'[1]Methods write-up'!$S$20,'[1]observations-276632'!X329&lt;'[1]Methods write-up'!$T$20),"Temperate seasonal","")</f>
        <v>Temperate seasonal</v>
      </c>
      <c r="BC329" s="22" t="str">
        <f>IF(AND('[1]observations-276632'!W329&gt;'[1]Methods write-up'!$Q$21,'[1]observations-276632'!W329&lt;'[1]Methods write-up'!$R$21,'[1]observations-276632'!X329&gt;'[1]Methods write-up'!$S$21,'[1]observations-276632'!X329&lt;'[1]Methods write-up'!$T$21),"Desert and high aridity","")</f>
        <v/>
      </c>
      <c r="BD329" s="23" t="str">
        <f t="shared" si="24"/>
        <v>Temperate seasonal</v>
      </c>
      <c r="BE329" s="24">
        <f t="shared" si="22"/>
        <v>25</v>
      </c>
      <c r="BF329" s="24">
        <f t="shared" si="23"/>
        <v>9</v>
      </c>
    </row>
    <row r="330" spans="1:58" ht="16.25" customHeight="1" x14ac:dyDescent="0.2">
      <c r="A330">
        <v>33643189</v>
      </c>
      <c r="B330" s="25">
        <v>43736.303472222222</v>
      </c>
      <c r="C330" s="14">
        <v>43736</v>
      </c>
      <c r="D330" t="s">
        <v>2394</v>
      </c>
      <c r="E330" t="s">
        <v>113</v>
      </c>
      <c r="F330">
        <v>552380</v>
      </c>
      <c r="G330" t="s">
        <v>1948</v>
      </c>
      <c r="H330" t="s">
        <v>1949</v>
      </c>
      <c r="I330" t="s">
        <v>2395</v>
      </c>
      <c r="J330" t="s">
        <v>2396</v>
      </c>
      <c r="K330" t="s">
        <v>62</v>
      </c>
      <c r="L330" t="s">
        <v>98</v>
      </c>
      <c r="M330" t="s">
        <v>2397</v>
      </c>
      <c r="N330" t="s">
        <v>2398</v>
      </c>
      <c r="R330">
        <v>4</v>
      </c>
      <c r="S330">
        <v>0</v>
      </c>
      <c r="T330" t="b">
        <v>0</v>
      </c>
      <c r="U330">
        <v>179</v>
      </c>
      <c r="V330" t="s">
        <v>1954</v>
      </c>
      <c r="W330" s="15">
        <v>-33.598480559999999</v>
      </c>
      <c r="X330" s="15">
        <v>26.71695278</v>
      </c>
      <c r="Y330">
        <v>10</v>
      </c>
      <c r="AC330">
        <v>10</v>
      </c>
      <c r="AF330" t="b">
        <v>0</v>
      </c>
      <c r="AI330" t="s">
        <v>71</v>
      </c>
      <c r="AJ330" t="s">
        <v>70</v>
      </c>
      <c r="AK330" t="s">
        <v>71</v>
      </c>
      <c r="AL330" t="s">
        <v>72</v>
      </c>
      <c r="AM330">
        <v>346053</v>
      </c>
      <c r="AO330" s="16" t="s">
        <v>73</v>
      </c>
      <c r="AP330" s="17" t="str">
        <f t="shared" si="21"/>
        <v>Off-nest female</v>
      </c>
      <c r="AX330" s="22" t="str">
        <f>IF(AND('[1]observations-276632'!W330&gt;'[1]Methods write-up'!$Q$16,'[1]observations-276632'!W330&lt;'[1]Methods write-up'!$R$16,'[1]observations-276632'!X330&gt;'[1]Methods write-up'!$S$16,'[1]observations-276632'!X330&lt;'[1]Methods write-up'!$T$16),"West and Central Africa","")</f>
        <v/>
      </c>
      <c r="AY330" s="22" t="str">
        <f>IF(AND('[1]observations-276632'!W330&gt;'[1]Methods write-up'!$Q$17,'[1]observations-276632'!W330&lt;'[1]Methods write-up'!$R$17,'[1]observations-276632'!X330&gt;'[1]Methods write-up'!$S$17,'[1]observations-276632'!X330&lt;'[1]Methods write-up'!$T$17),"Equatorial tropical forest","")</f>
        <v/>
      </c>
      <c r="AZ330" s="22" t="str">
        <f>IF(AND('[1]observations-276632'!W330&gt;'[1]Methods write-up'!$Q$18,'[1]observations-276632'!W330&lt;'[1]Methods write-up'!$R$18,'[1]observations-276632'!X330&gt;'[1]Methods write-up'!$S$18,'[1]observations-276632'!X330&lt;'[1]Methods write-up'!$T$18),"Somali peninsula","")</f>
        <v/>
      </c>
      <c r="BA330" s="22" t="str">
        <f>IF(AND('[1]observations-276632'!W330&gt;'[1]Methods write-up'!$Q$19,'[1]observations-276632'!W330&lt;'[1]Methods write-up'!$R$19,'[1]observations-276632'!X330&gt;'[1]Methods write-up'!$S$19,'[1]observations-276632'!X330&lt;'[1]Methods write-up'!$T$19),"East Africa","")</f>
        <v/>
      </c>
      <c r="BB330" s="22" t="str">
        <f>IF(AND('[1]observations-276632'!W330&gt;'[1]Methods write-up'!$Q$20,'[1]observations-276632'!W330&lt;'[1]Methods write-up'!$R$20,'[1]observations-276632'!X330&gt;'[1]Methods write-up'!$S$20,'[1]observations-276632'!X330&lt;'[1]Methods write-up'!$T$20),"Temperate seasonal","")</f>
        <v/>
      </c>
      <c r="BC330" s="22" t="str">
        <f>IF(AND('[1]observations-276632'!W330&gt;'[1]Methods write-up'!$Q$21,'[1]observations-276632'!W330&lt;'[1]Methods write-up'!$R$21,'[1]observations-276632'!X330&gt;'[1]Methods write-up'!$S$21,'[1]observations-276632'!X330&lt;'[1]Methods write-up'!$T$21),"Desert and high aridity","")</f>
        <v/>
      </c>
      <c r="BD330" s="23" t="str">
        <f t="shared" si="24"/>
        <v/>
      </c>
      <c r="BE330" s="24">
        <f t="shared" si="22"/>
        <v>28</v>
      </c>
      <c r="BF330" s="24">
        <f t="shared" si="23"/>
        <v>9</v>
      </c>
    </row>
    <row r="331" spans="1:58" ht="16.25" customHeight="1" x14ac:dyDescent="0.2">
      <c r="A331">
        <v>33939909</v>
      </c>
      <c r="B331" t="s">
        <v>2399</v>
      </c>
      <c r="C331" s="14">
        <v>43737</v>
      </c>
      <c r="D331" t="s">
        <v>2400</v>
      </c>
      <c r="E331" t="s">
        <v>57</v>
      </c>
      <c r="F331">
        <v>678008</v>
      </c>
      <c r="G331" t="s">
        <v>2315</v>
      </c>
      <c r="I331" t="s">
        <v>2401</v>
      </c>
      <c r="J331" t="s">
        <v>2402</v>
      </c>
      <c r="K331" t="s">
        <v>62</v>
      </c>
      <c r="L331" t="s">
        <v>63</v>
      </c>
      <c r="M331" t="s">
        <v>2403</v>
      </c>
      <c r="N331" t="s">
        <v>2404</v>
      </c>
      <c r="R331">
        <v>2</v>
      </c>
      <c r="S331">
        <v>0</v>
      </c>
      <c r="T331" t="b">
        <v>0</v>
      </c>
      <c r="V331" t="s">
        <v>2405</v>
      </c>
      <c r="W331" s="15">
        <v>-15.537190620000001</v>
      </c>
      <c r="X331" s="15">
        <v>28.48974638</v>
      </c>
      <c r="Y331">
        <v>2</v>
      </c>
      <c r="AC331">
        <v>2</v>
      </c>
      <c r="AF331" t="b">
        <v>0</v>
      </c>
      <c r="AI331" t="s">
        <v>71</v>
      </c>
      <c r="AJ331" t="s">
        <v>70</v>
      </c>
      <c r="AK331" t="s">
        <v>71</v>
      </c>
      <c r="AL331" t="s">
        <v>72</v>
      </c>
      <c r="AM331">
        <v>346053</v>
      </c>
      <c r="AO331" s="16" t="s">
        <v>73</v>
      </c>
      <c r="AP331" s="17" t="str">
        <f t="shared" si="21"/>
        <v>Off-nest female</v>
      </c>
      <c r="AX331" s="22" t="str">
        <f>IF(AND('[1]observations-276632'!W331&gt;'[1]Methods write-up'!$Q$16,'[1]observations-276632'!W331&lt;'[1]Methods write-up'!$R$16,'[1]observations-276632'!X331&gt;'[1]Methods write-up'!$S$16,'[1]observations-276632'!X331&lt;'[1]Methods write-up'!$T$16),"West and Central Africa","")</f>
        <v>West and Central Africa</v>
      </c>
      <c r="AY331" s="22" t="str">
        <f>IF(AND('[1]observations-276632'!W331&gt;'[1]Methods write-up'!$Q$17,'[1]observations-276632'!W331&lt;'[1]Methods write-up'!$R$17,'[1]observations-276632'!X331&gt;'[1]Methods write-up'!$S$17,'[1]observations-276632'!X331&lt;'[1]Methods write-up'!$T$17),"Equatorial tropical forest","")</f>
        <v/>
      </c>
      <c r="AZ331" s="22" t="str">
        <f>IF(AND('[1]observations-276632'!W331&gt;'[1]Methods write-up'!$Q$18,'[1]observations-276632'!W331&lt;'[1]Methods write-up'!$R$18,'[1]observations-276632'!X331&gt;'[1]Methods write-up'!$S$18,'[1]observations-276632'!X331&lt;'[1]Methods write-up'!$T$18),"Somali peninsula","")</f>
        <v/>
      </c>
      <c r="BA331" s="22" t="str">
        <f>IF(AND('[1]observations-276632'!W331&gt;'[1]Methods write-up'!$Q$19,'[1]observations-276632'!W331&lt;'[1]Methods write-up'!$R$19,'[1]observations-276632'!X331&gt;'[1]Methods write-up'!$S$19,'[1]observations-276632'!X331&lt;'[1]Methods write-up'!$T$19),"East Africa","")</f>
        <v/>
      </c>
      <c r="BB331" s="22" t="str">
        <f>IF(AND('[1]observations-276632'!W331&gt;'[1]Methods write-up'!$Q$20,'[1]observations-276632'!W331&lt;'[1]Methods write-up'!$R$20,'[1]observations-276632'!X331&gt;'[1]Methods write-up'!$S$20,'[1]observations-276632'!X331&lt;'[1]Methods write-up'!$T$20),"Temperate seasonal","")</f>
        <v/>
      </c>
      <c r="BC331" s="22" t="str">
        <f>IF(AND('[1]observations-276632'!W331&gt;'[1]Methods write-up'!$Q$21,'[1]observations-276632'!W331&lt;'[1]Methods write-up'!$R$21,'[1]observations-276632'!X331&gt;'[1]Methods write-up'!$S$21,'[1]observations-276632'!X331&lt;'[1]Methods write-up'!$T$21),"Desert and high aridity","")</f>
        <v/>
      </c>
      <c r="BD331" s="23" t="str">
        <f t="shared" si="24"/>
        <v>West and Central Africa</v>
      </c>
      <c r="BE331" s="24">
        <f t="shared" si="22"/>
        <v>29</v>
      </c>
      <c r="BF331" s="24">
        <f t="shared" si="23"/>
        <v>9</v>
      </c>
    </row>
    <row r="332" spans="1:58" ht="16.25" customHeight="1" x14ac:dyDescent="0.2">
      <c r="A332">
        <v>33954581</v>
      </c>
      <c r="B332" t="s">
        <v>2406</v>
      </c>
      <c r="C332" s="14">
        <v>43743</v>
      </c>
      <c r="D332" t="s">
        <v>2407</v>
      </c>
      <c r="E332" t="s">
        <v>84</v>
      </c>
      <c r="F332">
        <v>375489</v>
      </c>
      <c r="G332" t="s">
        <v>564</v>
      </c>
      <c r="H332" t="s">
        <v>565</v>
      </c>
      <c r="I332" t="s">
        <v>2408</v>
      </c>
      <c r="J332" t="s">
        <v>2409</v>
      </c>
      <c r="K332" t="s">
        <v>62</v>
      </c>
      <c r="L332" t="s">
        <v>63</v>
      </c>
      <c r="M332" t="s">
        <v>2410</v>
      </c>
      <c r="N332" t="s">
        <v>2411</v>
      </c>
      <c r="P332" t="s">
        <v>2412</v>
      </c>
      <c r="R332">
        <v>1</v>
      </c>
      <c r="S332">
        <v>0</v>
      </c>
      <c r="T332" t="b">
        <v>0</v>
      </c>
      <c r="V332" t="s">
        <v>2413</v>
      </c>
      <c r="W332" s="15">
        <v>-0.328484732</v>
      </c>
      <c r="X332" s="15">
        <v>36.904692990000001</v>
      </c>
      <c r="Y332">
        <v>970</v>
      </c>
      <c r="AC332">
        <v>970</v>
      </c>
      <c r="AF332" t="b">
        <v>0</v>
      </c>
      <c r="AI332" t="s">
        <v>71</v>
      </c>
      <c r="AJ332" t="s">
        <v>70</v>
      </c>
      <c r="AK332" t="s">
        <v>71</v>
      </c>
      <c r="AL332" t="s">
        <v>72</v>
      </c>
      <c r="AM332">
        <v>346053</v>
      </c>
      <c r="AO332" s="16" t="s">
        <v>140</v>
      </c>
      <c r="AP332" s="17" t="str">
        <f t="shared" si="21"/>
        <v>Post-emergence nest</v>
      </c>
      <c r="AQ332" s="18">
        <v>3</v>
      </c>
      <c r="AT332" s="19" t="s">
        <v>141</v>
      </c>
      <c r="AU332" s="20" t="s">
        <v>104</v>
      </c>
      <c r="AX332" s="22" t="str">
        <f>IF(AND('[1]observations-276632'!W332&gt;'[1]Methods write-up'!$Q$16,'[1]observations-276632'!W332&lt;'[1]Methods write-up'!$R$16,'[1]observations-276632'!X332&gt;'[1]Methods write-up'!$S$16,'[1]observations-276632'!X332&lt;'[1]Methods write-up'!$T$16),"West and Central Africa","")</f>
        <v/>
      </c>
      <c r="AY332" s="22" t="str">
        <f>IF(AND('[1]observations-276632'!W332&gt;'[1]Methods write-up'!$Q$17,'[1]observations-276632'!W332&lt;'[1]Methods write-up'!$R$17,'[1]observations-276632'!X332&gt;'[1]Methods write-up'!$S$17,'[1]observations-276632'!X332&lt;'[1]Methods write-up'!$T$17),"Equatorial tropical forest","")</f>
        <v/>
      </c>
      <c r="AZ332" s="22" t="str">
        <f>IF(AND('[1]observations-276632'!W332&gt;'[1]Methods write-up'!$Q$18,'[1]observations-276632'!W332&lt;'[1]Methods write-up'!$R$18,'[1]observations-276632'!X332&gt;'[1]Methods write-up'!$S$18,'[1]observations-276632'!X332&lt;'[1]Methods write-up'!$T$18),"Somali peninsula","")</f>
        <v/>
      </c>
      <c r="BA332" s="22" t="str">
        <f>IF(AND('[1]observations-276632'!W332&gt;'[1]Methods write-up'!$Q$19,'[1]observations-276632'!W332&lt;'[1]Methods write-up'!$R$19,'[1]observations-276632'!X332&gt;'[1]Methods write-up'!$S$19,'[1]observations-276632'!X332&lt;'[1]Methods write-up'!$T$19),"East Africa","")</f>
        <v>East Africa</v>
      </c>
      <c r="BB332" s="22" t="str">
        <f>IF(AND('[1]observations-276632'!W332&gt;'[1]Methods write-up'!$Q$20,'[1]observations-276632'!W332&lt;'[1]Methods write-up'!$R$20,'[1]observations-276632'!X332&gt;'[1]Methods write-up'!$S$20,'[1]observations-276632'!X332&lt;'[1]Methods write-up'!$T$20),"Temperate seasonal","")</f>
        <v/>
      </c>
      <c r="BC332" s="22" t="str">
        <f>IF(AND('[1]observations-276632'!W332&gt;'[1]Methods write-up'!$Q$21,'[1]observations-276632'!W332&lt;'[1]Methods write-up'!$R$21,'[1]observations-276632'!X332&gt;'[1]Methods write-up'!$S$21,'[1]observations-276632'!X332&lt;'[1]Methods write-up'!$T$21),"Desert and high aridity","")</f>
        <v/>
      </c>
      <c r="BD332" s="23" t="str">
        <f t="shared" si="24"/>
        <v>East Africa</v>
      </c>
      <c r="BE332" s="24">
        <f t="shared" si="22"/>
        <v>5</v>
      </c>
      <c r="BF332" s="24">
        <f t="shared" si="23"/>
        <v>10</v>
      </c>
    </row>
    <row r="333" spans="1:58" ht="16.25" customHeight="1" x14ac:dyDescent="0.2">
      <c r="A333">
        <v>34018651</v>
      </c>
      <c r="E333" t="s">
        <v>811</v>
      </c>
      <c r="F333">
        <v>2340221</v>
      </c>
      <c r="G333" t="s">
        <v>2414</v>
      </c>
      <c r="I333" t="s">
        <v>2415</v>
      </c>
      <c r="J333" t="s">
        <v>2416</v>
      </c>
      <c r="K333" t="s">
        <v>2038</v>
      </c>
      <c r="L333" t="s">
        <v>63</v>
      </c>
      <c r="M333" t="s">
        <v>2417</v>
      </c>
      <c r="N333" t="s">
        <v>2418</v>
      </c>
      <c r="Q333" t="s">
        <v>2419</v>
      </c>
      <c r="R333">
        <v>0</v>
      </c>
      <c r="S333">
        <v>0</v>
      </c>
      <c r="T333" t="b">
        <v>0</v>
      </c>
      <c r="U333">
        <v>2</v>
      </c>
      <c r="V333" t="s">
        <v>2420</v>
      </c>
      <c r="W333" s="15">
        <v>-33.316509510000003</v>
      </c>
      <c r="X333" s="15">
        <v>26.520904229999999</v>
      </c>
      <c r="Y333">
        <v>263</v>
      </c>
      <c r="AC333">
        <v>263</v>
      </c>
      <c r="AF333" t="b">
        <v>0</v>
      </c>
      <c r="AG333" t="s">
        <v>350</v>
      </c>
      <c r="AH333" t="s">
        <v>350</v>
      </c>
      <c r="AI333" t="s">
        <v>71</v>
      </c>
      <c r="AJ333" t="s">
        <v>70</v>
      </c>
      <c r="AK333" t="s">
        <v>71</v>
      </c>
      <c r="AL333" t="s">
        <v>72</v>
      </c>
      <c r="AM333">
        <v>346053</v>
      </c>
      <c r="AO333" s="16" t="s">
        <v>2421</v>
      </c>
      <c r="AP333" s="16"/>
      <c r="AX333" s="22" t="str">
        <f>IF(AND('[1]observations-276632'!W333&gt;'[1]Methods write-up'!$Q$16,'[1]observations-276632'!W333&lt;'[1]Methods write-up'!$R$16,'[1]observations-276632'!X333&gt;'[1]Methods write-up'!$S$16,'[1]observations-276632'!X333&lt;'[1]Methods write-up'!$T$16),"West Africa","")</f>
        <v/>
      </c>
      <c r="AY333" s="22" t="str">
        <f>IF(AND('[1]observations-276632'!W333&gt;'[1]Methods write-up'!$Q$17,'[1]observations-276632'!W333&lt;'[1]Methods write-up'!$R$17,'[1]observations-276632'!X333&gt;'[1]Methods write-up'!$S$17,'[1]observations-276632'!X333&lt;'[1]Methods write-up'!$T$17),"Equatorial tropical forest","")</f>
        <v/>
      </c>
      <c r="AZ333" s="22" t="str">
        <f>IF(AND('[1]observations-276632'!W333&gt;'[1]Methods write-up'!$Q$18,'[1]observations-276632'!W333&lt;'[1]Methods write-up'!$R$18,'[1]observations-276632'!X333&gt;'[1]Methods write-up'!$S$18,'[1]observations-276632'!X333&lt;'[1]Methods write-up'!$T$18),"Somali peninsula","")</f>
        <v/>
      </c>
      <c r="BA333" s="22" t="str">
        <f>IF(AND('[1]observations-276632'!W333&gt;'[1]Methods write-up'!$Q$19,'[1]observations-276632'!W333&lt;'[1]Methods write-up'!$R$19,'[1]observations-276632'!X333&gt;'[1]Methods write-up'!$S$19,'[1]observations-276632'!X333&lt;'[1]Methods write-up'!$T$19),"East Africa","")</f>
        <v/>
      </c>
      <c r="BB333" s="22" t="str">
        <f>IF(AND('[1]observations-276632'!W333&gt;'[1]Methods write-up'!$Q$20,'[1]observations-276632'!W333&lt;'[1]Methods write-up'!$R$20,'[1]observations-276632'!X333&gt;'[1]Methods write-up'!$S$20,'[1]observations-276632'!X333&lt;'[1]Methods write-up'!$T$20),"Temperate seasonal","")</f>
        <v/>
      </c>
      <c r="BC333" s="22" t="str">
        <f>IF(AND('[1]observations-276632'!W333&gt;'[1]Methods write-up'!$Q$21,'[1]observations-276632'!W333&lt;'[1]Methods write-up'!$R$21,'[1]observations-276632'!X333&gt;'[1]Methods write-up'!$S$21,'[1]observations-276632'!X333&lt;'[1]Methods write-up'!$T$21),"Desert and high aridity","")</f>
        <v/>
      </c>
      <c r="BD333" s="23" t="str">
        <f t="shared" si="24"/>
        <v/>
      </c>
      <c r="BE333" s="24">
        <f t="shared" si="22"/>
        <v>0</v>
      </c>
      <c r="BF333" s="24">
        <f t="shared" si="23"/>
        <v>1</v>
      </c>
    </row>
    <row r="334" spans="1:58" ht="16.25" customHeight="1" x14ac:dyDescent="0.2">
      <c r="A334">
        <v>34064977</v>
      </c>
      <c r="B334" t="s">
        <v>2422</v>
      </c>
      <c r="C334" s="14">
        <v>43746</v>
      </c>
      <c r="D334" t="s">
        <v>2423</v>
      </c>
      <c r="E334" t="s">
        <v>403</v>
      </c>
      <c r="F334">
        <v>273402</v>
      </c>
      <c r="G334" t="s">
        <v>2424</v>
      </c>
      <c r="I334" t="s">
        <v>2425</v>
      </c>
      <c r="J334" t="s">
        <v>2426</v>
      </c>
      <c r="K334" t="s">
        <v>62</v>
      </c>
      <c r="L334" t="s">
        <v>63</v>
      </c>
      <c r="M334" t="s">
        <v>2427</v>
      </c>
      <c r="N334" t="s">
        <v>2428</v>
      </c>
      <c r="R334">
        <v>2</v>
      </c>
      <c r="S334">
        <v>0</v>
      </c>
      <c r="T334" t="b">
        <v>0</v>
      </c>
      <c r="U334">
        <v>3</v>
      </c>
      <c r="V334" t="s">
        <v>2429</v>
      </c>
      <c r="W334" s="15">
        <v>-3.40038565</v>
      </c>
      <c r="X334" s="15">
        <v>38.364997099999997</v>
      </c>
      <c r="Y334">
        <v>10</v>
      </c>
      <c r="AC334">
        <v>10</v>
      </c>
      <c r="AF334" t="b">
        <v>0</v>
      </c>
      <c r="AI334" t="s">
        <v>71</v>
      </c>
      <c r="AJ334" t="s">
        <v>70</v>
      </c>
      <c r="AK334" t="s">
        <v>71</v>
      </c>
      <c r="AL334" t="s">
        <v>72</v>
      </c>
      <c r="AM334">
        <v>346053</v>
      </c>
      <c r="AO334" s="16" t="s">
        <v>140</v>
      </c>
      <c r="AP334" s="17" t="str">
        <f t="shared" ref="AP334:AP397" si="25">IF(COUNTIF(AO334,"*foundress*"),"Nest (foundress)",AO334)</f>
        <v>Post-emergence nest</v>
      </c>
      <c r="AQ334" s="18">
        <v>5</v>
      </c>
      <c r="AT334" s="19" t="s">
        <v>141</v>
      </c>
      <c r="AU334" s="20" t="s">
        <v>104</v>
      </c>
      <c r="AX334" s="22" t="str">
        <f>IF(AND('[1]observations-276632'!W334&gt;'[1]Methods write-up'!$Q$16,'[1]observations-276632'!W334&lt;'[1]Methods write-up'!$R$16,'[1]observations-276632'!X334&gt;'[1]Methods write-up'!$S$16,'[1]observations-276632'!X334&lt;'[1]Methods write-up'!$T$16),"West and Central Africa","")</f>
        <v/>
      </c>
      <c r="AY334" s="22" t="str">
        <f>IF(AND('[1]observations-276632'!W334&gt;'[1]Methods write-up'!$Q$17,'[1]observations-276632'!W334&lt;'[1]Methods write-up'!$R$17,'[1]observations-276632'!X334&gt;'[1]Methods write-up'!$S$17,'[1]observations-276632'!X334&lt;'[1]Methods write-up'!$T$17),"Equatorial tropical forest","")</f>
        <v/>
      </c>
      <c r="AZ334" s="22" t="str">
        <f>IF(AND('[1]observations-276632'!W334&gt;'[1]Methods write-up'!$Q$18,'[1]observations-276632'!W334&lt;'[1]Methods write-up'!$R$18,'[1]observations-276632'!X334&gt;'[1]Methods write-up'!$S$18,'[1]observations-276632'!X334&lt;'[1]Methods write-up'!$T$18),"Somali peninsula","")</f>
        <v/>
      </c>
      <c r="BA334" s="22" t="str">
        <f>IF(AND('[1]observations-276632'!W334&gt;'[1]Methods write-up'!$Q$19,'[1]observations-276632'!W334&lt;'[1]Methods write-up'!$R$19,'[1]observations-276632'!X334&gt;'[1]Methods write-up'!$S$19,'[1]observations-276632'!X334&lt;'[1]Methods write-up'!$T$19),"East Africa","")</f>
        <v>East Africa</v>
      </c>
      <c r="BB334" s="22" t="str">
        <f>IF(AND('[1]observations-276632'!W334&gt;'[1]Methods write-up'!$Q$20,'[1]observations-276632'!W334&lt;'[1]Methods write-up'!$R$20,'[1]observations-276632'!X334&gt;'[1]Methods write-up'!$S$20,'[1]observations-276632'!X334&lt;'[1]Methods write-up'!$T$20),"Temperate seasonal","")</f>
        <v/>
      </c>
      <c r="BC334" s="22" t="str">
        <f>IF(AND('[1]observations-276632'!W334&gt;'[1]Methods write-up'!$Q$21,'[1]observations-276632'!W334&lt;'[1]Methods write-up'!$R$21,'[1]observations-276632'!X334&gt;'[1]Methods write-up'!$S$21,'[1]observations-276632'!X334&lt;'[1]Methods write-up'!$T$21),"Desert and high aridity","")</f>
        <v/>
      </c>
      <c r="BD334" s="23" t="str">
        <f t="shared" si="24"/>
        <v>East Africa</v>
      </c>
      <c r="BE334" s="24">
        <f t="shared" si="22"/>
        <v>8</v>
      </c>
      <c r="BF334" s="24">
        <f t="shared" si="23"/>
        <v>10</v>
      </c>
    </row>
    <row r="335" spans="1:58" ht="16.25" customHeight="1" x14ac:dyDescent="0.2">
      <c r="A335">
        <v>34172687</v>
      </c>
      <c r="B335" t="s">
        <v>2430</v>
      </c>
      <c r="C335" s="14">
        <v>43747</v>
      </c>
      <c r="D335" t="s">
        <v>2431</v>
      </c>
      <c r="E335" t="s">
        <v>1408</v>
      </c>
      <c r="F335">
        <v>2202967</v>
      </c>
      <c r="G335" t="s">
        <v>2432</v>
      </c>
      <c r="H335" t="s">
        <v>2433</v>
      </c>
      <c r="I335" t="s">
        <v>2434</v>
      </c>
      <c r="J335" t="s">
        <v>2435</v>
      </c>
      <c r="K335" t="s">
        <v>62</v>
      </c>
      <c r="M335" t="s">
        <v>2436</v>
      </c>
      <c r="N335" t="s">
        <v>2437</v>
      </c>
      <c r="Q335" t="s">
        <v>2438</v>
      </c>
      <c r="R335">
        <v>3</v>
      </c>
      <c r="S335">
        <v>1</v>
      </c>
      <c r="T335" t="b">
        <v>0</v>
      </c>
      <c r="U335">
        <v>2</v>
      </c>
      <c r="V335" t="s">
        <v>2439</v>
      </c>
      <c r="W335" s="15">
        <v>12.39174942</v>
      </c>
      <c r="X335" s="15">
        <v>-15.20760711</v>
      </c>
      <c r="Y335">
        <v>2789</v>
      </c>
      <c r="AC335">
        <v>2789</v>
      </c>
      <c r="AF335" t="b">
        <v>0</v>
      </c>
      <c r="AG335" t="s">
        <v>350</v>
      </c>
      <c r="AH335" t="s">
        <v>350</v>
      </c>
      <c r="AI335" t="s">
        <v>71</v>
      </c>
      <c r="AJ335" t="s">
        <v>70</v>
      </c>
      <c r="AK335" t="s">
        <v>71</v>
      </c>
      <c r="AL335" t="s">
        <v>72</v>
      </c>
      <c r="AM335">
        <v>346053</v>
      </c>
      <c r="AO335" s="16" t="s">
        <v>140</v>
      </c>
      <c r="AP335" s="17" t="str">
        <f t="shared" si="25"/>
        <v>Post-emergence nest</v>
      </c>
      <c r="AQ335" s="18">
        <v>18</v>
      </c>
      <c r="AT335" s="19" t="s">
        <v>141</v>
      </c>
      <c r="AU335" s="20" t="s">
        <v>315</v>
      </c>
      <c r="AX335" s="22" t="str">
        <f>IF(AND('[1]observations-276632'!W335&gt;'[1]Methods write-up'!$Q$16,'[1]observations-276632'!W335&lt;'[1]Methods write-up'!$R$16,'[1]observations-276632'!X335&gt;'[1]Methods write-up'!$S$16,'[1]observations-276632'!X335&lt;'[1]Methods write-up'!$T$16),"West and Central Africa","")</f>
        <v/>
      </c>
      <c r="AY335" s="22" t="str">
        <f>IF(AND('[1]observations-276632'!W335&gt;'[1]Methods write-up'!$Q$17,'[1]observations-276632'!W335&lt;'[1]Methods write-up'!$R$17,'[1]observations-276632'!X335&gt;'[1]Methods write-up'!$S$17,'[1]observations-276632'!X335&lt;'[1]Methods write-up'!$T$17),"Equatorial tropical forest","")</f>
        <v/>
      </c>
      <c r="AZ335" s="22" t="str">
        <f>IF(AND('[1]observations-276632'!W335&gt;'[1]Methods write-up'!$Q$18,'[1]observations-276632'!W335&lt;'[1]Methods write-up'!$R$18,'[1]observations-276632'!X335&gt;'[1]Methods write-up'!$S$18,'[1]observations-276632'!X335&lt;'[1]Methods write-up'!$T$18),"Somali peninsula","")</f>
        <v/>
      </c>
      <c r="BA335" s="22" t="str">
        <f>IF(AND('[1]observations-276632'!W335&gt;'[1]Methods write-up'!$Q$19,'[1]observations-276632'!W335&lt;'[1]Methods write-up'!$R$19,'[1]observations-276632'!X335&gt;'[1]Methods write-up'!$S$19,'[1]observations-276632'!X335&lt;'[1]Methods write-up'!$T$19),"East Africa","")</f>
        <v/>
      </c>
      <c r="BB335" s="22" t="str">
        <f>IF(AND('[1]observations-276632'!W335&gt;'[1]Methods write-up'!$Q$20,'[1]observations-276632'!W335&lt;'[1]Methods write-up'!$R$20,'[1]observations-276632'!X335&gt;'[1]Methods write-up'!$S$20,'[1]observations-276632'!X335&lt;'[1]Methods write-up'!$T$20),"Temperate seasonal","")</f>
        <v/>
      </c>
      <c r="BC335" s="22" t="str">
        <f>IF(AND('[1]observations-276632'!W335&gt;'[1]Methods write-up'!$Q$21,'[1]observations-276632'!W335&lt;'[1]Methods write-up'!$R$21,'[1]observations-276632'!X335&gt;'[1]Methods write-up'!$S$21,'[1]observations-276632'!X335&lt;'[1]Methods write-up'!$T$21),"Desert and high aridity","")</f>
        <v/>
      </c>
      <c r="BD335" s="23" t="str">
        <f t="shared" si="24"/>
        <v/>
      </c>
      <c r="BE335" s="24">
        <f t="shared" si="22"/>
        <v>9</v>
      </c>
      <c r="BF335" s="24">
        <f t="shared" si="23"/>
        <v>10</v>
      </c>
    </row>
    <row r="336" spans="1:58" ht="16.25" customHeight="1" x14ac:dyDescent="0.2">
      <c r="A336">
        <v>34293758</v>
      </c>
      <c r="B336" t="s">
        <v>2440</v>
      </c>
      <c r="C336" s="14">
        <v>43751</v>
      </c>
      <c r="D336" t="s">
        <v>2441</v>
      </c>
      <c r="E336" t="s">
        <v>113</v>
      </c>
      <c r="F336">
        <v>1176689</v>
      </c>
      <c r="G336" t="s">
        <v>2442</v>
      </c>
      <c r="I336" t="s">
        <v>2443</v>
      </c>
      <c r="J336" t="s">
        <v>2444</v>
      </c>
      <c r="K336" t="s">
        <v>62</v>
      </c>
      <c r="M336" t="s">
        <v>2445</v>
      </c>
      <c r="N336" t="s">
        <v>2446</v>
      </c>
      <c r="R336">
        <v>3</v>
      </c>
      <c r="S336">
        <v>0</v>
      </c>
      <c r="T336" t="b">
        <v>0</v>
      </c>
      <c r="U336">
        <v>3</v>
      </c>
      <c r="V336" t="s">
        <v>2364</v>
      </c>
      <c r="W336" s="15">
        <v>3.7487666700000002</v>
      </c>
      <c r="X336" s="15">
        <v>29.52266667</v>
      </c>
      <c r="Y336">
        <v>8</v>
      </c>
      <c r="AC336">
        <v>8</v>
      </c>
      <c r="AF336" t="b">
        <v>0</v>
      </c>
      <c r="AI336" t="s">
        <v>71</v>
      </c>
      <c r="AJ336" t="s">
        <v>70</v>
      </c>
      <c r="AK336" t="s">
        <v>71</v>
      </c>
      <c r="AL336" t="s">
        <v>72</v>
      </c>
      <c r="AM336">
        <v>346053</v>
      </c>
      <c r="AO336" s="16" t="s">
        <v>73</v>
      </c>
      <c r="AP336" s="17" t="str">
        <f t="shared" si="25"/>
        <v>Off-nest female</v>
      </c>
      <c r="AX336" s="22" t="str">
        <f>IF(AND('[1]observations-276632'!W336&gt;'[1]Methods write-up'!$Q$16,'[1]observations-276632'!W336&lt;'[1]Methods write-up'!$R$16,'[1]observations-276632'!X336&gt;'[1]Methods write-up'!$S$16,'[1]observations-276632'!X336&lt;'[1]Methods write-up'!$T$16),"West and Central Africa","")</f>
        <v>West and Central Africa</v>
      </c>
      <c r="AY336" s="22" t="str">
        <f>IF(AND('[1]observations-276632'!W336&gt;'[1]Methods write-up'!$Q$17,'[1]observations-276632'!W336&lt;'[1]Methods write-up'!$R$17,'[1]observations-276632'!X336&gt;'[1]Methods write-up'!$S$17,'[1]observations-276632'!X336&lt;'[1]Methods write-up'!$T$17),"Equatorial tropical forest","")</f>
        <v/>
      </c>
      <c r="AZ336" s="22" t="str">
        <f>IF(AND('[1]observations-276632'!W336&gt;'[1]Methods write-up'!$Q$18,'[1]observations-276632'!W336&lt;'[1]Methods write-up'!$R$18,'[1]observations-276632'!X336&gt;'[1]Methods write-up'!$S$18,'[1]observations-276632'!X336&lt;'[1]Methods write-up'!$T$18),"Somali peninsula","")</f>
        <v/>
      </c>
      <c r="BA336" s="22" t="str">
        <f>IF(AND('[1]observations-276632'!W336&gt;'[1]Methods write-up'!$Q$19,'[1]observations-276632'!W336&lt;'[1]Methods write-up'!$R$19,'[1]observations-276632'!X336&gt;'[1]Methods write-up'!$S$19,'[1]observations-276632'!X336&lt;'[1]Methods write-up'!$T$19),"East Africa","")</f>
        <v/>
      </c>
      <c r="BB336" s="22" t="str">
        <f>IF(AND('[1]observations-276632'!W336&gt;'[1]Methods write-up'!$Q$20,'[1]observations-276632'!W336&lt;'[1]Methods write-up'!$R$20,'[1]observations-276632'!X336&gt;'[1]Methods write-up'!$S$20,'[1]observations-276632'!X336&lt;'[1]Methods write-up'!$T$20),"Temperate seasonal","")</f>
        <v/>
      </c>
      <c r="BC336" s="22" t="str">
        <f>IF(AND('[1]observations-276632'!W336&gt;'[1]Methods write-up'!$Q$21,'[1]observations-276632'!W336&lt;'[1]Methods write-up'!$R$21,'[1]observations-276632'!X336&gt;'[1]Methods write-up'!$S$21,'[1]observations-276632'!X336&lt;'[1]Methods write-up'!$T$21),"Desert and high aridity","")</f>
        <v/>
      </c>
      <c r="BD336" s="23" t="str">
        <f t="shared" si="24"/>
        <v>West and Central Africa</v>
      </c>
      <c r="BE336" s="24">
        <f t="shared" si="22"/>
        <v>13</v>
      </c>
      <c r="BF336" s="24">
        <f t="shared" si="23"/>
        <v>10</v>
      </c>
    </row>
    <row r="337" spans="1:58" ht="16.25" customHeight="1" x14ac:dyDescent="0.2">
      <c r="A337">
        <v>34312208</v>
      </c>
      <c r="B337" t="s">
        <v>2447</v>
      </c>
      <c r="C337" s="14">
        <v>43751</v>
      </c>
      <c r="D337" t="s">
        <v>2448</v>
      </c>
      <c r="E337" t="s">
        <v>1408</v>
      </c>
      <c r="F337">
        <v>350680</v>
      </c>
      <c r="G337" t="s">
        <v>2449</v>
      </c>
      <c r="H337" t="s">
        <v>2450</v>
      </c>
      <c r="I337" t="s">
        <v>2451</v>
      </c>
      <c r="J337" t="s">
        <v>2452</v>
      </c>
      <c r="K337" t="s">
        <v>157</v>
      </c>
      <c r="L337" t="s">
        <v>63</v>
      </c>
      <c r="M337" t="s">
        <v>2453</v>
      </c>
      <c r="N337" t="s">
        <v>2454</v>
      </c>
      <c r="R337">
        <v>1</v>
      </c>
      <c r="S337">
        <v>0</v>
      </c>
      <c r="T337" t="b">
        <v>0</v>
      </c>
      <c r="U337">
        <v>3</v>
      </c>
      <c r="V337" t="s">
        <v>2455</v>
      </c>
      <c r="W337" s="15">
        <v>14.7472894</v>
      </c>
      <c r="X337" s="15">
        <v>-17.523726029999999</v>
      </c>
      <c r="Y337">
        <v>65</v>
      </c>
      <c r="AC337">
        <v>65</v>
      </c>
      <c r="AF337" t="b">
        <v>0</v>
      </c>
      <c r="AI337" t="s">
        <v>102</v>
      </c>
      <c r="AJ337" t="s">
        <v>102</v>
      </c>
      <c r="AL337" t="s">
        <v>72</v>
      </c>
      <c r="AM337">
        <v>1070939</v>
      </c>
      <c r="AO337" s="16" t="s">
        <v>150</v>
      </c>
      <c r="AP337" s="17" t="str">
        <f t="shared" si="25"/>
        <v>Male (off nest)</v>
      </c>
      <c r="AX337" s="22" t="str">
        <f>IF(AND('[1]observations-276632'!W337&gt;'[1]Methods write-up'!$Q$16,'[1]observations-276632'!W337&lt;'[1]Methods write-up'!$R$16,'[1]observations-276632'!X337&gt;'[1]Methods write-up'!$S$16,'[1]observations-276632'!X337&lt;'[1]Methods write-up'!$T$16),"West and Central Africa","")</f>
        <v/>
      </c>
      <c r="AY337" s="22" t="str">
        <f>IF(AND('[1]observations-276632'!W337&gt;'[1]Methods write-up'!$Q$17,'[1]observations-276632'!W337&lt;'[1]Methods write-up'!$R$17,'[1]observations-276632'!X337&gt;'[1]Methods write-up'!$S$17,'[1]observations-276632'!X337&lt;'[1]Methods write-up'!$T$17),"Equatorial tropical forest","")</f>
        <v/>
      </c>
      <c r="AZ337" s="22" t="str">
        <f>IF(AND('[1]observations-276632'!W337&gt;'[1]Methods write-up'!$Q$18,'[1]observations-276632'!W337&lt;'[1]Methods write-up'!$R$18,'[1]observations-276632'!X337&gt;'[1]Methods write-up'!$S$18,'[1]observations-276632'!X337&lt;'[1]Methods write-up'!$T$18),"Somali peninsula","")</f>
        <v/>
      </c>
      <c r="BA337" s="22" t="str">
        <f>IF(AND('[1]observations-276632'!W337&gt;'[1]Methods write-up'!$Q$19,'[1]observations-276632'!W337&lt;'[1]Methods write-up'!$R$19,'[1]observations-276632'!X337&gt;'[1]Methods write-up'!$S$19,'[1]observations-276632'!X337&lt;'[1]Methods write-up'!$T$19),"East Africa","")</f>
        <v/>
      </c>
      <c r="BB337" s="22" t="str">
        <f>IF(AND('[1]observations-276632'!W337&gt;'[1]Methods write-up'!$Q$20,'[1]observations-276632'!W337&lt;'[1]Methods write-up'!$R$20,'[1]observations-276632'!X337&gt;'[1]Methods write-up'!$S$20,'[1]observations-276632'!X337&lt;'[1]Methods write-up'!$T$20),"Temperate seasonal","")</f>
        <v/>
      </c>
      <c r="BC337" s="22" t="str">
        <f>IF(AND('[1]observations-276632'!W337&gt;'[1]Methods write-up'!$Q$21,'[1]observations-276632'!W337&lt;'[1]Methods write-up'!$R$21,'[1]observations-276632'!X337&gt;'[1]Methods write-up'!$S$21,'[1]observations-276632'!X337&lt;'[1]Methods write-up'!$T$21),"Desert and high aridity","")</f>
        <v/>
      </c>
      <c r="BD337" s="23" t="str">
        <f t="shared" si="24"/>
        <v/>
      </c>
      <c r="BE337" s="24">
        <f t="shared" si="22"/>
        <v>13</v>
      </c>
      <c r="BF337" s="24">
        <f t="shared" si="23"/>
        <v>10</v>
      </c>
    </row>
    <row r="338" spans="1:58" ht="16.25" customHeight="1" x14ac:dyDescent="0.2">
      <c r="A338">
        <v>34487429</v>
      </c>
      <c r="B338" t="s">
        <v>2456</v>
      </c>
      <c r="C338" s="14">
        <v>42277</v>
      </c>
      <c r="D338" t="s">
        <v>2457</v>
      </c>
      <c r="E338" t="s">
        <v>57</v>
      </c>
      <c r="F338">
        <v>100845</v>
      </c>
      <c r="G338" t="s">
        <v>1775</v>
      </c>
      <c r="H338" t="s">
        <v>1776</v>
      </c>
      <c r="I338" t="s">
        <v>2458</v>
      </c>
      <c r="J338" t="s">
        <v>2459</v>
      </c>
      <c r="K338" t="s">
        <v>62</v>
      </c>
      <c r="L338" t="s">
        <v>63</v>
      </c>
      <c r="M338" t="s">
        <v>2460</v>
      </c>
      <c r="N338" t="s">
        <v>2461</v>
      </c>
      <c r="Q338" t="s">
        <v>1781</v>
      </c>
      <c r="R338">
        <v>3</v>
      </c>
      <c r="S338">
        <v>0</v>
      </c>
      <c r="T338" t="b">
        <v>0</v>
      </c>
      <c r="V338" t="s">
        <v>2003</v>
      </c>
      <c r="W338" s="15">
        <v>-25.905251589999999</v>
      </c>
      <c r="X338" s="15">
        <v>28.306932320000001</v>
      </c>
      <c r="Y338">
        <v>244</v>
      </c>
      <c r="AC338">
        <v>244</v>
      </c>
      <c r="AF338" t="b">
        <v>0</v>
      </c>
      <c r="AI338" t="s">
        <v>71</v>
      </c>
      <c r="AJ338" t="s">
        <v>70</v>
      </c>
      <c r="AK338" t="s">
        <v>71</v>
      </c>
      <c r="AL338" t="s">
        <v>72</v>
      </c>
      <c r="AM338">
        <v>346053</v>
      </c>
      <c r="AO338" s="16" t="s">
        <v>73</v>
      </c>
      <c r="AP338" s="17" t="str">
        <f t="shared" si="25"/>
        <v>Off-nest female</v>
      </c>
      <c r="AX338" s="22" t="str">
        <f>IF(AND('[1]observations-276632'!W338&gt;'[1]Methods write-up'!$Q$16,'[1]observations-276632'!W338&lt;'[1]Methods write-up'!$R$16,'[1]observations-276632'!X338&gt;'[1]Methods write-up'!$S$16,'[1]observations-276632'!X338&lt;'[1]Methods write-up'!$T$16),"West and Central Africa","")</f>
        <v/>
      </c>
      <c r="AY338" s="22" t="str">
        <f>IF(AND('[1]observations-276632'!W338&gt;'[1]Methods write-up'!$Q$17,'[1]observations-276632'!W338&lt;'[1]Methods write-up'!$R$17,'[1]observations-276632'!X338&gt;'[1]Methods write-up'!$S$17,'[1]observations-276632'!X338&lt;'[1]Methods write-up'!$T$17),"Equatorial tropical forest","")</f>
        <v/>
      </c>
      <c r="AZ338" s="22" t="str">
        <f>IF(AND('[1]observations-276632'!W338&gt;'[1]Methods write-up'!$Q$18,'[1]observations-276632'!W338&lt;'[1]Methods write-up'!$R$18,'[1]observations-276632'!X338&gt;'[1]Methods write-up'!$S$18,'[1]observations-276632'!X338&lt;'[1]Methods write-up'!$T$18),"Somali peninsula","")</f>
        <v/>
      </c>
      <c r="BA338" s="22" t="str">
        <f>IF(AND('[1]observations-276632'!W338&gt;'[1]Methods write-up'!$Q$19,'[1]observations-276632'!W338&lt;'[1]Methods write-up'!$R$19,'[1]observations-276632'!X338&gt;'[1]Methods write-up'!$S$19,'[1]observations-276632'!X338&lt;'[1]Methods write-up'!$T$19),"East Africa","")</f>
        <v/>
      </c>
      <c r="BB338" s="22" t="str">
        <f>IF(AND('[1]observations-276632'!W338&gt;'[1]Methods write-up'!$Q$20,'[1]observations-276632'!W338&lt;'[1]Methods write-up'!$R$20,'[1]observations-276632'!X338&gt;'[1]Methods write-up'!$S$20,'[1]observations-276632'!X338&lt;'[1]Methods write-up'!$T$20),"Temperate seasonal","")</f>
        <v>Temperate seasonal</v>
      </c>
      <c r="BC338" s="22" t="str">
        <f>IF(AND('[1]observations-276632'!W338&gt;'[1]Methods write-up'!$Q$21,'[1]observations-276632'!W338&lt;'[1]Methods write-up'!$R$21,'[1]observations-276632'!X338&gt;'[1]Methods write-up'!$S$21,'[1]observations-276632'!X338&lt;'[1]Methods write-up'!$T$21),"Desert and high aridity","")</f>
        <v/>
      </c>
      <c r="BD338" s="23" t="str">
        <f t="shared" si="24"/>
        <v>Temperate seasonal</v>
      </c>
      <c r="BE338" s="24">
        <f t="shared" si="22"/>
        <v>30</v>
      </c>
      <c r="BF338" s="24">
        <f t="shared" si="23"/>
        <v>9</v>
      </c>
    </row>
    <row r="339" spans="1:58" ht="16.25" customHeight="1" x14ac:dyDescent="0.2">
      <c r="A339">
        <v>34533441</v>
      </c>
      <c r="B339" t="s">
        <v>2462</v>
      </c>
      <c r="C339" s="14">
        <v>43753</v>
      </c>
      <c r="D339" t="s">
        <v>2463</v>
      </c>
      <c r="E339" t="s">
        <v>113</v>
      </c>
      <c r="F339">
        <v>2366929</v>
      </c>
      <c r="G339" t="s">
        <v>2464</v>
      </c>
      <c r="I339" t="s">
        <v>2465</v>
      </c>
      <c r="J339" t="s">
        <v>2466</v>
      </c>
      <c r="K339" t="s">
        <v>62</v>
      </c>
      <c r="L339" t="s">
        <v>63</v>
      </c>
      <c r="M339" t="s">
        <v>2467</v>
      </c>
      <c r="N339" t="s">
        <v>2468</v>
      </c>
      <c r="Q339" t="s">
        <v>2469</v>
      </c>
      <c r="R339">
        <v>2</v>
      </c>
      <c r="S339">
        <v>0</v>
      </c>
      <c r="T339" t="b">
        <v>0</v>
      </c>
      <c r="V339" t="s">
        <v>2470</v>
      </c>
      <c r="W339" s="15">
        <v>-33.310628999999999</v>
      </c>
      <c r="X339" s="15">
        <v>26.525594999999999</v>
      </c>
      <c r="Y339">
        <v>20</v>
      </c>
      <c r="AC339">
        <v>20</v>
      </c>
      <c r="AF339" t="b">
        <v>0</v>
      </c>
      <c r="AI339" t="s">
        <v>71</v>
      </c>
      <c r="AJ339" t="s">
        <v>70</v>
      </c>
      <c r="AK339" t="s">
        <v>71</v>
      </c>
      <c r="AL339" t="s">
        <v>72</v>
      </c>
      <c r="AM339">
        <v>346053</v>
      </c>
      <c r="AO339" s="16" t="s">
        <v>73</v>
      </c>
      <c r="AP339" s="17" t="str">
        <f t="shared" si="25"/>
        <v>Off-nest female</v>
      </c>
      <c r="AX339" s="22" t="str">
        <f>IF(AND('[1]observations-276632'!W339&gt;'[1]Methods write-up'!$Q$16,'[1]observations-276632'!W339&lt;'[1]Methods write-up'!$R$16,'[1]observations-276632'!X339&gt;'[1]Methods write-up'!$S$16,'[1]observations-276632'!X339&lt;'[1]Methods write-up'!$T$16),"West and Central Africa","")</f>
        <v/>
      </c>
      <c r="AY339" s="22" t="str">
        <f>IF(AND('[1]observations-276632'!W339&gt;'[1]Methods write-up'!$Q$17,'[1]observations-276632'!W339&lt;'[1]Methods write-up'!$R$17,'[1]observations-276632'!X339&gt;'[1]Methods write-up'!$S$17,'[1]observations-276632'!X339&lt;'[1]Methods write-up'!$T$17),"Equatorial tropical forest","")</f>
        <v/>
      </c>
      <c r="AZ339" s="22" t="str">
        <f>IF(AND('[1]observations-276632'!W339&gt;'[1]Methods write-up'!$Q$18,'[1]observations-276632'!W339&lt;'[1]Methods write-up'!$R$18,'[1]observations-276632'!X339&gt;'[1]Methods write-up'!$S$18,'[1]observations-276632'!X339&lt;'[1]Methods write-up'!$T$18),"Somali peninsula","")</f>
        <v/>
      </c>
      <c r="BA339" s="22" t="str">
        <f>IF(AND('[1]observations-276632'!W339&gt;'[1]Methods write-up'!$Q$19,'[1]observations-276632'!W339&lt;'[1]Methods write-up'!$R$19,'[1]observations-276632'!X339&gt;'[1]Methods write-up'!$S$19,'[1]observations-276632'!X339&lt;'[1]Methods write-up'!$T$19),"East Africa","")</f>
        <v/>
      </c>
      <c r="BB339" s="22" t="str">
        <f>IF(AND('[1]observations-276632'!W339&gt;'[1]Methods write-up'!$Q$20,'[1]observations-276632'!W339&lt;'[1]Methods write-up'!$R$20,'[1]observations-276632'!X339&gt;'[1]Methods write-up'!$S$20,'[1]observations-276632'!X339&lt;'[1]Methods write-up'!$T$20),"Temperate seasonal","")</f>
        <v/>
      </c>
      <c r="BC339" s="22" t="str">
        <f>IF(AND('[1]observations-276632'!W339&gt;'[1]Methods write-up'!$Q$21,'[1]observations-276632'!W339&lt;'[1]Methods write-up'!$R$21,'[1]observations-276632'!X339&gt;'[1]Methods write-up'!$S$21,'[1]observations-276632'!X339&lt;'[1]Methods write-up'!$T$21),"Desert and high aridity","")</f>
        <v/>
      </c>
      <c r="BD339" s="23" t="str">
        <f t="shared" si="24"/>
        <v/>
      </c>
      <c r="BE339" s="24">
        <f t="shared" si="22"/>
        <v>15</v>
      </c>
      <c r="BF339" s="24">
        <f t="shared" si="23"/>
        <v>10</v>
      </c>
    </row>
    <row r="340" spans="1:58" ht="16.25" customHeight="1" x14ac:dyDescent="0.2">
      <c r="A340">
        <v>34539636</v>
      </c>
      <c r="B340" t="s">
        <v>2471</v>
      </c>
      <c r="C340" s="14">
        <v>43745</v>
      </c>
      <c r="D340" t="s">
        <v>2472</v>
      </c>
      <c r="E340" t="s">
        <v>201</v>
      </c>
      <c r="F340">
        <v>1921224</v>
      </c>
      <c r="G340" t="s">
        <v>2473</v>
      </c>
      <c r="I340" t="s">
        <v>2474</v>
      </c>
      <c r="J340" t="s">
        <v>2475</v>
      </c>
      <c r="K340" t="s">
        <v>62</v>
      </c>
      <c r="L340" t="s">
        <v>98</v>
      </c>
      <c r="M340" t="s">
        <v>2476</v>
      </c>
      <c r="N340" t="s">
        <v>2477</v>
      </c>
      <c r="R340">
        <v>3</v>
      </c>
      <c r="S340">
        <v>0</v>
      </c>
      <c r="T340" t="b">
        <v>0</v>
      </c>
      <c r="V340" t="s">
        <v>2478</v>
      </c>
      <c r="W340" s="15">
        <v>-33.973217699999999</v>
      </c>
      <c r="X340" s="15">
        <v>23.474379089999999</v>
      </c>
      <c r="Y340">
        <v>4</v>
      </c>
      <c r="AC340">
        <v>4</v>
      </c>
      <c r="AF340" t="b">
        <v>0</v>
      </c>
      <c r="AI340" t="s">
        <v>71</v>
      </c>
      <c r="AJ340" t="s">
        <v>70</v>
      </c>
      <c r="AK340" t="s">
        <v>71</v>
      </c>
      <c r="AL340" t="s">
        <v>72</v>
      </c>
      <c r="AM340">
        <v>346053</v>
      </c>
      <c r="AO340" s="16" t="s">
        <v>73</v>
      </c>
      <c r="AP340" s="17" t="str">
        <f t="shared" si="25"/>
        <v>Off-nest female</v>
      </c>
      <c r="AX340" s="22" t="str">
        <f>IF(AND('[1]observations-276632'!W340&gt;'[1]Methods write-up'!$Q$16,'[1]observations-276632'!W340&lt;'[1]Methods write-up'!$R$16,'[1]observations-276632'!X340&gt;'[1]Methods write-up'!$S$16,'[1]observations-276632'!X340&lt;'[1]Methods write-up'!$T$16),"West and Central Africa","")</f>
        <v/>
      </c>
      <c r="AY340" s="22" t="str">
        <f>IF(AND('[1]observations-276632'!W340&gt;'[1]Methods write-up'!$Q$17,'[1]observations-276632'!W340&lt;'[1]Methods write-up'!$R$17,'[1]observations-276632'!X340&gt;'[1]Methods write-up'!$S$17,'[1]observations-276632'!X340&lt;'[1]Methods write-up'!$T$17),"Equatorial tropical forest","")</f>
        <v/>
      </c>
      <c r="AZ340" s="22" t="str">
        <f>IF(AND('[1]observations-276632'!W340&gt;'[1]Methods write-up'!$Q$18,'[1]observations-276632'!W340&lt;'[1]Methods write-up'!$R$18,'[1]observations-276632'!X340&gt;'[1]Methods write-up'!$S$18,'[1]observations-276632'!X340&lt;'[1]Methods write-up'!$T$18),"Somali peninsula","")</f>
        <v/>
      </c>
      <c r="BA340" s="22" t="str">
        <f>IF(AND('[1]observations-276632'!W340&gt;'[1]Methods write-up'!$Q$19,'[1]observations-276632'!W340&lt;'[1]Methods write-up'!$R$19,'[1]observations-276632'!X340&gt;'[1]Methods write-up'!$S$19,'[1]observations-276632'!X340&lt;'[1]Methods write-up'!$T$19),"East Africa","")</f>
        <v/>
      </c>
      <c r="BB340" s="22" t="str">
        <f>IF(AND('[1]observations-276632'!W340&gt;'[1]Methods write-up'!$Q$20,'[1]observations-276632'!W340&lt;'[1]Methods write-up'!$R$20,'[1]observations-276632'!X340&gt;'[1]Methods write-up'!$S$20,'[1]observations-276632'!X340&lt;'[1]Methods write-up'!$T$20),"Temperate seasonal","")</f>
        <v/>
      </c>
      <c r="BC340" s="22" t="str">
        <f>IF(AND('[1]observations-276632'!W340&gt;'[1]Methods write-up'!$Q$21,'[1]observations-276632'!W340&lt;'[1]Methods write-up'!$R$21,'[1]observations-276632'!X340&gt;'[1]Methods write-up'!$S$21,'[1]observations-276632'!X340&lt;'[1]Methods write-up'!$T$21),"Desert and high aridity","")</f>
        <v/>
      </c>
      <c r="BD340" s="23" t="str">
        <f t="shared" si="24"/>
        <v/>
      </c>
      <c r="BE340" s="24">
        <f t="shared" si="22"/>
        <v>7</v>
      </c>
      <c r="BF340" s="24">
        <f t="shared" si="23"/>
        <v>10</v>
      </c>
    </row>
    <row r="341" spans="1:58" ht="16.25" customHeight="1" x14ac:dyDescent="0.2">
      <c r="A341">
        <v>34633335</v>
      </c>
      <c r="B341" t="s">
        <v>2479</v>
      </c>
      <c r="C341" s="14">
        <v>43740</v>
      </c>
      <c r="D341" t="s">
        <v>2480</v>
      </c>
      <c r="E341" t="s">
        <v>57</v>
      </c>
      <c r="F341">
        <v>703114</v>
      </c>
      <c r="G341" t="s">
        <v>2136</v>
      </c>
      <c r="H341" t="s">
        <v>2137</v>
      </c>
      <c r="I341" t="s">
        <v>2481</v>
      </c>
      <c r="J341" t="s">
        <v>2482</v>
      </c>
      <c r="K341" t="s">
        <v>62</v>
      </c>
      <c r="L341" t="s">
        <v>98</v>
      </c>
      <c r="M341" t="s">
        <v>2483</v>
      </c>
      <c r="N341" t="s">
        <v>2484</v>
      </c>
      <c r="R341">
        <v>3</v>
      </c>
      <c r="S341">
        <v>0</v>
      </c>
      <c r="T341" t="b">
        <v>0</v>
      </c>
      <c r="V341" t="s">
        <v>2485</v>
      </c>
      <c r="W341" s="15">
        <v>-25.372618150000001</v>
      </c>
      <c r="X341" s="15">
        <v>31.861310629999998</v>
      </c>
      <c r="Y341">
        <v>277</v>
      </c>
      <c r="AC341">
        <v>277</v>
      </c>
      <c r="AF341" t="b">
        <v>0</v>
      </c>
      <c r="AI341" t="s">
        <v>71</v>
      </c>
      <c r="AJ341" t="s">
        <v>70</v>
      </c>
      <c r="AK341" t="s">
        <v>71</v>
      </c>
      <c r="AL341" t="s">
        <v>72</v>
      </c>
      <c r="AM341">
        <v>346053</v>
      </c>
      <c r="AO341" s="16" t="s">
        <v>1356</v>
      </c>
      <c r="AP341" s="17" t="str">
        <f t="shared" si="25"/>
        <v>Nest (foundress)</v>
      </c>
      <c r="AQ341" s="18">
        <v>2</v>
      </c>
      <c r="AT341" s="19" t="s">
        <v>104</v>
      </c>
      <c r="AX341" s="22" t="str">
        <f>IF(AND('[1]observations-276632'!W341&gt;'[1]Methods write-up'!$Q$16,'[1]observations-276632'!W341&lt;'[1]Methods write-up'!$R$16,'[1]observations-276632'!X341&gt;'[1]Methods write-up'!$S$16,'[1]observations-276632'!X341&lt;'[1]Methods write-up'!$T$16),"West and Central Africa","")</f>
        <v/>
      </c>
      <c r="AY341" s="22" t="str">
        <f>IF(AND('[1]observations-276632'!W341&gt;'[1]Methods write-up'!$Q$17,'[1]observations-276632'!W341&lt;'[1]Methods write-up'!$R$17,'[1]observations-276632'!X341&gt;'[1]Methods write-up'!$S$17,'[1]observations-276632'!X341&lt;'[1]Methods write-up'!$T$17),"Equatorial tropical forest","")</f>
        <v/>
      </c>
      <c r="AZ341" s="22" t="str">
        <f>IF(AND('[1]observations-276632'!W341&gt;'[1]Methods write-up'!$Q$18,'[1]observations-276632'!W341&lt;'[1]Methods write-up'!$R$18,'[1]observations-276632'!X341&gt;'[1]Methods write-up'!$S$18,'[1]observations-276632'!X341&lt;'[1]Methods write-up'!$T$18),"Somali peninsula","")</f>
        <v/>
      </c>
      <c r="BA341" s="22" t="str">
        <f>IF(AND('[1]observations-276632'!W341&gt;'[1]Methods write-up'!$Q$19,'[1]observations-276632'!W341&lt;'[1]Methods write-up'!$R$19,'[1]observations-276632'!X341&gt;'[1]Methods write-up'!$S$19,'[1]observations-276632'!X341&lt;'[1]Methods write-up'!$T$19),"East Africa","")</f>
        <v/>
      </c>
      <c r="BB341" s="22" t="str">
        <f>IF(AND('[1]observations-276632'!W341&gt;'[1]Methods write-up'!$Q$20,'[1]observations-276632'!W341&lt;'[1]Methods write-up'!$R$20,'[1]observations-276632'!X341&gt;'[1]Methods write-up'!$S$20,'[1]observations-276632'!X341&lt;'[1]Methods write-up'!$T$20),"Temperate seasonal","")</f>
        <v>Temperate seasonal</v>
      </c>
      <c r="BC341" s="22" t="str">
        <f>IF(AND('[1]observations-276632'!W341&gt;'[1]Methods write-up'!$Q$21,'[1]observations-276632'!W341&lt;'[1]Methods write-up'!$R$21,'[1]observations-276632'!X341&gt;'[1]Methods write-up'!$S$21,'[1]observations-276632'!X341&lt;'[1]Methods write-up'!$T$21),"Desert and high aridity","")</f>
        <v/>
      </c>
      <c r="BD341" s="23" t="str">
        <f t="shared" si="24"/>
        <v>Temperate seasonal</v>
      </c>
      <c r="BE341" s="24">
        <f t="shared" si="22"/>
        <v>2</v>
      </c>
      <c r="BF341" s="24">
        <f t="shared" si="23"/>
        <v>10</v>
      </c>
    </row>
    <row r="342" spans="1:58" ht="16.25" customHeight="1" x14ac:dyDescent="0.2">
      <c r="A342">
        <v>34956426</v>
      </c>
      <c r="B342" t="s">
        <v>2486</v>
      </c>
      <c r="C342" s="14">
        <v>43765</v>
      </c>
      <c r="D342" t="s">
        <v>2487</v>
      </c>
      <c r="E342" t="s">
        <v>113</v>
      </c>
      <c r="F342">
        <v>1207762</v>
      </c>
      <c r="G342" t="s">
        <v>2488</v>
      </c>
      <c r="I342" t="s">
        <v>2489</v>
      </c>
      <c r="J342" t="s">
        <v>2490</v>
      </c>
      <c r="K342" t="s">
        <v>62</v>
      </c>
      <c r="L342" t="s">
        <v>63</v>
      </c>
      <c r="M342" t="s">
        <v>2491</v>
      </c>
      <c r="N342" t="s">
        <v>2492</v>
      </c>
      <c r="R342">
        <v>2</v>
      </c>
      <c r="S342">
        <v>0</v>
      </c>
      <c r="T342" t="b">
        <v>0</v>
      </c>
      <c r="U342">
        <v>2</v>
      </c>
      <c r="V342" t="s">
        <v>2493</v>
      </c>
      <c r="W342" s="15">
        <v>-26.479126300000001</v>
      </c>
      <c r="X342" s="15">
        <v>27.497289500000001</v>
      </c>
      <c r="Y342">
        <v>50</v>
      </c>
      <c r="AC342">
        <v>50</v>
      </c>
      <c r="AF342" t="b">
        <v>0</v>
      </c>
      <c r="AI342" t="s">
        <v>71</v>
      </c>
      <c r="AJ342" t="s">
        <v>70</v>
      </c>
      <c r="AK342" t="s">
        <v>71</v>
      </c>
      <c r="AL342" t="s">
        <v>72</v>
      </c>
      <c r="AM342">
        <v>346053</v>
      </c>
      <c r="AO342" s="16" t="s">
        <v>73</v>
      </c>
      <c r="AP342" s="17" t="str">
        <f t="shared" si="25"/>
        <v>Off-nest female</v>
      </c>
      <c r="AX342" s="22" t="str">
        <f>IF(AND('[1]observations-276632'!W342&gt;'[1]Methods write-up'!$Q$16,'[1]observations-276632'!W342&lt;'[1]Methods write-up'!$R$16,'[1]observations-276632'!X342&gt;'[1]Methods write-up'!$S$16,'[1]observations-276632'!X342&lt;'[1]Methods write-up'!$T$16),"West and Central Africa","")</f>
        <v/>
      </c>
      <c r="AY342" s="22" t="str">
        <f>IF(AND('[1]observations-276632'!W342&gt;'[1]Methods write-up'!$Q$17,'[1]observations-276632'!W342&lt;'[1]Methods write-up'!$R$17,'[1]observations-276632'!X342&gt;'[1]Methods write-up'!$S$17,'[1]observations-276632'!X342&lt;'[1]Methods write-up'!$T$17),"Equatorial tropical forest","")</f>
        <v/>
      </c>
      <c r="AZ342" s="22" t="str">
        <f>IF(AND('[1]observations-276632'!W342&gt;'[1]Methods write-up'!$Q$18,'[1]observations-276632'!W342&lt;'[1]Methods write-up'!$R$18,'[1]observations-276632'!X342&gt;'[1]Methods write-up'!$S$18,'[1]observations-276632'!X342&lt;'[1]Methods write-up'!$T$18),"Somali peninsula","")</f>
        <v/>
      </c>
      <c r="BA342" s="22" t="str">
        <f>IF(AND('[1]observations-276632'!W342&gt;'[1]Methods write-up'!$Q$19,'[1]observations-276632'!W342&lt;'[1]Methods write-up'!$R$19,'[1]observations-276632'!X342&gt;'[1]Methods write-up'!$S$19,'[1]observations-276632'!X342&lt;'[1]Methods write-up'!$T$19),"East Africa","")</f>
        <v/>
      </c>
      <c r="BB342" s="22" t="str">
        <f>IF(AND('[1]observations-276632'!W342&gt;'[1]Methods write-up'!$Q$20,'[1]observations-276632'!W342&lt;'[1]Methods write-up'!$R$20,'[1]observations-276632'!X342&gt;'[1]Methods write-up'!$S$20,'[1]observations-276632'!X342&lt;'[1]Methods write-up'!$T$20),"Temperate seasonal","")</f>
        <v>Temperate seasonal</v>
      </c>
      <c r="BC342" s="22" t="str">
        <f>IF(AND('[1]observations-276632'!W342&gt;'[1]Methods write-up'!$Q$21,'[1]observations-276632'!W342&lt;'[1]Methods write-up'!$R$21,'[1]observations-276632'!X342&gt;'[1]Methods write-up'!$S$21,'[1]observations-276632'!X342&lt;'[1]Methods write-up'!$T$21),"Desert and high aridity","")</f>
        <v/>
      </c>
      <c r="BD342" s="23" t="str">
        <f t="shared" si="24"/>
        <v>Temperate seasonal</v>
      </c>
      <c r="BE342" s="24">
        <f t="shared" si="22"/>
        <v>27</v>
      </c>
      <c r="BF342" s="24">
        <f t="shared" si="23"/>
        <v>10</v>
      </c>
    </row>
    <row r="343" spans="1:58" ht="16.25" customHeight="1" x14ac:dyDescent="0.2">
      <c r="A343">
        <v>35094481</v>
      </c>
      <c r="B343" t="s">
        <v>2494</v>
      </c>
      <c r="C343" s="14">
        <v>43278</v>
      </c>
      <c r="D343" t="s">
        <v>2495</v>
      </c>
      <c r="E343" t="s">
        <v>113</v>
      </c>
      <c r="F343">
        <v>2239242</v>
      </c>
      <c r="G343" t="s">
        <v>2496</v>
      </c>
      <c r="H343" t="s">
        <v>2497</v>
      </c>
      <c r="I343" t="s">
        <v>2498</v>
      </c>
      <c r="J343" t="s">
        <v>2499</v>
      </c>
      <c r="K343" t="s">
        <v>62</v>
      </c>
      <c r="L343" t="s">
        <v>63</v>
      </c>
      <c r="M343" t="s">
        <v>2500</v>
      </c>
      <c r="N343" t="s">
        <v>2501</v>
      </c>
      <c r="R343">
        <v>3</v>
      </c>
      <c r="S343">
        <v>0</v>
      </c>
      <c r="T343" t="b">
        <v>0</v>
      </c>
      <c r="V343" t="s">
        <v>484</v>
      </c>
      <c r="W343" s="15">
        <v>-28.956238979999998</v>
      </c>
      <c r="X343" s="15">
        <v>31.761935139999999</v>
      </c>
      <c r="Y343">
        <v>221</v>
      </c>
      <c r="AC343">
        <v>221</v>
      </c>
      <c r="AF343" t="b">
        <v>0</v>
      </c>
      <c r="AI343" t="s">
        <v>71</v>
      </c>
      <c r="AJ343" t="s">
        <v>70</v>
      </c>
      <c r="AK343" t="s">
        <v>71</v>
      </c>
      <c r="AL343" t="s">
        <v>72</v>
      </c>
      <c r="AM343">
        <v>346053</v>
      </c>
      <c r="AO343" s="16" t="s">
        <v>150</v>
      </c>
      <c r="AP343" s="17" t="str">
        <f t="shared" si="25"/>
        <v>Male (off nest)</v>
      </c>
      <c r="AX343" s="22" t="str">
        <f>IF(AND('[1]observations-276632'!W343&gt;'[1]Methods write-up'!$Q$16,'[1]observations-276632'!W343&lt;'[1]Methods write-up'!$R$16,'[1]observations-276632'!X343&gt;'[1]Methods write-up'!$S$16,'[1]observations-276632'!X343&lt;'[1]Methods write-up'!$T$16),"West and Central Africa","")</f>
        <v/>
      </c>
      <c r="AY343" s="22" t="str">
        <f>IF(AND('[1]observations-276632'!W343&gt;'[1]Methods write-up'!$Q$17,'[1]observations-276632'!W343&lt;'[1]Methods write-up'!$R$17,'[1]observations-276632'!X343&gt;'[1]Methods write-up'!$S$17,'[1]observations-276632'!X343&lt;'[1]Methods write-up'!$T$17),"Equatorial tropical forest","")</f>
        <v/>
      </c>
      <c r="AZ343" s="22" t="str">
        <f>IF(AND('[1]observations-276632'!W343&gt;'[1]Methods write-up'!$Q$18,'[1]observations-276632'!W343&lt;'[1]Methods write-up'!$R$18,'[1]observations-276632'!X343&gt;'[1]Methods write-up'!$S$18,'[1]observations-276632'!X343&lt;'[1]Methods write-up'!$T$18),"Somali peninsula","")</f>
        <v/>
      </c>
      <c r="BA343" s="22" t="str">
        <f>IF(AND('[1]observations-276632'!W343&gt;'[1]Methods write-up'!$Q$19,'[1]observations-276632'!W343&lt;'[1]Methods write-up'!$R$19,'[1]observations-276632'!X343&gt;'[1]Methods write-up'!$S$19,'[1]observations-276632'!X343&lt;'[1]Methods write-up'!$T$19),"East Africa","")</f>
        <v/>
      </c>
      <c r="BB343" s="22" t="str">
        <f>IF(AND('[1]observations-276632'!W343&gt;'[1]Methods write-up'!$Q$20,'[1]observations-276632'!W343&lt;'[1]Methods write-up'!$R$20,'[1]observations-276632'!X343&gt;'[1]Methods write-up'!$S$20,'[1]observations-276632'!X343&lt;'[1]Methods write-up'!$T$20),"Temperate seasonal","")</f>
        <v>Temperate seasonal</v>
      </c>
      <c r="BC343" s="22" t="str">
        <f>IF(AND('[1]observations-276632'!W343&gt;'[1]Methods write-up'!$Q$21,'[1]observations-276632'!W343&lt;'[1]Methods write-up'!$R$21,'[1]observations-276632'!X343&gt;'[1]Methods write-up'!$S$21,'[1]observations-276632'!X343&lt;'[1]Methods write-up'!$T$21),"Desert and high aridity","")</f>
        <v/>
      </c>
      <c r="BD343" s="23" t="str">
        <f t="shared" si="24"/>
        <v>Temperate seasonal</v>
      </c>
      <c r="BE343" s="24">
        <f t="shared" si="22"/>
        <v>27</v>
      </c>
      <c r="BF343" s="24">
        <f t="shared" si="23"/>
        <v>6</v>
      </c>
    </row>
    <row r="344" spans="1:58" ht="16.25" customHeight="1" x14ac:dyDescent="0.2">
      <c r="A344">
        <v>35094777</v>
      </c>
      <c r="B344" t="s">
        <v>2502</v>
      </c>
      <c r="C344" s="14">
        <v>42373</v>
      </c>
      <c r="D344" t="s">
        <v>2503</v>
      </c>
      <c r="E344" t="s">
        <v>113</v>
      </c>
      <c r="F344">
        <v>2239242</v>
      </c>
      <c r="G344" t="s">
        <v>2496</v>
      </c>
      <c r="H344" t="s">
        <v>2497</v>
      </c>
      <c r="I344" t="s">
        <v>2504</v>
      </c>
      <c r="J344" t="s">
        <v>2505</v>
      </c>
      <c r="K344" t="s">
        <v>62</v>
      </c>
      <c r="L344" t="s">
        <v>63</v>
      </c>
      <c r="M344" t="s">
        <v>2506</v>
      </c>
      <c r="N344" t="s">
        <v>2507</v>
      </c>
      <c r="R344">
        <v>3</v>
      </c>
      <c r="S344">
        <v>1</v>
      </c>
      <c r="T344" t="b">
        <v>0</v>
      </c>
      <c r="V344" t="s">
        <v>2508</v>
      </c>
      <c r="W344" s="15">
        <v>-28.124312969999998</v>
      </c>
      <c r="X344" s="15">
        <v>16.893666029999999</v>
      </c>
      <c r="Y344">
        <v>385</v>
      </c>
      <c r="AC344">
        <v>385</v>
      </c>
      <c r="AF344" t="b">
        <v>0</v>
      </c>
      <c r="AI344" t="s">
        <v>71</v>
      </c>
      <c r="AJ344" t="s">
        <v>70</v>
      </c>
      <c r="AK344" t="s">
        <v>71</v>
      </c>
      <c r="AL344" t="s">
        <v>72</v>
      </c>
      <c r="AM344">
        <v>346053</v>
      </c>
      <c r="AO344" s="16" t="s">
        <v>140</v>
      </c>
      <c r="AP344" s="17" t="str">
        <f t="shared" si="25"/>
        <v>Post-emergence nest</v>
      </c>
      <c r="AQ344" s="18">
        <v>6</v>
      </c>
      <c r="AT344" s="19" t="s">
        <v>141</v>
      </c>
      <c r="AU344" s="20" t="s">
        <v>104</v>
      </c>
      <c r="AX344" s="22" t="str">
        <f>IF(AND('[1]observations-276632'!W344&gt;'[1]Methods write-up'!$Q$16,'[1]observations-276632'!W344&lt;'[1]Methods write-up'!$R$16,'[1]observations-276632'!X344&gt;'[1]Methods write-up'!$S$16,'[1]observations-276632'!X344&lt;'[1]Methods write-up'!$T$16),"West and Central Africa","")</f>
        <v/>
      </c>
      <c r="AY344" s="22" t="str">
        <f>IF(AND('[1]observations-276632'!W344&gt;'[1]Methods write-up'!$Q$17,'[1]observations-276632'!W344&lt;'[1]Methods write-up'!$R$17,'[1]observations-276632'!X344&gt;'[1]Methods write-up'!$S$17,'[1]observations-276632'!X344&lt;'[1]Methods write-up'!$T$17),"Equatorial tropical forest","")</f>
        <v/>
      </c>
      <c r="AZ344" s="22" t="str">
        <f>IF(AND('[1]observations-276632'!W344&gt;'[1]Methods write-up'!$Q$18,'[1]observations-276632'!W344&lt;'[1]Methods write-up'!$R$18,'[1]observations-276632'!X344&gt;'[1]Methods write-up'!$S$18,'[1]observations-276632'!X344&lt;'[1]Methods write-up'!$T$18),"Somali peninsula","")</f>
        <v/>
      </c>
      <c r="BA344" s="22" t="str">
        <f>IF(AND('[1]observations-276632'!W344&gt;'[1]Methods write-up'!$Q$19,'[1]observations-276632'!W344&lt;'[1]Methods write-up'!$R$19,'[1]observations-276632'!X344&gt;'[1]Methods write-up'!$S$19,'[1]observations-276632'!X344&lt;'[1]Methods write-up'!$T$19),"East Africa","")</f>
        <v/>
      </c>
      <c r="BB344" s="22" t="str">
        <f>IF(AND('[1]observations-276632'!W344&gt;'[1]Methods write-up'!$Q$20,'[1]observations-276632'!W344&lt;'[1]Methods write-up'!$R$20,'[1]observations-276632'!X344&gt;'[1]Methods write-up'!$S$20,'[1]observations-276632'!X344&lt;'[1]Methods write-up'!$T$20),"Temperate seasonal","")</f>
        <v/>
      </c>
      <c r="BC344" s="22" t="str">
        <f>IF(AND('[1]observations-276632'!W344&gt;'[1]Methods write-up'!$Q$21,'[1]observations-276632'!W344&lt;'[1]Methods write-up'!$R$21,'[1]observations-276632'!X344&gt;'[1]Methods write-up'!$S$21,'[1]observations-276632'!X344&lt;'[1]Methods write-up'!$T$21),"Desert and high aridity","")</f>
        <v>Desert and high aridity</v>
      </c>
      <c r="BD344" s="23" t="str">
        <f t="shared" si="24"/>
        <v>Desert and high aridity</v>
      </c>
      <c r="BE344" s="24">
        <f t="shared" si="22"/>
        <v>4</v>
      </c>
      <c r="BF344" s="24">
        <f t="shared" si="23"/>
        <v>1</v>
      </c>
    </row>
    <row r="345" spans="1:58" ht="16.25" customHeight="1" x14ac:dyDescent="0.2">
      <c r="A345">
        <v>35132011</v>
      </c>
      <c r="B345" t="s">
        <v>2509</v>
      </c>
      <c r="C345" s="14">
        <v>43751</v>
      </c>
      <c r="D345" t="s">
        <v>2510</v>
      </c>
      <c r="E345" t="s">
        <v>57</v>
      </c>
      <c r="F345">
        <v>703114</v>
      </c>
      <c r="G345" t="s">
        <v>2136</v>
      </c>
      <c r="H345" t="s">
        <v>2137</v>
      </c>
      <c r="I345" t="s">
        <v>2511</v>
      </c>
      <c r="J345" t="s">
        <v>2512</v>
      </c>
      <c r="K345" t="s">
        <v>62</v>
      </c>
      <c r="L345" t="s">
        <v>98</v>
      </c>
      <c r="M345" t="s">
        <v>2513</v>
      </c>
      <c r="N345" t="s">
        <v>2514</v>
      </c>
      <c r="R345">
        <v>3</v>
      </c>
      <c r="S345">
        <v>0</v>
      </c>
      <c r="T345" t="b">
        <v>0</v>
      </c>
      <c r="V345" t="s">
        <v>2515</v>
      </c>
      <c r="W345" s="15">
        <v>-28.082707060000001</v>
      </c>
      <c r="X345" s="15">
        <v>32.302304739999997</v>
      </c>
      <c r="Y345">
        <v>192</v>
      </c>
      <c r="AC345">
        <v>192</v>
      </c>
      <c r="AF345" t="b">
        <v>0</v>
      </c>
      <c r="AI345" t="s">
        <v>71</v>
      </c>
      <c r="AJ345" t="s">
        <v>70</v>
      </c>
      <c r="AK345" t="s">
        <v>71</v>
      </c>
      <c r="AL345" t="s">
        <v>72</v>
      </c>
      <c r="AM345">
        <v>346053</v>
      </c>
      <c r="AO345" s="16" t="s">
        <v>73</v>
      </c>
      <c r="AP345" s="17" t="str">
        <f t="shared" si="25"/>
        <v>Off-nest female</v>
      </c>
      <c r="AX345" s="22" t="str">
        <f>IF(AND('[1]observations-276632'!W345&gt;'[1]Methods write-up'!$Q$16,'[1]observations-276632'!W345&lt;'[1]Methods write-up'!$R$16,'[1]observations-276632'!X345&gt;'[1]Methods write-up'!$S$16,'[1]observations-276632'!X345&lt;'[1]Methods write-up'!$T$16),"West and Central Africa","")</f>
        <v/>
      </c>
      <c r="AY345" s="22" t="str">
        <f>IF(AND('[1]observations-276632'!W345&gt;'[1]Methods write-up'!$Q$17,'[1]observations-276632'!W345&lt;'[1]Methods write-up'!$R$17,'[1]observations-276632'!X345&gt;'[1]Methods write-up'!$S$17,'[1]observations-276632'!X345&lt;'[1]Methods write-up'!$T$17),"Equatorial tropical forest","")</f>
        <v/>
      </c>
      <c r="AZ345" s="22" t="str">
        <f>IF(AND('[1]observations-276632'!W345&gt;'[1]Methods write-up'!$Q$18,'[1]observations-276632'!W345&lt;'[1]Methods write-up'!$R$18,'[1]observations-276632'!X345&gt;'[1]Methods write-up'!$S$18,'[1]observations-276632'!X345&lt;'[1]Methods write-up'!$T$18),"Somali peninsula","")</f>
        <v/>
      </c>
      <c r="BA345" s="22" t="str">
        <f>IF(AND('[1]observations-276632'!W345&gt;'[1]Methods write-up'!$Q$19,'[1]observations-276632'!W345&lt;'[1]Methods write-up'!$R$19,'[1]observations-276632'!X345&gt;'[1]Methods write-up'!$S$19,'[1]observations-276632'!X345&lt;'[1]Methods write-up'!$T$19),"East Africa","")</f>
        <v/>
      </c>
      <c r="BB345" s="22" t="str">
        <f>IF(AND('[1]observations-276632'!W345&gt;'[1]Methods write-up'!$Q$20,'[1]observations-276632'!W345&lt;'[1]Methods write-up'!$R$20,'[1]observations-276632'!X345&gt;'[1]Methods write-up'!$S$20,'[1]observations-276632'!X345&lt;'[1]Methods write-up'!$T$20),"Temperate seasonal","")</f>
        <v>Temperate seasonal</v>
      </c>
      <c r="BC345" s="22" t="str">
        <f>IF(AND('[1]observations-276632'!W345&gt;'[1]Methods write-up'!$Q$21,'[1]observations-276632'!W345&lt;'[1]Methods write-up'!$R$21,'[1]observations-276632'!X345&gt;'[1]Methods write-up'!$S$21,'[1]observations-276632'!X345&lt;'[1]Methods write-up'!$T$21),"Desert and high aridity","")</f>
        <v/>
      </c>
      <c r="BD345" s="23" t="str">
        <f t="shared" si="24"/>
        <v>Temperate seasonal</v>
      </c>
      <c r="BE345" s="24">
        <f t="shared" si="22"/>
        <v>13</v>
      </c>
      <c r="BF345" s="24">
        <f t="shared" si="23"/>
        <v>10</v>
      </c>
    </row>
    <row r="346" spans="1:58" ht="16.25" customHeight="1" x14ac:dyDescent="0.2">
      <c r="A346">
        <v>35141267</v>
      </c>
      <c r="B346" t="s">
        <v>2516</v>
      </c>
      <c r="C346" s="14">
        <v>43284</v>
      </c>
      <c r="D346" t="s">
        <v>2517</v>
      </c>
      <c r="E346" t="s">
        <v>113</v>
      </c>
      <c r="F346">
        <v>2239242</v>
      </c>
      <c r="G346" t="s">
        <v>2496</v>
      </c>
      <c r="H346" t="s">
        <v>2497</v>
      </c>
      <c r="I346" t="s">
        <v>2518</v>
      </c>
      <c r="J346" t="s">
        <v>2519</v>
      </c>
      <c r="K346" t="s">
        <v>62</v>
      </c>
      <c r="L346" t="s">
        <v>63</v>
      </c>
      <c r="M346" t="s">
        <v>2520</v>
      </c>
      <c r="N346" t="s">
        <v>2521</v>
      </c>
      <c r="R346">
        <v>2</v>
      </c>
      <c r="S346">
        <v>0</v>
      </c>
      <c r="T346" t="b">
        <v>0</v>
      </c>
      <c r="V346" t="s">
        <v>1522</v>
      </c>
      <c r="W346" s="15">
        <v>-27.65442011</v>
      </c>
      <c r="X346" s="15">
        <v>32.290711659999999</v>
      </c>
      <c r="Y346">
        <v>4002</v>
      </c>
      <c r="AC346">
        <v>4002</v>
      </c>
      <c r="AF346" t="b">
        <v>0</v>
      </c>
      <c r="AI346" t="s">
        <v>71</v>
      </c>
      <c r="AJ346" t="s">
        <v>70</v>
      </c>
      <c r="AK346" t="s">
        <v>71</v>
      </c>
      <c r="AL346" t="s">
        <v>72</v>
      </c>
      <c r="AM346">
        <v>346053</v>
      </c>
      <c r="AO346" s="16" t="s">
        <v>110</v>
      </c>
      <c r="AP346" s="17" t="str">
        <f t="shared" si="25"/>
        <v>Nest (foundress)</v>
      </c>
      <c r="AQ346" s="18">
        <v>1</v>
      </c>
      <c r="AT346" s="19" t="s">
        <v>104</v>
      </c>
      <c r="AX346" s="22" t="str">
        <f>IF(AND('[1]observations-276632'!W346&gt;'[1]Methods write-up'!$Q$16,'[1]observations-276632'!W346&lt;'[1]Methods write-up'!$R$16,'[1]observations-276632'!X346&gt;'[1]Methods write-up'!$S$16,'[1]observations-276632'!X346&lt;'[1]Methods write-up'!$T$16),"West and Central Africa","")</f>
        <v/>
      </c>
      <c r="AY346" s="22" t="str">
        <f>IF(AND('[1]observations-276632'!W346&gt;'[1]Methods write-up'!$Q$17,'[1]observations-276632'!W346&lt;'[1]Methods write-up'!$R$17,'[1]observations-276632'!X346&gt;'[1]Methods write-up'!$S$17,'[1]observations-276632'!X346&lt;'[1]Methods write-up'!$T$17),"Equatorial tropical forest","")</f>
        <v/>
      </c>
      <c r="AZ346" s="22" t="str">
        <f>IF(AND('[1]observations-276632'!W346&gt;'[1]Methods write-up'!$Q$18,'[1]observations-276632'!W346&lt;'[1]Methods write-up'!$R$18,'[1]observations-276632'!X346&gt;'[1]Methods write-up'!$S$18,'[1]observations-276632'!X346&lt;'[1]Methods write-up'!$T$18),"Somali peninsula","")</f>
        <v/>
      </c>
      <c r="BA346" s="22" t="str">
        <f>IF(AND('[1]observations-276632'!W346&gt;'[1]Methods write-up'!$Q$19,'[1]observations-276632'!W346&lt;'[1]Methods write-up'!$R$19,'[1]observations-276632'!X346&gt;'[1]Methods write-up'!$S$19,'[1]observations-276632'!X346&lt;'[1]Methods write-up'!$T$19),"East Africa","")</f>
        <v/>
      </c>
      <c r="BB346" s="22" t="str">
        <f>IF(AND('[1]observations-276632'!W346&gt;'[1]Methods write-up'!$Q$20,'[1]observations-276632'!W346&lt;'[1]Methods write-up'!$R$20,'[1]observations-276632'!X346&gt;'[1]Methods write-up'!$S$20,'[1]observations-276632'!X346&lt;'[1]Methods write-up'!$T$20),"Temperate seasonal","")</f>
        <v>Temperate seasonal</v>
      </c>
      <c r="BC346" s="22" t="str">
        <f>IF(AND('[1]observations-276632'!W346&gt;'[1]Methods write-up'!$Q$21,'[1]observations-276632'!W346&lt;'[1]Methods write-up'!$R$21,'[1]observations-276632'!X346&gt;'[1]Methods write-up'!$S$21,'[1]observations-276632'!X346&lt;'[1]Methods write-up'!$T$21),"Desert and high aridity","")</f>
        <v/>
      </c>
      <c r="BD346" s="23" t="str">
        <f t="shared" si="24"/>
        <v>Temperate seasonal</v>
      </c>
      <c r="BE346" s="24">
        <f t="shared" si="22"/>
        <v>3</v>
      </c>
      <c r="BF346" s="24">
        <f t="shared" si="23"/>
        <v>7</v>
      </c>
    </row>
    <row r="347" spans="1:58" ht="16.25" customHeight="1" x14ac:dyDescent="0.2">
      <c r="A347">
        <v>35141370</v>
      </c>
      <c r="B347" t="s">
        <v>2522</v>
      </c>
      <c r="C347" s="14">
        <v>40639</v>
      </c>
      <c r="D347" t="s">
        <v>2523</v>
      </c>
      <c r="E347" t="s">
        <v>113</v>
      </c>
      <c r="F347">
        <v>2239242</v>
      </c>
      <c r="G347" t="s">
        <v>2496</v>
      </c>
      <c r="H347" t="s">
        <v>2497</v>
      </c>
      <c r="I347" t="s">
        <v>2524</v>
      </c>
      <c r="J347" t="s">
        <v>2525</v>
      </c>
      <c r="K347" t="s">
        <v>62</v>
      </c>
      <c r="L347" t="s">
        <v>63</v>
      </c>
      <c r="M347" t="s">
        <v>2526</v>
      </c>
      <c r="N347" t="s">
        <v>2527</v>
      </c>
      <c r="R347">
        <v>2</v>
      </c>
      <c r="S347">
        <v>0</v>
      </c>
      <c r="T347" t="b">
        <v>0</v>
      </c>
      <c r="V347" t="s">
        <v>2528</v>
      </c>
      <c r="W347" s="15">
        <v>-24.634434519999999</v>
      </c>
      <c r="X347" s="15">
        <v>28.68056039</v>
      </c>
      <c r="Y347">
        <v>2379</v>
      </c>
      <c r="AC347">
        <v>2379</v>
      </c>
      <c r="AF347" t="b">
        <v>0</v>
      </c>
      <c r="AI347" t="s">
        <v>71</v>
      </c>
      <c r="AJ347" t="s">
        <v>70</v>
      </c>
      <c r="AK347" t="s">
        <v>71</v>
      </c>
      <c r="AL347" t="s">
        <v>72</v>
      </c>
      <c r="AM347">
        <v>346053</v>
      </c>
      <c r="AO347" s="16" t="s">
        <v>150</v>
      </c>
      <c r="AP347" s="17" t="str">
        <f t="shared" si="25"/>
        <v>Male (off nest)</v>
      </c>
      <c r="AX347" s="22" t="str">
        <f>IF(AND('[1]observations-276632'!W347&gt;'[1]Methods write-up'!$Q$16,'[1]observations-276632'!W347&lt;'[1]Methods write-up'!$R$16,'[1]observations-276632'!X347&gt;'[1]Methods write-up'!$S$16,'[1]observations-276632'!X347&lt;'[1]Methods write-up'!$T$16),"West and Central Africa","")</f>
        <v/>
      </c>
      <c r="AY347" s="22" t="str">
        <f>IF(AND('[1]observations-276632'!W347&gt;'[1]Methods write-up'!$Q$17,'[1]observations-276632'!W347&lt;'[1]Methods write-up'!$R$17,'[1]observations-276632'!X347&gt;'[1]Methods write-up'!$S$17,'[1]observations-276632'!X347&lt;'[1]Methods write-up'!$T$17),"Equatorial tropical forest","")</f>
        <v/>
      </c>
      <c r="AZ347" s="22" t="str">
        <f>IF(AND('[1]observations-276632'!W347&gt;'[1]Methods write-up'!$Q$18,'[1]observations-276632'!W347&lt;'[1]Methods write-up'!$R$18,'[1]observations-276632'!X347&gt;'[1]Methods write-up'!$S$18,'[1]observations-276632'!X347&lt;'[1]Methods write-up'!$T$18),"Somali peninsula","")</f>
        <v/>
      </c>
      <c r="BA347" s="22" t="str">
        <f>IF(AND('[1]observations-276632'!W347&gt;'[1]Methods write-up'!$Q$19,'[1]observations-276632'!W347&lt;'[1]Methods write-up'!$R$19,'[1]observations-276632'!X347&gt;'[1]Methods write-up'!$S$19,'[1]observations-276632'!X347&lt;'[1]Methods write-up'!$T$19),"East Africa","")</f>
        <v/>
      </c>
      <c r="BB347" s="22" t="str">
        <f>IF(AND('[1]observations-276632'!W347&gt;'[1]Methods write-up'!$Q$20,'[1]observations-276632'!W347&lt;'[1]Methods write-up'!$R$20,'[1]observations-276632'!X347&gt;'[1]Methods write-up'!$S$20,'[1]observations-276632'!X347&lt;'[1]Methods write-up'!$T$20),"Temperate seasonal","")</f>
        <v/>
      </c>
      <c r="BC347" s="22" t="str">
        <f>IF(AND('[1]observations-276632'!W347&gt;'[1]Methods write-up'!$Q$21,'[1]observations-276632'!W347&lt;'[1]Methods write-up'!$R$21,'[1]observations-276632'!X347&gt;'[1]Methods write-up'!$S$21,'[1]observations-276632'!X347&lt;'[1]Methods write-up'!$T$21),"Desert and high aridity","")</f>
        <v/>
      </c>
      <c r="BD347" s="23" t="str">
        <f t="shared" si="24"/>
        <v/>
      </c>
      <c r="BE347" s="24">
        <f t="shared" si="22"/>
        <v>6</v>
      </c>
      <c r="BF347" s="24">
        <f t="shared" si="23"/>
        <v>4</v>
      </c>
    </row>
    <row r="348" spans="1:58" ht="16.25" customHeight="1" x14ac:dyDescent="0.2">
      <c r="A348">
        <v>35179477</v>
      </c>
      <c r="B348" t="s">
        <v>2529</v>
      </c>
      <c r="C348" s="14">
        <v>41926</v>
      </c>
      <c r="D348" t="s">
        <v>2530</v>
      </c>
      <c r="E348" t="s">
        <v>243</v>
      </c>
      <c r="F348">
        <v>1738786</v>
      </c>
      <c r="G348" t="s">
        <v>2531</v>
      </c>
      <c r="I348" t="s">
        <v>2532</v>
      </c>
      <c r="J348" t="s">
        <v>2533</v>
      </c>
      <c r="K348" t="s">
        <v>157</v>
      </c>
      <c r="L348" t="s">
        <v>63</v>
      </c>
      <c r="M348" t="s">
        <v>2534</v>
      </c>
      <c r="N348" t="s">
        <v>2535</v>
      </c>
      <c r="R348">
        <v>1</v>
      </c>
      <c r="S348">
        <v>0</v>
      </c>
      <c r="T348" t="b">
        <v>0</v>
      </c>
      <c r="V348" t="s">
        <v>2536</v>
      </c>
      <c r="W348" s="15">
        <v>-21.169185460000001</v>
      </c>
      <c r="X348" s="15">
        <v>45.599192420000001</v>
      </c>
      <c r="Y348">
        <v>61</v>
      </c>
      <c r="AC348">
        <v>61</v>
      </c>
      <c r="AF348" t="b">
        <v>0</v>
      </c>
      <c r="AI348" t="s">
        <v>70</v>
      </c>
      <c r="AJ348" t="s">
        <v>2537</v>
      </c>
      <c r="AL348" t="s">
        <v>72</v>
      </c>
      <c r="AM348">
        <v>1098050</v>
      </c>
      <c r="AO348" s="16" t="s">
        <v>73</v>
      </c>
      <c r="AP348" s="17" t="str">
        <f t="shared" si="25"/>
        <v>Off-nest female</v>
      </c>
      <c r="AX348" s="22" t="str">
        <f>IF(AND('[1]observations-276632'!W348&gt;'[1]Methods write-up'!$Q$16,'[1]observations-276632'!W348&lt;'[1]Methods write-up'!$R$16,'[1]observations-276632'!X348&gt;'[1]Methods write-up'!$S$16,'[1]observations-276632'!X348&lt;'[1]Methods write-up'!$T$16),"West and Central Africa","")</f>
        <v/>
      </c>
      <c r="AY348" s="22" t="str">
        <f>IF(AND('[1]observations-276632'!W348&gt;'[1]Methods write-up'!$Q$17,'[1]observations-276632'!W348&lt;'[1]Methods write-up'!$R$17,'[1]observations-276632'!X348&gt;'[1]Methods write-up'!$S$17,'[1]observations-276632'!X348&lt;'[1]Methods write-up'!$T$17),"Equatorial tropical forest","")</f>
        <v/>
      </c>
      <c r="AZ348" s="22" t="str">
        <f>IF(AND('[1]observations-276632'!W348&gt;'[1]Methods write-up'!$Q$18,'[1]observations-276632'!W348&lt;'[1]Methods write-up'!$R$18,'[1]observations-276632'!X348&gt;'[1]Methods write-up'!$S$18,'[1]observations-276632'!X348&lt;'[1]Methods write-up'!$T$18),"Somali peninsula","")</f>
        <v/>
      </c>
      <c r="BA348" s="22" t="str">
        <f>IF(AND('[1]observations-276632'!W348&gt;'[1]Methods write-up'!$Q$19,'[1]observations-276632'!W348&lt;'[1]Methods write-up'!$R$19,'[1]observations-276632'!X348&gt;'[1]Methods write-up'!$S$19,'[1]observations-276632'!X348&lt;'[1]Methods write-up'!$T$19),"East Africa","")</f>
        <v/>
      </c>
      <c r="BB348" s="22" t="str">
        <f>IF(AND('[1]observations-276632'!W348&gt;'[1]Methods write-up'!$Q$20,'[1]observations-276632'!W348&lt;'[1]Methods write-up'!$R$20,'[1]observations-276632'!X348&gt;'[1]Methods write-up'!$S$20,'[1]observations-276632'!X348&lt;'[1]Methods write-up'!$T$20),"Temperate seasonal","")</f>
        <v/>
      </c>
      <c r="BC348" s="22" t="str">
        <f>IF(AND('[1]observations-276632'!W348&gt;'[1]Methods write-up'!$Q$21,'[1]observations-276632'!W348&lt;'[1]Methods write-up'!$R$21,'[1]observations-276632'!X348&gt;'[1]Methods write-up'!$S$21,'[1]observations-276632'!X348&lt;'[1]Methods write-up'!$T$21),"Desert and high aridity","")</f>
        <v/>
      </c>
      <c r="BD348" s="23" t="str">
        <f t="shared" si="24"/>
        <v/>
      </c>
      <c r="BE348" s="24">
        <f t="shared" si="22"/>
        <v>14</v>
      </c>
      <c r="BF348" s="24">
        <f t="shared" si="23"/>
        <v>10</v>
      </c>
    </row>
    <row r="349" spans="1:58" ht="16.25" customHeight="1" x14ac:dyDescent="0.2">
      <c r="A349">
        <v>35371962</v>
      </c>
      <c r="B349" t="s">
        <v>2538</v>
      </c>
      <c r="C349" s="14">
        <v>43775</v>
      </c>
      <c r="D349" t="s">
        <v>2539</v>
      </c>
      <c r="E349" t="s">
        <v>113</v>
      </c>
      <c r="F349">
        <v>611863</v>
      </c>
      <c r="G349" t="s">
        <v>825</v>
      </c>
      <c r="I349" t="s">
        <v>2540</v>
      </c>
      <c r="J349" t="s">
        <v>2541</v>
      </c>
      <c r="K349" t="s">
        <v>62</v>
      </c>
      <c r="L349" t="s">
        <v>98</v>
      </c>
      <c r="M349" t="s">
        <v>2542</v>
      </c>
      <c r="N349" t="s">
        <v>2543</v>
      </c>
      <c r="R349">
        <v>3</v>
      </c>
      <c r="S349">
        <v>0</v>
      </c>
      <c r="T349" t="b">
        <v>0</v>
      </c>
      <c r="U349">
        <v>3</v>
      </c>
      <c r="V349" t="s">
        <v>2544</v>
      </c>
      <c r="W349" s="15">
        <v>-29.845376779999999</v>
      </c>
      <c r="X349" s="15">
        <v>30.919394019999999</v>
      </c>
      <c r="Y349">
        <v>43</v>
      </c>
      <c r="AC349">
        <v>43</v>
      </c>
      <c r="AF349" t="b">
        <v>0</v>
      </c>
      <c r="AI349" t="s">
        <v>71</v>
      </c>
      <c r="AJ349" t="s">
        <v>70</v>
      </c>
      <c r="AK349" t="s">
        <v>71</v>
      </c>
      <c r="AL349" t="s">
        <v>72</v>
      </c>
      <c r="AM349">
        <v>346053</v>
      </c>
      <c r="AO349" s="16" t="s">
        <v>73</v>
      </c>
      <c r="AP349" s="17" t="str">
        <f t="shared" si="25"/>
        <v>Off-nest female</v>
      </c>
      <c r="AX349" s="22" t="str">
        <f>IF(AND('[1]observations-276632'!W349&gt;'[1]Methods write-up'!$Q$16,'[1]observations-276632'!W349&lt;'[1]Methods write-up'!$R$16,'[1]observations-276632'!X349&gt;'[1]Methods write-up'!$S$16,'[1]observations-276632'!X349&lt;'[1]Methods write-up'!$T$16),"West and Central Africa","")</f>
        <v/>
      </c>
      <c r="AY349" s="22" t="str">
        <f>IF(AND('[1]observations-276632'!W349&gt;'[1]Methods write-up'!$Q$17,'[1]observations-276632'!W349&lt;'[1]Methods write-up'!$R$17,'[1]observations-276632'!X349&gt;'[1]Methods write-up'!$S$17,'[1]observations-276632'!X349&lt;'[1]Methods write-up'!$T$17),"Equatorial tropical forest","")</f>
        <v/>
      </c>
      <c r="AZ349" s="22" t="str">
        <f>IF(AND('[1]observations-276632'!W349&gt;'[1]Methods write-up'!$Q$18,'[1]observations-276632'!W349&lt;'[1]Methods write-up'!$R$18,'[1]observations-276632'!X349&gt;'[1]Methods write-up'!$S$18,'[1]observations-276632'!X349&lt;'[1]Methods write-up'!$T$18),"Somali peninsula","")</f>
        <v/>
      </c>
      <c r="BA349" s="22" t="str">
        <f>IF(AND('[1]observations-276632'!W349&gt;'[1]Methods write-up'!$Q$19,'[1]observations-276632'!W349&lt;'[1]Methods write-up'!$R$19,'[1]observations-276632'!X349&gt;'[1]Methods write-up'!$S$19,'[1]observations-276632'!X349&lt;'[1]Methods write-up'!$T$19),"East Africa","")</f>
        <v/>
      </c>
      <c r="BB349" s="22" t="str">
        <f>IF(AND('[1]observations-276632'!W349&gt;'[1]Methods write-up'!$Q$20,'[1]observations-276632'!W349&lt;'[1]Methods write-up'!$R$20,'[1]observations-276632'!X349&gt;'[1]Methods write-up'!$S$20,'[1]observations-276632'!X349&lt;'[1]Methods write-up'!$T$20),"Temperate seasonal","")</f>
        <v>Temperate seasonal</v>
      </c>
      <c r="BC349" s="22" t="str">
        <f>IF(AND('[1]observations-276632'!W349&gt;'[1]Methods write-up'!$Q$21,'[1]observations-276632'!W349&lt;'[1]Methods write-up'!$R$21,'[1]observations-276632'!X349&gt;'[1]Methods write-up'!$S$21,'[1]observations-276632'!X349&lt;'[1]Methods write-up'!$T$21),"Desert and high aridity","")</f>
        <v/>
      </c>
      <c r="BD349" s="23" t="str">
        <f t="shared" si="24"/>
        <v>Temperate seasonal</v>
      </c>
      <c r="BE349" s="24">
        <f t="shared" si="22"/>
        <v>6</v>
      </c>
      <c r="BF349" s="24">
        <f t="shared" si="23"/>
        <v>11</v>
      </c>
    </row>
    <row r="350" spans="1:58" ht="16.25" customHeight="1" x14ac:dyDescent="0.2">
      <c r="A350">
        <v>35669042</v>
      </c>
      <c r="B350" t="s">
        <v>2545</v>
      </c>
      <c r="C350" s="14">
        <v>41942</v>
      </c>
      <c r="D350" t="s">
        <v>2546</v>
      </c>
      <c r="E350" t="s">
        <v>243</v>
      </c>
      <c r="F350">
        <v>1738786</v>
      </c>
      <c r="G350" t="s">
        <v>2531</v>
      </c>
      <c r="I350" t="s">
        <v>2547</v>
      </c>
      <c r="J350" t="s">
        <v>2548</v>
      </c>
      <c r="K350" t="s">
        <v>157</v>
      </c>
      <c r="L350" t="s">
        <v>63</v>
      </c>
      <c r="M350" t="s">
        <v>2549</v>
      </c>
      <c r="N350" t="s">
        <v>2550</v>
      </c>
      <c r="R350">
        <v>1</v>
      </c>
      <c r="S350">
        <v>0</v>
      </c>
      <c r="T350" t="b">
        <v>0</v>
      </c>
      <c r="V350" t="s">
        <v>2551</v>
      </c>
      <c r="W350" s="15">
        <v>-22.88530506</v>
      </c>
      <c r="X350" s="15">
        <v>44.688920969999998</v>
      </c>
      <c r="Y350">
        <v>61</v>
      </c>
      <c r="AC350">
        <v>61</v>
      </c>
      <c r="AF350" t="b">
        <v>0</v>
      </c>
      <c r="AI350" t="s">
        <v>2537</v>
      </c>
      <c r="AJ350" t="s">
        <v>2537</v>
      </c>
      <c r="AL350" t="s">
        <v>72</v>
      </c>
      <c r="AM350">
        <v>1098050</v>
      </c>
      <c r="AO350" s="16" t="s">
        <v>110</v>
      </c>
      <c r="AP350" s="17" t="str">
        <f t="shared" si="25"/>
        <v>Nest (foundress)</v>
      </c>
      <c r="AQ350" s="18">
        <v>1</v>
      </c>
      <c r="AT350" s="19" t="s">
        <v>141</v>
      </c>
      <c r="AX350" s="22" t="str">
        <f>IF(AND('[1]observations-276632'!W350&gt;'[1]Methods write-up'!$Q$16,'[1]observations-276632'!W350&lt;'[1]Methods write-up'!$R$16,'[1]observations-276632'!X350&gt;'[1]Methods write-up'!$S$16,'[1]observations-276632'!X350&lt;'[1]Methods write-up'!$T$16),"West and Central Africa","")</f>
        <v/>
      </c>
      <c r="AY350" s="22" t="str">
        <f>IF(AND('[1]observations-276632'!W350&gt;'[1]Methods write-up'!$Q$17,'[1]observations-276632'!W350&lt;'[1]Methods write-up'!$R$17,'[1]observations-276632'!X350&gt;'[1]Methods write-up'!$S$17,'[1]observations-276632'!X350&lt;'[1]Methods write-up'!$T$17),"Equatorial tropical forest","")</f>
        <v/>
      </c>
      <c r="AZ350" s="22" t="str">
        <f>IF(AND('[1]observations-276632'!W350&gt;'[1]Methods write-up'!$Q$18,'[1]observations-276632'!W350&lt;'[1]Methods write-up'!$R$18,'[1]observations-276632'!X350&gt;'[1]Methods write-up'!$S$18,'[1]observations-276632'!X350&lt;'[1]Methods write-up'!$T$18),"Somali peninsula","")</f>
        <v/>
      </c>
      <c r="BA350" s="22" t="str">
        <f>IF(AND('[1]observations-276632'!W350&gt;'[1]Methods write-up'!$Q$19,'[1]observations-276632'!W350&lt;'[1]Methods write-up'!$R$19,'[1]observations-276632'!X350&gt;'[1]Methods write-up'!$S$19,'[1]observations-276632'!X350&lt;'[1]Methods write-up'!$T$19),"East Africa","")</f>
        <v/>
      </c>
      <c r="BB350" s="22" t="str">
        <f>IF(AND('[1]observations-276632'!W350&gt;'[1]Methods write-up'!$Q$20,'[1]observations-276632'!W350&lt;'[1]Methods write-up'!$R$20,'[1]observations-276632'!X350&gt;'[1]Methods write-up'!$S$20,'[1]observations-276632'!X350&lt;'[1]Methods write-up'!$T$20),"Temperate seasonal","")</f>
        <v/>
      </c>
      <c r="BC350" s="22" t="str">
        <f>IF(AND('[1]observations-276632'!W350&gt;'[1]Methods write-up'!$Q$21,'[1]observations-276632'!W350&lt;'[1]Methods write-up'!$R$21,'[1]observations-276632'!X350&gt;'[1]Methods write-up'!$S$21,'[1]observations-276632'!X350&lt;'[1]Methods write-up'!$T$21),"Desert and high aridity","")</f>
        <v/>
      </c>
      <c r="BD350" s="23" t="str">
        <f t="shared" si="24"/>
        <v/>
      </c>
      <c r="BE350" s="24">
        <f t="shared" si="22"/>
        <v>30</v>
      </c>
      <c r="BF350" s="24">
        <f t="shared" si="23"/>
        <v>10</v>
      </c>
    </row>
    <row r="351" spans="1:58" ht="16.25" customHeight="1" x14ac:dyDescent="0.2">
      <c r="A351">
        <v>35745361</v>
      </c>
      <c r="B351" t="s">
        <v>2552</v>
      </c>
      <c r="C351" s="14">
        <v>43779</v>
      </c>
      <c r="D351" t="s">
        <v>2553</v>
      </c>
      <c r="E351" t="s">
        <v>403</v>
      </c>
      <c r="F351">
        <v>310137</v>
      </c>
      <c r="G351" t="s">
        <v>2554</v>
      </c>
      <c r="H351" t="s">
        <v>2555</v>
      </c>
      <c r="I351" t="s">
        <v>2556</v>
      </c>
      <c r="J351" t="s">
        <v>2557</v>
      </c>
      <c r="K351" t="s">
        <v>62</v>
      </c>
      <c r="L351" t="s">
        <v>127</v>
      </c>
      <c r="M351" t="s">
        <v>2558</v>
      </c>
      <c r="N351" t="s">
        <v>2559</v>
      </c>
      <c r="Q351" t="s">
        <v>2560</v>
      </c>
      <c r="R351">
        <v>1</v>
      </c>
      <c r="S351">
        <v>0</v>
      </c>
      <c r="T351" t="b">
        <v>0</v>
      </c>
      <c r="V351" t="s">
        <v>2561</v>
      </c>
      <c r="W351" s="15">
        <v>-3.2927106089999998</v>
      </c>
      <c r="X351" s="15">
        <v>37.033735249999999</v>
      </c>
      <c r="Y351">
        <v>7813</v>
      </c>
      <c r="AC351">
        <v>7813</v>
      </c>
      <c r="AF351" t="b">
        <v>0</v>
      </c>
      <c r="AI351" t="s">
        <v>71</v>
      </c>
      <c r="AJ351" t="s">
        <v>70</v>
      </c>
      <c r="AK351" t="s">
        <v>71</v>
      </c>
      <c r="AL351" t="s">
        <v>72</v>
      </c>
      <c r="AM351">
        <v>346053</v>
      </c>
      <c r="AO351" s="16" t="s">
        <v>2562</v>
      </c>
      <c r="AP351" s="17" t="str">
        <f t="shared" si="25"/>
        <v>Dead male</v>
      </c>
      <c r="AX351" s="22" t="str">
        <f>IF(AND('[1]observations-276632'!W351&gt;'[1]Methods write-up'!$Q$16,'[1]observations-276632'!W351&lt;'[1]Methods write-up'!$R$16,'[1]observations-276632'!X351&gt;'[1]Methods write-up'!$S$16,'[1]observations-276632'!X351&lt;'[1]Methods write-up'!$T$16),"West and Central Africa","")</f>
        <v/>
      </c>
      <c r="AY351" s="22" t="str">
        <f>IF(AND('[1]observations-276632'!W351&gt;'[1]Methods write-up'!$Q$17,'[1]observations-276632'!W351&lt;'[1]Methods write-up'!$R$17,'[1]observations-276632'!X351&gt;'[1]Methods write-up'!$S$17,'[1]observations-276632'!X351&lt;'[1]Methods write-up'!$T$17),"Equatorial tropical forest","")</f>
        <v/>
      </c>
      <c r="AZ351" s="22" t="str">
        <f>IF(AND('[1]observations-276632'!W351&gt;'[1]Methods write-up'!$Q$18,'[1]observations-276632'!W351&lt;'[1]Methods write-up'!$R$18,'[1]observations-276632'!X351&gt;'[1]Methods write-up'!$S$18,'[1]observations-276632'!X351&lt;'[1]Methods write-up'!$T$18),"Somali peninsula","")</f>
        <v/>
      </c>
      <c r="BA351" s="22" t="str">
        <f>IF(AND('[1]observations-276632'!W351&gt;'[1]Methods write-up'!$Q$19,'[1]observations-276632'!W351&lt;'[1]Methods write-up'!$R$19,'[1]observations-276632'!X351&gt;'[1]Methods write-up'!$S$19,'[1]observations-276632'!X351&lt;'[1]Methods write-up'!$T$19),"East Africa","")</f>
        <v>East Africa</v>
      </c>
      <c r="BB351" s="22" t="str">
        <f>IF(AND('[1]observations-276632'!W351&gt;'[1]Methods write-up'!$Q$20,'[1]observations-276632'!W351&lt;'[1]Methods write-up'!$R$20,'[1]observations-276632'!X351&gt;'[1]Methods write-up'!$S$20,'[1]observations-276632'!X351&lt;'[1]Methods write-up'!$T$20),"Temperate seasonal","")</f>
        <v/>
      </c>
      <c r="BC351" s="22" t="str">
        <f>IF(AND('[1]observations-276632'!W351&gt;'[1]Methods write-up'!$Q$21,'[1]observations-276632'!W351&lt;'[1]Methods write-up'!$R$21,'[1]observations-276632'!X351&gt;'[1]Methods write-up'!$S$21,'[1]observations-276632'!X351&lt;'[1]Methods write-up'!$T$21),"Desert and high aridity","")</f>
        <v/>
      </c>
      <c r="BD351" s="23" t="str">
        <f t="shared" si="24"/>
        <v>East Africa</v>
      </c>
      <c r="BE351" s="24">
        <f t="shared" si="22"/>
        <v>10</v>
      </c>
      <c r="BF351" s="24">
        <f t="shared" si="23"/>
        <v>11</v>
      </c>
    </row>
    <row r="352" spans="1:58" ht="16.25" customHeight="1" x14ac:dyDescent="0.2">
      <c r="A352">
        <v>35918839</v>
      </c>
      <c r="B352" s="13">
        <v>43790</v>
      </c>
      <c r="C352" s="14">
        <v>43790</v>
      </c>
      <c r="E352" t="s">
        <v>201</v>
      </c>
      <c r="F352">
        <v>2081250</v>
      </c>
      <c r="G352" t="s">
        <v>2563</v>
      </c>
      <c r="H352" t="s">
        <v>2564</v>
      </c>
      <c r="I352" t="s">
        <v>2565</v>
      </c>
      <c r="J352" t="s">
        <v>2566</v>
      </c>
      <c r="K352" t="s">
        <v>62</v>
      </c>
      <c r="L352" t="s">
        <v>98</v>
      </c>
      <c r="M352" t="s">
        <v>2567</v>
      </c>
      <c r="N352" t="s">
        <v>2568</v>
      </c>
      <c r="R352">
        <v>1</v>
      </c>
      <c r="S352">
        <v>0</v>
      </c>
      <c r="T352" t="b">
        <v>0</v>
      </c>
      <c r="U352">
        <v>2</v>
      </c>
      <c r="V352" t="s">
        <v>2569</v>
      </c>
      <c r="W352" s="15">
        <v>9.0632934130000002</v>
      </c>
      <c r="X352" s="15">
        <v>38.490248209999997</v>
      </c>
      <c r="Y352">
        <v>3859</v>
      </c>
      <c r="AC352">
        <v>3859</v>
      </c>
      <c r="AF352" t="b">
        <v>0</v>
      </c>
      <c r="AG352" t="s">
        <v>350</v>
      </c>
      <c r="AH352" t="s">
        <v>350</v>
      </c>
      <c r="AI352" t="s">
        <v>71</v>
      </c>
      <c r="AJ352" t="s">
        <v>70</v>
      </c>
      <c r="AK352" t="s">
        <v>71</v>
      </c>
      <c r="AL352" t="s">
        <v>72</v>
      </c>
      <c r="AM352">
        <v>346053</v>
      </c>
      <c r="AO352" s="16" t="s">
        <v>73</v>
      </c>
      <c r="AP352" s="17" t="str">
        <f t="shared" si="25"/>
        <v>Off-nest female</v>
      </c>
      <c r="AX352" s="22" t="str">
        <f>IF(AND('[1]observations-276632'!W352&gt;'[1]Methods write-up'!$Q$16,'[1]observations-276632'!W352&lt;'[1]Methods write-up'!$R$16,'[1]observations-276632'!X352&gt;'[1]Methods write-up'!$S$16,'[1]observations-276632'!X352&lt;'[1]Methods write-up'!$T$16),"West and Central Africa","")</f>
        <v/>
      </c>
      <c r="AY352" s="22" t="str">
        <f>IF(AND('[1]observations-276632'!W352&gt;'[1]Methods write-up'!$Q$17,'[1]observations-276632'!W352&lt;'[1]Methods write-up'!$R$17,'[1]observations-276632'!X352&gt;'[1]Methods write-up'!$S$17,'[1]observations-276632'!X352&lt;'[1]Methods write-up'!$T$17),"Equatorial tropical forest","")</f>
        <v/>
      </c>
      <c r="AZ352" s="22" t="str">
        <f>IF(AND('[1]observations-276632'!W352&gt;'[1]Methods write-up'!$Q$18,'[1]observations-276632'!W352&lt;'[1]Methods write-up'!$R$18,'[1]observations-276632'!X352&gt;'[1]Methods write-up'!$S$18,'[1]observations-276632'!X352&lt;'[1]Methods write-up'!$T$18),"Somali peninsula","")</f>
        <v>Somali peninsula</v>
      </c>
      <c r="BA352" s="22" t="str">
        <f>IF(AND('[1]observations-276632'!W352&gt;'[1]Methods write-up'!$Q$19,'[1]observations-276632'!W352&lt;'[1]Methods write-up'!$R$19,'[1]observations-276632'!X352&gt;'[1]Methods write-up'!$S$19,'[1]observations-276632'!X352&lt;'[1]Methods write-up'!$T$19),"East Africa","")</f>
        <v/>
      </c>
      <c r="BB352" s="22" t="str">
        <f>IF(AND('[1]observations-276632'!W352&gt;'[1]Methods write-up'!$Q$20,'[1]observations-276632'!W352&lt;'[1]Methods write-up'!$R$20,'[1]observations-276632'!X352&gt;'[1]Methods write-up'!$S$20,'[1]observations-276632'!X352&lt;'[1]Methods write-up'!$T$20),"Temperate seasonal","")</f>
        <v/>
      </c>
      <c r="BC352" s="22" t="str">
        <f>IF(AND('[1]observations-276632'!W352&gt;'[1]Methods write-up'!$Q$21,'[1]observations-276632'!W352&lt;'[1]Methods write-up'!$R$21,'[1]observations-276632'!X352&gt;'[1]Methods write-up'!$S$21,'[1]observations-276632'!X352&lt;'[1]Methods write-up'!$T$21),"Desert and high aridity","")</f>
        <v/>
      </c>
      <c r="BD352" s="23" t="str">
        <f t="shared" si="24"/>
        <v>Somali peninsula</v>
      </c>
      <c r="BE352" s="24">
        <f t="shared" si="22"/>
        <v>21</v>
      </c>
      <c r="BF352" s="24">
        <f t="shared" si="23"/>
        <v>11</v>
      </c>
    </row>
    <row r="353" spans="1:58" ht="16.25" customHeight="1" x14ac:dyDescent="0.2">
      <c r="A353">
        <v>35942984</v>
      </c>
      <c r="B353" t="s">
        <v>2570</v>
      </c>
      <c r="C353" s="14">
        <v>43790</v>
      </c>
      <c r="D353" t="s">
        <v>2571</v>
      </c>
      <c r="E353" t="s">
        <v>201</v>
      </c>
      <c r="F353">
        <v>1230815</v>
      </c>
      <c r="G353" t="s">
        <v>2572</v>
      </c>
      <c r="H353" t="s">
        <v>2573</v>
      </c>
      <c r="I353" t="s">
        <v>2574</v>
      </c>
      <c r="J353" t="s">
        <v>2575</v>
      </c>
      <c r="K353" t="s">
        <v>62</v>
      </c>
      <c r="L353" t="s">
        <v>63</v>
      </c>
      <c r="M353" t="s">
        <v>2576</v>
      </c>
      <c r="N353" t="s">
        <v>2577</v>
      </c>
      <c r="R353">
        <v>1</v>
      </c>
      <c r="S353">
        <v>0</v>
      </c>
      <c r="T353" t="b">
        <v>0</v>
      </c>
      <c r="V353" t="s">
        <v>2578</v>
      </c>
      <c r="W353" s="15">
        <v>3.7517406430000002</v>
      </c>
      <c r="X353" s="15">
        <v>29.520535500000001</v>
      </c>
      <c r="Y353">
        <v>31</v>
      </c>
      <c r="AC353">
        <v>31</v>
      </c>
      <c r="AF353" t="b">
        <v>0</v>
      </c>
      <c r="AI353" t="s">
        <v>71</v>
      </c>
      <c r="AJ353" t="s">
        <v>161</v>
      </c>
      <c r="AL353" t="s">
        <v>72</v>
      </c>
      <c r="AM353">
        <v>366867</v>
      </c>
      <c r="AO353" s="16" t="s">
        <v>110</v>
      </c>
      <c r="AP353" s="17" t="str">
        <f t="shared" si="25"/>
        <v>Nest (foundress)</v>
      </c>
      <c r="AQ353" s="18">
        <v>2</v>
      </c>
      <c r="AT353" s="19" t="s">
        <v>104</v>
      </c>
      <c r="AX353" s="22" t="str">
        <f>IF(AND('[1]observations-276632'!W353&gt;'[1]Methods write-up'!$Q$16,'[1]observations-276632'!W353&lt;'[1]Methods write-up'!$R$16,'[1]observations-276632'!X353&gt;'[1]Methods write-up'!$S$16,'[1]observations-276632'!X353&lt;'[1]Methods write-up'!$T$16),"West and Central Africa","")</f>
        <v>West and Central Africa</v>
      </c>
      <c r="AY353" s="22" t="str">
        <f>IF(AND('[1]observations-276632'!W353&gt;'[1]Methods write-up'!$Q$17,'[1]observations-276632'!W353&lt;'[1]Methods write-up'!$R$17,'[1]observations-276632'!X353&gt;'[1]Methods write-up'!$S$17,'[1]observations-276632'!X353&lt;'[1]Methods write-up'!$T$17),"Equatorial tropical forest","")</f>
        <v/>
      </c>
      <c r="AZ353" s="22" t="str">
        <f>IF(AND('[1]observations-276632'!W353&gt;'[1]Methods write-up'!$Q$18,'[1]observations-276632'!W353&lt;'[1]Methods write-up'!$R$18,'[1]observations-276632'!X353&gt;'[1]Methods write-up'!$S$18,'[1]observations-276632'!X353&lt;'[1]Methods write-up'!$T$18),"Somali peninsula","")</f>
        <v/>
      </c>
      <c r="BA353" s="22" t="str">
        <f>IF(AND('[1]observations-276632'!W353&gt;'[1]Methods write-up'!$Q$19,'[1]observations-276632'!W353&lt;'[1]Methods write-up'!$R$19,'[1]observations-276632'!X353&gt;'[1]Methods write-up'!$S$19,'[1]observations-276632'!X353&lt;'[1]Methods write-up'!$T$19),"East Africa","")</f>
        <v/>
      </c>
      <c r="BB353" s="22" t="str">
        <f>IF(AND('[1]observations-276632'!W353&gt;'[1]Methods write-up'!$Q$20,'[1]observations-276632'!W353&lt;'[1]Methods write-up'!$R$20,'[1]observations-276632'!X353&gt;'[1]Methods write-up'!$S$20,'[1]observations-276632'!X353&lt;'[1]Methods write-up'!$T$20),"Temperate seasonal","")</f>
        <v/>
      </c>
      <c r="BC353" s="22" t="str">
        <f>IF(AND('[1]observations-276632'!W353&gt;'[1]Methods write-up'!$Q$21,'[1]observations-276632'!W353&lt;'[1]Methods write-up'!$R$21,'[1]observations-276632'!X353&gt;'[1]Methods write-up'!$S$21,'[1]observations-276632'!X353&lt;'[1]Methods write-up'!$T$21),"Desert and high aridity","")</f>
        <v/>
      </c>
      <c r="BD353" s="23" t="str">
        <f t="shared" si="24"/>
        <v>West and Central Africa</v>
      </c>
      <c r="BE353" s="24">
        <f t="shared" si="22"/>
        <v>21</v>
      </c>
      <c r="BF353" s="24">
        <f t="shared" si="23"/>
        <v>11</v>
      </c>
    </row>
    <row r="354" spans="1:58" ht="16.25" customHeight="1" x14ac:dyDescent="0.2">
      <c r="A354">
        <v>35948195</v>
      </c>
      <c r="B354" t="s">
        <v>2579</v>
      </c>
      <c r="C354" s="14">
        <v>43791</v>
      </c>
      <c r="D354" t="s">
        <v>2580</v>
      </c>
      <c r="E354" t="s">
        <v>113</v>
      </c>
      <c r="F354">
        <v>741598</v>
      </c>
      <c r="G354" t="s">
        <v>1642</v>
      </c>
      <c r="H354" t="s">
        <v>1643</v>
      </c>
      <c r="I354" t="s">
        <v>2581</v>
      </c>
      <c r="J354" t="s">
        <v>2582</v>
      </c>
      <c r="K354" t="s">
        <v>62</v>
      </c>
      <c r="L354" t="s">
        <v>373</v>
      </c>
      <c r="M354" t="s">
        <v>2583</v>
      </c>
      <c r="N354" t="s">
        <v>2584</v>
      </c>
      <c r="R354">
        <v>0</v>
      </c>
      <c r="S354">
        <v>0</v>
      </c>
      <c r="T354" t="b">
        <v>0</v>
      </c>
      <c r="V354" t="s">
        <v>1648</v>
      </c>
      <c r="W354" s="15">
        <v>-32.992042750000003</v>
      </c>
      <c r="X354" s="15">
        <v>27.93796961</v>
      </c>
      <c r="Y354">
        <v>10</v>
      </c>
      <c r="AC354">
        <v>10</v>
      </c>
      <c r="AF354" t="b">
        <v>0</v>
      </c>
      <c r="AI354" t="s">
        <v>161</v>
      </c>
      <c r="AJ354" t="s">
        <v>161</v>
      </c>
      <c r="AL354" t="s">
        <v>72</v>
      </c>
      <c r="AM354">
        <v>366867</v>
      </c>
      <c r="AO354" s="16" t="s">
        <v>140</v>
      </c>
      <c r="AP354" s="17" t="str">
        <f t="shared" si="25"/>
        <v>Post-emergence nest</v>
      </c>
      <c r="AQ354" s="18">
        <v>16</v>
      </c>
      <c r="AT354" s="19" t="s">
        <v>141</v>
      </c>
      <c r="AU354" s="20" t="s">
        <v>141</v>
      </c>
      <c r="AX354" s="22" t="str">
        <f>IF(AND('[1]observations-276632'!W354&gt;'[1]Methods write-up'!$Q$16,'[1]observations-276632'!W354&lt;'[1]Methods write-up'!$R$16,'[1]observations-276632'!X354&gt;'[1]Methods write-up'!$S$16,'[1]observations-276632'!X354&lt;'[1]Methods write-up'!$T$16),"West and Central Africa","")</f>
        <v/>
      </c>
      <c r="AY354" s="22" t="str">
        <f>IF(AND('[1]observations-276632'!W354&gt;'[1]Methods write-up'!$Q$17,'[1]observations-276632'!W354&lt;'[1]Methods write-up'!$R$17,'[1]observations-276632'!X354&gt;'[1]Methods write-up'!$S$17,'[1]observations-276632'!X354&lt;'[1]Methods write-up'!$T$17),"Equatorial tropical forest","")</f>
        <v/>
      </c>
      <c r="AZ354" s="22" t="str">
        <f>IF(AND('[1]observations-276632'!W354&gt;'[1]Methods write-up'!$Q$18,'[1]observations-276632'!W354&lt;'[1]Methods write-up'!$R$18,'[1]observations-276632'!X354&gt;'[1]Methods write-up'!$S$18,'[1]observations-276632'!X354&lt;'[1]Methods write-up'!$T$18),"Somali peninsula","")</f>
        <v/>
      </c>
      <c r="BA354" s="22" t="str">
        <f>IF(AND('[1]observations-276632'!W354&gt;'[1]Methods write-up'!$Q$19,'[1]observations-276632'!W354&lt;'[1]Methods write-up'!$R$19,'[1]observations-276632'!X354&gt;'[1]Methods write-up'!$S$19,'[1]observations-276632'!X354&lt;'[1]Methods write-up'!$T$19),"East Africa","")</f>
        <v/>
      </c>
      <c r="BB354" s="22" t="str">
        <f>IF(AND('[1]observations-276632'!W354&gt;'[1]Methods write-up'!$Q$20,'[1]observations-276632'!W354&lt;'[1]Methods write-up'!$R$20,'[1]observations-276632'!X354&gt;'[1]Methods write-up'!$S$20,'[1]observations-276632'!X354&lt;'[1]Methods write-up'!$T$20),"Temperate seasonal","")</f>
        <v>Temperate seasonal</v>
      </c>
      <c r="BC354" s="22" t="str">
        <f>IF(AND('[1]observations-276632'!W354&gt;'[1]Methods write-up'!$Q$21,'[1]observations-276632'!W354&lt;'[1]Methods write-up'!$R$21,'[1]observations-276632'!X354&gt;'[1]Methods write-up'!$S$21,'[1]observations-276632'!X354&lt;'[1]Methods write-up'!$T$21),"Desert and high aridity","")</f>
        <v/>
      </c>
      <c r="BD354" s="23" t="str">
        <f t="shared" si="24"/>
        <v>Temperate seasonal</v>
      </c>
      <c r="BE354" s="24">
        <f t="shared" si="22"/>
        <v>22</v>
      </c>
      <c r="BF354" s="24">
        <f t="shared" si="23"/>
        <v>11</v>
      </c>
    </row>
    <row r="355" spans="1:58" ht="16.25" customHeight="1" x14ac:dyDescent="0.2">
      <c r="A355">
        <v>35971745</v>
      </c>
      <c r="B355" t="s">
        <v>2585</v>
      </c>
      <c r="C355" s="14">
        <v>43783</v>
      </c>
      <c r="D355" t="s">
        <v>2586</v>
      </c>
      <c r="E355" t="s">
        <v>57</v>
      </c>
      <c r="F355">
        <v>703114</v>
      </c>
      <c r="G355" t="s">
        <v>2136</v>
      </c>
      <c r="H355" t="s">
        <v>2137</v>
      </c>
      <c r="I355" t="s">
        <v>2587</v>
      </c>
      <c r="J355" t="s">
        <v>2588</v>
      </c>
      <c r="K355" t="s">
        <v>62</v>
      </c>
      <c r="L355" t="s">
        <v>98</v>
      </c>
      <c r="M355" t="s">
        <v>2589</v>
      </c>
      <c r="N355" t="s">
        <v>2590</v>
      </c>
      <c r="R355">
        <v>2</v>
      </c>
      <c r="S355">
        <v>0</v>
      </c>
      <c r="T355" t="b">
        <v>0</v>
      </c>
      <c r="V355" t="s">
        <v>2591</v>
      </c>
      <c r="W355" s="15">
        <v>-29.543824220000001</v>
      </c>
      <c r="X355" s="15">
        <v>30.269066500000001</v>
      </c>
      <c r="Y355">
        <v>4</v>
      </c>
      <c r="AC355">
        <v>4</v>
      </c>
      <c r="AF355" t="b">
        <v>0</v>
      </c>
      <c r="AI355" t="s">
        <v>71</v>
      </c>
      <c r="AJ355" t="s">
        <v>70</v>
      </c>
      <c r="AK355" t="s">
        <v>71</v>
      </c>
      <c r="AL355" t="s">
        <v>72</v>
      </c>
      <c r="AM355">
        <v>346053</v>
      </c>
      <c r="AO355" s="16" t="s">
        <v>73</v>
      </c>
      <c r="AP355" s="17" t="str">
        <f t="shared" si="25"/>
        <v>Off-nest female</v>
      </c>
      <c r="AX355" s="22" t="str">
        <f>IF(AND('[1]observations-276632'!W355&gt;'[1]Methods write-up'!$Q$16,'[1]observations-276632'!W355&lt;'[1]Methods write-up'!$R$16,'[1]observations-276632'!X355&gt;'[1]Methods write-up'!$S$16,'[1]observations-276632'!X355&lt;'[1]Methods write-up'!$T$16),"West and Central Africa","")</f>
        <v/>
      </c>
      <c r="AY355" s="22" t="str">
        <f>IF(AND('[1]observations-276632'!W355&gt;'[1]Methods write-up'!$Q$17,'[1]observations-276632'!W355&lt;'[1]Methods write-up'!$R$17,'[1]observations-276632'!X355&gt;'[1]Methods write-up'!$S$17,'[1]observations-276632'!X355&lt;'[1]Methods write-up'!$T$17),"Equatorial tropical forest","")</f>
        <v/>
      </c>
      <c r="AZ355" s="22" t="str">
        <f>IF(AND('[1]observations-276632'!W355&gt;'[1]Methods write-up'!$Q$18,'[1]observations-276632'!W355&lt;'[1]Methods write-up'!$R$18,'[1]observations-276632'!X355&gt;'[1]Methods write-up'!$S$18,'[1]observations-276632'!X355&lt;'[1]Methods write-up'!$T$18),"Somali peninsula","")</f>
        <v/>
      </c>
      <c r="BA355" s="22" t="str">
        <f>IF(AND('[1]observations-276632'!W355&gt;'[1]Methods write-up'!$Q$19,'[1]observations-276632'!W355&lt;'[1]Methods write-up'!$R$19,'[1]observations-276632'!X355&gt;'[1]Methods write-up'!$S$19,'[1]observations-276632'!X355&lt;'[1]Methods write-up'!$T$19),"East Africa","")</f>
        <v/>
      </c>
      <c r="BB355" s="22" t="str">
        <f>IF(AND('[1]observations-276632'!W355&gt;'[1]Methods write-up'!$Q$20,'[1]observations-276632'!W355&lt;'[1]Methods write-up'!$R$20,'[1]observations-276632'!X355&gt;'[1]Methods write-up'!$S$20,'[1]observations-276632'!X355&lt;'[1]Methods write-up'!$T$20),"Temperate seasonal","")</f>
        <v>Temperate seasonal</v>
      </c>
      <c r="BC355" s="22" t="str">
        <f>IF(AND('[1]observations-276632'!W355&gt;'[1]Methods write-up'!$Q$21,'[1]observations-276632'!W355&lt;'[1]Methods write-up'!$R$21,'[1]observations-276632'!X355&gt;'[1]Methods write-up'!$S$21,'[1]observations-276632'!X355&lt;'[1]Methods write-up'!$T$21),"Desert and high aridity","")</f>
        <v/>
      </c>
      <c r="BD355" s="23" t="str">
        <f t="shared" si="24"/>
        <v>Temperate seasonal</v>
      </c>
      <c r="BE355" s="24">
        <f t="shared" si="22"/>
        <v>14</v>
      </c>
      <c r="BF355" s="24">
        <f t="shared" si="23"/>
        <v>11</v>
      </c>
    </row>
    <row r="356" spans="1:58" ht="16.25" customHeight="1" x14ac:dyDescent="0.2">
      <c r="A356">
        <v>36054799</v>
      </c>
      <c r="B356" t="s">
        <v>2592</v>
      </c>
      <c r="C356" s="14">
        <v>43793</v>
      </c>
      <c r="D356" t="s">
        <v>2593</v>
      </c>
      <c r="E356" t="s">
        <v>2594</v>
      </c>
      <c r="F356">
        <v>471631</v>
      </c>
      <c r="G356" t="s">
        <v>2595</v>
      </c>
      <c r="I356" t="s">
        <v>2596</v>
      </c>
      <c r="J356" t="s">
        <v>2597</v>
      </c>
      <c r="K356" t="s">
        <v>62</v>
      </c>
      <c r="L356" t="s">
        <v>63</v>
      </c>
      <c r="M356" t="s">
        <v>2598</v>
      </c>
      <c r="N356" t="s">
        <v>2599</v>
      </c>
      <c r="R356">
        <v>2</v>
      </c>
      <c r="S356">
        <v>0</v>
      </c>
      <c r="T356" t="b">
        <v>0</v>
      </c>
      <c r="V356" t="s">
        <v>2600</v>
      </c>
      <c r="W356" s="15">
        <v>-3.3125154769999998</v>
      </c>
      <c r="X356" s="15">
        <v>36.87895511</v>
      </c>
      <c r="Y356">
        <v>25</v>
      </c>
      <c r="AC356">
        <v>25</v>
      </c>
      <c r="AF356" t="b">
        <v>0</v>
      </c>
      <c r="AI356" t="s">
        <v>71</v>
      </c>
      <c r="AJ356" t="s">
        <v>70</v>
      </c>
      <c r="AK356" t="s">
        <v>71</v>
      </c>
      <c r="AL356" t="s">
        <v>72</v>
      </c>
      <c r="AM356">
        <v>346053</v>
      </c>
      <c r="AO356" s="16" t="s">
        <v>140</v>
      </c>
      <c r="AP356" s="17" t="str">
        <f t="shared" si="25"/>
        <v>Post-emergence nest</v>
      </c>
      <c r="AQ356" s="18">
        <v>7</v>
      </c>
      <c r="AT356" s="19" t="s">
        <v>141</v>
      </c>
      <c r="AU356" s="20" t="s">
        <v>104</v>
      </c>
      <c r="AV356" s="21" t="s">
        <v>2601</v>
      </c>
      <c r="AX356" s="22" t="str">
        <f>IF(AND('[1]observations-276632'!W356&gt;'[1]Methods write-up'!$Q$16,'[1]observations-276632'!W356&lt;'[1]Methods write-up'!$R$16,'[1]observations-276632'!X356&gt;'[1]Methods write-up'!$S$16,'[1]observations-276632'!X356&lt;'[1]Methods write-up'!$T$16),"West and Central Africa","")</f>
        <v/>
      </c>
      <c r="AY356" s="22" t="str">
        <f>IF(AND('[1]observations-276632'!W356&gt;'[1]Methods write-up'!$Q$17,'[1]observations-276632'!W356&lt;'[1]Methods write-up'!$R$17,'[1]observations-276632'!X356&gt;'[1]Methods write-up'!$S$17,'[1]observations-276632'!X356&lt;'[1]Methods write-up'!$T$17),"Equatorial tropical forest","")</f>
        <v/>
      </c>
      <c r="AZ356" s="22" t="str">
        <f>IF(AND('[1]observations-276632'!W356&gt;'[1]Methods write-up'!$Q$18,'[1]observations-276632'!W356&lt;'[1]Methods write-up'!$R$18,'[1]observations-276632'!X356&gt;'[1]Methods write-up'!$S$18,'[1]observations-276632'!X356&lt;'[1]Methods write-up'!$T$18),"Somali peninsula","")</f>
        <v/>
      </c>
      <c r="BA356" s="22" t="str">
        <f>IF(AND('[1]observations-276632'!W356&gt;'[1]Methods write-up'!$Q$19,'[1]observations-276632'!W356&lt;'[1]Methods write-up'!$R$19,'[1]observations-276632'!X356&gt;'[1]Methods write-up'!$S$19,'[1]observations-276632'!X356&lt;'[1]Methods write-up'!$T$19),"East Africa","")</f>
        <v>East Africa</v>
      </c>
      <c r="BB356" s="22" t="str">
        <f>IF(AND('[1]observations-276632'!W356&gt;'[1]Methods write-up'!$Q$20,'[1]observations-276632'!W356&lt;'[1]Methods write-up'!$R$20,'[1]observations-276632'!X356&gt;'[1]Methods write-up'!$S$20,'[1]observations-276632'!X356&lt;'[1]Methods write-up'!$T$20),"Temperate seasonal","")</f>
        <v/>
      </c>
      <c r="BC356" s="22" t="str">
        <f>IF(AND('[1]observations-276632'!W356&gt;'[1]Methods write-up'!$Q$21,'[1]observations-276632'!W356&lt;'[1]Methods write-up'!$R$21,'[1]observations-276632'!X356&gt;'[1]Methods write-up'!$S$21,'[1]observations-276632'!X356&lt;'[1]Methods write-up'!$T$21),"Desert and high aridity","")</f>
        <v/>
      </c>
      <c r="BD356" s="23" t="str">
        <f t="shared" si="24"/>
        <v>East Africa</v>
      </c>
      <c r="BE356" s="24">
        <f t="shared" si="22"/>
        <v>24</v>
      </c>
      <c r="BF356" s="24">
        <f t="shared" si="23"/>
        <v>11</v>
      </c>
    </row>
    <row r="357" spans="1:58" ht="16.25" customHeight="1" x14ac:dyDescent="0.2">
      <c r="A357">
        <v>36192395</v>
      </c>
      <c r="B357" t="s">
        <v>2602</v>
      </c>
      <c r="C357" s="14">
        <v>43766</v>
      </c>
      <c r="D357" t="s">
        <v>2603</v>
      </c>
      <c r="E357" t="s">
        <v>256</v>
      </c>
      <c r="F357">
        <v>304776</v>
      </c>
      <c r="G357" t="s">
        <v>2604</v>
      </c>
      <c r="H357" t="s">
        <v>2605</v>
      </c>
      <c r="I357" t="s">
        <v>2606</v>
      </c>
      <c r="J357" t="s">
        <v>2607</v>
      </c>
      <c r="K357" t="s">
        <v>62</v>
      </c>
      <c r="L357" t="s">
        <v>98</v>
      </c>
      <c r="M357" t="s">
        <v>2608</v>
      </c>
      <c r="N357" t="s">
        <v>2609</v>
      </c>
      <c r="R357">
        <v>2</v>
      </c>
      <c r="S357">
        <v>0</v>
      </c>
      <c r="T357" t="b">
        <v>0</v>
      </c>
      <c r="V357" t="s">
        <v>2610</v>
      </c>
      <c r="W357" s="15">
        <v>-12.52114167</v>
      </c>
      <c r="X357" s="15">
        <v>49.172747219999998</v>
      </c>
      <c r="Y357">
        <v>19</v>
      </c>
      <c r="AC357">
        <v>19</v>
      </c>
      <c r="AF357" t="b">
        <v>0</v>
      </c>
      <c r="AI357" t="s">
        <v>71</v>
      </c>
      <c r="AJ357" t="s">
        <v>70</v>
      </c>
      <c r="AK357" t="s">
        <v>71</v>
      </c>
      <c r="AL357" t="s">
        <v>72</v>
      </c>
      <c r="AM357">
        <v>346053</v>
      </c>
      <c r="AO357" s="16" t="s">
        <v>140</v>
      </c>
      <c r="AP357" s="17" t="str">
        <f t="shared" si="25"/>
        <v>Post-emergence nest</v>
      </c>
      <c r="AQ357" s="18">
        <v>8</v>
      </c>
      <c r="AT357" s="19" t="s">
        <v>141</v>
      </c>
      <c r="AU357" s="20" t="s">
        <v>141</v>
      </c>
      <c r="AV357" s="21" t="s">
        <v>2611</v>
      </c>
      <c r="AX357" s="22" t="str">
        <f>IF(AND('[1]observations-276632'!W357&gt;'[1]Methods write-up'!$Q$16,'[1]observations-276632'!W357&lt;'[1]Methods write-up'!$R$16,'[1]observations-276632'!X357&gt;'[1]Methods write-up'!$S$16,'[1]observations-276632'!X357&lt;'[1]Methods write-up'!$T$16),"West and Central Africa","")</f>
        <v/>
      </c>
      <c r="AY357" s="22" t="str">
        <f>IF(AND('[1]observations-276632'!W357&gt;'[1]Methods write-up'!$Q$17,'[1]observations-276632'!W357&lt;'[1]Methods write-up'!$R$17,'[1]observations-276632'!X357&gt;'[1]Methods write-up'!$S$17,'[1]observations-276632'!X357&lt;'[1]Methods write-up'!$T$17),"Equatorial tropical forest","")</f>
        <v/>
      </c>
      <c r="AZ357" s="22" t="str">
        <f>IF(AND('[1]observations-276632'!W357&gt;'[1]Methods write-up'!$Q$18,'[1]observations-276632'!W357&lt;'[1]Methods write-up'!$R$18,'[1]observations-276632'!X357&gt;'[1]Methods write-up'!$S$18,'[1]observations-276632'!X357&lt;'[1]Methods write-up'!$T$18),"Somali peninsula","")</f>
        <v/>
      </c>
      <c r="BA357" s="22" t="str">
        <f>IF(AND('[1]observations-276632'!W357&gt;'[1]Methods write-up'!$Q$19,'[1]observations-276632'!W357&lt;'[1]Methods write-up'!$R$19,'[1]observations-276632'!X357&gt;'[1]Methods write-up'!$S$19,'[1]observations-276632'!X357&lt;'[1]Methods write-up'!$T$19),"East Africa","")</f>
        <v/>
      </c>
      <c r="BB357" s="22" t="str">
        <f>IF(AND('[1]observations-276632'!W357&gt;'[1]Methods write-up'!$Q$20,'[1]observations-276632'!W357&lt;'[1]Methods write-up'!$R$20,'[1]observations-276632'!X357&gt;'[1]Methods write-up'!$S$20,'[1]observations-276632'!X357&lt;'[1]Methods write-up'!$T$20),"Temperate seasonal","")</f>
        <v/>
      </c>
      <c r="BC357" s="22" t="str">
        <f>IF(AND('[1]observations-276632'!W357&gt;'[1]Methods write-up'!$Q$21,'[1]observations-276632'!W357&lt;'[1]Methods write-up'!$R$21,'[1]observations-276632'!X357&gt;'[1]Methods write-up'!$S$21,'[1]observations-276632'!X357&lt;'[1]Methods write-up'!$T$21),"Desert and high aridity","")</f>
        <v/>
      </c>
      <c r="BD357" s="23" t="str">
        <f t="shared" si="24"/>
        <v/>
      </c>
      <c r="BE357" s="24">
        <f t="shared" si="22"/>
        <v>28</v>
      </c>
      <c r="BF357" s="24">
        <f t="shared" si="23"/>
        <v>10</v>
      </c>
    </row>
    <row r="358" spans="1:58" ht="16.25" customHeight="1" x14ac:dyDescent="0.2">
      <c r="A358">
        <v>36214192</v>
      </c>
      <c r="B358" t="s">
        <v>2612</v>
      </c>
      <c r="C358" s="14">
        <v>43755</v>
      </c>
      <c r="D358" t="s">
        <v>2613</v>
      </c>
      <c r="E358" t="s">
        <v>113</v>
      </c>
      <c r="F358">
        <v>207822</v>
      </c>
      <c r="G358" t="s">
        <v>2614</v>
      </c>
      <c r="H358" t="s">
        <v>2615</v>
      </c>
      <c r="I358" t="s">
        <v>2616</v>
      </c>
      <c r="J358" t="s">
        <v>2617</v>
      </c>
      <c r="K358" t="s">
        <v>62</v>
      </c>
      <c r="L358" t="s">
        <v>63</v>
      </c>
      <c r="M358" t="s">
        <v>2618</v>
      </c>
      <c r="N358" t="s">
        <v>2619</v>
      </c>
      <c r="R358">
        <v>4</v>
      </c>
      <c r="S358">
        <v>0</v>
      </c>
      <c r="T358" t="b">
        <v>0</v>
      </c>
      <c r="V358" t="s">
        <v>2620</v>
      </c>
      <c r="W358" s="15">
        <v>0.81874854100000005</v>
      </c>
      <c r="X358" s="15">
        <v>14.907373079999999</v>
      </c>
      <c r="Y358">
        <v>488</v>
      </c>
      <c r="AC358">
        <v>488</v>
      </c>
      <c r="AF358" t="b">
        <v>0</v>
      </c>
      <c r="AI358" t="s">
        <v>71</v>
      </c>
      <c r="AJ358" t="s">
        <v>70</v>
      </c>
      <c r="AK358" t="s">
        <v>71</v>
      </c>
      <c r="AL358" t="s">
        <v>72</v>
      </c>
      <c r="AM358">
        <v>346053</v>
      </c>
      <c r="AO358" s="16" t="s">
        <v>73</v>
      </c>
      <c r="AP358" s="17" t="str">
        <f t="shared" si="25"/>
        <v>Off-nest female</v>
      </c>
      <c r="AX358" s="22" t="str">
        <f>IF(AND('[1]observations-276632'!W358&gt;'[1]Methods write-up'!$Q$16,'[1]observations-276632'!W358&lt;'[1]Methods write-up'!$R$16,'[1]observations-276632'!X358&gt;'[1]Methods write-up'!$S$16,'[1]observations-276632'!X358&lt;'[1]Methods write-up'!$T$16),"West and Central Africa","")</f>
        <v>West and Central Africa</v>
      </c>
      <c r="AY358" s="22" t="str">
        <f>IF(AND('[1]observations-276632'!W358&gt;'[1]Methods write-up'!$Q$17,'[1]observations-276632'!W358&lt;'[1]Methods write-up'!$R$17,'[1]observations-276632'!X358&gt;'[1]Methods write-up'!$S$17,'[1]observations-276632'!X358&lt;'[1]Methods write-up'!$T$17),"Equatorial tropical forest","")</f>
        <v/>
      </c>
      <c r="AZ358" s="22" t="str">
        <f>IF(AND('[1]observations-276632'!W358&gt;'[1]Methods write-up'!$Q$18,'[1]observations-276632'!W358&lt;'[1]Methods write-up'!$R$18,'[1]observations-276632'!X358&gt;'[1]Methods write-up'!$S$18,'[1]observations-276632'!X358&lt;'[1]Methods write-up'!$T$18),"Somali peninsula","")</f>
        <v/>
      </c>
      <c r="BA358" s="22" t="str">
        <f>IF(AND('[1]observations-276632'!W358&gt;'[1]Methods write-up'!$Q$19,'[1]observations-276632'!W358&lt;'[1]Methods write-up'!$R$19,'[1]observations-276632'!X358&gt;'[1]Methods write-up'!$S$19,'[1]observations-276632'!X358&lt;'[1]Methods write-up'!$T$19),"East Africa","")</f>
        <v/>
      </c>
      <c r="BB358" s="22" t="str">
        <f>IF(AND('[1]observations-276632'!W358&gt;'[1]Methods write-up'!$Q$20,'[1]observations-276632'!W358&lt;'[1]Methods write-up'!$R$20,'[1]observations-276632'!X358&gt;'[1]Methods write-up'!$S$20,'[1]observations-276632'!X358&lt;'[1]Methods write-up'!$T$20),"Temperate seasonal","")</f>
        <v/>
      </c>
      <c r="BC358" s="22" t="str">
        <f>IF(AND('[1]observations-276632'!W358&gt;'[1]Methods write-up'!$Q$21,'[1]observations-276632'!W358&lt;'[1]Methods write-up'!$R$21,'[1]observations-276632'!X358&gt;'[1]Methods write-up'!$S$21,'[1]observations-276632'!X358&lt;'[1]Methods write-up'!$T$21),"Desert and high aridity","")</f>
        <v/>
      </c>
      <c r="BD358" s="23" t="str">
        <f t="shared" si="24"/>
        <v>West and Central Africa</v>
      </c>
      <c r="BE358" s="24">
        <f t="shared" si="22"/>
        <v>17</v>
      </c>
      <c r="BF358" s="24">
        <f t="shared" si="23"/>
        <v>10</v>
      </c>
    </row>
    <row r="359" spans="1:58" ht="16.25" customHeight="1" x14ac:dyDescent="0.2">
      <c r="A359">
        <v>36249726</v>
      </c>
      <c r="B359" t="s">
        <v>2621</v>
      </c>
      <c r="C359" s="14">
        <v>43782</v>
      </c>
      <c r="D359" t="s">
        <v>2622</v>
      </c>
      <c r="E359" t="s">
        <v>84</v>
      </c>
      <c r="F359">
        <v>984515</v>
      </c>
      <c r="G359" t="s">
        <v>2623</v>
      </c>
      <c r="I359" t="s">
        <v>2624</v>
      </c>
      <c r="J359" t="s">
        <v>2625</v>
      </c>
      <c r="K359" t="s">
        <v>62</v>
      </c>
      <c r="L359" t="s">
        <v>63</v>
      </c>
      <c r="M359" t="s">
        <v>2626</v>
      </c>
      <c r="N359" t="s">
        <v>2627</v>
      </c>
      <c r="R359">
        <v>2</v>
      </c>
      <c r="S359">
        <v>0</v>
      </c>
      <c r="T359" t="b">
        <v>0</v>
      </c>
      <c r="U359">
        <v>3</v>
      </c>
      <c r="V359" t="s">
        <v>2628</v>
      </c>
      <c r="W359" s="15">
        <v>-3.1424805</v>
      </c>
      <c r="X359" s="15">
        <v>35.686619999999998</v>
      </c>
      <c r="Y359">
        <v>132</v>
      </c>
      <c r="AC359">
        <v>132</v>
      </c>
      <c r="AF359" t="b">
        <v>0</v>
      </c>
      <c r="AI359" t="s">
        <v>71</v>
      </c>
      <c r="AJ359" t="s">
        <v>70</v>
      </c>
      <c r="AK359" t="s">
        <v>71</v>
      </c>
      <c r="AL359" t="s">
        <v>72</v>
      </c>
      <c r="AM359">
        <v>346053</v>
      </c>
      <c r="AO359" s="16" t="s">
        <v>73</v>
      </c>
      <c r="AP359" s="17" t="str">
        <f t="shared" si="25"/>
        <v>Off-nest female</v>
      </c>
      <c r="AX359" s="22" t="str">
        <f>IF(AND('[1]observations-276632'!W359&gt;'[1]Methods write-up'!$Q$16,'[1]observations-276632'!W359&lt;'[1]Methods write-up'!$R$16,'[1]observations-276632'!X359&gt;'[1]Methods write-up'!$S$16,'[1]observations-276632'!X359&lt;'[1]Methods write-up'!$T$16),"West and Central Africa","")</f>
        <v/>
      </c>
      <c r="AY359" s="22" t="str">
        <f>IF(AND('[1]observations-276632'!W359&gt;'[1]Methods write-up'!$Q$17,'[1]observations-276632'!W359&lt;'[1]Methods write-up'!$R$17,'[1]observations-276632'!X359&gt;'[1]Methods write-up'!$S$17,'[1]observations-276632'!X359&lt;'[1]Methods write-up'!$T$17),"Equatorial tropical forest","")</f>
        <v/>
      </c>
      <c r="AZ359" s="22" t="str">
        <f>IF(AND('[1]observations-276632'!W359&gt;'[1]Methods write-up'!$Q$18,'[1]observations-276632'!W359&lt;'[1]Methods write-up'!$R$18,'[1]observations-276632'!X359&gt;'[1]Methods write-up'!$S$18,'[1]observations-276632'!X359&lt;'[1]Methods write-up'!$T$18),"Somali peninsula","")</f>
        <v/>
      </c>
      <c r="BA359" s="22" t="str">
        <f>IF(AND('[1]observations-276632'!W359&gt;'[1]Methods write-up'!$Q$19,'[1]observations-276632'!W359&lt;'[1]Methods write-up'!$R$19,'[1]observations-276632'!X359&gt;'[1]Methods write-up'!$S$19,'[1]observations-276632'!X359&lt;'[1]Methods write-up'!$T$19),"East Africa","")</f>
        <v>East Africa</v>
      </c>
      <c r="BB359" s="22" t="str">
        <f>IF(AND('[1]observations-276632'!W359&gt;'[1]Methods write-up'!$Q$20,'[1]observations-276632'!W359&lt;'[1]Methods write-up'!$R$20,'[1]observations-276632'!X359&gt;'[1]Methods write-up'!$S$20,'[1]observations-276632'!X359&lt;'[1]Methods write-up'!$T$20),"Temperate seasonal","")</f>
        <v/>
      </c>
      <c r="BC359" s="22" t="str">
        <f>IF(AND('[1]observations-276632'!W359&gt;'[1]Methods write-up'!$Q$21,'[1]observations-276632'!W359&lt;'[1]Methods write-up'!$R$21,'[1]observations-276632'!X359&gt;'[1]Methods write-up'!$S$21,'[1]observations-276632'!X359&lt;'[1]Methods write-up'!$T$21),"Desert and high aridity","")</f>
        <v/>
      </c>
      <c r="BD359" s="23" t="str">
        <f t="shared" si="24"/>
        <v>East Africa</v>
      </c>
      <c r="BE359" s="24">
        <f t="shared" si="22"/>
        <v>13</v>
      </c>
      <c r="BF359" s="24">
        <f t="shared" si="23"/>
        <v>11</v>
      </c>
    </row>
    <row r="360" spans="1:58" ht="16.25" customHeight="1" x14ac:dyDescent="0.2">
      <c r="A360">
        <v>36287375</v>
      </c>
      <c r="B360" t="s">
        <v>2629</v>
      </c>
      <c r="C360" s="14">
        <v>43088</v>
      </c>
      <c r="D360" t="s">
        <v>2630</v>
      </c>
      <c r="E360" t="s">
        <v>113</v>
      </c>
      <c r="F360">
        <v>1229109</v>
      </c>
      <c r="G360" t="s">
        <v>2631</v>
      </c>
      <c r="H360" t="s">
        <v>2632</v>
      </c>
      <c r="I360" t="s">
        <v>2633</v>
      </c>
      <c r="J360" t="s">
        <v>2634</v>
      </c>
      <c r="K360" t="s">
        <v>62</v>
      </c>
      <c r="L360" t="s">
        <v>63</v>
      </c>
      <c r="M360" t="s">
        <v>2635</v>
      </c>
      <c r="N360" t="s">
        <v>2636</v>
      </c>
      <c r="R360">
        <v>2</v>
      </c>
      <c r="S360">
        <v>0</v>
      </c>
      <c r="T360" t="b">
        <v>0</v>
      </c>
      <c r="V360" t="s">
        <v>2637</v>
      </c>
      <c r="W360" s="15">
        <v>-28.43402129</v>
      </c>
      <c r="X360" s="15">
        <v>21.29913028</v>
      </c>
      <c r="Y360">
        <v>31</v>
      </c>
      <c r="AC360">
        <v>31</v>
      </c>
      <c r="AF360" t="b">
        <v>0</v>
      </c>
      <c r="AI360" t="s">
        <v>71</v>
      </c>
      <c r="AJ360" t="s">
        <v>70</v>
      </c>
      <c r="AK360" t="s">
        <v>71</v>
      </c>
      <c r="AL360" t="s">
        <v>72</v>
      </c>
      <c r="AM360">
        <v>346053</v>
      </c>
      <c r="AO360" s="16" t="s">
        <v>73</v>
      </c>
      <c r="AP360" s="17" t="str">
        <f t="shared" si="25"/>
        <v>Off-nest female</v>
      </c>
      <c r="AX360" s="22" t="str">
        <f>IF(AND('[1]observations-276632'!W360&gt;'[1]Methods write-up'!$Q$16,'[1]observations-276632'!W360&lt;'[1]Methods write-up'!$R$16,'[1]observations-276632'!X360&gt;'[1]Methods write-up'!$S$16,'[1]observations-276632'!X360&lt;'[1]Methods write-up'!$T$16),"West and Central Africa","")</f>
        <v/>
      </c>
      <c r="AY360" s="22" t="str">
        <f>IF(AND('[1]observations-276632'!W360&gt;'[1]Methods write-up'!$Q$17,'[1]observations-276632'!W360&lt;'[1]Methods write-up'!$R$17,'[1]observations-276632'!X360&gt;'[1]Methods write-up'!$S$17,'[1]observations-276632'!X360&lt;'[1]Methods write-up'!$T$17),"Equatorial tropical forest","")</f>
        <v/>
      </c>
      <c r="AZ360" s="22" t="str">
        <f>IF(AND('[1]observations-276632'!W360&gt;'[1]Methods write-up'!$Q$18,'[1]observations-276632'!W360&lt;'[1]Methods write-up'!$R$18,'[1]observations-276632'!X360&gt;'[1]Methods write-up'!$S$18,'[1]observations-276632'!X360&lt;'[1]Methods write-up'!$T$18),"Somali peninsula","")</f>
        <v/>
      </c>
      <c r="BA360" s="22" t="str">
        <f>IF(AND('[1]observations-276632'!W360&gt;'[1]Methods write-up'!$Q$19,'[1]observations-276632'!W360&lt;'[1]Methods write-up'!$R$19,'[1]observations-276632'!X360&gt;'[1]Methods write-up'!$S$19,'[1]observations-276632'!X360&lt;'[1]Methods write-up'!$T$19),"East Africa","")</f>
        <v/>
      </c>
      <c r="BB360" s="22" t="str">
        <f>IF(AND('[1]observations-276632'!W360&gt;'[1]Methods write-up'!$Q$20,'[1]observations-276632'!W360&lt;'[1]Methods write-up'!$R$20,'[1]observations-276632'!X360&gt;'[1]Methods write-up'!$S$20,'[1]observations-276632'!X360&lt;'[1]Methods write-up'!$T$20),"Temperate seasonal","")</f>
        <v/>
      </c>
      <c r="BC360" s="22" t="str">
        <f>IF(AND('[1]observations-276632'!W360&gt;'[1]Methods write-up'!$Q$21,'[1]observations-276632'!W360&lt;'[1]Methods write-up'!$R$21,'[1]observations-276632'!X360&gt;'[1]Methods write-up'!$S$21,'[1]observations-276632'!X360&lt;'[1]Methods write-up'!$T$21),"Desert and high aridity","")</f>
        <v>Desert and high aridity</v>
      </c>
      <c r="BD360" s="23" t="str">
        <f t="shared" si="24"/>
        <v>Desert and high aridity</v>
      </c>
      <c r="BE360" s="24">
        <f t="shared" si="22"/>
        <v>19</v>
      </c>
      <c r="BF360" s="24">
        <f t="shared" si="23"/>
        <v>12</v>
      </c>
    </row>
    <row r="361" spans="1:58" ht="16.25" customHeight="1" x14ac:dyDescent="0.2">
      <c r="A361">
        <v>36474501</v>
      </c>
      <c r="B361" t="s">
        <v>2638</v>
      </c>
      <c r="C361" s="14">
        <v>43788</v>
      </c>
      <c r="D361" t="s">
        <v>2639</v>
      </c>
      <c r="E361" t="s">
        <v>463</v>
      </c>
      <c r="F361">
        <v>310137</v>
      </c>
      <c r="G361" t="s">
        <v>2554</v>
      </c>
      <c r="H361" t="s">
        <v>2555</v>
      </c>
      <c r="I361" t="s">
        <v>2640</v>
      </c>
      <c r="J361" t="s">
        <v>2641</v>
      </c>
      <c r="K361" t="s">
        <v>62</v>
      </c>
      <c r="L361" t="s">
        <v>127</v>
      </c>
      <c r="M361" t="s">
        <v>2642</v>
      </c>
      <c r="N361" t="s">
        <v>2643</v>
      </c>
      <c r="Q361" t="s">
        <v>2644</v>
      </c>
      <c r="R361">
        <v>2</v>
      </c>
      <c r="S361">
        <v>0</v>
      </c>
      <c r="T361" t="b">
        <v>0</v>
      </c>
      <c r="V361" t="s">
        <v>2561</v>
      </c>
      <c r="W361" s="15">
        <v>-3.2927106089999998</v>
      </c>
      <c r="X361" s="15">
        <v>37.033735249999999</v>
      </c>
      <c r="Y361">
        <v>7813</v>
      </c>
      <c r="AC361">
        <v>7813</v>
      </c>
      <c r="AF361" t="b">
        <v>0</v>
      </c>
      <c r="AI361" t="s">
        <v>71</v>
      </c>
      <c r="AJ361" t="s">
        <v>70</v>
      </c>
      <c r="AK361" t="s">
        <v>71</v>
      </c>
      <c r="AL361" t="s">
        <v>72</v>
      </c>
      <c r="AM361">
        <v>346053</v>
      </c>
      <c r="AO361" s="16" t="s">
        <v>73</v>
      </c>
      <c r="AP361" s="17" t="str">
        <f t="shared" si="25"/>
        <v>Off-nest female</v>
      </c>
      <c r="AX361" s="22" t="str">
        <f>IF(AND('[1]observations-276632'!W361&gt;'[1]Methods write-up'!$Q$16,'[1]observations-276632'!W361&lt;'[1]Methods write-up'!$R$16,'[1]observations-276632'!X361&gt;'[1]Methods write-up'!$S$16,'[1]observations-276632'!X361&lt;'[1]Methods write-up'!$T$16),"West and Central Africa","")</f>
        <v/>
      </c>
      <c r="AY361" s="22" t="str">
        <f>IF(AND('[1]observations-276632'!W361&gt;'[1]Methods write-up'!$Q$17,'[1]observations-276632'!W361&lt;'[1]Methods write-up'!$R$17,'[1]observations-276632'!X361&gt;'[1]Methods write-up'!$S$17,'[1]observations-276632'!X361&lt;'[1]Methods write-up'!$T$17),"Equatorial tropical forest","")</f>
        <v/>
      </c>
      <c r="AZ361" s="22" t="str">
        <f>IF(AND('[1]observations-276632'!W361&gt;'[1]Methods write-up'!$Q$18,'[1]observations-276632'!W361&lt;'[1]Methods write-up'!$R$18,'[1]observations-276632'!X361&gt;'[1]Methods write-up'!$S$18,'[1]observations-276632'!X361&lt;'[1]Methods write-up'!$T$18),"Somali peninsula","")</f>
        <v/>
      </c>
      <c r="BA361" s="22" t="str">
        <f>IF(AND('[1]observations-276632'!W361&gt;'[1]Methods write-up'!$Q$19,'[1]observations-276632'!W361&lt;'[1]Methods write-up'!$R$19,'[1]observations-276632'!X361&gt;'[1]Methods write-up'!$S$19,'[1]observations-276632'!X361&lt;'[1]Methods write-up'!$T$19),"East Africa","")</f>
        <v>East Africa</v>
      </c>
      <c r="BB361" s="22" t="str">
        <f>IF(AND('[1]observations-276632'!W361&gt;'[1]Methods write-up'!$Q$20,'[1]observations-276632'!W361&lt;'[1]Methods write-up'!$R$20,'[1]observations-276632'!X361&gt;'[1]Methods write-up'!$S$20,'[1]observations-276632'!X361&lt;'[1]Methods write-up'!$T$20),"Temperate seasonal","")</f>
        <v/>
      </c>
      <c r="BC361" s="22" t="str">
        <f>IF(AND('[1]observations-276632'!W361&gt;'[1]Methods write-up'!$Q$21,'[1]observations-276632'!W361&lt;'[1]Methods write-up'!$R$21,'[1]observations-276632'!X361&gt;'[1]Methods write-up'!$S$21,'[1]observations-276632'!X361&lt;'[1]Methods write-up'!$T$21),"Desert and high aridity","")</f>
        <v/>
      </c>
      <c r="BD361" s="23" t="str">
        <f t="shared" si="24"/>
        <v>East Africa</v>
      </c>
      <c r="BE361" s="24">
        <f t="shared" si="22"/>
        <v>19</v>
      </c>
      <c r="BF361" s="24">
        <f t="shared" si="23"/>
        <v>11</v>
      </c>
    </row>
    <row r="362" spans="1:58" ht="16.25" customHeight="1" x14ac:dyDescent="0.2">
      <c r="A362">
        <v>36493611</v>
      </c>
      <c r="B362" t="s">
        <v>2645</v>
      </c>
      <c r="C362" s="14">
        <v>43805</v>
      </c>
      <c r="D362" t="s">
        <v>2646</v>
      </c>
      <c r="E362" t="s">
        <v>113</v>
      </c>
      <c r="F362">
        <v>2125908</v>
      </c>
      <c r="G362" t="s">
        <v>2647</v>
      </c>
      <c r="H362" t="s">
        <v>2648</v>
      </c>
      <c r="I362" t="s">
        <v>2649</v>
      </c>
      <c r="J362" t="s">
        <v>2650</v>
      </c>
      <c r="K362" t="s">
        <v>62</v>
      </c>
      <c r="L362" t="s">
        <v>63</v>
      </c>
      <c r="M362" t="s">
        <v>2651</v>
      </c>
      <c r="N362" t="s">
        <v>2652</v>
      </c>
      <c r="R362">
        <v>3</v>
      </c>
      <c r="S362">
        <v>0</v>
      </c>
      <c r="T362" t="b">
        <v>0</v>
      </c>
      <c r="U362">
        <v>3</v>
      </c>
      <c r="V362" t="s">
        <v>1954</v>
      </c>
      <c r="W362" s="15">
        <v>-33.527103330000003</v>
      </c>
      <c r="X362" s="15">
        <v>23.891813330000002</v>
      </c>
      <c r="AF362" t="b">
        <v>0</v>
      </c>
      <c r="AI362" t="s">
        <v>71</v>
      </c>
      <c r="AJ362" t="s">
        <v>70</v>
      </c>
      <c r="AK362" t="s">
        <v>71</v>
      </c>
      <c r="AL362" t="s">
        <v>72</v>
      </c>
      <c r="AM362">
        <v>346053</v>
      </c>
      <c r="AO362" s="16" t="s">
        <v>73</v>
      </c>
      <c r="AP362" s="17" t="str">
        <f t="shared" si="25"/>
        <v>Off-nest female</v>
      </c>
      <c r="AX362" s="22" t="str">
        <f>IF(AND('[1]observations-276632'!W362&gt;'[1]Methods write-up'!$Q$16,'[1]observations-276632'!W362&lt;'[1]Methods write-up'!$R$16,'[1]observations-276632'!X362&gt;'[1]Methods write-up'!$S$16,'[1]observations-276632'!X362&lt;'[1]Methods write-up'!$T$16),"West and Central Africa","")</f>
        <v/>
      </c>
      <c r="AY362" s="22" t="str">
        <f>IF(AND('[1]observations-276632'!W362&gt;'[1]Methods write-up'!$Q$17,'[1]observations-276632'!W362&lt;'[1]Methods write-up'!$R$17,'[1]observations-276632'!X362&gt;'[1]Methods write-up'!$S$17,'[1]observations-276632'!X362&lt;'[1]Methods write-up'!$T$17),"Equatorial tropical forest","")</f>
        <v/>
      </c>
      <c r="AZ362" s="22" t="str">
        <f>IF(AND('[1]observations-276632'!W362&gt;'[1]Methods write-up'!$Q$18,'[1]observations-276632'!W362&lt;'[1]Methods write-up'!$R$18,'[1]observations-276632'!X362&gt;'[1]Methods write-up'!$S$18,'[1]observations-276632'!X362&lt;'[1]Methods write-up'!$T$18),"Somali peninsula","")</f>
        <v/>
      </c>
      <c r="BA362" s="22" t="str">
        <f>IF(AND('[1]observations-276632'!W362&gt;'[1]Methods write-up'!$Q$19,'[1]observations-276632'!W362&lt;'[1]Methods write-up'!$R$19,'[1]observations-276632'!X362&gt;'[1]Methods write-up'!$S$19,'[1]observations-276632'!X362&lt;'[1]Methods write-up'!$T$19),"East Africa","")</f>
        <v/>
      </c>
      <c r="BB362" s="22" t="str">
        <f>IF(AND('[1]observations-276632'!W362&gt;'[1]Methods write-up'!$Q$20,'[1]observations-276632'!W362&lt;'[1]Methods write-up'!$R$20,'[1]observations-276632'!X362&gt;'[1]Methods write-up'!$S$20,'[1]observations-276632'!X362&lt;'[1]Methods write-up'!$T$20),"Temperate seasonal","")</f>
        <v/>
      </c>
      <c r="BC362" s="22" t="str">
        <f>IF(AND('[1]observations-276632'!W362&gt;'[1]Methods write-up'!$Q$21,'[1]observations-276632'!W362&lt;'[1]Methods write-up'!$R$21,'[1]observations-276632'!X362&gt;'[1]Methods write-up'!$S$21,'[1]observations-276632'!X362&lt;'[1]Methods write-up'!$T$21),"Desert and high aridity","")</f>
        <v/>
      </c>
      <c r="BD362" s="23" t="str">
        <f t="shared" si="24"/>
        <v/>
      </c>
      <c r="BE362" s="24">
        <f t="shared" si="22"/>
        <v>6</v>
      </c>
      <c r="BF362" s="24">
        <f t="shared" si="23"/>
        <v>12</v>
      </c>
    </row>
    <row r="363" spans="1:58" ht="16.25" customHeight="1" x14ac:dyDescent="0.2">
      <c r="A363">
        <v>36558383</v>
      </c>
      <c r="B363" t="s">
        <v>2653</v>
      </c>
      <c r="C363" s="14">
        <v>43798</v>
      </c>
      <c r="D363" t="s">
        <v>2654</v>
      </c>
      <c r="E363" t="s">
        <v>57</v>
      </c>
      <c r="F363">
        <v>268272</v>
      </c>
      <c r="G363" t="s">
        <v>677</v>
      </c>
      <c r="H363" t="s">
        <v>678</v>
      </c>
      <c r="I363" t="s">
        <v>2655</v>
      </c>
      <c r="J363" t="s">
        <v>2656</v>
      </c>
      <c r="K363" t="s">
        <v>157</v>
      </c>
      <c r="L363" t="s">
        <v>63</v>
      </c>
      <c r="M363" t="s">
        <v>2657</v>
      </c>
      <c r="N363" t="s">
        <v>2658</v>
      </c>
      <c r="R363">
        <v>2</v>
      </c>
      <c r="S363">
        <v>0</v>
      </c>
      <c r="T363" t="b">
        <v>0</v>
      </c>
      <c r="U363">
        <v>2</v>
      </c>
      <c r="V363" t="s">
        <v>2659</v>
      </c>
      <c r="W363" s="15">
        <v>7.5022459030000004</v>
      </c>
      <c r="X363" s="15">
        <v>3.9095799919999998</v>
      </c>
      <c r="AF363" t="b">
        <v>0</v>
      </c>
      <c r="AG363" t="s">
        <v>350</v>
      </c>
      <c r="AH363" t="s">
        <v>350</v>
      </c>
      <c r="AI363" t="s">
        <v>71</v>
      </c>
      <c r="AJ363" t="s">
        <v>70</v>
      </c>
      <c r="AK363" t="s">
        <v>71</v>
      </c>
      <c r="AL363" t="s">
        <v>72</v>
      </c>
      <c r="AM363">
        <v>346053</v>
      </c>
      <c r="AO363" s="16" t="s">
        <v>818</v>
      </c>
      <c r="AP363" s="17" t="str">
        <f t="shared" si="25"/>
        <v>Abandoned post-emergence nest</v>
      </c>
      <c r="AX363" s="22" t="str">
        <f>IF(AND('[1]observations-276632'!W363&gt;'[1]Methods write-up'!$Q$16,'[1]observations-276632'!W363&lt;'[1]Methods write-up'!$R$16,'[1]observations-276632'!X363&gt;'[1]Methods write-up'!$S$16,'[1]observations-276632'!X363&lt;'[1]Methods write-up'!$T$16),"West and Central Africa","")</f>
        <v>West and Central Africa</v>
      </c>
      <c r="AY363" s="22" t="str">
        <f>IF(AND('[1]observations-276632'!W363&gt;'[1]Methods write-up'!$Q$17,'[1]observations-276632'!W363&lt;'[1]Methods write-up'!$R$17,'[1]observations-276632'!X363&gt;'[1]Methods write-up'!$S$17,'[1]observations-276632'!X363&lt;'[1]Methods write-up'!$T$17),"Equatorial tropical forest","")</f>
        <v/>
      </c>
      <c r="AZ363" s="22" t="str">
        <f>IF(AND('[1]observations-276632'!W363&gt;'[1]Methods write-up'!$Q$18,'[1]observations-276632'!W363&lt;'[1]Methods write-up'!$R$18,'[1]observations-276632'!X363&gt;'[1]Methods write-up'!$S$18,'[1]observations-276632'!X363&lt;'[1]Methods write-up'!$T$18),"Somali peninsula","")</f>
        <v/>
      </c>
      <c r="BA363" s="22" t="str">
        <f>IF(AND('[1]observations-276632'!W363&gt;'[1]Methods write-up'!$Q$19,'[1]observations-276632'!W363&lt;'[1]Methods write-up'!$R$19,'[1]observations-276632'!X363&gt;'[1]Methods write-up'!$S$19,'[1]observations-276632'!X363&lt;'[1]Methods write-up'!$T$19),"East Africa","")</f>
        <v/>
      </c>
      <c r="BB363" s="22" t="str">
        <f>IF(AND('[1]observations-276632'!W363&gt;'[1]Methods write-up'!$Q$20,'[1]observations-276632'!W363&lt;'[1]Methods write-up'!$R$20,'[1]observations-276632'!X363&gt;'[1]Methods write-up'!$S$20,'[1]observations-276632'!X363&lt;'[1]Methods write-up'!$T$20),"Temperate seasonal","")</f>
        <v/>
      </c>
      <c r="BC363" s="22" t="str">
        <f>IF(AND('[1]observations-276632'!W363&gt;'[1]Methods write-up'!$Q$21,'[1]observations-276632'!W363&lt;'[1]Methods write-up'!$R$21,'[1]observations-276632'!X363&gt;'[1]Methods write-up'!$S$21,'[1]observations-276632'!X363&lt;'[1]Methods write-up'!$T$21),"Desert and high aridity","")</f>
        <v/>
      </c>
      <c r="BD363" s="23" t="str">
        <f t="shared" si="24"/>
        <v>West and Central Africa</v>
      </c>
      <c r="BE363" s="24">
        <f t="shared" si="22"/>
        <v>29</v>
      </c>
      <c r="BF363" s="24">
        <f t="shared" si="23"/>
        <v>11</v>
      </c>
    </row>
    <row r="364" spans="1:58" ht="16.25" customHeight="1" x14ac:dyDescent="0.2">
      <c r="A364">
        <v>36697577</v>
      </c>
      <c r="B364" t="s">
        <v>2660</v>
      </c>
      <c r="C364" s="14">
        <v>42466</v>
      </c>
      <c r="D364" t="s">
        <v>2661</v>
      </c>
      <c r="E364" t="s">
        <v>201</v>
      </c>
      <c r="F364">
        <v>2426443</v>
      </c>
      <c r="G364" t="s">
        <v>2662</v>
      </c>
      <c r="H364" t="s">
        <v>2663</v>
      </c>
      <c r="I364" t="s">
        <v>2664</v>
      </c>
      <c r="J364" t="s">
        <v>2665</v>
      </c>
      <c r="K364" t="s">
        <v>62</v>
      </c>
      <c r="L364" t="s">
        <v>63</v>
      </c>
      <c r="M364" t="s">
        <v>2666</v>
      </c>
      <c r="N364" t="s">
        <v>2667</v>
      </c>
      <c r="R364">
        <v>2</v>
      </c>
      <c r="S364">
        <v>0</v>
      </c>
      <c r="T364" t="b">
        <v>0</v>
      </c>
      <c r="V364" t="s">
        <v>2668</v>
      </c>
      <c r="W364" s="15">
        <v>-1.3244621999999999</v>
      </c>
      <c r="X364" s="15">
        <v>36.798518999999999</v>
      </c>
      <c r="Y364">
        <v>213</v>
      </c>
      <c r="AC364">
        <v>213</v>
      </c>
      <c r="AF364" t="b">
        <v>0</v>
      </c>
      <c r="AI364" t="s">
        <v>71</v>
      </c>
      <c r="AJ364" t="s">
        <v>70</v>
      </c>
      <c r="AK364" t="s">
        <v>71</v>
      </c>
      <c r="AL364" t="s">
        <v>72</v>
      </c>
      <c r="AM364">
        <v>346053</v>
      </c>
      <c r="AO364" s="16" t="s">
        <v>140</v>
      </c>
      <c r="AP364" s="17" t="str">
        <f t="shared" si="25"/>
        <v>Post-emergence nest</v>
      </c>
      <c r="AQ364" s="18">
        <v>17</v>
      </c>
      <c r="AT364" s="19" t="s">
        <v>141</v>
      </c>
      <c r="AU364" s="20" t="s">
        <v>104</v>
      </c>
      <c r="AX364" s="22" t="str">
        <f>IF(AND('[1]observations-276632'!W364&gt;'[1]Methods write-up'!$Q$16,'[1]observations-276632'!W364&lt;'[1]Methods write-up'!$R$16,'[1]observations-276632'!X364&gt;'[1]Methods write-up'!$S$16,'[1]observations-276632'!X364&lt;'[1]Methods write-up'!$T$16),"West and Central Africa","")</f>
        <v/>
      </c>
      <c r="AY364" s="22" t="str">
        <f>IF(AND('[1]observations-276632'!W364&gt;'[1]Methods write-up'!$Q$17,'[1]observations-276632'!W364&lt;'[1]Methods write-up'!$R$17,'[1]observations-276632'!X364&gt;'[1]Methods write-up'!$S$17,'[1]observations-276632'!X364&lt;'[1]Methods write-up'!$T$17),"Equatorial tropical forest","")</f>
        <v/>
      </c>
      <c r="AZ364" s="22" t="str">
        <f>IF(AND('[1]observations-276632'!W364&gt;'[1]Methods write-up'!$Q$18,'[1]observations-276632'!W364&lt;'[1]Methods write-up'!$R$18,'[1]observations-276632'!X364&gt;'[1]Methods write-up'!$S$18,'[1]observations-276632'!X364&lt;'[1]Methods write-up'!$T$18),"Somali peninsula","")</f>
        <v/>
      </c>
      <c r="BA364" s="22" t="str">
        <f>IF(AND('[1]observations-276632'!W364&gt;'[1]Methods write-up'!$Q$19,'[1]observations-276632'!W364&lt;'[1]Methods write-up'!$R$19,'[1]observations-276632'!X364&gt;'[1]Methods write-up'!$S$19,'[1]observations-276632'!X364&lt;'[1]Methods write-up'!$T$19),"East Africa","")</f>
        <v>East Africa</v>
      </c>
      <c r="BB364" s="22" t="str">
        <f>IF(AND('[1]observations-276632'!W364&gt;'[1]Methods write-up'!$Q$20,'[1]observations-276632'!W364&lt;'[1]Methods write-up'!$R$20,'[1]observations-276632'!X364&gt;'[1]Methods write-up'!$S$20,'[1]observations-276632'!X364&lt;'[1]Methods write-up'!$T$20),"Temperate seasonal","")</f>
        <v/>
      </c>
      <c r="BC364" s="22" t="str">
        <f>IF(AND('[1]observations-276632'!W364&gt;'[1]Methods write-up'!$Q$21,'[1]observations-276632'!W364&lt;'[1]Methods write-up'!$R$21,'[1]observations-276632'!X364&gt;'[1]Methods write-up'!$S$21,'[1]observations-276632'!X364&lt;'[1]Methods write-up'!$T$21),"Desert and high aridity","")</f>
        <v/>
      </c>
      <c r="BD364" s="23" t="str">
        <f t="shared" si="24"/>
        <v>East Africa</v>
      </c>
      <c r="BE364" s="24">
        <f t="shared" si="22"/>
        <v>6</v>
      </c>
      <c r="BF364" s="24">
        <f t="shared" si="23"/>
        <v>4</v>
      </c>
    </row>
    <row r="365" spans="1:58" ht="16.25" customHeight="1" x14ac:dyDescent="0.2">
      <c r="A365">
        <v>36757325</v>
      </c>
      <c r="B365" t="s">
        <v>2669</v>
      </c>
      <c r="C365" s="14">
        <v>43817</v>
      </c>
      <c r="D365" t="s">
        <v>2670</v>
      </c>
      <c r="E365" t="s">
        <v>57</v>
      </c>
      <c r="F365">
        <v>776547</v>
      </c>
      <c r="G365" t="s">
        <v>2671</v>
      </c>
      <c r="I365" t="s">
        <v>2672</v>
      </c>
      <c r="J365" t="s">
        <v>2673</v>
      </c>
      <c r="K365" t="s">
        <v>62</v>
      </c>
      <c r="L365" t="s">
        <v>63</v>
      </c>
      <c r="M365" t="s">
        <v>2674</v>
      </c>
      <c r="N365" t="s">
        <v>2675</v>
      </c>
      <c r="R365">
        <v>2</v>
      </c>
      <c r="S365">
        <v>0</v>
      </c>
      <c r="T365" t="b">
        <v>0</v>
      </c>
      <c r="U365">
        <v>2</v>
      </c>
      <c r="V365" t="s">
        <v>2676</v>
      </c>
      <c r="W365" s="15">
        <v>6.5646606419999998</v>
      </c>
      <c r="X365" s="15">
        <v>11.750165259999999</v>
      </c>
      <c r="Y365">
        <v>455</v>
      </c>
      <c r="AC365">
        <v>455</v>
      </c>
      <c r="AF365" t="b">
        <v>0</v>
      </c>
      <c r="AG365" t="s">
        <v>350</v>
      </c>
      <c r="AH365" t="s">
        <v>350</v>
      </c>
      <c r="AI365" t="s">
        <v>71</v>
      </c>
      <c r="AJ365" t="s">
        <v>70</v>
      </c>
      <c r="AK365" t="s">
        <v>71</v>
      </c>
      <c r="AL365" t="s">
        <v>72</v>
      </c>
      <c r="AM365">
        <v>346053</v>
      </c>
      <c r="AO365" s="16" t="s">
        <v>110</v>
      </c>
      <c r="AP365" s="17" t="str">
        <f t="shared" si="25"/>
        <v>Nest (foundress)</v>
      </c>
      <c r="AQ365" s="18">
        <v>3</v>
      </c>
      <c r="AT365" s="19" t="s">
        <v>104</v>
      </c>
      <c r="AX365" s="22" t="str">
        <f>IF(AND('[1]observations-276632'!W365&gt;'[1]Methods write-up'!$Q$16,'[1]observations-276632'!W365&lt;'[1]Methods write-up'!$R$16,'[1]observations-276632'!X365&gt;'[1]Methods write-up'!$S$16,'[1]observations-276632'!X365&lt;'[1]Methods write-up'!$T$16),"West and Central Africa","")</f>
        <v>West and Central Africa</v>
      </c>
      <c r="AY365" s="22" t="str">
        <f>IF(AND('[1]observations-276632'!W365&gt;'[1]Methods write-up'!$Q$17,'[1]observations-276632'!W365&lt;'[1]Methods write-up'!$R$17,'[1]observations-276632'!X365&gt;'[1]Methods write-up'!$S$17,'[1]observations-276632'!X365&lt;'[1]Methods write-up'!$T$17),"Equatorial tropical forest","")</f>
        <v/>
      </c>
      <c r="AZ365" s="22" t="str">
        <f>IF(AND('[1]observations-276632'!W365&gt;'[1]Methods write-up'!$Q$18,'[1]observations-276632'!W365&lt;'[1]Methods write-up'!$R$18,'[1]observations-276632'!X365&gt;'[1]Methods write-up'!$S$18,'[1]observations-276632'!X365&lt;'[1]Methods write-up'!$T$18),"Somali peninsula","")</f>
        <v/>
      </c>
      <c r="BA365" s="22" t="str">
        <f>IF(AND('[1]observations-276632'!W365&gt;'[1]Methods write-up'!$Q$19,'[1]observations-276632'!W365&lt;'[1]Methods write-up'!$R$19,'[1]observations-276632'!X365&gt;'[1]Methods write-up'!$S$19,'[1]observations-276632'!X365&lt;'[1]Methods write-up'!$T$19),"East Africa","")</f>
        <v/>
      </c>
      <c r="BB365" s="22" t="str">
        <f>IF(AND('[1]observations-276632'!W365&gt;'[1]Methods write-up'!$Q$20,'[1]observations-276632'!W365&lt;'[1]Methods write-up'!$R$20,'[1]observations-276632'!X365&gt;'[1]Methods write-up'!$S$20,'[1]observations-276632'!X365&lt;'[1]Methods write-up'!$T$20),"Temperate seasonal","")</f>
        <v/>
      </c>
      <c r="BC365" s="22" t="str">
        <f>IF(AND('[1]observations-276632'!W365&gt;'[1]Methods write-up'!$Q$21,'[1]observations-276632'!W365&lt;'[1]Methods write-up'!$R$21,'[1]observations-276632'!X365&gt;'[1]Methods write-up'!$S$21,'[1]observations-276632'!X365&lt;'[1]Methods write-up'!$T$21),"Desert and high aridity","")</f>
        <v/>
      </c>
      <c r="BD365" s="23" t="str">
        <f t="shared" si="24"/>
        <v>West and Central Africa</v>
      </c>
      <c r="BE365" s="24">
        <f t="shared" si="22"/>
        <v>18</v>
      </c>
      <c r="BF365" s="24">
        <f t="shared" si="23"/>
        <v>12</v>
      </c>
    </row>
    <row r="366" spans="1:58" ht="16.25" customHeight="1" x14ac:dyDescent="0.2">
      <c r="A366">
        <v>36775913</v>
      </c>
      <c r="B366" t="s">
        <v>2677</v>
      </c>
      <c r="C366" s="14">
        <v>42210</v>
      </c>
      <c r="D366" t="s">
        <v>2678</v>
      </c>
      <c r="E366" t="s">
        <v>122</v>
      </c>
      <c r="F366">
        <v>264861</v>
      </c>
      <c r="G366" t="s">
        <v>2679</v>
      </c>
      <c r="H366" t="s">
        <v>2680</v>
      </c>
      <c r="I366" t="s">
        <v>2681</v>
      </c>
      <c r="J366" t="s">
        <v>2682</v>
      </c>
      <c r="K366" t="s">
        <v>62</v>
      </c>
      <c r="M366" t="s">
        <v>2683</v>
      </c>
      <c r="N366" t="s">
        <v>2684</v>
      </c>
      <c r="R366">
        <v>2</v>
      </c>
      <c r="S366">
        <v>0</v>
      </c>
      <c r="T366" t="b">
        <v>0</v>
      </c>
      <c r="V366" t="s">
        <v>2685</v>
      </c>
      <c r="W366" s="15">
        <v>-18.980799690000001</v>
      </c>
      <c r="X366" s="15">
        <v>34.352106509999999</v>
      </c>
      <c r="Y366">
        <v>347</v>
      </c>
      <c r="AC366">
        <v>347</v>
      </c>
      <c r="AF366" t="b">
        <v>0</v>
      </c>
      <c r="AI366" t="s">
        <v>71</v>
      </c>
      <c r="AJ366" t="s">
        <v>70</v>
      </c>
      <c r="AK366" t="s">
        <v>71</v>
      </c>
      <c r="AL366" t="s">
        <v>72</v>
      </c>
      <c r="AM366">
        <v>346053</v>
      </c>
      <c r="AO366" s="16" t="s">
        <v>110</v>
      </c>
      <c r="AP366" s="17" t="str">
        <f t="shared" si="25"/>
        <v>Nest (foundress)</v>
      </c>
      <c r="AQ366" s="18">
        <v>1</v>
      </c>
      <c r="AT366" s="19" t="s">
        <v>104</v>
      </c>
      <c r="AX366" s="22" t="str">
        <f>IF(AND('[1]observations-276632'!W366&gt;'[1]Methods write-up'!$Q$16,'[1]observations-276632'!W366&lt;'[1]Methods write-up'!$R$16,'[1]observations-276632'!X366&gt;'[1]Methods write-up'!$S$16,'[1]observations-276632'!X366&lt;'[1]Methods write-up'!$T$16),"West and Central Africa","")</f>
        <v/>
      </c>
      <c r="AY366" s="22" t="str">
        <f>IF(AND('[1]observations-276632'!W366&gt;'[1]Methods write-up'!$Q$17,'[1]observations-276632'!W366&lt;'[1]Methods write-up'!$R$17,'[1]observations-276632'!X366&gt;'[1]Methods write-up'!$S$17,'[1]observations-276632'!X366&lt;'[1]Methods write-up'!$T$17),"Equatorial tropical forest","")</f>
        <v/>
      </c>
      <c r="AZ366" s="22" t="str">
        <f>IF(AND('[1]observations-276632'!W366&gt;'[1]Methods write-up'!$Q$18,'[1]observations-276632'!W366&lt;'[1]Methods write-up'!$R$18,'[1]observations-276632'!X366&gt;'[1]Methods write-up'!$S$18,'[1]observations-276632'!X366&lt;'[1]Methods write-up'!$T$18),"Somali peninsula","")</f>
        <v/>
      </c>
      <c r="BA366" s="22" t="str">
        <f>IF(AND('[1]observations-276632'!W366&gt;'[1]Methods write-up'!$Q$19,'[1]observations-276632'!W366&lt;'[1]Methods write-up'!$R$19,'[1]observations-276632'!X366&gt;'[1]Methods write-up'!$S$19,'[1]observations-276632'!X366&lt;'[1]Methods write-up'!$T$19),"East Africa","")</f>
        <v/>
      </c>
      <c r="BB366" s="22" t="str">
        <f>IF(AND('[1]observations-276632'!W366&gt;'[1]Methods write-up'!$Q$20,'[1]observations-276632'!W366&lt;'[1]Methods write-up'!$R$20,'[1]observations-276632'!X366&gt;'[1]Methods write-up'!$S$20,'[1]observations-276632'!X366&lt;'[1]Methods write-up'!$T$20),"Temperate seasonal","")</f>
        <v/>
      </c>
      <c r="BC366" s="22" t="str">
        <f>IF(AND('[1]observations-276632'!W366&gt;'[1]Methods write-up'!$Q$21,'[1]observations-276632'!W366&lt;'[1]Methods write-up'!$R$21,'[1]observations-276632'!X366&gt;'[1]Methods write-up'!$S$21,'[1]observations-276632'!X366&lt;'[1]Methods write-up'!$T$21),"Desert and high aridity","")</f>
        <v/>
      </c>
      <c r="BD366" s="23" t="str">
        <f t="shared" si="24"/>
        <v/>
      </c>
      <c r="BE366" s="24">
        <f t="shared" si="22"/>
        <v>25</v>
      </c>
      <c r="BF366" s="24">
        <f t="shared" si="23"/>
        <v>7</v>
      </c>
    </row>
    <row r="367" spans="1:58" ht="16.25" customHeight="1" x14ac:dyDescent="0.2">
      <c r="A367">
        <v>36775914</v>
      </c>
      <c r="B367" t="s">
        <v>2677</v>
      </c>
      <c r="C367" s="14">
        <v>42210</v>
      </c>
      <c r="D367" t="s">
        <v>2678</v>
      </c>
      <c r="E367" t="s">
        <v>122</v>
      </c>
      <c r="F367">
        <v>264861</v>
      </c>
      <c r="G367" t="s">
        <v>2679</v>
      </c>
      <c r="H367" t="s">
        <v>2680</v>
      </c>
      <c r="I367" t="s">
        <v>2686</v>
      </c>
      <c r="J367" t="s">
        <v>2687</v>
      </c>
      <c r="K367" t="s">
        <v>62</v>
      </c>
      <c r="M367" t="s">
        <v>2688</v>
      </c>
      <c r="N367" t="s">
        <v>2689</v>
      </c>
      <c r="R367">
        <v>2</v>
      </c>
      <c r="S367">
        <v>0</v>
      </c>
      <c r="T367" t="b">
        <v>0</v>
      </c>
      <c r="V367" t="s">
        <v>2685</v>
      </c>
      <c r="W367" s="15">
        <v>-18.980799690000001</v>
      </c>
      <c r="X367" s="15">
        <v>34.352106509999999</v>
      </c>
      <c r="Y367">
        <v>347</v>
      </c>
      <c r="AC367">
        <v>347</v>
      </c>
      <c r="AF367" t="b">
        <v>0</v>
      </c>
      <c r="AI367" t="s">
        <v>71</v>
      </c>
      <c r="AJ367" t="s">
        <v>70</v>
      </c>
      <c r="AK367" t="s">
        <v>71</v>
      </c>
      <c r="AL367" t="s">
        <v>72</v>
      </c>
      <c r="AM367">
        <v>346053</v>
      </c>
      <c r="AO367" s="16" t="s">
        <v>140</v>
      </c>
      <c r="AP367" s="17" t="str">
        <f t="shared" si="25"/>
        <v>Post-emergence nest</v>
      </c>
      <c r="AQ367" s="18">
        <v>5</v>
      </c>
      <c r="AT367" s="19" t="s">
        <v>141</v>
      </c>
      <c r="AU367" s="20" t="s">
        <v>104</v>
      </c>
      <c r="AX367" s="22" t="str">
        <f>IF(AND('[1]observations-276632'!W367&gt;'[1]Methods write-up'!$Q$16,'[1]observations-276632'!W367&lt;'[1]Methods write-up'!$R$16,'[1]observations-276632'!X367&gt;'[1]Methods write-up'!$S$16,'[1]observations-276632'!X367&lt;'[1]Methods write-up'!$T$16),"West and Central Africa","")</f>
        <v/>
      </c>
      <c r="AY367" s="22" t="str">
        <f>IF(AND('[1]observations-276632'!W367&gt;'[1]Methods write-up'!$Q$17,'[1]observations-276632'!W367&lt;'[1]Methods write-up'!$R$17,'[1]observations-276632'!X367&gt;'[1]Methods write-up'!$S$17,'[1]observations-276632'!X367&lt;'[1]Methods write-up'!$T$17),"Equatorial tropical forest","")</f>
        <v/>
      </c>
      <c r="AZ367" s="22" t="str">
        <f>IF(AND('[1]observations-276632'!W367&gt;'[1]Methods write-up'!$Q$18,'[1]observations-276632'!W367&lt;'[1]Methods write-up'!$R$18,'[1]observations-276632'!X367&gt;'[1]Methods write-up'!$S$18,'[1]observations-276632'!X367&lt;'[1]Methods write-up'!$T$18),"Somali peninsula","")</f>
        <v/>
      </c>
      <c r="BA367" s="22" t="str">
        <f>IF(AND('[1]observations-276632'!W367&gt;'[1]Methods write-up'!$Q$19,'[1]observations-276632'!W367&lt;'[1]Methods write-up'!$R$19,'[1]observations-276632'!X367&gt;'[1]Methods write-up'!$S$19,'[1]observations-276632'!X367&lt;'[1]Methods write-up'!$T$19),"East Africa","")</f>
        <v/>
      </c>
      <c r="BB367" s="22" t="str">
        <f>IF(AND('[1]observations-276632'!W367&gt;'[1]Methods write-up'!$Q$20,'[1]observations-276632'!W367&lt;'[1]Methods write-up'!$R$20,'[1]observations-276632'!X367&gt;'[1]Methods write-up'!$S$20,'[1]observations-276632'!X367&lt;'[1]Methods write-up'!$T$20),"Temperate seasonal","")</f>
        <v/>
      </c>
      <c r="BC367" s="22" t="str">
        <f>IF(AND('[1]observations-276632'!W367&gt;'[1]Methods write-up'!$Q$21,'[1]observations-276632'!W367&lt;'[1]Methods write-up'!$R$21,'[1]observations-276632'!X367&gt;'[1]Methods write-up'!$S$21,'[1]observations-276632'!X367&lt;'[1]Methods write-up'!$T$21),"Desert and high aridity","")</f>
        <v/>
      </c>
      <c r="BD367" s="23" t="str">
        <f t="shared" si="24"/>
        <v/>
      </c>
      <c r="BE367" s="24">
        <f t="shared" si="22"/>
        <v>25</v>
      </c>
      <c r="BF367" s="24">
        <f t="shared" si="23"/>
        <v>7</v>
      </c>
    </row>
    <row r="368" spans="1:58" ht="16.25" customHeight="1" x14ac:dyDescent="0.2">
      <c r="A368">
        <v>36775920</v>
      </c>
      <c r="B368" t="s">
        <v>2690</v>
      </c>
      <c r="C368" s="14">
        <v>42213</v>
      </c>
      <c r="D368" t="s">
        <v>2691</v>
      </c>
      <c r="E368" t="s">
        <v>122</v>
      </c>
      <c r="F368">
        <v>264861</v>
      </c>
      <c r="G368" t="s">
        <v>2679</v>
      </c>
      <c r="H368" t="s">
        <v>2680</v>
      </c>
      <c r="I368" t="s">
        <v>2692</v>
      </c>
      <c r="J368" t="s">
        <v>2693</v>
      </c>
      <c r="K368" t="s">
        <v>62</v>
      </c>
      <c r="M368" t="s">
        <v>2694</v>
      </c>
      <c r="N368" t="s">
        <v>2695</v>
      </c>
      <c r="R368">
        <v>3</v>
      </c>
      <c r="S368">
        <v>0</v>
      </c>
      <c r="T368" t="b">
        <v>0</v>
      </c>
      <c r="V368" t="s">
        <v>2696</v>
      </c>
      <c r="W368" s="15">
        <v>-18.891999999999999</v>
      </c>
      <c r="X368" s="15">
        <v>34.426270000000002</v>
      </c>
      <c r="AF368" t="b">
        <v>0</v>
      </c>
      <c r="AI368" t="s">
        <v>71</v>
      </c>
      <c r="AJ368" t="s">
        <v>70</v>
      </c>
      <c r="AK368" t="s">
        <v>71</v>
      </c>
      <c r="AL368" t="s">
        <v>72</v>
      </c>
      <c r="AM368">
        <v>346053</v>
      </c>
      <c r="AO368" s="16" t="s">
        <v>73</v>
      </c>
      <c r="AP368" s="17" t="str">
        <f t="shared" si="25"/>
        <v>Off-nest female</v>
      </c>
      <c r="AX368" s="22" t="str">
        <f>IF(AND('[1]observations-276632'!W368&gt;'[1]Methods write-up'!$Q$16,'[1]observations-276632'!W368&lt;'[1]Methods write-up'!$R$16,'[1]observations-276632'!X368&gt;'[1]Methods write-up'!$S$16,'[1]observations-276632'!X368&lt;'[1]Methods write-up'!$T$16),"West and Central Africa","")</f>
        <v/>
      </c>
      <c r="AY368" s="22" t="str">
        <f>IF(AND('[1]observations-276632'!W368&gt;'[1]Methods write-up'!$Q$17,'[1]observations-276632'!W368&lt;'[1]Methods write-up'!$R$17,'[1]observations-276632'!X368&gt;'[1]Methods write-up'!$S$17,'[1]observations-276632'!X368&lt;'[1]Methods write-up'!$T$17),"Equatorial tropical forest","")</f>
        <v/>
      </c>
      <c r="AZ368" s="22" t="str">
        <f>IF(AND('[1]observations-276632'!W368&gt;'[1]Methods write-up'!$Q$18,'[1]observations-276632'!W368&lt;'[1]Methods write-up'!$R$18,'[1]observations-276632'!X368&gt;'[1]Methods write-up'!$S$18,'[1]observations-276632'!X368&lt;'[1]Methods write-up'!$T$18),"Somali peninsula","")</f>
        <v/>
      </c>
      <c r="BA368" s="22" t="str">
        <f>IF(AND('[1]observations-276632'!W368&gt;'[1]Methods write-up'!$Q$19,'[1]observations-276632'!W368&lt;'[1]Methods write-up'!$R$19,'[1]observations-276632'!X368&gt;'[1]Methods write-up'!$S$19,'[1]observations-276632'!X368&lt;'[1]Methods write-up'!$T$19),"East Africa","")</f>
        <v/>
      </c>
      <c r="BB368" s="22" t="str">
        <f>IF(AND('[1]observations-276632'!W368&gt;'[1]Methods write-up'!$Q$20,'[1]observations-276632'!W368&lt;'[1]Methods write-up'!$R$20,'[1]observations-276632'!X368&gt;'[1]Methods write-up'!$S$20,'[1]observations-276632'!X368&lt;'[1]Methods write-up'!$T$20),"Temperate seasonal","")</f>
        <v/>
      </c>
      <c r="BC368" s="22" t="str">
        <f>IF(AND('[1]observations-276632'!W368&gt;'[1]Methods write-up'!$Q$21,'[1]observations-276632'!W368&lt;'[1]Methods write-up'!$R$21,'[1]observations-276632'!X368&gt;'[1]Methods write-up'!$S$21,'[1]observations-276632'!X368&lt;'[1]Methods write-up'!$T$21),"Desert and high aridity","")</f>
        <v/>
      </c>
      <c r="BD368" s="23" t="str">
        <f t="shared" si="24"/>
        <v/>
      </c>
      <c r="BE368" s="24">
        <f t="shared" si="22"/>
        <v>28</v>
      </c>
      <c r="BF368" s="24">
        <f t="shared" si="23"/>
        <v>7</v>
      </c>
    </row>
    <row r="369" spans="1:58" ht="16.25" customHeight="1" x14ac:dyDescent="0.2">
      <c r="A369">
        <v>36849471</v>
      </c>
      <c r="B369" t="s">
        <v>2697</v>
      </c>
      <c r="C369" s="14">
        <v>43374</v>
      </c>
      <c r="D369" t="s">
        <v>2698</v>
      </c>
      <c r="E369" t="s">
        <v>243</v>
      </c>
      <c r="F369">
        <v>1803827</v>
      </c>
      <c r="G369" t="s">
        <v>2699</v>
      </c>
      <c r="H369" t="s">
        <v>2700</v>
      </c>
      <c r="I369" t="s">
        <v>2701</v>
      </c>
      <c r="J369" t="s">
        <v>2702</v>
      </c>
      <c r="K369" t="s">
        <v>62</v>
      </c>
      <c r="L369" t="s">
        <v>63</v>
      </c>
      <c r="M369" t="s">
        <v>2703</v>
      </c>
      <c r="N369" t="s">
        <v>2704</v>
      </c>
      <c r="R369">
        <v>2</v>
      </c>
      <c r="S369">
        <v>0</v>
      </c>
      <c r="T369" t="b">
        <v>0</v>
      </c>
      <c r="V369" t="s">
        <v>2705</v>
      </c>
      <c r="W369" s="15">
        <v>-12.6166667</v>
      </c>
      <c r="X369" s="15">
        <v>49.15</v>
      </c>
      <c r="Y369">
        <v>2117</v>
      </c>
      <c r="AC369">
        <v>2117</v>
      </c>
      <c r="AF369" t="b">
        <v>0</v>
      </c>
      <c r="AI369" t="s">
        <v>71</v>
      </c>
      <c r="AJ369" t="s">
        <v>70</v>
      </c>
      <c r="AK369" t="s">
        <v>71</v>
      </c>
      <c r="AL369" t="s">
        <v>72</v>
      </c>
      <c r="AM369">
        <v>346053</v>
      </c>
      <c r="AO369" s="16" t="s">
        <v>140</v>
      </c>
      <c r="AP369" s="17" t="str">
        <f t="shared" si="25"/>
        <v>Post-emergence nest</v>
      </c>
      <c r="AQ369" s="18">
        <v>5</v>
      </c>
      <c r="AT369" s="19" t="s">
        <v>104</v>
      </c>
      <c r="AU369" s="20" t="s">
        <v>104</v>
      </c>
      <c r="AV369" s="21" t="s">
        <v>2611</v>
      </c>
      <c r="AX369" s="22" t="str">
        <f>IF(AND('[1]observations-276632'!W369&gt;'[1]Methods write-up'!$Q$16,'[1]observations-276632'!W369&lt;'[1]Methods write-up'!$R$16,'[1]observations-276632'!X369&gt;'[1]Methods write-up'!$S$16,'[1]observations-276632'!X369&lt;'[1]Methods write-up'!$T$16),"West and Central Africa","")</f>
        <v/>
      </c>
      <c r="AY369" s="22" t="str">
        <f>IF(AND('[1]observations-276632'!W369&gt;'[1]Methods write-up'!$Q$17,'[1]observations-276632'!W369&lt;'[1]Methods write-up'!$R$17,'[1]observations-276632'!X369&gt;'[1]Methods write-up'!$S$17,'[1]observations-276632'!X369&lt;'[1]Methods write-up'!$T$17),"Equatorial tropical forest","")</f>
        <v/>
      </c>
      <c r="AZ369" s="22" t="str">
        <f>IF(AND('[1]observations-276632'!W369&gt;'[1]Methods write-up'!$Q$18,'[1]observations-276632'!W369&lt;'[1]Methods write-up'!$R$18,'[1]observations-276632'!X369&gt;'[1]Methods write-up'!$S$18,'[1]observations-276632'!X369&lt;'[1]Methods write-up'!$T$18),"Somali peninsula","")</f>
        <v/>
      </c>
      <c r="BA369" s="22" t="str">
        <f>IF(AND('[1]observations-276632'!W369&gt;'[1]Methods write-up'!$Q$19,'[1]observations-276632'!W369&lt;'[1]Methods write-up'!$R$19,'[1]observations-276632'!X369&gt;'[1]Methods write-up'!$S$19,'[1]observations-276632'!X369&lt;'[1]Methods write-up'!$T$19),"East Africa","")</f>
        <v/>
      </c>
      <c r="BB369" s="22" t="str">
        <f>IF(AND('[1]observations-276632'!W369&gt;'[1]Methods write-up'!$Q$20,'[1]observations-276632'!W369&lt;'[1]Methods write-up'!$R$20,'[1]observations-276632'!X369&gt;'[1]Methods write-up'!$S$20,'[1]observations-276632'!X369&lt;'[1]Methods write-up'!$T$20),"Temperate seasonal","")</f>
        <v/>
      </c>
      <c r="BC369" s="22" t="str">
        <f>IF(AND('[1]observations-276632'!W369&gt;'[1]Methods write-up'!$Q$21,'[1]observations-276632'!W369&lt;'[1]Methods write-up'!$R$21,'[1]observations-276632'!X369&gt;'[1]Methods write-up'!$S$21,'[1]observations-276632'!X369&lt;'[1]Methods write-up'!$T$21),"Desert and high aridity","")</f>
        <v/>
      </c>
      <c r="BD369" s="23" t="str">
        <f t="shared" si="24"/>
        <v/>
      </c>
      <c r="BE369" s="24">
        <f t="shared" si="22"/>
        <v>1</v>
      </c>
      <c r="BF369" s="24">
        <f t="shared" si="23"/>
        <v>10</v>
      </c>
    </row>
    <row r="370" spans="1:58" ht="16.25" customHeight="1" x14ac:dyDescent="0.2">
      <c r="A370">
        <v>36883738</v>
      </c>
      <c r="B370" t="s">
        <v>2706</v>
      </c>
      <c r="C370" s="14">
        <v>43822</v>
      </c>
      <c r="D370" t="s">
        <v>2707</v>
      </c>
      <c r="E370" t="s">
        <v>1408</v>
      </c>
      <c r="F370">
        <v>317763</v>
      </c>
      <c r="G370" t="s">
        <v>2708</v>
      </c>
      <c r="I370" t="s">
        <v>2709</v>
      </c>
      <c r="J370" t="s">
        <v>2710</v>
      </c>
      <c r="K370" t="s">
        <v>62</v>
      </c>
      <c r="L370" t="s">
        <v>63</v>
      </c>
      <c r="M370" t="s">
        <v>2711</v>
      </c>
      <c r="N370" t="s">
        <v>2712</v>
      </c>
      <c r="R370">
        <v>3</v>
      </c>
      <c r="S370">
        <v>0</v>
      </c>
      <c r="T370" t="b">
        <v>0</v>
      </c>
      <c r="U370">
        <v>2</v>
      </c>
      <c r="V370" t="s">
        <v>2713</v>
      </c>
      <c r="W370" s="15">
        <v>-3.4123659310000001</v>
      </c>
      <c r="X370" s="15">
        <v>36.665497160000001</v>
      </c>
      <c r="Y370">
        <v>254398</v>
      </c>
      <c r="AC370">
        <v>254398</v>
      </c>
      <c r="AF370" t="b">
        <v>0</v>
      </c>
      <c r="AI370" t="s">
        <v>71</v>
      </c>
      <c r="AJ370" t="s">
        <v>70</v>
      </c>
      <c r="AK370" t="s">
        <v>71</v>
      </c>
      <c r="AL370" t="s">
        <v>72</v>
      </c>
      <c r="AM370">
        <v>346053</v>
      </c>
      <c r="AO370" s="16" t="s">
        <v>73</v>
      </c>
      <c r="AP370" s="17" t="str">
        <f t="shared" si="25"/>
        <v>Off-nest female</v>
      </c>
      <c r="AX370" s="22" t="str">
        <f>IF(AND('[1]observations-276632'!W370&gt;'[1]Methods write-up'!$Q$16,'[1]observations-276632'!W370&lt;'[1]Methods write-up'!$R$16,'[1]observations-276632'!X370&gt;'[1]Methods write-up'!$S$16,'[1]observations-276632'!X370&lt;'[1]Methods write-up'!$T$16),"West and Central Africa","")</f>
        <v/>
      </c>
      <c r="AY370" s="22" t="str">
        <f>IF(AND('[1]observations-276632'!W370&gt;'[1]Methods write-up'!$Q$17,'[1]observations-276632'!W370&lt;'[1]Methods write-up'!$R$17,'[1]observations-276632'!X370&gt;'[1]Methods write-up'!$S$17,'[1]observations-276632'!X370&lt;'[1]Methods write-up'!$T$17),"Equatorial tropical forest","")</f>
        <v/>
      </c>
      <c r="AZ370" s="22" t="str">
        <f>IF(AND('[1]observations-276632'!W370&gt;'[1]Methods write-up'!$Q$18,'[1]observations-276632'!W370&lt;'[1]Methods write-up'!$R$18,'[1]observations-276632'!X370&gt;'[1]Methods write-up'!$S$18,'[1]observations-276632'!X370&lt;'[1]Methods write-up'!$T$18),"Somali peninsula","")</f>
        <v/>
      </c>
      <c r="BA370" s="22" t="str">
        <f>IF(AND('[1]observations-276632'!W370&gt;'[1]Methods write-up'!$Q$19,'[1]observations-276632'!W370&lt;'[1]Methods write-up'!$R$19,'[1]observations-276632'!X370&gt;'[1]Methods write-up'!$S$19,'[1]observations-276632'!X370&lt;'[1]Methods write-up'!$T$19),"East Africa","")</f>
        <v>East Africa</v>
      </c>
      <c r="BB370" s="22" t="str">
        <f>IF(AND('[1]observations-276632'!W370&gt;'[1]Methods write-up'!$Q$20,'[1]observations-276632'!W370&lt;'[1]Methods write-up'!$R$20,'[1]observations-276632'!X370&gt;'[1]Methods write-up'!$S$20,'[1]observations-276632'!X370&lt;'[1]Methods write-up'!$T$20),"Temperate seasonal","")</f>
        <v/>
      </c>
      <c r="BC370" s="22" t="str">
        <f>IF(AND('[1]observations-276632'!W370&gt;'[1]Methods write-up'!$Q$21,'[1]observations-276632'!W370&lt;'[1]Methods write-up'!$R$21,'[1]observations-276632'!X370&gt;'[1]Methods write-up'!$S$21,'[1]observations-276632'!X370&lt;'[1]Methods write-up'!$T$21),"Desert and high aridity","")</f>
        <v/>
      </c>
      <c r="BD370" s="23" t="str">
        <f t="shared" si="24"/>
        <v>East Africa</v>
      </c>
      <c r="BE370" s="24">
        <f t="shared" si="22"/>
        <v>23</v>
      </c>
      <c r="BF370" s="24">
        <f t="shared" si="23"/>
        <v>12</v>
      </c>
    </row>
    <row r="371" spans="1:58" ht="16.25" customHeight="1" x14ac:dyDescent="0.2">
      <c r="A371">
        <v>36911804</v>
      </c>
      <c r="B371" t="s">
        <v>2714</v>
      </c>
      <c r="C371" s="14">
        <v>43387</v>
      </c>
      <c r="D371" t="s">
        <v>2715</v>
      </c>
      <c r="E371" t="s">
        <v>243</v>
      </c>
      <c r="F371">
        <v>1803827</v>
      </c>
      <c r="G371" t="s">
        <v>2699</v>
      </c>
      <c r="H371" t="s">
        <v>2700</v>
      </c>
      <c r="I371" t="s">
        <v>2716</v>
      </c>
      <c r="J371" t="s">
        <v>2717</v>
      </c>
      <c r="K371" t="s">
        <v>62</v>
      </c>
      <c r="L371" t="s">
        <v>63</v>
      </c>
      <c r="M371" t="s">
        <v>2718</v>
      </c>
      <c r="N371" t="s">
        <v>2719</v>
      </c>
      <c r="R371">
        <v>1</v>
      </c>
      <c r="S371">
        <v>0</v>
      </c>
      <c r="T371" t="b">
        <v>0</v>
      </c>
      <c r="V371" t="s">
        <v>2720</v>
      </c>
      <c r="W371" s="15">
        <v>-22.8417034</v>
      </c>
      <c r="X371" s="15">
        <v>44.681837700000003</v>
      </c>
      <c r="Y371">
        <v>203</v>
      </c>
      <c r="AC371">
        <v>203</v>
      </c>
      <c r="AF371" t="b">
        <v>0</v>
      </c>
      <c r="AI371" t="s">
        <v>2537</v>
      </c>
      <c r="AJ371" t="s">
        <v>2537</v>
      </c>
      <c r="AL371" t="s">
        <v>72</v>
      </c>
      <c r="AM371">
        <v>1098050</v>
      </c>
      <c r="AO371" s="16" t="s">
        <v>110</v>
      </c>
      <c r="AP371" s="17" t="str">
        <f t="shared" si="25"/>
        <v>Nest (foundress)</v>
      </c>
      <c r="AQ371" s="18">
        <v>1</v>
      </c>
      <c r="AT371" s="19" t="s">
        <v>104</v>
      </c>
      <c r="AX371" s="22" t="str">
        <f>IF(AND('[1]observations-276632'!W371&gt;'[1]Methods write-up'!$Q$16,'[1]observations-276632'!W371&lt;'[1]Methods write-up'!$R$16,'[1]observations-276632'!X371&gt;'[1]Methods write-up'!$S$16,'[1]observations-276632'!X371&lt;'[1]Methods write-up'!$T$16),"West and Central Africa","")</f>
        <v/>
      </c>
      <c r="AY371" s="22" t="str">
        <f>IF(AND('[1]observations-276632'!W371&gt;'[1]Methods write-up'!$Q$17,'[1]observations-276632'!W371&lt;'[1]Methods write-up'!$R$17,'[1]observations-276632'!X371&gt;'[1]Methods write-up'!$S$17,'[1]observations-276632'!X371&lt;'[1]Methods write-up'!$T$17),"Equatorial tropical forest","")</f>
        <v/>
      </c>
      <c r="AZ371" s="22" t="str">
        <f>IF(AND('[1]observations-276632'!W371&gt;'[1]Methods write-up'!$Q$18,'[1]observations-276632'!W371&lt;'[1]Methods write-up'!$R$18,'[1]observations-276632'!X371&gt;'[1]Methods write-up'!$S$18,'[1]observations-276632'!X371&lt;'[1]Methods write-up'!$T$18),"Somali peninsula","")</f>
        <v/>
      </c>
      <c r="BA371" s="22" t="str">
        <f>IF(AND('[1]observations-276632'!W371&gt;'[1]Methods write-up'!$Q$19,'[1]observations-276632'!W371&lt;'[1]Methods write-up'!$R$19,'[1]observations-276632'!X371&gt;'[1]Methods write-up'!$S$19,'[1]observations-276632'!X371&lt;'[1]Methods write-up'!$T$19),"East Africa","")</f>
        <v/>
      </c>
      <c r="BB371" s="22" t="str">
        <f>IF(AND('[1]observations-276632'!W371&gt;'[1]Methods write-up'!$Q$20,'[1]observations-276632'!W371&lt;'[1]Methods write-up'!$R$20,'[1]observations-276632'!X371&gt;'[1]Methods write-up'!$S$20,'[1]observations-276632'!X371&lt;'[1]Methods write-up'!$T$20),"Temperate seasonal","")</f>
        <v/>
      </c>
      <c r="BC371" s="22" t="str">
        <f>IF(AND('[1]observations-276632'!W371&gt;'[1]Methods write-up'!$Q$21,'[1]observations-276632'!W371&lt;'[1]Methods write-up'!$R$21,'[1]observations-276632'!X371&gt;'[1]Methods write-up'!$S$21,'[1]observations-276632'!X371&lt;'[1]Methods write-up'!$T$21),"Desert and high aridity","")</f>
        <v/>
      </c>
      <c r="BD371" s="23" t="str">
        <f t="shared" si="24"/>
        <v/>
      </c>
      <c r="BE371" s="24">
        <f t="shared" si="22"/>
        <v>14</v>
      </c>
      <c r="BF371" s="24">
        <f t="shared" si="23"/>
        <v>10</v>
      </c>
    </row>
    <row r="372" spans="1:58" ht="16.25" customHeight="1" x14ac:dyDescent="0.2">
      <c r="A372">
        <v>37135734</v>
      </c>
      <c r="B372" t="s">
        <v>2721</v>
      </c>
      <c r="C372" s="14">
        <v>43830</v>
      </c>
      <c r="D372" t="s">
        <v>2722</v>
      </c>
      <c r="E372" t="s">
        <v>113</v>
      </c>
      <c r="F372">
        <v>121603</v>
      </c>
      <c r="G372" t="s">
        <v>1286</v>
      </c>
      <c r="I372" t="s">
        <v>2723</v>
      </c>
      <c r="J372" t="s">
        <v>2724</v>
      </c>
      <c r="K372" t="s">
        <v>62</v>
      </c>
      <c r="L372" t="s">
        <v>63</v>
      </c>
      <c r="M372" t="s">
        <v>2725</v>
      </c>
      <c r="N372" t="s">
        <v>2726</v>
      </c>
      <c r="R372">
        <v>2</v>
      </c>
      <c r="S372">
        <v>0</v>
      </c>
      <c r="T372" t="b">
        <v>0</v>
      </c>
      <c r="V372" t="s">
        <v>2727</v>
      </c>
      <c r="W372" s="15">
        <v>-15.72848636</v>
      </c>
      <c r="X372" s="15">
        <v>34.982170150000002</v>
      </c>
      <c r="Y372">
        <v>427</v>
      </c>
      <c r="AC372">
        <v>427</v>
      </c>
      <c r="AF372" t="b">
        <v>0</v>
      </c>
      <c r="AI372" t="s">
        <v>71</v>
      </c>
      <c r="AJ372" t="s">
        <v>70</v>
      </c>
      <c r="AK372" t="s">
        <v>71</v>
      </c>
      <c r="AL372" t="s">
        <v>72</v>
      </c>
      <c r="AM372">
        <v>346053</v>
      </c>
      <c r="AO372" s="16" t="s">
        <v>73</v>
      </c>
      <c r="AP372" s="17" t="str">
        <f t="shared" si="25"/>
        <v>Off-nest female</v>
      </c>
      <c r="AX372" s="22" t="str">
        <f>IF(AND('[1]observations-276632'!W372&gt;'[1]Methods write-up'!$Q$16,'[1]observations-276632'!W372&lt;'[1]Methods write-up'!$R$16,'[1]observations-276632'!X372&gt;'[1]Methods write-up'!$S$16,'[1]observations-276632'!X372&lt;'[1]Methods write-up'!$T$16),"West and Central Africa","")</f>
        <v/>
      </c>
      <c r="AY372" s="22" t="str">
        <f>IF(AND('[1]observations-276632'!W372&gt;'[1]Methods write-up'!$Q$17,'[1]observations-276632'!W372&lt;'[1]Methods write-up'!$R$17,'[1]observations-276632'!X372&gt;'[1]Methods write-up'!$S$17,'[1]observations-276632'!X372&lt;'[1]Methods write-up'!$T$17),"Equatorial tropical forest","")</f>
        <v/>
      </c>
      <c r="AZ372" s="22" t="str">
        <f>IF(AND('[1]observations-276632'!W372&gt;'[1]Methods write-up'!$Q$18,'[1]observations-276632'!W372&lt;'[1]Methods write-up'!$R$18,'[1]observations-276632'!X372&gt;'[1]Methods write-up'!$S$18,'[1]observations-276632'!X372&lt;'[1]Methods write-up'!$T$18),"Somali peninsula","")</f>
        <v/>
      </c>
      <c r="BA372" s="22" t="str">
        <f>IF(AND('[1]observations-276632'!W372&gt;'[1]Methods write-up'!$Q$19,'[1]observations-276632'!W372&lt;'[1]Methods write-up'!$R$19,'[1]observations-276632'!X372&gt;'[1]Methods write-up'!$S$19,'[1]observations-276632'!X372&lt;'[1]Methods write-up'!$T$19),"East Africa","")</f>
        <v/>
      </c>
      <c r="BB372" s="22" t="str">
        <f>IF(AND('[1]observations-276632'!W372&gt;'[1]Methods write-up'!$Q$20,'[1]observations-276632'!W372&lt;'[1]Methods write-up'!$R$20,'[1]observations-276632'!X372&gt;'[1]Methods write-up'!$S$20,'[1]observations-276632'!X372&lt;'[1]Methods write-up'!$T$20),"Temperate seasonal","")</f>
        <v/>
      </c>
      <c r="BC372" s="22" t="str">
        <f>IF(AND('[1]observations-276632'!W372&gt;'[1]Methods write-up'!$Q$21,'[1]observations-276632'!W372&lt;'[1]Methods write-up'!$R$21,'[1]observations-276632'!X372&gt;'[1]Methods write-up'!$S$21,'[1]observations-276632'!X372&lt;'[1]Methods write-up'!$T$21),"Desert and high aridity","")</f>
        <v/>
      </c>
      <c r="BD372" s="23" t="str">
        <f t="shared" si="24"/>
        <v/>
      </c>
      <c r="BE372" s="24">
        <f t="shared" si="22"/>
        <v>31</v>
      </c>
      <c r="BF372" s="24">
        <f t="shared" si="23"/>
        <v>12</v>
      </c>
    </row>
    <row r="373" spans="1:58" ht="16.25" customHeight="1" x14ac:dyDescent="0.2">
      <c r="A373">
        <v>37160579</v>
      </c>
      <c r="B373" t="s">
        <v>2728</v>
      </c>
      <c r="C373" s="14">
        <v>43831</v>
      </c>
      <c r="D373" t="s">
        <v>2729</v>
      </c>
      <c r="E373" t="s">
        <v>1408</v>
      </c>
      <c r="F373">
        <v>2508888</v>
      </c>
      <c r="G373" t="s">
        <v>2730</v>
      </c>
      <c r="I373" t="s">
        <v>2731</v>
      </c>
      <c r="J373" t="s">
        <v>2732</v>
      </c>
      <c r="K373" t="s">
        <v>62</v>
      </c>
      <c r="M373" t="s">
        <v>2733</v>
      </c>
      <c r="N373" t="s">
        <v>2734</v>
      </c>
      <c r="R373">
        <v>4</v>
      </c>
      <c r="S373">
        <v>1</v>
      </c>
      <c r="T373" t="b">
        <v>0</v>
      </c>
      <c r="U373">
        <v>333</v>
      </c>
      <c r="V373" t="s">
        <v>2735</v>
      </c>
      <c r="W373" s="15">
        <v>-25.118167490000001</v>
      </c>
      <c r="X373" s="15">
        <v>27.61902671</v>
      </c>
      <c r="AF373" t="b">
        <v>0</v>
      </c>
      <c r="AI373" t="s">
        <v>71</v>
      </c>
      <c r="AJ373" t="s">
        <v>70</v>
      </c>
      <c r="AK373" t="s">
        <v>71</v>
      </c>
      <c r="AL373" t="s">
        <v>72</v>
      </c>
      <c r="AM373">
        <v>346053</v>
      </c>
      <c r="AO373" s="16" t="s">
        <v>442</v>
      </c>
      <c r="AP373" s="17" t="str">
        <f t="shared" si="25"/>
        <v>Dead female</v>
      </c>
      <c r="AX373" s="22" t="str">
        <f>IF(AND('[1]observations-276632'!W373&gt;'[1]Methods write-up'!$Q$16,'[1]observations-276632'!W373&lt;'[1]Methods write-up'!$R$16,'[1]observations-276632'!X373&gt;'[1]Methods write-up'!$S$16,'[1]observations-276632'!X373&lt;'[1]Methods write-up'!$T$16),"West and Central Africa","")</f>
        <v/>
      </c>
      <c r="AY373" s="22" t="str">
        <f>IF(AND('[1]observations-276632'!W373&gt;'[1]Methods write-up'!$Q$17,'[1]observations-276632'!W373&lt;'[1]Methods write-up'!$R$17,'[1]observations-276632'!X373&gt;'[1]Methods write-up'!$S$17,'[1]observations-276632'!X373&lt;'[1]Methods write-up'!$T$17),"Equatorial tropical forest","")</f>
        <v/>
      </c>
      <c r="AZ373" s="22" t="str">
        <f>IF(AND('[1]observations-276632'!W373&gt;'[1]Methods write-up'!$Q$18,'[1]observations-276632'!W373&lt;'[1]Methods write-up'!$R$18,'[1]observations-276632'!X373&gt;'[1]Methods write-up'!$S$18,'[1]observations-276632'!X373&lt;'[1]Methods write-up'!$T$18),"Somali peninsula","")</f>
        <v/>
      </c>
      <c r="BA373" s="22" t="str">
        <f>IF(AND('[1]observations-276632'!W373&gt;'[1]Methods write-up'!$Q$19,'[1]observations-276632'!W373&lt;'[1]Methods write-up'!$R$19,'[1]observations-276632'!X373&gt;'[1]Methods write-up'!$S$19,'[1]observations-276632'!X373&lt;'[1]Methods write-up'!$T$19),"East Africa","")</f>
        <v/>
      </c>
      <c r="BB373" s="22" t="str">
        <f>IF(AND('[1]observations-276632'!W373&gt;'[1]Methods write-up'!$Q$20,'[1]observations-276632'!W373&lt;'[1]Methods write-up'!$R$20,'[1]observations-276632'!X373&gt;'[1]Methods write-up'!$S$20,'[1]observations-276632'!X373&lt;'[1]Methods write-up'!$T$20),"Temperate seasonal","")</f>
        <v>Temperate seasonal</v>
      </c>
      <c r="BC373" s="22" t="str">
        <f>IF(AND('[1]observations-276632'!W373&gt;'[1]Methods write-up'!$Q$21,'[1]observations-276632'!W373&lt;'[1]Methods write-up'!$R$21,'[1]observations-276632'!X373&gt;'[1]Methods write-up'!$S$21,'[1]observations-276632'!X373&lt;'[1]Methods write-up'!$T$21),"Desert and high aridity","")</f>
        <v/>
      </c>
      <c r="BD373" s="23" t="str">
        <f t="shared" si="24"/>
        <v>Temperate seasonal</v>
      </c>
      <c r="BE373" s="24">
        <f t="shared" si="22"/>
        <v>1</v>
      </c>
      <c r="BF373" s="24">
        <f t="shared" si="23"/>
        <v>1</v>
      </c>
    </row>
    <row r="374" spans="1:58" ht="16.25" customHeight="1" x14ac:dyDescent="0.2">
      <c r="A374">
        <v>37194688</v>
      </c>
      <c r="B374" t="s">
        <v>2736</v>
      </c>
      <c r="C374" s="14">
        <v>43772</v>
      </c>
      <c r="D374" t="s">
        <v>2737</v>
      </c>
      <c r="E374" t="s">
        <v>113</v>
      </c>
      <c r="F374">
        <v>2229308</v>
      </c>
      <c r="G374" t="s">
        <v>2738</v>
      </c>
      <c r="H374" t="s">
        <v>2739</v>
      </c>
      <c r="I374" t="s">
        <v>2740</v>
      </c>
      <c r="J374" t="s">
        <v>2741</v>
      </c>
      <c r="K374" t="s">
        <v>62</v>
      </c>
      <c r="L374" t="s">
        <v>63</v>
      </c>
      <c r="M374" t="s">
        <v>2742</v>
      </c>
      <c r="N374" t="s">
        <v>2743</v>
      </c>
      <c r="R374">
        <v>2</v>
      </c>
      <c r="S374">
        <v>0</v>
      </c>
      <c r="T374" t="b">
        <v>0</v>
      </c>
      <c r="U374">
        <v>2</v>
      </c>
      <c r="V374" t="s">
        <v>2744</v>
      </c>
      <c r="W374" s="15">
        <v>-25.621875280000001</v>
      </c>
      <c r="X374" s="15">
        <v>28.342594210000001</v>
      </c>
      <c r="Y374">
        <v>349</v>
      </c>
      <c r="AC374">
        <v>349</v>
      </c>
      <c r="AF374" t="b">
        <v>0</v>
      </c>
      <c r="AG374" t="s">
        <v>350</v>
      </c>
      <c r="AH374" t="s">
        <v>350</v>
      </c>
      <c r="AI374" t="s">
        <v>71</v>
      </c>
      <c r="AJ374" t="s">
        <v>70</v>
      </c>
      <c r="AK374" t="s">
        <v>71</v>
      </c>
      <c r="AL374" t="s">
        <v>72</v>
      </c>
      <c r="AM374">
        <v>346053</v>
      </c>
      <c r="AO374" s="16" t="s">
        <v>73</v>
      </c>
      <c r="AP374" s="17" t="str">
        <f t="shared" si="25"/>
        <v>Off-nest female</v>
      </c>
      <c r="AX374" s="22" t="str">
        <f>IF(AND('[1]observations-276632'!W374&gt;'[1]Methods write-up'!$Q$16,'[1]observations-276632'!W374&lt;'[1]Methods write-up'!$R$16,'[1]observations-276632'!X374&gt;'[1]Methods write-up'!$S$16,'[1]observations-276632'!X374&lt;'[1]Methods write-up'!$T$16),"West and Central Africa","")</f>
        <v/>
      </c>
      <c r="AY374" s="22" t="str">
        <f>IF(AND('[1]observations-276632'!W374&gt;'[1]Methods write-up'!$Q$17,'[1]observations-276632'!W374&lt;'[1]Methods write-up'!$R$17,'[1]observations-276632'!X374&gt;'[1]Methods write-up'!$S$17,'[1]observations-276632'!X374&lt;'[1]Methods write-up'!$T$17),"Equatorial tropical forest","")</f>
        <v/>
      </c>
      <c r="AZ374" s="22" t="str">
        <f>IF(AND('[1]observations-276632'!W374&gt;'[1]Methods write-up'!$Q$18,'[1]observations-276632'!W374&lt;'[1]Methods write-up'!$R$18,'[1]observations-276632'!X374&gt;'[1]Methods write-up'!$S$18,'[1]observations-276632'!X374&lt;'[1]Methods write-up'!$T$18),"Somali peninsula","")</f>
        <v/>
      </c>
      <c r="BA374" s="22" t="str">
        <f>IF(AND('[1]observations-276632'!W374&gt;'[1]Methods write-up'!$Q$19,'[1]observations-276632'!W374&lt;'[1]Methods write-up'!$R$19,'[1]observations-276632'!X374&gt;'[1]Methods write-up'!$S$19,'[1]observations-276632'!X374&lt;'[1]Methods write-up'!$T$19),"East Africa","")</f>
        <v/>
      </c>
      <c r="BB374" s="22" t="str">
        <f>IF(AND('[1]observations-276632'!W374&gt;'[1]Methods write-up'!$Q$20,'[1]observations-276632'!W374&lt;'[1]Methods write-up'!$R$20,'[1]observations-276632'!X374&gt;'[1]Methods write-up'!$S$20,'[1]observations-276632'!X374&lt;'[1]Methods write-up'!$T$20),"Temperate seasonal","")</f>
        <v>Temperate seasonal</v>
      </c>
      <c r="BC374" s="22" t="str">
        <f>IF(AND('[1]observations-276632'!W374&gt;'[1]Methods write-up'!$Q$21,'[1]observations-276632'!W374&lt;'[1]Methods write-up'!$R$21,'[1]observations-276632'!X374&gt;'[1]Methods write-up'!$S$21,'[1]observations-276632'!X374&lt;'[1]Methods write-up'!$T$21),"Desert and high aridity","")</f>
        <v/>
      </c>
      <c r="BD374" s="23" t="str">
        <f t="shared" si="24"/>
        <v>Temperate seasonal</v>
      </c>
      <c r="BE374" s="24">
        <f t="shared" si="22"/>
        <v>3</v>
      </c>
      <c r="BF374" s="24">
        <f t="shared" si="23"/>
        <v>11</v>
      </c>
    </row>
    <row r="375" spans="1:58" ht="16.25" customHeight="1" x14ac:dyDescent="0.2">
      <c r="A375">
        <v>37262265</v>
      </c>
      <c r="B375" t="s">
        <v>2745</v>
      </c>
      <c r="C375" s="14">
        <v>43834</v>
      </c>
      <c r="D375" t="s">
        <v>2746</v>
      </c>
      <c r="E375" t="s">
        <v>113</v>
      </c>
      <c r="F375">
        <v>1016531</v>
      </c>
      <c r="G375" t="s">
        <v>2747</v>
      </c>
      <c r="H375" t="s">
        <v>2748</v>
      </c>
      <c r="I375" t="s">
        <v>2749</v>
      </c>
      <c r="J375" t="s">
        <v>2750</v>
      </c>
      <c r="K375" t="s">
        <v>62</v>
      </c>
      <c r="M375" t="s">
        <v>2751</v>
      </c>
      <c r="N375" t="s">
        <v>2752</v>
      </c>
      <c r="R375">
        <v>2</v>
      </c>
      <c r="S375">
        <v>0</v>
      </c>
      <c r="T375" t="b">
        <v>0</v>
      </c>
      <c r="U375">
        <v>2</v>
      </c>
      <c r="V375" t="s">
        <v>2753</v>
      </c>
      <c r="W375" s="15">
        <v>-9.2917194369999994</v>
      </c>
      <c r="X375" s="15">
        <v>31.283439640000001</v>
      </c>
      <c r="AF375" t="b">
        <v>0</v>
      </c>
      <c r="AG375" t="s">
        <v>350</v>
      </c>
      <c r="AH375" t="s">
        <v>350</v>
      </c>
      <c r="AI375" t="s">
        <v>71</v>
      </c>
      <c r="AJ375" t="s">
        <v>70</v>
      </c>
      <c r="AK375" t="s">
        <v>71</v>
      </c>
      <c r="AL375" t="s">
        <v>72</v>
      </c>
      <c r="AM375">
        <v>346053</v>
      </c>
      <c r="AO375" s="16" t="s">
        <v>73</v>
      </c>
      <c r="AP375" s="17" t="str">
        <f t="shared" si="25"/>
        <v>Off-nest female</v>
      </c>
      <c r="AX375" s="22" t="str">
        <f>IF(AND('[1]observations-276632'!W375&gt;'[1]Methods write-up'!$Q$16,'[1]observations-276632'!W375&lt;'[1]Methods write-up'!$R$16,'[1]observations-276632'!X375&gt;'[1]Methods write-up'!$S$16,'[1]observations-276632'!X375&lt;'[1]Methods write-up'!$T$16),"West and Central Africa","")</f>
        <v/>
      </c>
      <c r="AY375" s="22" t="str">
        <f>IF(AND('[1]observations-276632'!W375&gt;'[1]Methods write-up'!$Q$17,'[1]observations-276632'!W375&lt;'[1]Methods write-up'!$R$17,'[1]observations-276632'!X375&gt;'[1]Methods write-up'!$S$17,'[1]observations-276632'!X375&lt;'[1]Methods write-up'!$T$17),"Equatorial tropical forest","")</f>
        <v/>
      </c>
      <c r="AZ375" s="22" t="str">
        <f>IF(AND('[1]observations-276632'!W375&gt;'[1]Methods write-up'!$Q$18,'[1]observations-276632'!W375&lt;'[1]Methods write-up'!$R$18,'[1]observations-276632'!X375&gt;'[1]Methods write-up'!$S$18,'[1]observations-276632'!X375&lt;'[1]Methods write-up'!$T$18),"Somali peninsula","")</f>
        <v/>
      </c>
      <c r="BA375" s="22" t="str">
        <f>IF(AND('[1]observations-276632'!W375&gt;'[1]Methods write-up'!$Q$19,'[1]observations-276632'!W375&lt;'[1]Methods write-up'!$R$19,'[1]observations-276632'!X375&gt;'[1]Methods write-up'!$S$19,'[1]observations-276632'!X375&lt;'[1]Methods write-up'!$T$19),"East Africa","")</f>
        <v/>
      </c>
      <c r="BB375" s="22" t="str">
        <f>IF(AND('[1]observations-276632'!W375&gt;'[1]Methods write-up'!$Q$20,'[1]observations-276632'!W375&lt;'[1]Methods write-up'!$R$20,'[1]observations-276632'!X375&gt;'[1]Methods write-up'!$S$20,'[1]observations-276632'!X375&lt;'[1]Methods write-up'!$T$20),"Temperate seasonal","")</f>
        <v/>
      </c>
      <c r="BC375" s="22" t="str">
        <f>IF(AND('[1]observations-276632'!W375&gt;'[1]Methods write-up'!$Q$21,'[1]observations-276632'!W375&lt;'[1]Methods write-up'!$R$21,'[1]observations-276632'!X375&gt;'[1]Methods write-up'!$S$21,'[1]observations-276632'!X375&lt;'[1]Methods write-up'!$T$21),"Desert and high aridity","")</f>
        <v/>
      </c>
      <c r="BD375" s="23" t="str">
        <f t="shared" si="24"/>
        <v/>
      </c>
      <c r="BE375" s="24">
        <f t="shared" si="22"/>
        <v>4</v>
      </c>
      <c r="BF375" s="24">
        <f t="shared" si="23"/>
        <v>1</v>
      </c>
    </row>
    <row r="376" spans="1:58" ht="16.25" customHeight="1" x14ac:dyDescent="0.2">
      <c r="A376">
        <v>37292975</v>
      </c>
      <c r="B376" t="s">
        <v>2754</v>
      </c>
      <c r="C376" s="14">
        <v>43835</v>
      </c>
      <c r="D376" t="s">
        <v>2755</v>
      </c>
      <c r="E376" t="s">
        <v>113</v>
      </c>
      <c r="F376">
        <v>1451583</v>
      </c>
      <c r="G376" t="s">
        <v>2756</v>
      </c>
      <c r="H376" t="s">
        <v>2757</v>
      </c>
      <c r="I376" t="s">
        <v>2758</v>
      </c>
      <c r="J376" t="s">
        <v>2759</v>
      </c>
      <c r="K376" t="s">
        <v>62</v>
      </c>
      <c r="L376" t="s">
        <v>63</v>
      </c>
      <c r="M376" t="s">
        <v>2760</v>
      </c>
      <c r="N376" t="s">
        <v>2761</v>
      </c>
      <c r="R376">
        <v>3</v>
      </c>
      <c r="S376">
        <v>0</v>
      </c>
      <c r="T376" t="b">
        <v>0</v>
      </c>
      <c r="U376">
        <v>3</v>
      </c>
      <c r="V376" t="s">
        <v>2762</v>
      </c>
      <c r="W376" s="15">
        <v>-25.751528329999999</v>
      </c>
      <c r="X376" s="15">
        <v>28.288105000000002</v>
      </c>
      <c r="Y376">
        <v>6</v>
      </c>
      <c r="AC376">
        <v>6</v>
      </c>
      <c r="AF376" t="b">
        <v>0</v>
      </c>
      <c r="AI376" t="s">
        <v>71</v>
      </c>
      <c r="AJ376" t="s">
        <v>70</v>
      </c>
      <c r="AK376" t="s">
        <v>71</v>
      </c>
      <c r="AL376" t="s">
        <v>72</v>
      </c>
      <c r="AM376">
        <v>346053</v>
      </c>
      <c r="AO376" s="16" t="s">
        <v>818</v>
      </c>
      <c r="AP376" s="17" t="str">
        <f t="shared" si="25"/>
        <v>Abandoned post-emergence nest</v>
      </c>
      <c r="AX376" s="22" t="str">
        <f>IF(AND('[1]observations-276632'!W376&gt;'[1]Methods write-up'!$Q$16,'[1]observations-276632'!W376&lt;'[1]Methods write-up'!$R$16,'[1]observations-276632'!X376&gt;'[1]Methods write-up'!$S$16,'[1]observations-276632'!X376&lt;'[1]Methods write-up'!$T$16),"West and Central Africa","")</f>
        <v/>
      </c>
      <c r="AY376" s="22" t="str">
        <f>IF(AND('[1]observations-276632'!W376&gt;'[1]Methods write-up'!$Q$17,'[1]observations-276632'!W376&lt;'[1]Methods write-up'!$R$17,'[1]observations-276632'!X376&gt;'[1]Methods write-up'!$S$17,'[1]observations-276632'!X376&lt;'[1]Methods write-up'!$T$17),"Equatorial tropical forest","")</f>
        <v/>
      </c>
      <c r="AZ376" s="22" t="str">
        <f>IF(AND('[1]observations-276632'!W376&gt;'[1]Methods write-up'!$Q$18,'[1]observations-276632'!W376&lt;'[1]Methods write-up'!$R$18,'[1]observations-276632'!X376&gt;'[1]Methods write-up'!$S$18,'[1]observations-276632'!X376&lt;'[1]Methods write-up'!$T$18),"Somali peninsula","")</f>
        <v/>
      </c>
      <c r="BA376" s="22" t="str">
        <f>IF(AND('[1]observations-276632'!W376&gt;'[1]Methods write-up'!$Q$19,'[1]observations-276632'!W376&lt;'[1]Methods write-up'!$R$19,'[1]observations-276632'!X376&gt;'[1]Methods write-up'!$S$19,'[1]observations-276632'!X376&lt;'[1]Methods write-up'!$T$19),"East Africa","")</f>
        <v/>
      </c>
      <c r="BB376" s="22" t="str">
        <f>IF(AND('[1]observations-276632'!W376&gt;'[1]Methods write-up'!$Q$20,'[1]observations-276632'!W376&lt;'[1]Methods write-up'!$R$20,'[1]observations-276632'!X376&gt;'[1]Methods write-up'!$S$20,'[1]observations-276632'!X376&lt;'[1]Methods write-up'!$T$20),"Temperate seasonal","")</f>
        <v>Temperate seasonal</v>
      </c>
      <c r="BC376" s="22" t="str">
        <f>IF(AND('[1]observations-276632'!W376&gt;'[1]Methods write-up'!$Q$21,'[1]observations-276632'!W376&lt;'[1]Methods write-up'!$R$21,'[1]observations-276632'!X376&gt;'[1]Methods write-up'!$S$21,'[1]observations-276632'!X376&lt;'[1]Methods write-up'!$T$21),"Desert and high aridity","")</f>
        <v/>
      </c>
      <c r="BD376" s="23" t="str">
        <f t="shared" si="24"/>
        <v>Temperate seasonal</v>
      </c>
      <c r="BE376" s="24">
        <f t="shared" si="22"/>
        <v>5</v>
      </c>
      <c r="BF376" s="24">
        <f t="shared" si="23"/>
        <v>1</v>
      </c>
    </row>
    <row r="377" spans="1:58" ht="16.25" customHeight="1" x14ac:dyDescent="0.2">
      <c r="C377" s="14">
        <v>43835</v>
      </c>
      <c r="M377" t="s">
        <v>182</v>
      </c>
      <c r="W377" s="15">
        <v>-25.751528329999999</v>
      </c>
      <c r="X377" s="15">
        <v>28.288105000000002</v>
      </c>
      <c r="AO377" s="16" t="s">
        <v>442</v>
      </c>
      <c r="AP377" s="17" t="str">
        <f t="shared" si="25"/>
        <v>Dead female</v>
      </c>
      <c r="AX377" s="22" t="str">
        <f>IF(AND('[1]observations-276632'!W377&gt;'[1]Methods write-up'!$Q$16,'[1]observations-276632'!W377&lt;'[1]Methods write-up'!$R$16,'[1]observations-276632'!X377&gt;'[1]Methods write-up'!$S$16,'[1]observations-276632'!X377&lt;'[1]Methods write-up'!$T$16),"West and Central Africa","")</f>
        <v/>
      </c>
      <c r="AY377" s="22" t="str">
        <f>IF(AND('[1]observations-276632'!W377&gt;'[1]Methods write-up'!$Q$17,'[1]observations-276632'!W377&lt;'[1]Methods write-up'!$R$17,'[1]observations-276632'!X377&gt;'[1]Methods write-up'!$S$17,'[1]observations-276632'!X377&lt;'[1]Methods write-up'!$T$17),"Equatorial tropical forest","")</f>
        <v/>
      </c>
      <c r="AZ377" s="22" t="str">
        <f>IF(AND('[1]observations-276632'!W377&gt;'[1]Methods write-up'!$Q$18,'[1]observations-276632'!W377&lt;'[1]Methods write-up'!$R$18,'[1]observations-276632'!X377&gt;'[1]Methods write-up'!$S$18,'[1]observations-276632'!X377&lt;'[1]Methods write-up'!$T$18),"Somali peninsula","")</f>
        <v/>
      </c>
      <c r="BA377" s="22" t="str">
        <f>IF(AND('[1]observations-276632'!W377&gt;'[1]Methods write-up'!$Q$19,'[1]observations-276632'!W377&lt;'[1]Methods write-up'!$R$19,'[1]observations-276632'!X377&gt;'[1]Methods write-up'!$S$19,'[1]observations-276632'!X377&lt;'[1]Methods write-up'!$T$19),"East Africa","")</f>
        <v/>
      </c>
      <c r="BB377" s="22" t="str">
        <f>IF(AND('[1]observations-276632'!W377&gt;'[1]Methods write-up'!$Q$20,'[1]observations-276632'!W377&lt;'[1]Methods write-up'!$R$20,'[1]observations-276632'!X377&gt;'[1]Methods write-up'!$S$20,'[1]observations-276632'!X377&lt;'[1]Methods write-up'!$T$20),"Temperate seasonal","")</f>
        <v>Temperate seasonal</v>
      </c>
      <c r="BC377" s="22" t="str">
        <f>IF(AND('[1]observations-276632'!W377&gt;'[1]Methods write-up'!$Q$21,'[1]observations-276632'!W377&lt;'[1]Methods write-up'!$R$21,'[1]observations-276632'!X377&gt;'[1]Methods write-up'!$S$21,'[1]observations-276632'!X377&lt;'[1]Methods write-up'!$T$21),"Desert and high aridity","")</f>
        <v/>
      </c>
      <c r="BD377" s="23" t="str">
        <f t="shared" si="24"/>
        <v>Temperate seasonal</v>
      </c>
      <c r="BE377" s="24">
        <f t="shared" si="22"/>
        <v>5</v>
      </c>
      <c r="BF377" s="24">
        <f t="shared" si="23"/>
        <v>1</v>
      </c>
    </row>
    <row r="378" spans="1:58" ht="16.25" customHeight="1" x14ac:dyDescent="0.2">
      <c r="A378">
        <v>37294259</v>
      </c>
      <c r="B378" t="s">
        <v>2763</v>
      </c>
      <c r="C378" s="14">
        <v>41048</v>
      </c>
      <c r="D378" t="s">
        <v>2764</v>
      </c>
      <c r="E378" t="s">
        <v>113</v>
      </c>
      <c r="F378">
        <v>121603</v>
      </c>
      <c r="G378" t="s">
        <v>1286</v>
      </c>
      <c r="I378" t="s">
        <v>2765</v>
      </c>
      <c r="J378" t="s">
        <v>2766</v>
      </c>
      <c r="K378" t="s">
        <v>62</v>
      </c>
      <c r="L378" t="s">
        <v>63</v>
      </c>
      <c r="M378" t="s">
        <v>2767</v>
      </c>
      <c r="N378" t="s">
        <v>2768</v>
      </c>
      <c r="R378">
        <v>3</v>
      </c>
      <c r="S378">
        <v>0</v>
      </c>
      <c r="T378" t="b">
        <v>0</v>
      </c>
      <c r="V378" t="s">
        <v>2769</v>
      </c>
      <c r="W378" s="15">
        <v>7.5543946210000001</v>
      </c>
      <c r="X378" s="15">
        <v>-11.35531306</v>
      </c>
      <c r="Y378">
        <v>64</v>
      </c>
      <c r="AC378">
        <v>64</v>
      </c>
      <c r="AF378" t="b">
        <v>0</v>
      </c>
      <c r="AI378" t="s">
        <v>71</v>
      </c>
      <c r="AJ378" t="s">
        <v>70</v>
      </c>
      <c r="AK378" t="s">
        <v>71</v>
      </c>
      <c r="AL378" t="s">
        <v>72</v>
      </c>
      <c r="AM378">
        <v>346053</v>
      </c>
      <c r="AO378" s="16" t="s">
        <v>140</v>
      </c>
      <c r="AP378" s="17" t="str">
        <f t="shared" si="25"/>
        <v>Post-emergence nest</v>
      </c>
      <c r="AQ378" s="18">
        <v>4</v>
      </c>
      <c r="AT378" s="19" t="s">
        <v>141</v>
      </c>
      <c r="AU378" s="20" t="s">
        <v>104</v>
      </c>
      <c r="AX378" s="22" t="str">
        <f>IF(AND('[1]observations-276632'!W378&gt;'[1]Methods write-up'!$Q$16,'[1]observations-276632'!W378&lt;'[1]Methods write-up'!$R$16,'[1]observations-276632'!X378&gt;'[1]Methods write-up'!$S$16,'[1]observations-276632'!X378&lt;'[1]Methods write-up'!$T$16),"West and Central Africa","")</f>
        <v>West and Central Africa</v>
      </c>
      <c r="AY378" s="22" t="str">
        <f>IF(AND('[1]observations-276632'!W378&gt;'[1]Methods write-up'!$Q$17,'[1]observations-276632'!W378&lt;'[1]Methods write-up'!$R$17,'[1]observations-276632'!X378&gt;'[1]Methods write-up'!$S$17,'[1]observations-276632'!X378&lt;'[1]Methods write-up'!$T$17),"Equatorial tropical forest","")</f>
        <v/>
      </c>
      <c r="AZ378" s="22" t="str">
        <f>IF(AND('[1]observations-276632'!W378&gt;'[1]Methods write-up'!$Q$18,'[1]observations-276632'!W378&lt;'[1]Methods write-up'!$R$18,'[1]observations-276632'!X378&gt;'[1]Methods write-up'!$S$18,'[1]observations-276632'!X378&lt;'[1]Methods write-up'!$T$18),"Somali peninsula","")</f>
        <v/>
      </c>
      <c r="BA378" s="22" t="str">
        <f>IF(AND('[1]observations-276632'!W378&gt;'[1]Methods write-up'!$Q$19,'[1]observations-276632'!W378&lt;'[1]Methods write-up'!$R$19,'[1]observations-276632'!X378&gt;'[1]Methods write-up'!$S$19,'[1]observations-276632'!X378&lt;'[1]Methods write-up'!$T$19),"East Africa","")</f>
        <v/>
      </c>
      <c r="BB378" s="22" t="str">
        <f>IF(AND('[1]observations-276632'!W378&gt;'[1]Methods write-up'!$Q$20,'[1]observations-276632'!W378&lt;'[1]Methods write-up'!$R$20,'[1]observations-276632'!X378&gt;'[1]Methods write-up'!$S$20,'[1]observations-276632'!X378&lt;'[1]Methods write-up'!$T$20),"Temperate seasonal","")</f>
        <v/>
      </c>
      <c r="BC378" s="22" t="str">
        <f>IF(AND('[1]observations-276632'!W378&gt;'[1]Methods write-up'!$Q$21,'[1]observations-276632'!W378&lt;'[1]Methods write-up'!$R$21,'[1]observations-276632'!X378&gt;'[1]Methods write-up'!$S$21,'[1]observations-276632'!X378&lt;'[1]Methods write-up'!$T$21),"Desert and high aridity","")</f>
        <v/>
      </c>
      <c r="BD378" s="23" t="str">
        <f t="shared" si="24"/>
        <v>West and Central Africa</v>
      </c>
      <c r="BE378" s="24">
        <f t="shared" si="22"/>
        <v>19</v>
      </c>
      <c r="BF378" s="24">
        <f t="shared" si="23"/>
        <v>5</v>
      </c>
    </row>
    <row r="379" spans="1:58" ht="16.25" customHeight="1" x14ac:dyDescent="0.2">
      <c r="A379">
        <v>37365076</v>
      </c>
      <c r="B379" t="s">
        <v>2770</v>
      </c>
      <c r="C379" s="14">
        <v>43701</v>
      </c>
      <c r="D379" t="s">
        <v>2771</v>
      </c>
      <c r="E379" t="s">
        <v>113</v>
      </c>
      <c r="F379">
        <v>2517036</v>
      </c>
      <c r="G379" t="s">
        <v>2772</v>
      </c>
      <c r="H379" t="s">
        <v>2773</v>
      </c>
      <c r="I379" t="s">
        <v>2774</v>
      </c>
      <c r="J379" t="s">
        <v>2775</v>
      </c>
      <c r="K379" t="s">
        <v>62</v>
      </c>
      <c r="L379" t="s">
        <v>63</v>
      </c>
      <c r="M379" t="s">
        <v>2776</v>
      </c>
      <c r="N379" t="s">
        <v>2777</v>
      </c>
      <c r="R379">
        <v>2</v>
      </c>
      <c r="S379">
        <v>0</v>
      </c>
      <c r="T379" t="b">
        <v>0</v>
      </c>
      <c r="U379">
        <v>2</v>
      </c>
      <c r="V379" t="s">
        <v>2778</v>
      </c>
      <c r="W379" s="15">
        <v>-7.4382361699999997</v>
      </c>
      <c r="X379" s="15">
        <v>37.056398280000003</v>
      </c>
      <c r="Y379">
        <v>352</v>
      </c>
      <c r="AC379">
        <v>352</v>
      </c>
      <c r="AF379" t="b">
        <v>0</v>
      </c>
      <c r="AG379" t="s">
        <v>350</v>
      </c>
      <c r="AH379" t="s">
        <v>350</v>
      </c>
      <c r="AI379" t="s">
        <v>71</v>
      </c>
      <c r="AJ379" t="s">
        <v>70</v>
      </c>
      <c r="AK379" t="s">
        <v>71</v>
      </c>
      <c r="AL379" t="s">
        <v>72</v>
      </c>
      <c r="AM379">
        <v>346053</v>
      </c>
      <c r="AO379" s="16" t="s">
        <v>140</v>
      </c>
      <c r="AP379" s="17" t="str">
        <f t="shared" si="25"/>
        <v>Post-emergence nest</v>
      </c>
      <c r="AQ379" s="18">
        <v>59</v>
      </c>
      <c r="AT379" s="19" t="s">
        <v>141</v>
      </c>
      <c r="AU379" s="20" t="s">
        <v>104</v>
      </c>
      <c r="AX379" s="22" t="str">
        <f>IF(AND('[1]observations-276632'!W379&gt;'[1]Methods write-up'!$Q$16,'[1]observations-276632'!W379&lt;'[1]Methods write-up'!$R$16,'[1]observations-276632'!X379&gt;'[1]Methods write-up'!$S$16,'[1]observations-276632'!X379&lt;'[1]Methods write-up'!$T$16),"West and Central Africa","")</f>
        <v/>
      </c>
      <c r="AY379" s="22" t="str">
        <f>IF(AND('[1]observations-276632'!W379&gt;'[1]Methods write-up'!$Q$17,'[1]observations-276632'!W379&lt;'[1]Methods write-up'!$R$17,'[1]observations-276632'!X379&gt;'[1]Methods write-up'!$S$17,'[1]observations-276632'!X379&lt;'[1]Methods write-up'!$T$17),"Equatorial tropical forest","")</f>
        <v/>
      </c>
      <c r="AZ379" s="22" t="str">
        <f>IF(AND('[1]observations-276632'!W379&gt;'[1]Methods write-up'!$Q$18,'[1]observations-276632'!W379&lt;'[1]Methods write-up'!$R$18,'[1]observations-276632'!X379&gt;'[1]Methods write-up'!$S$18,'[1]observations-276632'!X379&lt;'[1]Methods write-up'!$T$18),"Somali peninsula","")</f>
        <v/>
      </c>
      <c r="BA379" s="22" t="str">
        <f>IF(AND('[1]observations-276632'!W379&gt;'[1]Methods write-up'!$Q$19,'[1]observations-276632'!W379&lt;'[1]Methods write-up'!$R$19,'[1]observations-276632'!X379&gt;'[1]Methods write-up'!$S$19,'[1]observations-276632'!X379&lt;'[1]Methods write-up'!$T$19),"East Africa","")</f>
        <v>East Africa</v>
      </c>
      <c r="BB379" s="22" t="str">
        <f>IF(AND('[1]observations-276632'!W379&gt;'[1]Methods write-up'!$Q$20,'[1]observations-276632'!W379&lt;'[1]Methods write-up'!$R$20,'[1]observations-276632'!X379&gt;'[1]Methods write-up'!$S$20,'[1]observations-276632'!X379&lt;'[1]Methods write-up'!$T$20),"Temperate seasonal","")</f>
        <v/>
      </c>
      <c r="BC379" s="22" t="str">
        <f>IF(AND('[1]observations-276632'!W379&gt;'[1]Methods write-up'!$Q$21,'[1]observations-276632'!W379&lt;'[1]Methods write-up'!$R$21,'[1]observations-276632'!X379&gt;'[1]Methods write-up'!$S$21,'[1]observations-276632'!X379&lt;'[1]Methods write-up'!$T$21),"Desert and high aridity","")</f>
        <v/>
      </c>
      <c r="BD379" s="23" t="str">
        <f t="shared" si="24"/>
        <v>East Africa</v>
      </c>
      <c r="BE379" s="24">
        <f t="shared" si="22"/>
        <v>24</v>
      </c>
      <c r="BF379" s="24">
        <f t="shared" si="23"/>
        <v>8</v>
      </c>
    </row>
    <row r="380" spans="1:58" ht="16.25" customHeight="1" x14ac:dyDescent="0.2">
      <c r="C380" s="14">
        <v>43701</v>
      </c>
      <c r="M380" t="s">
        <v>2779</v>
      </c>
      <c r="W380" s="15">
        <v>-7.4382361699999997</v>
      </c>
      <c r="X380" s="15">
        <v>37.056398280000003</v>
      </c>
      <c r="AO380" s="16" t="s">
        <v>110</v>
      </c>
      <c r="AP380" s="17" t="str">
        <f t="shared" si="25"/>
        <v>Nest (foundress)</v>
      </c>
      <c r="AQ380" s="18">
        <v>2</v>
      </c>
      <c r="AT380" s="19" t="s">
        <v>104</v>
      </c>
      <c r="AX380" s="22" t="str">
        <f>IF(AND('[1]observations-276632'!W380&gt;'[1]Methods write-up'!$Q$16,'[1]observations-276632'!W380&lt;'[1]Methods write-up'!$R$16,'[1]observations-276632'!X380&gt;'[1]Methods write-up'!$S$16,'[1]observations-276632'!X380&lt;'[1]Methods write-up'!$T$16),"West and Central Africa","")</f>
        <v/>
      </c>
      <c r="AY380" s="22" t="str">
        <f>IF(AND('[1]observations-276632'!W380&gt;'[1]Methods write-up'!$Q$17,'[1]observations-276632'!W380&lt;'[1]Methods write-up'!$R$17,'[1]observations-276632'!X380&gt;'[1]Methods write-up'!$S$17,'[1]observations-276632'!X380&lt;'[1]Methods write-up'!$T$17),"Equatorial tropical forest","")</f>
        <v/>
      </c>
      <c r="AZ380" s="22" t="str">
        <f>IF(AND('[1]observations-276632'!W380&gt;'[1]Methods write-up'!$Q$18,'[1]observations-276632'!W380&lt;'[1]Methods write-up'!$R$18,'[1]observations-276632'!X380&gt;'[1]Methods write-up'!$S$18,'[1]observations-276632'!X380&lt;'[1]Methods write-up'!$T$18),"Somali peninsula","")</f>
        <v/>
      </c>
      <c r="BA380" s="22" t="str">
        <f>IF(AND('[1]observations-276632'!W380&gt;'[1]Methods write-up'!$Q$19,'[1]observations-276632'!W380&lt;'[1]Methods write-up'!$R$19,'[1]observations-276632'!X380&gt;'[1]Methods write-up'!$S$19,'[1]observations-276632'!X380&lt;'[1]Methods write-up'!$T$19),"East Africa","")</f>
        <v>East Africa</v>
      </c>
      <c r="BB380" s="22" t="str">
        <f>IF(AND('[1]observations-276632'!W380&gt;'[1]Methods write-up'!$Q$20,'[1]observations-276632'!W380&lt;'[1]Methods write-up'!$R$20,'[1]observations-276632'!X380&gt;'[1]Methods write-up'!$S$20,'[1]observations-276632'!X380&lt;'[1]Methods write-up'!$T$20),"Temperate seasonal","")</f>
        <v/>
      </c>
      <c r="BC380" s="22" t="str">
        <f>IF(AND('[1]observations-276632'!W380&gt;'[1]Methods write-up'!$Q$21,'[1]observations-276632'!W380&lt;'[1]Methods write-up'!$R$21,'[1]observations-276632'!X380&gt;'[1]Methods write-up'!$S$21,'[1]observations-276632'!X380&lt;'[1]Methods write-up'!$T$21),"Desert and high aridity","")</f>
        <v/>
      </c>
      <c r="BD380" s="23" t="str">
        <f t="shared" si="24"/>
        <v>East Africa</v>
      </c>
      <c r="BE380" s="24">
        <f t="shared" si="22"/>
        <v>24</v>
      </c>
      <c r="BF380" s="24">
        <f t="shared" si="23"/>
        <v>8</v>
      </c>
    </row>
    <row r="381" spans="1:58" ht="16.25" customHeight="1" x14ac:dyDescent="0.2">
      <c r="C381" s="14">
        <v>43701</v>
      </c>
      <c r="M381" t="s">
        <v>2780</v>
      </c>
      <c r="W381" s="15">
        <v>-7.4382361699999997</v>
      </c>
      <c r="X381" s="15">
        <v>37.056398280000003</v>
      </c>
      <c r="AO381" s="16" t="s">
        <v>110</v>
      </c>
      <c r="AP381" s="17" t="str">
        <f t="shared" si="25"/>
        <v>Nest (foundress)</v>
      </c>
      <c r="AQ381" s="18">
        <v>1</v>
      </c>
      <c r="AT381" s="19" t="s">
        <v>104</v>
      </c>
      <c r="AX381" s="22" t="str">
        <f>IF(AND('[1]observations-276632'!W381&gt;'[1]Methods write-up'!$Q$16,'[1]observations-276632'!W381&lt;'[1]Methods write-up'!$R$16,'[1]observations-276632'!X381&gt;'[1]Methods write-up'!$S$16,'[1]observations-276632'!X381&lt;'[1]Methods write-up'!$T$16),"West and Central Africa","")</f>
        <v/>
      </c>
      <c r="AY381" s="22" t="str">
        <f>IF(AND('[1]observations-276632'!W381&gt;'[1]Methods write-up'!$Q$17,'[1]observations-276632'!W381&lt;'[1]Methods write-up'!$R$17,'[1]observations-276632'!X381&gt;'[1]Methods write-up'!$S$17,'[1]observations-276632'!X381&lt;'[1]Methods write-up'!$T$17),"Equatorial tropical forest","")</f>
        <v/>
      </c>
      <c r="AZ381" s="22" t="str">
        <f>IF(AND('[1]observations-276632'!W381&gt;'[1]Methods write-up'!$Q$18,'[1]observations-276632'!W381&lt;'[1]Methods write-up'!$R$18,'[1]observations-276632'!X381&gt;'[1]Methods write-up'!$S$18,'[1]observations-276632'!X381&lt;'[1]Methods write-up'!$T$18),"Somali peninsula","")</f>
        <v/>
      </c>
      <c r="BA381" s="22" t="str">
        <f>IF(AND('[1]observations-276632'!W381&gt;'[1]Methods write-up'!$Q$19,'[1]observations-276632'!W381&lt;'[1]Methods write-up'!$R$19,'[1]observations-276632'!X381&gt;'[1]Methods write-up'!$S$19,'[1]observations-276632'!X381&lt;'[1]Methods write-up'!$T$19),"East Africa","")</f>
        <v>East Africa</v>
      </c>
      <c r="BB381" s="22" t="str">
        <f>IF(AND('[1]observations-276632'!W381&gt;'[1]Methods write-up'!$Q$20,'[1]observations-276632'!W381&lt;'[1]Methods write-up'!$R$20,'[1]observations-276632'!X381&gt;'[1]Methods write-up'!$S$20,'[1]observations-276632'!X381&lt;'[1]Methods write-up'!$T$20),"Temperate seasonal","")</f>
        <v/>
      </c>
      <c r="BC381" s="22" t="str">
        <f>IF(AND('[1]observations-276632'!W381&gt;'[1]Methods write-up'!$Q$21,'[1]observations-276632'!W381&lt;'[1]Methods write-up'!$R$21,'[1]observations-276632'!X381&gt;'[1]Methods write-up'!$S$21,'[1]observations-276632'!X381&lt;'[1]Methods write-up'!$T$21),"Desert and high aridity","")</f>
        <v/>
      </c>
      <c r="BD381" s="23" t="str">
        <f t="shared" si="24"/>
        <v>East Africa</v>
      </c>
      <c r="BE381" s="24">
        <f t="shared" si="22"/>
        <v>24</v>
      </c>
      <c r="BF381" s="24">
        <f t="shared" si="23"/>
        <v>8</v>
      </c>
    </row>
    <row r="382" spans="1:58" ht="16.25" customHeight="1" x14ac:dyDescent="0.2">
      <c r="A382">
        <v>37378234</v>
      </c>
      <c r="B382" t="s">
        <v>2781</v>
      </c>
      <c r="C382" s="14">
        <v>43690</v>
      </c>
      <c r="D382" t="s">
        <v>2782</v>
      </c>
      <c r="E382" t="s">
        <v>811</v>
      </c>
      <c r="F382">
        <v>2517036</v>
      </c>
      <c r="G382" t="s">
        <v>2772</v>
      </c>
      <c r="H382" t="s">
        <v>2773</v>
      </c>
      <c r="I382" t="s">
        <v>2783</v>
      </c>
      <c r="J382" t="s">
        <v>2784</v>
      </c>
      <c r="K382" t="s">
        <v>62</v>
      </c>
      <c r="L382" t="s">
        <v>63</v>
      </c>
      <c r="M382" t="s">
        <v>2785</v>
      </c>
      <c r="N382" t="s">
        <v>2786</v>
      </c>
      <c r="R382">
        <v>1</v>
      </c>
      <c r="S382">
        <v>0</v>
      </c>
      <c r="T382" t="b">
        <v>0</v>
      </c>
      <c r="U382">
        <v>2</v>
      </c>
      <c r="V382" t="s">
        <v>2787</v>
      </c>
      <c r="W382" s="15">
        <v>-7.8371810909999997</v>
      </c>
      <c r="X382" s="15">
        <v>36.895633699999998</v>
      </c>
      <c r="AF382" t="b">
        <v>0</v>
      </c>
      <c r="AG382" t="s">
        <v>350</v>
      </c>
      <c r="AH382" t="s">
        <v>350</v>
      </c>
      <c r="AI382" t="s">
        <v>70</v>
      </c>
      <c r="AJ382" t="s">
        <v>2788</v>
      </c>
      <c r="AL382" t="s">
        <v>72</v>
      </c>
      <c r="AM382">
        <v>652795</v>
      </c>
      <c r="AO382" s="16" t="s">
        <v>150</v>
      </c>
      <c r="AP382" s="17" t="str">
        <f t="shared" si="25"/>
        <v>Male (off nest)</v>
      </c>
      <c r="AX382" s="22" t="str">
        <f>IF(AND('[1]observations-276632'!W382&gt;'[1]Methods write-up'!$Q$16,'[1]observations-276632'!W382&lt;'[1]Methods write-up'!$R$16,'[1]observations-276632'!X382&gt;'[1]Methods write-up'!$S$16,'[1]observations-276632'!X382&lt;'[1]Methods write-up'!$T$16),"West and Central Africa","")</f>
        <v/>
      </c>
      <c r="AY382" s="22" t="str">
        <f>IF(AND('[1]observations-276632'!W382&gt;'[1]Methods write-up'!$Q$17,'[1]observations-276632'!W382&lt;'[1]Methods write-up'!$R$17,'[1]observations-276632'!X382&gt;'[1]Methods write-up'!$S$17,'[1]observations-276632'!X382&lt;'[1]Methods write-up'!$T$17),"Equatorial tropical forest","")</f>
        <v/>
      </c>
      <c r="AZ382" s="22" t="str">
        <f>IF(AND('[1]observations-276632'!W382&gt;'[1]Methods write-up'!$Q$18,'[1]observations-276632'!W382&lt;'[1]Methods write-up'!$R$18,'[1]observations-276632'!X382&gt;'[1]Methods write-up'!$S$18,'[1]observations-276632'!X382&lt;'[1]Methods write-up'!$T$18),"Somali peninsula","")</f>
        <v/>
      </c>
      <c r="BA382" s="22" t="str">
        <f>IF(AND('[1]observations-276632'!W382&gt;'[1]Methods write-up'!$Q$19,'[1]observations-276632'!W382&lt;'[1]Methods write-up'!$R$19,'[1]observations-276632'!X382&gt;'[1]Methods write-up'!$S$19,'[1]observations-276632'!X382&lt;'[1]Methods write-up'!$T$19),"East Africa","")</f>
        <v>East Africa</v>
      </c>
      <c r="BB382" s="22" t="str">
        <f>IF(AND('[1]observations-276632'!W382&gt;'[1]Methods write-up'!$Q$20,'[1]observations-276632'!W382&lt;'[1]Methods write-up'!$R$20,'[1]observations-276632'!X382&gt;'[1]Methods write-up'!$S$20,'[1]observations-276632'!X382&lt;'[1]Methods write-up'!$T$20),"Temperate seasonal","")</f>
        <v/>
      </c>
      <c r="BC382" s="22" t="str">
        <f>IF(AND('[1]observations-276632'!W382&gt;'[1]Methods write-up'!$Q$21,'[1]observations-276632'!W382&lt;'[1]Methods write-up'!$R$21,'[1]observations-276632'!X382&gt;'[1]Methods write-up'!$S$21,'[1]observations-276632'!X382&lt;'[1]Methods write-up'!$T$21),"Desert and high aridity","")</f>
        <v/>
      </c>
      <c r="BD382" s="23" t="str">
        <f t="shared" si="24"/>
        <v>East Africa</v>
      </c>
      <c r="BE382" s="24">
        <f t="shared" si="22"/>
        <v>13</v>
      </c>
      <c r="BF382" s="24">
        <f t="shared" si="23"/>
        <v>8</v>
      </c>
    </row>
    <row r="383" spans="1:58" ht="16.25" customHeight="1" x14ac:dyDescent="0.2">
      <c r="A383">
        <v>37445135</v>
      </c>
      <c r="B383" t="s">
        <v>2789</v>
      </c>
      <c r="C383" s="14">
        <v>38713</v>
      </c>
      <c r="D383" t="s">
        <v>2790</v>
      </c>
      <c r="E383" t="s">
        <v>113</v>
      </c>
      <c r="F383">
        <v>687366</v>
      </c>
      <c r="G383" t="s">
        <v>2791</v>
      </c>
      <c r="H383" t="s">
        <v>2792</v>
      </c>
      <c r="I383" t="s">
        <v>2793</v>
      </c>
      <c r="J383" t="s">
        <v>2794</v>
      </c>
      <c r="K383" t="s">
        <v>62</v>
      </c>
      <c r="L383" t="s">
        <v>373</v>
      </c>
      <c r="M383" t="s">
        <v>2795</v>
      </c>
      <c r="N383" t="s">
        <v>2796</v>
      </c>
      <c r="R383">
        <v>3</v>
      </c>
      <c r="S383">
        <v>0</v>
      </c>
      <c r="T383" t="b">
        <v>0</v>
      </c>
      <c r="V383" t="s">
        <v>2797</v>
      </c>
      <c r="W383" s="15">
        <v>-24.982235800000002</v>
      </c>
      <c r="X383" s="15">
        <v>31.585085190000001</v>
      </c>
      <c r="Y383">
        <v>15</v>
      </c>
      <c r="AC383">
        <v>15</v>
      </c>
      <c r="AF383" t="b">
        <v>0</v>
      </c>
      <c r="AI383" t="s">
        <v>71</v>
      </c>
      <c r="AJ383" t="s">
        <v>70</v>
      </c>
      <c r="AK383" t="s">
        <v>71</v>
      </c>
      <c r="AL383" t="s">
        <v>72</v>
      </c>
      <c r="AM383">
        <v>346053</v>
      </c>
      <c r="AO383" s="16" t="s">
        <v>73</v>
      </c>
      <c r="AP383" s="17" t="str">
        <f t="shared" si="25"/>
        <v>Off-nest female</v>
      </c>
      <c r="AX383" s="22" t="str">
        <f>IF(AND('[1]observations-276632'!W383&gt;'[1]Methods write-up'!$Q$16,'[1]observations-276632'!W383&lt;'[1]Methods write-up'!$R$16,'[1]observations-276632'!X383&gt;'[1]Methods write-up'!$S$16,'[1]observations-276632'!X383&lt;'[1]Methods write-up'!$T$16),"West and Central Africa","")</f>
        <v/>
      </c>
      <c r="AY383" s="22" t="str">
        <f>IF(AND('[1]observations-276632'!W383&gt;'[1]Methods write-up'!$Q$17,'[1]observations-276632'!W383&lt;'[1]Methods write-up'!$R$17,'[1]observations-276632'!X383&gt;'[1]Methods write-up'!$S$17,'[1]observations-276632'!X383&lt;'[1]Methods write-up'!$T$17),"Equatorial tropical forest","")</f>
        <v/>
      </c>
      <c r="AZ383" s="22" t="str">
        <f>IF(AND('[1]observations-276632'!W383&gt;'[1]Methods write-up'!$Q$18,'[1]observations-276632'!W383&lt;'[1]Methods write-up'!$R$18,'[1]observations-276632'!X383&gt;'[1]Methods write-up'!$S$18,'[1]observations-276632'!X383&lt;'[1]Methods write-up'!$T$18),"Somali peninsula","")</f>
        <v/>
      </c>
      <c r="BA383" s="22" t="str">
        <f>IF(AND('[1]observations-276632'!W383&gt;'[1]Methods write-up'!$Q$19,'[1]observations-276632'!W383&lt;'[1]Methods write-up'!$R$19,'[1]observations-276632'!X383&gt;'[1]Methods write-up'!$S$19,'[1]observations-276632'!X383&lt;'[1]Methods write-up'!$T$19),"East Africa","")</f>
        <v/>
      </c>
      <c r="BB383" s="22" t="str">
        <f>IF(AND('[1]observations-276632'!W383&gt;'[1]Methods write-up'!$Q$20,'[1]observations-276632'!W383&lt;'[1]Methods write-up'!$R$20,'[1]observations-276632'!X383&gt;'[1]Methods write-up'!$S$20,'[1]observations-276632'!X383&lt;'[1]Methods write-up'!$T$20),"Temperate seasonal","")</f>
        <v/>
      </c>
      <c r="BC383" s="22" t="str">
        <f>IF(AND('[1]observations-276632'!W383&gt;'[1]Methods write-up'!$Q$21,'[1]observations-276632'!W383&lt;'[1]Methods write-up'!$R$21,'[1]observations-276632'!X383&gt;'[1]Methods write-up'!$S$21,'[1]observations-276632'!X383&lt;'[1]Methods write-up'!$T$21),"Desert and high aridity","")</f>
        <v/>
      </c>
      <c r="BD383" s="23" t="str">
        <f t="shared" si="24"/>
        <v/>
      </c>
      <c r="BE383" s="24">
        <f t="shared" si="22"/>
        <v>27</v>
      </c>
      <c r="BF383" s="24">
        <f t="shared" si="23"/>
        <v>12</v>
      </c>
    </row>
    <row r="384" spans="1:58" ht="16.25" customHeight="1" x14ac:dyDescent="0.2">
      <c r="A384">
        <v>37446837</v>
      </c>
      <c r="B384" t="s">
        <v>2798</v>
      </c>
      <c r="C384" s="14">
        <v>43840</v>
      </c>
      <c r="D384" t="s">
        <v>2799</v>
      </c>
      <c r="E384" t="s">
        <v>113</v>
      </c>
      <c r="F384">
        <v>2502781</v>
      </c>
      <c r="G384" t="s">
        <v>2800</v>
      </c>
      <c r="H384" t="s">
        <v>2801</v>
      </c>
      <c r="I384" t="s">
        <v>2802</v>
      </c>
      <c r="J384" t="s">
        <v>2803</v>
      </c>
      <c r="K384" t="s">
        <v>62</v>
      </c>
      <c r="M384" t="s">
        <v>2804</v>
      </c>
      <c r="N384" t="s">
        <v>2805</v>
      </c>
      <c r="R384">
        <v>4</v>
      </c>
      <c r="S384">
        <v>1</v>
      </c>
      <c r="T384" t="b">
        <v>0</v>
      </c>
      <c r="U384">
        <v>3</v>
      </c>
      <c r="V384" t="s">
        <v>2806</v>
      </c>
      <c r="W384" s="15">
        <v>-28.443741670000001</v>
      </c>
      <c r="X384" s="15">
        <v>21.275238330000001</v>
      </c>
      <c r="Y384">
        <v>5</v>
      </c>
      <c r="AC384">
        <v>5</v>
      </c>
      <c r="AF384" t="b">
        <v>0</v>
      </c>
      <c r="AI384" t="s">
        <v>71</v>
      </c>
      <c r="AJ384" t="s">
        <v>70</v>
      </c>
      <c r="AK384" t="s">
        <v>71</v>
      </c>
      <c r="AL384" t="s">
        <v>72</v>
      </c>
      <c r="AM384">
        <v>346053</v>
      </c>
      <c r="AO384" s="16" t="s">
        <v>110</v>
      </c>
      <c r="AP384" s="17" t="str">
        <f t="shared" si="25"/>
        <v>Nest (foundress)</v>
      </c>
      <c r="AQ384" s="18">
        <v>2</v>
      </c>
      <c r="AT384" s="19" t="s">
        <v>104</v>
      </c>
      <c r="AX384" s="22" t="str">
        <f>IF(AND('[1]observations-276632'!W384&gt;'[1]Methods write-up'!$Q$16,'[1]observations-276632'!W384&lt;'[1]Methods write-up'!$R$16,'[1]observations-276632'!X384&gt;'[1]Methods write-up'!$S$16,'[1]observations-276632'!X384&lt;'[1]Methods write-up'!$T$16),"West and Central Africa","")</f>
        <v/>
      </c>
      <c r="AY384" s="22" t="str">
        <f>IF(AND('[1]observations-276632'!W384&gt;'[1]Methods write-up'!$Q$17,'[1]observations-276632'!W384&lt;'[1]Methods write-up'!$R$17,'[1]observations-276632'!X384&gt;'[1]Methods write-up'!$S$17,'[1]observations-276632'!X384&lt;'[1]Methods write-up'!$T$17),"Equatorial tropical forest","")</f>
        <v/>
      </c>
      <c r="AZ384" s="22" t="str">
        <f>IF(AND('[1]observations-276632'!W384&gt;'[1]Methods write-up'!$Q$18,'[1]observations-276632'!W384&lt;'[1]Methods write-up'!$R$18,'[1]observations-276632'!X384&gt;'[1]Methods write-up'!$S$18,'[1]observations-276632'!X384&lt;'[1]Methods write-up'!$T$18),"Somali peninsula","")</f>
        <v/>
      </c>
      <c r="BA384" s="22" t="str">
        <f>IF(AND('[1]observations-276632'!W384&gt;'[1]Methods write-up'!$Q$19,'[1]observations-276632'!W384&lt;'[1]Methods write-up'!$R$19,'[1]observations-276632'!X384&gt;'[1]Methods write-up'!$S$19,'[1]observations-276632'!X384&lt;'[1]Methods write-up'!$T$19),"East Africa","")</f>
        <v/>
      </c>
      <c r="BB384" s="22" t="str">
        <f>IF(AND('[1]observations-276632'!W384&gt;'[1]Methods write-up'!$Q$20,'[1]observations-276632'!W384&lt;'[1]Methods write-up'!$R$20,'[1]observations-276632'!X384&gt;'[1]Methods write-up'!$S$20,'[1]observations-276632'!X384&lt;'[1]Methods write-up'!$T$20),"Temperate seasonal","")</f>
        <v/>
      </c>
      <c r="BC384" s="22" t="str">
        <f>IF(AND('[1]observations-276632'!W384&gt;'[1]Methods write-up'!$Q$21,'[1]observations-276632'!W384&lt;'[1]Methods write-up'!$R$21,'[1]observations-276632'!X384&gt;'[1]Methods write-up'!$S$21,'[1]observations-276632'!X384&lt;'[1]Methods write-up'!$T$21),"Desert and high aridity","")</f>
        <v>Desert and high aridity</v>
      </c>
      <c r="BD384" s="23" t="str">
        <f t="shared" si="24"/>
        <v>Desert and high aridity</v>
      </c>
      <c r="BE384" s="24">
        <f t="shared" si="22"/>
        <v>10</v>
      </c>
      <c r="BF384" s="24">
        <f t="shared" si="23"/>
        <v>1</v>
      </c>
    </row>
    <row r="385" spans="1:58" ht="16.25" customHeight="1" x14ac:dyDescent="0.2">
      <c r="A385">
        <v>37449374</v>
      </c>
      <c r="B385" s="13">
        <v>40265</v>
      </c>
      <c r="C385" s="14">
        <v>40265</v>
      </c>
      <c r="E385" t="s">
        <v>2807</v>
      </c>
      <c r="F385">
        <v>3462</v>
      </c>
      <c r="G385" t="s">
        <v>2808</v>
      </c>
      <c r="H385" t="s">
        <v>2809</v>
      </c>
      <c r="I385" t="s">
        <v>2810</v>
      </c>
      <c r="J385" t="s">
        <v>2811</v>
      </c>
      <c r="K385" t="s">
        <v>62</v>
      </c>
      <c r="L385" t="s">
        <v>98</v>
      </c>
      <c r="M385" t="s">
        <v>2812</v>
      </c>
      <c r="N385" t="s">
        <v>2813</v>
      </c>
      <c r="R385">
        <v>1</v>
      </c>
      <c r="S385">
        <v>0</v>
      </c>
      <c r="T385" t="b">
        <v>0</v>
      </c>
      <c r="V385" t="s">
        <v>2814</v>
      </c>
      <c r="W385" s="15">
        <v>16.023925999999999</v>
      </c>
      <c r="X385" s="15">
        <v>-16.489850000000001</v>
      </c>
      <c r="Y385">
        <v>26</v>
      </c>
      <c r="AC385">
        <v>26</v>
      </c>
      <c r="AF385" t="b">
        <v>0</v>
      </c>
      <c r="AI385" t="s">
        <v>102</v>
      </c>
      <c r="AJ385" t="s">
        <v>102</v>
      </c>
      <c r="AL385" t="s">
        <v>72</v>
      </c>
      <c r="AM385">
        <v>1070939</v>
      </c>
      <c r="AO385" s="16" t="s">
        <v>150</v>
      </c>
      <c r="AP385" s="17" t="str">
        <f t="shared" si="25"/>
        <v>Male (off nest)</v>
      </c>
      <c r="AX385" s="22" t="str">
        <f>IF(AND('[1]observations-276632'!W385&gt;'[1]Methods write-up'!$Q$16,'[1]observations-276632'!W385&lt;'[1]Methods write-up'!$R$16,'[1]observations-276632'!X385&gt;'[1]Methods write-up'!$S$16,'[1]observations-276632'!X385&lt;'[1]Methods write-up'!$T$16),"West and Central Africa","")</f>
        <v/>
      </c>
      <c r="AY385" s="22" t="str">
        <f>IF(AND('[1]observations-276632'!W385&gt;'[1]Methods write-up'!$Q$17,'[1]observations-276632'!W385&lt;'[1]Methods write-up'!$R$17,'[1]observations-276632'!X385&gt;'[1]Methods write-up'!$S$17,'[1]observations-276632'!X385&lt;'[1]Methods write-up'!$T$17),"Equatorial tropical forest","")</f>
        <v/>
      </c>
      <c r="AZ385" s="22" t="str">
        <f>IF(AND('[1]observations-276632'!W385&gt;'[1]Methods write-up'!$Q$18,'[1]observations-276632'!W385&lt;'[1]Methods write-up'!$R$18,'[1]observations-276632'!X385&gt;'[1]Methods write-up'!$S$18,'[1]observations-276632'!X385&lt;'[1]Methods write-up'!$T$18),"Somali peninsula","")</f>
        <v/>
      </c>
      <c r="BA385" s="22" t="str">
        <f>IF(AND('[1]observations-276632'!W385&gt;'[1]Methods write-up'!$Q$19,'[1]observations-276632'!W385&lt;'[1]Methods write-up'!$R$19,'[1]observations-276632'!X385&gt;'[1]Methods write-up'!$S$19,'[1]observations-276632'!X385&lt;'[1]Methods write-up'!$T$19),"East Africa","")</f>
        <v/>
      </c>
      <c r="BB385" s="22" t="str">
        <f>IF(AND('[1]observations-276632'!W385&gt;'[1]Methods write-up'!$Q$20,'[1]observations-276632'!W385&lt;'[1]Methods write-up'!$R$20,'[1]observations-276632'!X385&gt;'[1]Methods write-up'!$S$20,'[1]observations-276632'!X385&lt;'[1]Methods write-up'!$T$20),"Temperate seasonal","")</f>
        <v/>
      </c>
      <c r="BC385" s="22" t="str">
        <f>IF(AND('[1]observations-276632'!W385&gt;'[1]Methods write-up'!$Q$21,'[1]observations-276632'!W385&lt;'[1]Methods write-up'!$R$21,'[1]observations-276632'!X385&gt;'[1]Methods write-up'!$S$21,'[1]observations-276632'!X385&lt;'[1]Methods write-up'!$T$21),"Desert and high aridity","")</f>
        <v/>
      </c>
      <c r="BD385" s="23" t="str">
        <f t="shared" si="24"/>
        <v/>
      </c>
      <c r="BE385" s="24">
        <f t="shared" si="22"/>
        <v>28</v>
      </c>
      <c r="BF385" s="24">
        <f t="shared" si="23"/>
        <v>3</v>
      </c>
    </row>
    <row r="386" spans="1:58" ht="16.25" customHeight="1" x14ac:dyDescent="0.2">
      <c r="A386">
        <v>37474599</v>
      </c>
      <c r="B386" t="s">
        <v>2815</v>
      </c>
      <c r="C386" s="14">
        <v>43840</v>
      </c>
      <c r="D386" t="s">
        <v>2816</v>
      </c>
      <c r="E386" t="s">
        <v>113</v>
      </c>
      <c r="F386">
        <v>662724</v>
      </c>
      <c r="G386" t="s">
        <v>903</v>
      </c>
      <c r="H386" t="s">
        <v>904</v>
      </c>
      <c r="I386" t="s">
        <v>2817</v>
      </c>
      <c r="J386" t="s">
        <v>2818</v>
      </c>
      <c r="K386" t="s">
        <v>62</v>
      </c>
      <c r="L386" t="s">
        <v>63</v>
      </c>
      <c r="M386" t="s">
        <v>2819</v>
      </c>
      <c r="N386" t="s">
        <v>2820</v>
      </c>
      <c r="Q386" s="26" t="s">
        <v>2821</v>
      </c>
      <c r="R386">
        <v>3</v>
      </c>
      <c r="S386">
        <v>0</v>
      </c>
      <c r="T386" t="b">
        <v>0</v>
      </c>
      <c r="V386" t="s">
        <v>1146</v>
      </c>
      <c r="W386" s="15">
        <v>-30.301277129999999</v>
      </c>
      <c r="X386" s="15">
        <v>30.742525319999999</v>
      </c>
      <c r="Y386">
        <v>2</v>
      </c>
      <c r="AC386">
        <v>2</v>
      </c>
      <c r="AF386" t="b">
        <v>0</v>
      </c>
      <c r="AI386" t="s">
        <v>71</v>
      </c>
      <c r="AJ386" t="s">
        <v>70</v>
      </c>
      <c r="AK386" t="s">
        <v>71</v>
      </c>
      <c r="AL386" t="s">
        <v>72</v>
      </c>
      <c r="AM386">
        <v>346053</v>
      </c>
      <c r="AO386" s="16" t="s">
        <v>73</v>
      </c>
      <c r="AP386" s="17" t="str">
        <f t="shared" si="25"/>
        <v>Off-nest female</v>
      </c>
      <c r="AX386" s="22" t="str">
        <f>IF(AND('[1]observations-276632'!W386&gt;'[1]Methods write-up'!$Q$16,'[1]observations-276632'!W386&lt;'[1]Methods write-up'!$R$16,'[1]observations-276632'!X386&gt;'[1]Methods write-up'!$S$16,'[1]observations-276632'!X386&lt;'[1]Methods write-up'!$T$16),"West and Central Africa","")</f>
        <v/>
      </c>
      <c r="AY386" s="22" t="str">
        <f>IF(AND('[1]observations-276632'!W386&gt;'[1]Methods write-up'!$Q$17,'[1]observations-276632'!W386&lt;'[1]Methods write-up'!$R$17,'[1]observations-276632'!X386&gt;'[1]Methods write-up'!$S$17,'[1]observations-276632'!X386&lt;'[1]Methods write-up'!$T$17),"Equatorial tropical forest","")</f>
        <v/>
      </c>
      <c r="AZ386" s="22" t="str">
        <f>IF(AND('[1]observations-276632'!W386&gt;'[1]Methods write-up'!$Q$18,'[1]observations-276632'!W386&lt;'[1]Methods write-up'!$R$18,'[1]observations-276632'!X386&gt;'[1]Methods write-up'!$S$18,'[1]observations-276632'!X386&lt;'[1]Methods write-up'!$T$18),"Somali peninsula","")</f>
        <v/>
      </c>
      <c r="BA386" s="22" t="str">
        <f>IF(AND('[1]observations-276632'!W386&gt;'[1]Methods write-up'!$Q$19,'[1]observations-276632'!W386&lt;'[1]Methods write-up'!$R$19,'[1]observations-276632'!X386&gt;'[1]Methods write-up'!$S$19,'[1]observations-276632'!X386&lt;'[1]Methods write-up'!$T$19),"East Africa","")</f>
        <v/>
      </c>
      <c r="BB386" s="22" t="str">
        <f>IF(AND('[1]observations-276632'!W386&gt;'[1]Methods write-up'!$Q$20,'[1]observations-276632'!W386&lt;'[1]Methods write-up'!$R$20,'[1]observations-276632'!X386&gt;'[1]Methods write-up'!$S$20,'[1]observations-276632'!X386&lt;'[1]Methods write-up'!$T$20),"Temperate seasonal","")</f>
        <v>Temperate seasonal</v>
      </c>
      <c r="BC386" s="22" t="str">
        <f>IF(AND('[1]observations-276632'!W386&gt;'[1]Methods write-up'!$Q$21,'[1]observations-276632'!W386&lt;'[1]Methods write-up'!$R$21,'[1]observations-276632'!X386&gt;'[1]Methods write-up'!$S$21,'[1]observations-276632'!X386&lt;'[1]Methods write-up'!$T$21),"Desert and high aridity","")</f>
        <v/>
      </c>
      <c r="BD386" s="23" t="str">
        <f t="shared" si="24"/>
        <v>Temperate seasonal</v>
      </c>
      <c r="BE386" s="24">
        <f t="shared" ref="BE386:BE449" si="26">DAY(C386)</f>
        <v>10</v>
      </c>
      <c r="BF386" s="24">
        <f t="shared" ref="BF386:BF449" si="27">MONTH(C386)</f>
        <v>1</v>
      </c>
    </row>
    <row r="387" spans="1:58" ht="16.25" customHeight="1" x14ac:dyDescent="0.2">
      <c r="A387">
        <v>37503924</v>
      </c>
      <c r="B387" t="s">
        <v>2822</v>
      </c>
      <c r="C387" s="14">
        <v>43327</v>
      </c>
      <c r="D387" t="s">
        <v>2823</v>
      </c>
      <c r="E387" t="s">
        <v>113</v>
      </c>
      <c r="F387">
        <v>25779</v>
      </c>
      <c r="G387" t="s">
        <v>2824</v>
      </c>
      <c r="H387" t="s">
        <v>2825</v>
      </c>
      <c r="I387" t="s">
        <v>2826</v>
      </c>
      <c r="J387" t="s">
        <v>2827</v>
      </c>
      <c r="K387" t="s">
        <v>62</v>
      </c>
      <c r="L387" t="s">
        <v>261</v>
      </c>
      <c r="M387" t="s">
        <v>2828</v>
      </c>
      <c r="N387" t="s">
        <v>2829</v>
      </c>
      <c r="Q387" s="26" t="s">
        <v>2830</v>
      </c>
      <c r="R387">
        <v>3</v>
      </c>
      <c r="S387">
        <v>0</v>
      </c>
      <c r="T387" t="b">
        <v>0</v>
      </c>
      <c r="V387" t="s">
        <v>2831</v>
      </c>
      <c r="W387" s="15">
        <v>-16.434525149999999</v>
      </c>
      <c r="X387" s="15">
        <v>45.355460579999999</v>
      </c>
      <c r="Y387">
        <v>766</v>
      </c>
      <c r="AC387">
        <v>766</v>
      </c>
      <c r="AF387" t="b">
        <v>0</v>
      </c>
      <c r="AI387" t="s">
        <v>70</v>
      </c>
      <c r="AJ387" t="s">
        <v>70</v>
      </c>
      <c r="AK387" t="s">
        <v>71</v>
      </c>
      <c r="AL387" t="s">
        <v>72</v>
      </c>
      <c r="AM387">
        <v>346053</v>
      </c>
      <c r="AO387" s="16" t="s">
        <v>2832</v>
      </c>
      <c r="AP387" s="17" t="str">
        <f t="shared" si="25"/>
        <v>Many post-emergence nests</v>
      </c>
      <c r="AQ387" s="18" t="s">
        <v>2833</v>
      </c>
      <c r="AV387" s="21" t="s">
        <v>2834</v>
      </c>
      <c r="AX387" s="22" t="str">
        <f>IF(AND('[1]observations-276632'!W387&gt;'[1]Methods write-up'!$Q$16,'[1]observations-276632'!W387&lt;'[1]Methods write-up'!$R$16,'[1]observations-276632'!X387&gt;'[1]Methods write-up'!$S$16,'[1]observations-276632'!X387&lt;'[1]Methods write-up'!$T$16),"West and Central Africa","")</f>
        <v/>
      </c>
      <c r="AY387" s="22" t="str">
        <f>IF(AND('[1]observations-276632'!W387&gt;'[1]Methods write-up'!$Q$17,'[1]observations-276632'!W387&lt;'[1]Methods write-up'!$R$17,'[1]observations-276632'!X387&gt;'[1]Methods write-up'!$S$17,'[1]observations-276632'!X387&lt;'[1]Methods write-up'!$T$17),"Equatorial tropical forest","")</f>
        <v/>
      </c>
      <c r="AZ387" s="22" t="str">
        <f>IF(AND('[1]observations-276632'!W387&gt;'[1]Methods write-up'!$Q$18,'[1]observations-276632'!W387&lt;'[1]Methods write-up'!$R$18,'[1]observations-276632'!X387&gt;'[1]Methods write-up'!$S$18,'[1]observations-276632'!X387&lt;'[1]Methods write-up'!$T$18),"Somali peninsula","")</f>
        <v/>
      </c>
      <c r="BA387" s="22" t="str">
        <f>IF(AND('[1]observations-276632'!W387&gt;'[1]Methods write-up'!$Q$19,'[1]observations-276632'!W387&lt;'[1]Methods write-up'!$R$19,'[1]observations-276632'!X387&gt;'[1]Methods write-up'!$S$19,'[1]observations-276632'!X387&lt;'[1]Methods write-up'!$T$19),"East Africa","")</f>
        <v/>
      </c>
      <c r="BB387" s="22" t="str">
        <f>IF(AND('[1]observations-276632'!W387&gt;'[1]Methods write-up'!$Q$20,'[1]observations-276632'!W387&lt;'[1]Methods write-up'!$R$20,'[1]observations-276632'!X387&gt;'[1]Methods write-up'!$S$20,'[1]observations-276632'!X387&lt;'[1]Methods write-up'!$T$20),"Temperate seasonal","")</f>
        <v/>
      </c>
      <c r="BC387" s="22" t="str">
        <f>IF(AND('[1]observations-276632'!W387&gt;'[1]Methods write-up'!$Q$21,'[1]observations-276632'!W387&lt;'[1]Methods write-up'!$R$21,'[1]observations-276632'!X387&gt;'[1]Methods write-up'!$S$21,'[1]observations-276632'!X387&lt;'[1]Methods write-up'!$T$21),"Desert and high aridity","")</f>
        <v/>
      </c>
      <c r="BD387" s="23" t="str">
        <f t="shared" ref="BD387:BD450" si="28">AX387&amp;AY387&amp;AZ387&amp;BA387&amp;BB387&amp;BC387</f>
        <v/>
      </c>
      <c r="BE387" s="24">
        <f t="shared" si="26"/>
        <v>15</v>
      </c>
      <c r="BF387" s="24">
        <f t="shared" si="27"/>
        <v>8</v>
      </c>
    </row>
    <row r="388" spans="1:58" ht="16.25" customHeight="1" x14ac:dyDescent="0.2">
      <c r="A388">
        <v>37537917</v>
      </c>
      <c r="B388" t="s">
        <v>2835</v>
      </c>
      <c r="C388" s="14">
        <v>43690</v>
      </c>
      <c r="E388" t="s">
        <v>1408</v>
      </c>
      <c r="F388">
        <v>2517036</v>
      </c>
      <c r="G388" t="s">
        <v>2772</v>
      </c>
      <c r="H388" t="s">
        <v>2773</v>
      </c>
      <c r="I388" t="s">
        <v>2836</v>
      </c>
      <c r="J388" t="s">
        <v>2837</v>
      </c>
      <c r="K388" t="s">
        <v>62</v>
      </c>
      <c r="L388" t="s">
        <v>63</v>
      </c>
      <c r="M388" t="s">
        <v>2838</v>
      </c>
      <c r="N388" t="s">
        <v>2839</v>
      </c>
      <c r="R388">
        <v>2</v>
      </c>
      <c r="S388">
        <v>0</v>
      </c>
      <c r="T388" t="b">
        <v>0</v>
      </c>
      <c r="V388" t="s">
        <v>2840</v>
      </c>
      <c r="W388" s="15">
        <v>-7.8474139919999999</v>
      </c>
      <c r="X388" s="15">
        <v>36.888860100000002</v>
      </c>
      <c r="Y388">
        <v>4</v>
      </c>
      <c r="AC388">
        <v>4</v>
      </c>
      <c r="AF388" t="b">
        <v>0</v>
      </c>
      <c r="AI388" t="s">
        <v>71</v>
      </c>
      <c r="AJ388" t="s">
        <v>70</v>
      </c>
      <c r="AK388" t="s">
        <v>71</v>
      </c>
      <c r="AL388" t="s">
        <v>72</v>
      </c>
      <c r="AM388">
        <v>346053</v>
      </c>
      <c r="AO388" s="16" t="s">
        <v>1574</v>
      </c>
      <c r="AP388" s="17" t="str">
        <f t="shared" si="25"/>
        <v>Nest (foundress)</v>
      </c>
      <c r="AQ388" s="18">
        <v>1</v>
      </c>
      <c r="AT388" s="19" t="s">
        <v>141</v>
      </c>
      <c r="AX388" s="22" t="str">
        <f>IF(AND('[1]observations-276632'!W388&gt;'[1]Methods write-up'!$Q$16,'[1]observations-276632'!W388&lt;'[1]Methods write-up'!$R$16,'[1]observations-276632'!X388&gt;'[1]Methods write-up'!$S$16,'[1]observations-276632'!X388&lt;'[1]Methods write-up'!$T$16),"West and Central Africa","")</f>
        <v/>
      </c>
      <c r="AY388" s="22" t="str">
        <f>IF(AND('[1]observations-276632'!W388&gt;'[1]Methods write-up'!$Q$17,'[1]observations-276632'!W388&lt;'[1]Methods write-up'!$R$17,'[1]observations-276632'!X388&gt;'[1]Methods write-up'!$S$17,'[1]observations-276632'!X388&lt;'[1]Methods write-up'!$T$17),"Equatorial tropical forest","")</f>
        <v/>
      </c>
      <c r="AZ388" s="22" t="str">
        <f>IF(AND('[1]observations-276632'!W388&gt;'[1]Methods write-up'!$Q$18,'[1]observations-276632'!W388&lt;'[1]Methods write-up'!$R$18,'[1]observations-276632'!X388&gt;'[1]Methods write-up'!$S$18,'[1]observations-276632'!X388&lt;'[1]Methods write-up'!$T$18),"Somali peninsula","")</f>
        <v/>
      </c>
      <c r="BA388" s="22" t="str">
        <f>IF(AND('[1]observations-276632'!W388&gt;'[1]Methods write-up'!$Q$19,'[1]observations-276632'!W388&lt;'[1]Methods write-up'!$R$19,'[1]observations-276632'!X388&gt;'[1]Methods write-up'!$S$19,'[1]observations-276632'!X388&lt;'[1]Methods write-up'!$T$19),"East Africa","")</f>
        <v>East Africa</v>
      </c>
      <c r="BB388" s="22" t="str">
        <f>IF(AND('[1]observations-276632'!W388&gt;'[1]Methods write-up'!$Q$20,'[1]observations-276632'!W388&lt;'[1]Methods write-up'!$R$20,'[1]observations-276632'!X388&gt;'[1]Methods write-up'!$S$20,'[1]observations-276632'!X388&lt;'[1]Methods write-up'!$T$20),"Temperate seasonal","")</f>
        <v/>
      </c>
      <c r="BC388" s="22" t="str">
        <f>IF(AND('[1]observations-276632'!W388&gt;'[1]Methods write-up'!$Q$21,'[1]observations-276632'!W388&lt;'[1]Methods write-up'!$R$21,'[1]observations-276632'!X388&gt;'[1]Methods write-up'!$S$21,'[1]observations-276632'!X388&lt;'[1]Methods write-up'!$T$21),"Desert and high aridity","")</f>
        <v/>
      </c>
      <c r="BD388" s="23" t="str">
        <f t="shared" si="28"/>
        <v>East Africa</v>
      </c>
      <c r="BE388" s="24">
        <f t="shared" si="26"/>
        <v>13</v>
      </c>
      <c r="BF388" s="24">
        <f t="shared" si="27"/>
        <v>8</v>
      </c>
    </row>
    <row r="389" spans="1:58" ht="16.25" customHeight="1" x14ac:dyDescent="0.2">
      <c r="A389">
        <v>37564431</v>
      </c>
      <c r="B389" t="s">
        <v>2841</v>
      </c>
      <c r="C389" s="14">
        <v>43611</v>
      </c>
      <c r="E389" t="s">
        <v>1408</v>
      </c>
      <c r="F389">
        <v>2519088</v>
      </c>
      <c r="G389" t="s">
        <v>2842</v>
      </c>
      <c r="I389" t="s">
        <v>2843</v>
      </c>
      <c r="J389" t="s">
        <v>2844</v>
      </c>
      <c r="K389" t="s">
        <v>62</v>
      </c>
      <c r="M389" t="s">
        <v>2845</v>
      </c>
      <c r="N389" t="s">
        <v>2846</v>
      </c>
      <c r="Q389" t="s">
        <v>2847</v>
      </c>
      <c r="R389">
        <v>2</v>
      </c>
      <c r="S389">
        <v>0</v>
      </c>
      <c r="T389" t="b">
        <v>0</v>
      </c>
      <c r="V389" t="s">
        <v>2848</v>
      </c>
      <c r="W389" s="15">
        <v>7.5486110999999996</v>
      </c>
      <c r="X389" s="15">
        <v>-11.3475</v>
      </c>
      <c r="Y389">
        <v>2150</v>
      </c>
      <c r="AC389">
        <v>2150</v>
      </c>
      <c r="AF389" t="b">
        <v>0</v>
      </c>
      <c r="AI389" t="s">
        <v>71</v>
      </c>
      <c r="AJ389" t="s">
        <v>70</v>
      </c>
      <c r="AK389" t="s">
        <v>71</v>
      </c>
      <c r="AL389" t="s">
        <v>72</v>
      </c>
      <c r="AM389">
        <v>346053</v>
      </c>
      <c r="AO389" s="16" t="s">
        <v>110</v>
      </c>
      <c r="AP389" s="17" t="str">
        <f t="shared" si="25"/>
        <v>Nest (foundress)</v>
      </c>
      <c r="AQ389" s="18">
        <v>1</v>
      </c>
      <c r="AT389" s="19" t="s">
        <v>104</v>
      </c>
      <c r="AX389" s="22" t="str">
        <f>IF(AND('[1]observations-276632'!W389&gt;'[1]Methods write-up'!$Q$16,'[1]observations-276632'!W389&lt;'[1]Methods write-up'!$R$16,'[1]observations-276632'!X389&gt;'[1]Methods write-up'!$S$16,'[1]observations-276632'!X389&lt;'[1]Methods write-up'!$T$16),"West and Central Africa","")</f>
        <v>West and Central Africa</v>
      </c>
      <c r="AY389" s="22" t="str">
        <f>IF(AND('[1]observations-276632'!W389&gt;'[1]Methods write-up'!$Q$17,'[1]observations-276632'!W389&lt;'[1]Methods write-up'!$R$17,'[1]observations-276632'!X389&gt;'[1]Methods write-up'!$S$17,'[1]observations-276632'!X389&lt;'[1]Methods write-up'!$T$17),"Equatorial tropical forest","")</f>
        <v/>
      </c>
      <c r="AZ389" s="22" t="str">
        <f>IF(AND('[1]observations-276632'!W389&gt;'[1]Methods write-up'!$Q$18,'[1]observations-276632'!W389&lt;'[1]Methods write-up'!$R$18,'[1]observations-276632'!X389&gt;'[1]Methods write-up'!$S$18,'[1]observations-276632'!X389&lt;'[1]Methods write-up'!$T$18),"Somali peninsula","")</f>
        <v/>
      </c>
      <c r="BA389" s="22" t="str">
        <f>IF(AND('[1]observations-276632'!W389&gt;'[1]Methods write-up'!$Q$19,'[1]observations-276632'!W389&lt;'[1]Methods write-up'!$R$19,'[1]observations-276632'!X389&gt;'[1]Methods write-up'!$S$19,'[1]observations-276632'!X389&lt;'[1]Methods write-up'!$T$19),"East Africa","")</f>
        <v/>
      </c>
      <c r="BB389" s="22" t="str">
        <f>IF(AND('[1]observations-276632'!W389&gt;'[1]Methods write-up'!$Q$20,'[1]observations-276632'!W389&lt;'[1]Methods write-up'!$R$20,'[1]observations-276632'!X389&gt;'[1]Methods write-up'!$S$20,'[1]observations-276632'!X389&lt;'[1]Methods write-up'!$T$20),"Temperate seasonal","")</f>
        <v/>
      </c>
      <c r="BC389" s="22" t="str">
        <f>IF(AND('[1]observations-276632'!W389&gt;'[1]Methods write-up'!$Q$21,'[1]observations-276632'!W389&lt;'[1]Methods write-up'!$R$21,'[1]observations-276632'!X389&gt;'[1]Methods write-up'!$S$21,'[1]observations-276632'!X389&lt;'[1]Methods write-up'!$T$21),"Desert and high aridity","")</f>
        <v/>
      </c>
      <c r="BD389" s="23" t="str">
        <f t="shared" si="28"/>
        <v>West and Central Africa</v>
      </c>
      <c r="BE389" s="24">
        <f t="shared" si="26"/>
        <v>26</v>
      </c>
      <c r="BF389" s="24">
        <f t="shared" si="27"/>
        <v>5</v>
      </c>
    </row>
    <row r="390" spans="1:58" ht="16.25" customHeight="1" x14ac:dyDescent="0.2">
      <c r="A390">
        <v>37683254</v>
      </c>
      <c r="B390" t="s">
        <v>2849</v>
      </c>
      <c r="C390" s="14">
        <v>43822</v>
      </c>
      <c r="D390" t="s">
        <v>2850</v>
      </c>
      <c r="E390" t="s">
        <v>74</v>
      </c>
      <c r="F390">
        <v>2498450</v>
      </c>
      <c r="G390" t="s">
        <v>2851</v>
      </c>
      <c r="H390" t="s">
        <v>2852</v>
      </c>
      <c r="I390" t="s">
        <v>2853</v>
      </c>
      <c r="J390" t="s">
        <v>2854</v>
      </c>
      <c r="K390" t="s">
        <v>62</v>
      </c>
      <c r="M390" t="s">
        <v>2855</v>
      </c>
      <c r="N390" t="s">
        <v>2856</v>
      </c>
      <c r="R390">
        <v>3</v>
      </c>
      <c r="S390">
        <v>0</v>
      </c>
      <c r="T390" t="b">
        <v>0</v>
      </c>
      <c r="U390">
        <v>2</v>
      </c>
      <c r="V390" t="s">
        <v>2857</v>
      </c>
      <c r="W390" s="15">
        <v>-29.801258740000002</v>
      </c>
      <c r="X390" s="15">
        <v>30.853518359999999</v>
      </c>
      <c r="Y390">
        <v>44</v>
      </c>
      <c r="AC390">
        <v>44</v>
      </c>
      <c r="AF390" t="b">
        <v>0</v>
      </c>
      <c r="AG390" t="s">
        <v>350</v>
      </c>
      <c r="AH390" t="s">
        <v>350</v>
      </c>
      <c r="AI390" t="s">
        <v>71</v>
      </c>
      <c r="AJ390" t="s">
        <v>70</v>
      </c>
      <c r="AK390" t="s">
        <v>71</v>
      </c>
      <c r="AL390" t="s">
        <v>72</v>
      </c>
      <c r="AM390">
        <v>346053</v>
      </c>
      <c r="AO390" s="16" t="s">
        <v>140</v>
      </c>
      <c r="AP390" s="17" t="str">
        <f t="shared" si="25"/>
        <v>Post-emergence nest</v>
      </c>
      <c r="AQ390" s="18">
        <v>6</v>
      </c>
      <c r="AT390" s="19" t="s">
        <v>141</v>
      </c>
      <c r="AU390" s="20" t="s">
        <v>104</v>
      </c>
      <c r="AX390" s="22" t="str">
        <f>IF(AND('[1]observations-276632'!W390&gt;'[1]Methods write-up'!$Q$16,'[1]observations-276632'!W390&lt;'[1]Methods write-up'!$R$16,'[1]observations-276632'!X390&gt;'[1]Methods write-up'!$S$16,'[1]observations-276632'!X390&lt;'[1]Methods write-up'!$T$16),"West and Central Africa","")</f>
        <v/>
      </c>
      <c r="AY390" s="22" t="str">
        <f>IF(AND('[1]observations-276632'!W390&gt;'[1]Methods write-up'!$Q$17,'[1]observations-276632'!W390&lt;'[1]Methods write-up'!$R$17,'[1]observations-276632'!X390&gt;'[1]Methods write-up'!$S$17,'[1]observations-276632'!X390&lt;'[1]Methods write-up'!$T$17),"Equatorial tropical forest","")</f>
        <v/>
      </c>
      <c r="AZ390" s="22" t="str">
        <f>IF(AND('[1]observations-276632'!W390&gt;'[1]Methods write-up'!$Q$18,'[1]observations-276632'!W390&lt;'[1]Methods write-up'!$R$18,'[1]observations-276632'!X390&gt;'[1]Methods write-up'!$S$18,'[1]observations-276632'!X390&lt;'[1]Methods write-up'!$T$18),"Somali peninsula","")</f>
        <v/>
      </c>
      <c r="BA390" s="22" t="str">
        <f>IF(AND('[1]observations-276632'!W390&gt;'[1]Methods write-up'!$Q$19,'[1]observations-276632'!W390&lt;'[1]Methods write-up'!$R$19,'[1]observations-276632'!X390&gt;'[1]Methods write-up'!$S$19,'[1]observations-276632'!X390&lt;'[1]Methods write-up'!$T$19),"East Africa","")</f>
        <v/>
      </c>
      <c r="BB390" s="22" t="str">
        <f>IF(AND('[1]observations-276632'!W390&gt;'[1]Methods write-up'!$Q$20,'[1]observations-276632'!W390&lt;'[1]Methods write-up'!$R$20,'[1]observations-276632'!X390&gt;'[1]Methods write-up'!$S$20,'[1]observations-276632'!X390&lt;'[1]Methods write-up'!$T$20),"Temperate seasonal","")</f>
        <v>Temperate seasonal</v>
      </c>
      <c r="BC390" s="22" t="str">
        <f>IF(AND('[1]observations-276632'!W390&gt;'[1]Methods write-up'!$Q$21,'[1]observations-276632'!W390&lt;'[1]Methods write-up'!$R$21,'[1]observations-276632'!X390&gt;'[1]Methods write-up'!$S$21,'[1]observations-276632'!X390&lt;'[1]Methods write-up'!$T$21),"Desert and high aridity","")</f>
        <v/>
      </c>
      <c r="BD390" s="23" t="str">
        <f t="shared" si="28"/>
        <v>Temperate seasonal</v>
      </c>
      <c r="BE390" s="24">
        <f t="shared" si="26"/>
        <v>23</v>
      </c>
      <c r="BF390" s="24">
        <f t="shared" si="27"/>
        <v>12</v>
      </c>
    </row>
    <row r="391" spans="1:58" ht="16.25" customHeight="1" x14ac:dyDescent="0.2">
      <c r="A391">
        <v>37840458</v>
      </c>
      <c r="B391" t="s">
        <v>2858</v>
      </c>
      <c r="C391" s="14">
        <v>43852</v>
      </c>
      <c r="D391" t="s">
        <v>2859</v>
      </c>
      <c r="E391" t="s">
        <v>243</v>
      </c>
      <c r="F391">
        <v>1258096</v>
      </c>
      <c r="G391" t="s">
        <v>2342</v>
      </c>
      <c r="H391" t="s">
        <v>2343</v>
      </c>
      <c r="I391" t="s">
        <v>2860</v>
      </c>
      <c r="J391" t="s">
        <v>2861</v>
      </c>
      <c r="K391" t="s">
        <v>62</v>
      </c>
      <c r="L391" t="s">
        <v>63</v>
      </c>
      <c r="M391" t="s">
        <v>2862</v>
      </c>
      <c r="N391" t="s">
        <v>2863</v>
      </c>
      <c r="R391">
        <v>2</v>
      </c>
      <c r="S391">
        <v>0</v>
      </c>
      <c r="T391" t="b">
        <v>0</v>
      </c>
      <c r="V391" t="s">
        <v>2348</v>
      </c>
      <c r="W391" s="15">
        <v>6.5028967780000002</v>
      </c>
      <c r="X391" s="15">
        <v>2.3463017779999999</v>
      </c>
      <c r="AF391" t="b">
        <v>0</v>
      </c>
      <c r="AI391" t="s">
        <v>71</v>
      </c>
      <c r="AJ391" t="s">
        <v>70</v>
      </c>
      <c r="AK391" t="s">
        <v>71</v>
      </c>
      <c r="AL391" t="s">
        <v>72</v>
      </c>
      <c r="AM391">
        <v>346053</v>
      </c>
      <c r="AO391" s="16" t="s">
        <v>73</v>
      </c>
      <c r="AP391" s="17" t="str">
        <f t="shared" si="25"/>
        <v>Off-nest female</v>
      </c>
      <c r="AX391" s="22" t="str">
        <f>IF(AND('[1]observations-276632'!W391&gt;'[1]Methods write-up'!$Q$16,'[1]observations-276632'!W391&lt;'[1]Methods write-up'!$R$16,'[1]observations-276632'!X391&gt;'[1]Methods write-up'!$S$16,'[1]observations-276632'!X391&lt;'[1]Methods write-up'!$T$16),"West and Central Africa","")</f>
        <v>West and Central Africa</v>
      </c>
      <c r="AY391" s="22" t="str">
        <f>IF(AND('[1]observations-276632'!W391&gt;'[1]Methods write-up'!$Q$17,'[1]observations-276632'!W391&lt;'[1]Methods write-up'!$R$17,'[1]observations-276632'!X391&gt;'[1]Methods write-up'!$S$17,'[1]observations-276632'!X391&lt;'[1]Methods write-up'!$T$17),"Equatorial tropical forest","")</f>
        <v/>
      </c>
      <c r="AZ391" s="22" t="str">
        <f>IF(AND('[1]observations-276632'!W391&gt;'[1]Methods write-up'!$Q$18,'[1]observations-276632'!W391&lt;'[1]Methods write-up'!$R$18,'[1]observations-276632'!X391&gt;'[1]Methods write-up'!$S$18,'[1]observations-276632'!X391&lt;'[1]Methods write-up'!$T$18),"Somali peninsula","")</f>
        <v/>
      </c>
      <c r="BA391" s="22" t="str">
        <f>IF(AND('[1]observations-276632'!W391&gt;'[1]Methods write-up'!$Q$19,'[1]observations-276632'!W391&lt;'[1]Methods write-up'!$R$19,'[1]observations-276632'!X391&gt;'[1]Methods write-up'!$S$19,'[1]observations-276632'!X391&lt;'[1]Methods write-up'!$T$19),"East Africa","")</f>
        <v/>
      </c>
      <c r="BB391" s="22" t="str">
        <f>IF(AND('[1]observations-276632'!W391&gt;'[1]Methods write-up'!$Q$20,'[1]observations-276632'!W391&lt;'[1]Methods write-up'!$R$20,'[1]observations-276632'!X391&gt;'[1]Methods write-up'!$S$20,'[1]observations-276632'!X391&lt;'[1]Methods write-up'!$T$20),"Temperate seasonal","")</f>
        <v/>
      </c>
      <c r="BC391" s="22" t="str">
        <f>IF(AND('[1]observations-276632'!W391&gt;'[1]Methods write-up'!$Q$21,'[1]observations-276632'!W391&lt;'[1]Methods write-up'!$R$21,'[1]observations-276632'!X391&gt;'[1]Methods write-up'!$S$21,'[1]observations-276632'!X391&lt;'[1]Methods write-up'!$T$21),"Desert and high aridity","")</f>
        <v/>
      </c>
      <c r="BD391" s="23" t="str">
        <f t="shared" si="28"/>
        <v>West and Central Africa</v>
      </c>
      <c r="BE391" s="24">
        <f t="shared" si="26"/>
        <v>22</v>
      </c>
      <c r="BF391" s="24">
        <f t="shared" si="27"/>
        <v>1</v>
      </c>
    </row>
    <row r="392" spans="1:58" ht="16.25" customHeight="1" x14ac:dyDescent="0.2">
      <c r="A392">
        <v>37850197</v>
      </c>
      <c r="B392" t="s">
        <v>2864</v>
      </c>
      <c r="C392" s="14">
        <v>43851</v>
      </c>
      <c r="D392" t="s">
        <v>2865</v>
      </c>
      <c r="E392" t="s">
        <v>113</v>
      </c>
      <c r="F392">
        <v>2525201</v>
      </c>
      <c r="G392" t="s">
        <v>2866</v>
      </c>
      <c r="H392" t="s">
        <v>2867</v>
      </c>
      <c r="I392" t="s">
        <v>2868</v>
      </c>
      <c r="J392" t="s">
        <v>2869</v>
      </c>
      <c r="K392" t="s">
        <v>62</v>
      </c>
      <c r="L392" t="s">
        <v>63</v>
      </c>
      <c r="M392" t="s">
        <v>2870</v>
      </c>
      <c r="N392" t="s">
        <v>2871</v>
      </c>
      <c r="R392">
        <v>3</v>
      </c>
      <c r="S392">
        <v>0</v>
      </c>
      <c r="T392" t="b">
        <v>0</v>
      </c>
      <c r="V392" t="s">
        <v>2872</v>
      </c>
      <c r="W392" s="15">
        <v>-15.843022019999999</v>
      </c>
      <c r="X392" s="15">
        <v>35.060189749999999</v>
      </c>
      <c r="Y392">
        <v>2</v>
      </c>
      <c r="AC392">
        <v>2</v>
      </c>
      <c r="AF392" t="b">
        <v>0</v>
      </c>
      <c r="AI392" t="s">
        <v>71</v>
      </c>
      <c r="AJ392" t="s">
        <v>70</v>
      </c>
      <c r="AK392" t="s">
        <v>71</v>
      </c>
      <c r="AL392" t="s">
        <v>72</v>
      </c>
      <c r="AM392">
        <v>346053</v>
      </c>
      <c r="AO392" s="16" t="s">
        <v>1574</v>
      </c>
      <c r="AP392" s="17" t="str">
        <f t="shared" si="25"/>
        <v>Nest (foundress)</v>
      </c>
      <c r="AQ392" s="18">
        <v>1</v>
      </c>
      <c r="AT392" s="19" t="s">
        <v>141</v>
      </c>
      <c r="AX392" s="22" t="str">
        <f>IF(AND('[1]observations-276632'!W392&gt;'[1]Methods write-up'!$Q$16,'[1]observations-276632'!W392&lt;'[1]Methods write-up'!$R$16,'[1]observations-276632'!X392&gt;'[1]Methods write-up'!$S$16,'[1]observations-276632'!X392&lt;'[1]Methods write-up'!$T$16),"West and Central Africa","")</f>
        <v/>
      </c>
      <c r="AY392" s="22" t="str">
        <f>IF(AND('[1]observations-276632'!W392&gt;'[1]Methods write-up'!$Q$17,'[1]observations-276632'!W392&lt;'[1]Methods write-up'!$R$17,'[1]observations-276632'!X392&gt;'[1]Methods write-up'!$S$17,'[1]observations-276632'!X392&lt;'[1]Methods write-up'!$T$17),"Equatorial tropical forest","")</f>
        <v/>
      </c>
      <c r="AZ392" s="22" t="str">
        <f>IF(AND('[1]observations-276632'!W392&gt;'[1]Methods write-up'!$Q$18,'[1]observations-276632'!W392&lt;'[1]Methods write-up'!$R$18,'[1]observations-276632'!X392&gt;'[1]Methods write-up'!$S$18,'[1]observations-276632'!X392&lt;'[1]Methods write-up'!$T$18),"Somali peninsula","")</f>
        <v/>
      </c>
      <c r="BA392" s="22" t="str">
        <f>IF(AND('[1]observations-276632'!W392&gt;'[1]Methods write-up'!$Q$19,'[1]observations-276632'!W392&lt;'[1]Methods write-up'!$R$19,'[1]observations-276632'!X392&gt;'[1]Methods write-up'!$S$19,'[1]observations-276632'!X392&lt;'[1]Methods write-up'!$T$19),"East Africa","")</f>
        <v/>
      </c>
      <c r="BB392" s="22" t="str">
        <f>IF(AND('[1]observations-276632'!W392&gt;'[1]Methods write-up'!$Q$20,'[1]observations-276632'!W392&lt;'[1]Methods write-up'!$R$20,'[1]observations-276632'!X392&gt;'[1]Methods write-up'!$S$20,'[1]observations-276632'!X392&lt;'[1]Methods write-up'!$T$20),"Temperate seasonal","")</f>
        <v/>
      </c>
      <c r="BC392" s="22" t="str">
        <f>IF(AND('[1]observations-276632'!W392&gt;'[1]Methods write-up'!$Q$21,'[1]observations-276632'!W392&lt;'[1]Methods write-up'!$R$21,'[1]observations-276632'!X392&gt;'[1]Methods write-up'!$S$21,'[1]observations-276632'!X392&lt;'[1]Methods write-up'!$T$21),"Desert and high aridity","")</f>
        <v/>
      </c>
      <c r="BD392" s="23" t="str">
        <f t="shared" si="28"/>
        <v/>
      </c>
      <c r="BE392" s="24">
        <f t="shared" si="26"/>
        <v>21</v>
      </c>
      <c r="BF392" s="24">
        <f t="shared" si="27"/>
        <v>1</v>
      </c>
    </row>
    <row r="393" spans="1:58" ht="16.25" customHeight="1" x14ac:dyDescent="0.2">
      <c r="A393">
        <v>37886024</v>
      </c>
      <c r="B393" t="s">
        <v>2873</v>
      </c>
      <c r="C393" s="14">
        <v>43853</v>
      </c>
      <c r="D393" t="s">
        <v>2874</v>
      </c>
      <c r="E393" t="s">
        <v>403</v>
      </c>
      <c r="F393">
        <v>273402</v>
      </c>
      <c r="G393" t="s">
        <v>2424</v>
      </c>
      <c r="I393" t="s">
        <v>2875</v>
      </c>
      <c r="J393" t="s">
        <v>2876</v>
      </c>
      <c r="K393" t="s">
        <v>62</v>
      </c>
      <c r="L393" t="s">
        <v>63</v>
      </c>
      <c r="M393" t="s">
        <v>2877</v>
      </c>
      <c r="N393" t="s">
        <v>2878</v>
      </c>
      <c r="R393">
        <v>1</v>
      </c>
      <c r="S393">
        <v>0</v>
      </c>
      <c r="T393" t="b">
        <v>0</v>
      </c>
      <c r="U393">
        <v>3</v>
      </c>
      <c r="V393" t="s">
        <v>2879</v>
      </c>
      <c r="W393" s="15">
        <v>-1.317973936</v>
      </c>
      <c r="X393" s="15">
        <v>36.755023479999998</v>
      </c>
      <c r="Y393">
        <v>3579</v>
      </c>
      <c r="AC393">
        <v>3579</v>
      </c>
      <c r="AF393" t="b">
        <v>0</v>
      </c>
      <c r="AI393" t="s">
        <v>71</v>
      </c>
      <c r="AJ393" t="s">
        <v>70</v>
      </c>
      <c r="AK393" t="s">
        <v>71</v>
      </c>
      <c r="AL393" t="s">
        <v>72</v>
      </c>
      <c r="AM393">
        <v>346053</v>
      </c>
      <c r="AO393" s="16" t="s">
        <v>110</v>
      </c>
      <c r="AP393" s="17" t="str">
        <f t="shared" si="25"/>
        <v>Nest (foundress)</v>
      </c>
      <c r="AQ393" s="18">
        <v>1</v>
      </c>
      <c r="AT393" s="19" t="s">
        <v>104</v>
      </c>
      <c r="AX393" s="22" t="str">
        <f>IF(AND('[1]observations-276632'!W393&gt;'[1]Methods write-up'!$Q$16,'[1]observations-276632'!W393&lt;'[1]Methods write-up'!$R$16,'[1]observations-276632'!X393&gt;'[1]Methods write-up'!$S$16,'[1]observations-276632'!X393&lt;'[1]Methods write-up'!$T$16),"West and Central Africa","")</f>
        <v/>
      </c>
      <c r="AY393" s="22" t="str">
        <f>IF(AND('[1]observations-276632'!W393&gt;'[1]Methods write-up'!$Q$17,'[1]observations-276632'!W393&lt;'[1]Methods write-up'!$R$17,'[1]observations-276632'!X393&gt;'[1]Methods write-up'!$S$17,'[1]observations-276632'!X393&lt;'[1]Methods write-up'!$T$17),"Equatorial tropical forest","")</f>
        <v/>
      </c>
      <c r="AZ393" s="22" t="str">
        <f>IF(AND('[1]observations-276632'!W393&gt;'[1]Methods write-up'!$Q$18,'[1]observations-276632'!W393&lt;'[1]Methods write-up'!$R$18,'[1]observations-276632'!X393&gt;'[1]Methods write-up'!$S$18,'[1]observations-276632'!X393&lt;'[1]Methods write-up'!$T$18),"Somali peninsula","")</f>
        <v/>
      </c>
      <c r="BA393" s="22" t="str">
        <f>IF(AND('[1]observations-276632'!W393&gt;'[1]Methods write-up'!$Q$19,'[1]observations-276632'!W393&lt;'[1]Methods write-up'!$R$19,'[1]observations-276632'!X393&gt;'[1]Methods write-up'!$S$19,'[1]observations-276632'!X393&lt;'[1]Methods write-up'!$T$19),"East Africa","")</f>
        <v>East Africa</v>
      </c>
      <c r="BB393" s="22" t="str">
        <f>IF(AND('[1]observations-276632'!W393&gt;'[1]Methods write-up'!$Q$20,'[1]observations-276632'!W393&lt;'[1]Methods write-up'!$R$20,'[1]observations-276632'!X393&gt;'[1]Methods write-up'!$S$20,'[1]observations-276632'!X393&lt;'[1]Methods write-up'!$T$20),"Temperate seasonal","")</f>
        <v/>
      </c>
      <c r="BC393" s="22" t="str">
        <f>IF(AND('[1]observations-276632'!W393&gt;'[1]Methods write-up'!$Q$21,'[1]observations-276632'!W393&lt;'[1]Methods write-up'!$R$21,'[1]observations-276632'!X393&gt;'[1]Methods write-up'!$S$21,'[1]observations-276632'!X393&lt;'[1]Methods write-up'!$T$21),"Desert and high aridity","")</f>
        <v/>
      </c>
      <c r="BD393" s="23" t="str">
        <f t="shared" si="28"/>
        <v>East Africa</v>
      </c>
      <c r="BE393" s="24">
        <f t="shared" si="26"/>
        <v>23</v>
      </c>
      <c r="BF393" s="24">
        <f t="shared" si="27"/>
        <v>1</v>
      </c>
    </row>
    <row r="394" spans="1:58" ht="16.25" customHeight="1" x14ac:dyDescent="0.2">
      <c r="A394">
        <v>37998955</v>
      </c>
      <c r="B394" s="25">
        <v>42297.645138888889</v>
      </c>
      <c r="C394" s="14">
        <v>42297</v>
      </c>
      <c r="D394" t="s">
        <v>2880</v>
      </c>
      <c r="E394" t="s">
        <v>2881</v>
      </c>
      <c r="F394">
        <v>2526742</v>
      </c>
      <c r="G394" t="s">
        <v>2882</v>
      </c>
      <c r="I394" t="s">
        <v>2883</v>
      </c>
      <c r="J394" t="s">
        <v>2884</v>
      </c>
      <c r="K394" t="s">
        <v>157</v>
      </c>
      <c r="L394" t="s">
        <v>98</v>
      </c>
      <c r="M394" t="s">
        <v>2885</v>
      </c>
      <c r="N394" t="s">
        <v>2886</v>
      </c>
      <c r="R394">
        <v>2</v>
      </c>
      <c r="S394">
        <v>0</v>
      </c>
      <c r="T394" t="b">
        <v>0</v>
      </c>
      <c r="V394" t="s">
        <v>2887</v>
      </c>
      <c r="W394" s="15">
        <v>-27.45191852</v>
      </c>
      <c r="X394" s="15">
        <v>17.299281149999999</v>
      </c>
      <c r="Y394">
        <v>34938</v>
      </c>
      <c r="AC394">
        <v>34938</v>
      </c>
      <c r="AF394" t="b">
        <v>0</v>
      </c>
      <c r="AI394" t="s">
        <v>756</v>
      </c>
      <c r="AJ394" t="s">
        <v>756</v>
      </c>
      <c r="AL394" t="s">
        <v>72</v>
      </c>
      <c r="AM394">
        <v>652800</v>
      </c>
      <c r="AO394" s="16" t="s">
        <v>73</v>
      </c>
      <c r="AP394" s="17" t="str">
        <f t="shared" si="25"/>
        <v>Off-nest female</v>
      </c>
      <c r="AX394" s="22" t="str">
        <f>IF(AND('[1]observations-276632'!W394&gt;'[1]Methods write-up'!$Q$16,'[1]observations-276632'!W394&lt;'[1]Methods write-up'!$R$16,'[1]observations-276632'!X394&gt;'[1]Methods write-up'!$S$16,'[1]observations-276632'!X394&lt;'[1]Methods write-up'!$T$16),"West and Central Africa","")</f>
        <v/>
      </c>
      <c r="AY394" s="22" t="str">
        <f>IF(AND('[1]observations-276632'!W394&gt;'[1]Methods write-up'!$Q$17,'[1]observations-276632'!W394&lt;'[1]Methods write-up'!$R$17,'[1]observations-276632'!X394&gt;'[1]Methods write-up'!$S$17,'[1]observations-276632'!X394&lt;'[1]Methods write-up'!$T$17),"Equatorial tropical forest","")</f>
        <v/>
      </c>
      <c r="AZ394" s="22" t="str">
        <f>IF(AND('[1]observations-276632'!W394&gt;'[1]Methods write-up'!$Q$18,'[1]observations-276632'!W394&lt;'[1]Methods write-up'!$R$18,'[1]observations-276632'!X394&gt;'[1]Methods write-up'!$S$18,'[1]observations-276632'!X394&lt;'[1]Methods write-up'!$T$18),"Somali peninsula","")</f>
        <v/>
      </c>
      <c r="BA394" s="22" t="str">
        <f>IF(AND('[1]observations-276632'!W394&gt;'[1]Methods write-up'!$Q$19,'[1]observations-276632'!W394&lt;'[1]Methods write-up'!$R$19,'[1]observations-276632'!X394&gt;'[1]Methods write-up'!$S$19,'[1]observations-276632'!X394&lt;'[1]Methods write-up'!$T$19),"East Africa","")</f>
        <v/>
      </c>
      <c r="BB394" s="22" t="str">
        <f>IF(AND('[1]observations-276632'!W394&gt;'[1]Methods write-up'!$Q$20,'[1]observations-276632'!W394&lt;'[1]Methods write-up'!$R$20,'[1]observations-276632'!X394&gt;'[1]Methods write-up'!$S$20,'[1]observations-276632'!X394&lt;'[1]Methods write-up'!$T$20),"Temperate seasonal","")</f>
        <v/>
      </c>
      <c r="BC394" s="22" t="str">
        <f>IF(AND('[1]observations-276632'!W394&gt;'[1]Methods write-up'!$Q$21,'[1]observations-276632'!W394&lt;'[1]Methods write-up'!$R$21,'[1]observations-276632'!X394&gt;'[1]Methods write-up'!$S$21,'[1]observations-276632'!X394&lt;'[1]Methods write-up'!$T$21),"Desert and high aridity","")</f>
        <v>Desert and high aridity</v>
      </c>
      <c r="BD394" s="23" t="str">
        <f t="shared" si="28"/>
        <v>Desert and high aridity</v>
      </c>
      <c r="BE394" s="24">
        <f t="shared" si="26"/>
        <v>20</v>
      </c>
      <c r="BF394" s="24">
        <f t="shared" si="27"/>
        <v>10</v>
      </c>
    </row>
    <row r="395" spans="1:58" ht="16.25" customHeight="1" x14ac:dyDescent="0.2">
      <c r="A395">
        <v>38022849</v>
      </c>
      <c r="B395" t="s">
        <v>2888</v>
      </c>
      <c r="C395" s="14">
        <v>43839</v>
      </c>
      <c r="D395" t="s">
        <v>2889</v>
      </c>
      <c r="E395" t="s">
        <v>113</v>
      </c>
      <c r="F395">
        <v>1653038</v>
      </c>
      <c r="G395" t="s">
        <v>2035</v>
      </c>
      <c r="H395" t="s">
        <v>2036</v>
      </c>
      <c r="I395" t="s">
        <v>2890</v>
      </c>
      <c r="J395" t="s">
        <v>2891</v>
      </c>
      <c r="K395" t="s">
        <v>62</v>
      </c>
      <c r="L395" t="s">
        <v>63</v>
      </c>
      <c r="M395" t="s">
        <v>2892</v>
      </c>
      <c r="N395" t="s">
        <v>2893</v>
      </c>
      <c r="Q395" t="s">
        <v>2894</v>
      </c>
      <c r="R395">
        <v>3</v>
      </c>
      <c r="S395">
        <v>0</v>
      </c>
      <c r="T395" t="b">
        <v>0</v>
      </c>
      <c r="U395">
        <v>2</v>
      </c>
      <c r="V395" t="s">
        <v>2895</v>
      </c>
      <c r="W395" s="15">
        <v>-33.91661938</v>
      </c>
      <c r="X395" s="15">
        <v>22.999999970000001</v>
      </c>
      <c r="Y395">
        <v>2104</v>
      </c>
      <c r="AC395">
        <v>2104</v>
      </c>
      <c r="AF395" t="b">
        <v>0</v>
      </c>
      <c r="AG395" t="s">
        <v>350</v>
      </c>
      <c r="AH395" t="s">
        <v>350</v>
      </c>
      <c r="AI395" t="s">
        <v>71</v>
      </c>
      <c r="AJ395" t="s">
        <v>70</v>
      </c>
      <c r="AK395" t="s">
        <v>71</v>
      </c>
      <c r="AL395" t="s">
        <v>72</v>
      </c>
      <c r="AM395">
        <v>346053</v>
      </c>
      <c r="AO395" s="16" t="s">
        <v>73</v>
      </c>
      <c r="AP395" s="17" t="str">
        <f t="shared" si="25"/>
        <v>Off-nest female</v>
      </c>
      <c r="AX395" s="22" t="str">
        <f>IF(AND('[1]observations-276632'!W395&gt;'[1]Methods write-up'!$Q$16,'[1]observations-276632'!W395&lt;'[1]Methods write-up'!$R$16,'[1]observations-276632'!X395&gt;'[1]Methods write-up'!$S$16,'[1]observations-276632'!X395&lt;'[1]Methods write-up'!$T$16),"West and Central Africa","")</f>
        <v/>
      </c>
      <c r="AY395" s="22" t="str">
        <f>IF(AND('[1]observations-276632'!W395&gt;'[1]Methods write-up'!$Q$17,'[1]observations-276632'!W395&lt;'[1]Methods write-up'!$R$17,'[1]observations-276632'!X395&gt;'[1]Methods write-up'!$S$17,'[1]observations-276632'!X395&lt;'[1]Methods write-up'!$T$17),"Equatorial tropical forest","")</f>
        <v/>
      </c>
      <c r="AZ395" s="22" t="str">
        <f>IF(AND('[1]observations-276632'!W395&gt;'[1]Methods write-up'!$Q$18,'[1]observations-276632'!W395&lt;'[1]Methods write-up'!$R$18,'[1]observations-276632'!X395&gt;'[1]Methods write-up'!$S$18,'[1]observations-276632'!X395&lt;'[1]Methods write-up'!$T$18),"Somali peninsula","")</f>
        <v/>
      </c>
      <c r="BA395" s="22" t="str">
        <f>IF(AND('[1]observations-276632'!W395&gt;'[1]Methods write-up'!$Q$19,'[1]observations-276632'!W395&lt;'[1]Methods write-up'!$R$19,'[1]observations-276632'!X395&gt;'[1]Methods write-up'!$S$19,'[1]observations-276632'!X395&lt;'[1]Methods write-up'!$T$19),"East Africa","")</f>
        <v/>
      </c>
      <c r="BB395" s="22" t="str">
        <f>IF(AND('[1]observations-276632'!W395&gt;'[1]Methods write-up'!$Q$20,'[1]observations-276632'!W395&lt;'[1]Methods write-up'!$R$20,'[1]observations-276632'!X395&gt;'[1]Methods write-up'!$S$20,'[1]observations-276632'!X395&lt;'[1]Methods write-up'!$T$20),"Temperate seasonal","")</f>
        <v/>
      </c>
      <c r="BC395" s="22" t="str">
        <f>IF(AND('[1]observations-276632'!W395&gt;'[1]Methods write-up'!$Q$21,'[1]observations-276632'!W395&lt;'[1]Methods write-up'!$R$21,'[1]observations-276632'!X395&gt;'[1]Methods write-up'!$S$21,'[1]observations-276632'!X395&lt;'[1]Methods write-up'!$T$21),"Desert and high aridity","")</f>
        <v/>
      </c>
      <c r="BD395" s="23" t="str">
        <f t="shared" si="28"/>
        <v/>
      </c>
      <c r="BE395" s="24">
        <f t="shared" si="26"/>
        <v>9</v>
      </c>
      <c r="BF395" s="24">
        <f t="shared" si="27"/>
        <v>1</v>
      </c>
    </row>
    <row r="396" spans="1:58" ht="16.25" customHeight="1" x14ac:dyDescent="0.2">
      <c r="A396">
        <v>38337162</v>
      </c>
      <c r="B396" t="s">
        <v>2896</v>
      </c>
      <c r="C396" s="14">
        <v>43862</v>
      </c>
      <c r="D396" t="s">
        <v>2897</v>
      </c>
      <c r="E396" t="s">
        <v>113</v>
      </c>
      <c r="F396">
        <v>659922</v>
      </c>
      <c r="G396" t="s">
        <v>918</v>
      </c>
      <c r="I396" t="s">
        <v>2898</v>
      </c>
      <c r="J396" t="s">
        <v>2899</v>
      </c>
      <c r="K396" t="s">
        <v>62</v>
      </c>
      <c r="L396" t="s">
        <v>63</v>
      </c>
      <c r="M396" t="s">
        <v>2900</v>
      </c>
      <c r="N396" t="s">
        <v>2901</v>
      </c>
      <c r="R396">
        <v>3</v>
      </c>
      <c r="S396">
        <v>0</v>
      </c>
      <c r="T396" t="b">
        <v>0</v>
      </c>
      <c r="V396" t="s">
        <v>2011</v>
      </c>
      <c r="W396" s="15">
        <v>-28.308299999999999</v>
      </c>
      <c r="X396" s="15">
        <v>32.449199999999998</v>
      </c>
      <c r="Y396">
        <v>100</v>
      </c>
      <c r="AC396">
        <v>100</v>
      </c>
      <c r="AF396" t="b">
        <v>0</v>
      </c>
      <c r="AI396" t="s">
        <v>71</v>
      </c>
      <c r="AJ396" t="s">
        <v>70</v>
      </c>
      <c r="AK396" t="s">
        <v>71</v>
      </c>
      <c r="AL396" t="s">
        <v>72</v>
      </c>
      <c r="AM396">
        <v>346053</v>
      </c>
      <c r="AO396" s="16" t="s">
        <v>73</v>
      </c>
      <c r="AP396" s="17" t="str">
        <f t="shared" si="25"/>
        <v>Off-nest female</v>
      </c>
      <c r="AX396" s="22" t="str">
        <f>IF(AND('[1]observations-276632'!W396&gt;'[1]Methods write-up'!$Q$16,'[1]observations-276632'!W396&lt;'[1]Methods write-up'!$R$16,'[1]observations-276632'!X396&gt;'[1]Methods write-up'!$S$16,'[1]observations-276632'!X396&lt;'[1]Methods write-up'!$T$16),"West and Central Africa","")</f>
        <v/>
      </c>
      <c r="AY396" s="22" t="str">
        <f>IF(AND('[1]observations-276632'!W396&gt;'[1]Methods write-up'!$Q$17,'[1]observations-276632'!W396&lt;'[1]Methods write-up'!$R$17,'[1]observations-276632'!X396&gt;'[1]Methods write-up'!$S$17,'[1]observations-276632'!X396&lt;'[1]Methods write-up'!$T$17),"Equatorial tropical forest","")</f>
        <v/>
      </c>
      <c r="AZ396" s="22" t="str">
        <f>IF(AND('[1]observations-276632'!W396&gt;'[1]Methods write-up'!$Q$18,'[1]observations-276632'!W396&lt;'[1]Methods write-up'!$R$18,'[1]observations-276632'!X396&gt;'[1]Methods write-up'!$S$18,'[1]observations-276632'!X396&lt;'[1]Methods write-up'!$T$18),"Somali peninsula","")</f>
        <v/>
      </c>
      <c r="BA396" s="22" t="str">
        <f>IF(AND('[1]observations-276632'!W396&gt;'[1]Methods write-up'!$Q$19,'[1]observations-276632'!W396&lt;'[1]Methods write-up'!$R$19,'[1]observations-276632'!X396&gt;'[1]Methods write-up'!$S$19,'[1]observations-276632'!X396&lt;'[1]Methods write-up'!$T$19),"East Africa","")</f>
        <v/>
      </c>
      <c r="BB396" s="22" t="str">
        <f>IF(AND('[1]observations-276632'!W396&gt;'[1]Methods write-up'!$Q$20,'[1]observations-276632'!W396&lt;'[1]Methods write-up'!$R$20,'[1]observations-276632'!X396&gt;'[1]Methods write-up'!$S$20,'[1]observations-276632'!X396&lt;'[1]Methods write-up'!$T$20),"Temperate seasonal","")</f>
        <v>Temperate seasonal</v>
      </c>
      <c r="BC396" s="22" t="str">
        <f>IF(AND('[1]observations-276632'!W396&gt;'[1]Methods write-up'!$Q$21,'[1]observations-276632'!W396&lt;'[1]Methods write-up'!$R$21,'[1]observations-276632'!X396&gt;'[1]Methods write-up'!$S$21,'[1]observations-276632'!X396&lt;'[1]Methods write-up'!$T$21),"Desert and high aridity","")</f>
        <v/>
      </c>
      <c r="BD396" s="23" t="str">
        <f t="shared" si="28"/>
        <v>Temperate seasonal</v>
      </c>
      <c r="BE396" s="24">
        <f t="shared" si="26"/>
        <v>1</v>
      </c>
      <c r="BF396" s="24">
        <f t="shared" si="27"/>
        <v>2</v>
      </c>
    </row>
    <row r="397" spans="1:58" ht="16.25" customHeight="1" x14ac:dyDescent="0.2">
      <c r="A397">
        <v>38348483</v>
      </c>
      <c r="B397" t="s">
        <v>2902</v>
      </c>
      <c r="C397" s="14">
        <v>43090</v>
      </c>
      <c r="D397" t="s">
        <v>2903</v>
      </c>
      <c r="E397" t="s">
        <v>2904</v>
      </c>
      <c r="F397">
        <v>2023544</v>
      </c>
      <c r="G397" t="s">
        <v>2905</v>
      </c>
      <c r="H397" t="s">
        <v>2906</v>
      </c>
      <c r="I397" t="s">
        <v>2907</v>
      </c>
      <c r="J397" t="s">
        <v>2908</v>
      </c>
      <c r="K397" t="s">
        <v>62</v>
      </c>
      <c r="M397" t="s">
        <v>2909</v>
      </c>
      <c r="N397" t="s">
        <v>2910</v>
      </c>
      <c r="R397">
        <v>3</v>
      </c>
      <c r="S397">
        <v>0</v>
      </c>
      <c r="T397" t="b">
        <v>0</v>
      </c>
      <c r="U397">
        <v>2</v>
      </c>
      <c r="V397" t="s">
        <v>2911</v>
      </c>
      <c r="W397" s="15">
        <v>0.482517998</v>
      </c>
      <c r="X397" s="15">
        <v>33.163920570000002</v>
      </c>
      <c r="Y397">
        <v>33</v>
      </c>
      <c r="AC397">
        <v>33</v>
      </c>
      <c r="AF397" t="b">
        <v>0</v>
      </c>
      <c r="AG397" t="s">
        <v>350</v>
      </c>
      <c r="AH397" t="s">
        <v>350</v>
      </c>
      <c r="AI397" t="s">
        <v>70</v>
      </c>
      <c r="AJ397" t="s">
        <v>70</v>
      </c>
      <c r="AK397" t="s">
        <v>71</v>
      </c>
      <c r="AL397" t="s">
        <v>72</v>
      </c>
      <c r="AM397">
        <v>346053</v>
      </c>
      <c r="AO397" s="16" t="s">
        <v>140</v>
      </c>
      <c r="AP397" s="17" t="str">
        <f t="shared" si="25"/>
        <v>Post-emergence nest</v>
      </c>
      <c r="AQ397" s="18">
        <v>4</v>
      </c>
      <c r="AT397" s="19" t="s">
        <v>141</v>
      </c>
      <c r="AU397" s="20" t="s">
        <v>104</v>
      </c>
      <c r="AX397" s="22" t="str">
        <f>IF(AND('[1]observations-276632'!W397&gt;'[1]Methods write-up'!$Q$16,'[1]observations-276632'!W397&lt;'[1]Methods write-up'!$R$16,'[1]observations-276632'!X397&gt;'[1]Methods write-up'!$S$16,'[1]observations-276632'!X397&lt;'[1]Methods write-up'!$T$16),"West and Central Africa","")</f>
        <v/>
      </c>
      <c r="AY397" s="22" t="str">
        <f>IF(AND('[1]observations-276632'!W397&gt;'[1]Methods write-up'!$Q$17,'[1]observations-276632'!W397&lt;'[1]Methods write-up'!$R$17,'[1]observations-276632'!X397&gt;'[1]Methods write-up'!$S$17,'[1]observations-276632'!X397&lt;'[1]Methods write-up'!$T$17),"Equatorial tropical forest","")</f>
        <v/>
      </c>
      <c r="AZ397" s="22" t="str">
        <f>IF(AND('[1]observations-276632'!W397&gt;'[1]Methods write-up'!$Q$18,'[1]observations-276632'!W397&lt;'[1]Methods write-up'!$R$18,'[1]observations-276632'!X397&gt;'[1]Methods write-up'!$S$18,'[1]observations-276632'!X397&lt;'[1]Methods write-up'!$T$18),"Somali peninsula","")</f>
        <v/>
      </c>
      <c r="BA397" s="22" t="str">
        <f>IF(AND('[1]observations-276632'!W397&gt;'[1]Methods write-up'!$Q$19,'[1]observations-276632'!W397&lt;'[1]Methods write-up'!$R$19,'[1]observations-276632'!X397&gt;'[1]Methods write-up'!$S$19,'[1]observations-276632'!X397&lt;'[1]Methods write-up'!$T$19),"East Africa","")</f>
        <v>East Africa</v>
      </c>
      <c r="BB397" s="22" t="str">
        <f>IF(AND('[1]observations-276632'!W397&gt;'[1]Methods write-up'!$Q$20,'[1]observations-276632'!W397&lt;'[1]Methods write-up'!$R$20,'[1]observations-276632'!X397&gt;'[1]Methods write-up'!$S$20,'[1]observations-276632'!X397&lt;'[1]Methods write-up'!$T$20),"Temperate seasonal","")</f>
        <v/>
      </c>
      <c r="BC397" s="22" t="str">
        <f>IF(AND('[1]observations-276632'!W397&gt;'[1]Methods write-up'!$Q$21,'[1]observations-276632'!W397&lt;'[1]Methods write-up'!$R$21,'[1]observations-276632'!X397&gt;'[1]Methods write-up'!$S$21,'[1]observations-276632'!X397&lt;'[1]Methods write-up'!$T$21),"Desert and high aridity","")</f>
        <v/>
      </c>
      <c r="BD397" s="23" t="str">
        <f t="shared" si="28"/>
        <v>East Africa</v>
      </c>
      <c r="BE397" s="24">
        <f t="shared" si="26"/>
        <v>21</v>
      </c>
      <c r="BF397" s="24">
        <f t="shared" si="27"/>
        <v>12</v>
      </c>
    </row>
    <row r="398" spans="1:58" ht="16.25" customHeight="1" x14ac:dyDescent="0.2">
      <c r="A398">
        <v>38459683</v>
      </c>
      <c r="B398" t="s">
        <v>2912</v>
      </c>
      <c r="C398" s="14">
        <v>43868</v>
      </c>
      <c r="D398" t="s">
        <v>2913</v>
      </c>
      <c r="E398" t="s">
        <v>201</v>
      </c>
      <c r="F398">
        <v>378628</v>
      </c>
      <c r="G398" t="s">
        <v>379</v>
      </c>
      <c r="H398" t="s">
        <v>380</v>
      </c>
      <c r="I398" t="s">
        <v>2914</v>
      </c>
      <c r="J398" t="s">
        <v>2915</v>
      </c>
      <c r="K398" t="s">
        <v>62</v>
      </c>
      <c r="L398" t="s">
        <v>63</v>
      </c>
      <c r="M398" t="s">
        <v>2916</v>
      </c>
      <c r="N398" t="s">
        <v>2917</v>
      </c>
      <c r="R398">
        <v>2</v>
      </c>
      <c r="S398">
        <v>0</v>
      </c>
      <c r="T398" t="b">
        <v>0</v>
      </c>
      <c r="V398" t="s">
        <v>2918</v>
      </c>
      <c r="W398" s="15">
        <v>-1.9141766629999999</v>
      </c>
      <c r="X398" s="15">
        <v>30.056903349999999</v>
      </c>
      <c r="Y398">
        <v>43</v>
      </c>
      <c r="AC398">
        <v>43</v>
      </c>
      <c r="AF398" t="b">
        <v>0</v>
      </c>
      <c r="AI398" t="s">
        <v>71</v>
      </c>
      <c r="AJ398" t="s">
        <v>70</v>
      </c>
      <c r="AK398" t="s">
        <v>71</v>
      </c>
      <c r="AL398" t="s">
        <v>72</v>
      </c>
      <c r="AM398">
        <v>346053</v>
      </c>
      <c r="AO398" s="16" t="s">
        <v>73</v>
      </c>
      <c r="AP398" s="17" t="str">
        <f t="shared" ref="AP398:AP421" si="29">IF(COUNTIF(AO398,"*foundress*"),"Nest (foundress)",AO398)</f>
        <v>Off-nest female</v>
      </c>
      <c r="AX398" s="22" t="str">
        <f>IF(AND('[1]observations-276632'!W398&gt;'[1]Methods write-up'!$Q$16,'[1]observations-276632'!W398&lt;'[1]Methods write-up'!$R$16,'[1]observations-276632'!X398&gt;'[1]Methods write-up'!$S$16,'[1]observations-276632'!X398&lt;'[1]Methods write-up'!$T$16),"West and Central Africa","")</f>
        <v>West and Central Africa</v>
      </c>
      <c r="AY398" s="22" t="str">
        <f>IF(AND('[1]observations-276632'!W398&gt;'[1]Methods write-up'!$Q$17,'[1]observations-276632'!W398&lt;'[1]Methods write-up'!$R$17,'[1]observations-276632'!X398&gt;'[1]Methods write-up'!$S$17,'[1]observations-276632'!X398&lt;'[1]Methods write-up'!$T$17),"Equatorial tropical forest","")</f>
        <v/>
      </c>
      <c r="AZ398" s="22" t="str">
        <f>IF(AND('[1]observations-276632'!W398&gt;'[1]Methods write-up'!$Q$18,'[1]observations-276632'!W398&lt;'[1]Methods write-up'!$R$18,'[1]observations-276632'!X398&gt;'[1]Methods write-up'!$S$18,'[1]observations-276632'!X398&lt;'[1]Methods write-up'!$T$18),"Somali peninsula","")</f>
        <v/>
      </c>
      <c r="BA398" s="22" t="str">
        <f>IF(AND('[1]observations-276632'!W398&gt;'[1]Methods write-up'!$Q$19,'[1]observations-276632'!W398&lt;'[1]Methods write-up'!$R$19,'[1]observations-276632'!X398&gt;'[1]Methods write-up'!$S$19,'[1]observations-276632'!X398&lt;'[1]Methods write-up'!$T$19),"East Africa","")</f>
        <v/>
      </c>
      <c r="BB398" s="22" t="str">
        <f>IF(AND('[1]observations-276632'!W398&gt;'[1]Methods write-up'!$Q$20,'[1]observations-276632'!W398&lt;'[1]Methods write-up'!$R$20,'[1]observations-276632'!X398&gt;'[1]Methods write-up'!$S$20,'[1]observations-276632'!X398&lt;'[1]Methods write-up'!$T$20),"Temperate seasonal","")</f>
        <v/>
      </c>
      <c r="BC398" s="22" t="str">
        <f>IF(AND('[1]observations-276632'!W398&gt;'[1]Methods write-up'!$Q$21,'[1]observations-276632'!W398&lt;'[1]Methods write-up'!$R$21,'[1]observations-276632'!X398&gt;'[1]Methods write-up'!$S$21,'[1]observations-276632'!X398&lt;'[1]Methods write-up'!$T$21),"Desert and high aridity","")</f>
        <v/>
      </c>
      <c r="BD398" s="23" t="str">
        <f t="shared" si="28"/>
        <v>West and Central Africa</v>
      </c>
      <c r="BE398" s="24">
        <f t="shared" si="26"/>
        <v>7</v>
      </c>
      <c r="BF398" s="24">
        <f t="shared" si="27"/>
        <v>2</v>
      </c>
    </row>
    <row r="399" spans="1:58" ht="16.25" customHeight="1" x14ac:dyDescent="0.2">
      <c r="A399">
        <v>38479579</v>
      </c>
      <c r="B399" t="s">
        <v>2919</v>
      </c>
      <c r="C399" s="14">
        <v>43856</v>
      </c>
      <c r="D399" t="s">
        <v>2920</v>
      </c>
      <c r="E399" t="s">
        <v>2921</v>
      </c>
      <c r="F399">
        <v>2575141</v>
      </c>
      <c r="G399" t="s">
        <v>2922</v>
      </c>
      <c r="I399" t="s">
        <v>2923</v>
      </c>
      <c r="J399" t="s">
        <v>2924</v>
      </c>
      <c r="K399" t="s">
        <v>62</v>
      </c>
      <c r="L399" t="s">
        <v>63</v>
      </c>
      <c r="M399" t="s">
        <v>2925</v>
      </c>
      <c r="N399" t="s">
        <v>2926</v>
      </c>
      <c r="Q399" t="s">
        <v>2927</v>
      </c>
      <c r="R399">
        <v>4</v>
      </c>
      <c r="S399">
        <v>0</v>
      </c>
      <c r="T399" t="b">
        <v>0</v>
      </c>
      <c r="V399" t="s">
        <v>2928</v>
      </c>
      <c r="W399" s="15">
        <v>-31.006878329999999</v>
      </c>
      <c r="X399" s="15">
        <v>30.17727167</v>
      </c>
      <c r="AF399" t="b">
        <v>0</v>
      </c>
      <c r="AI399" t="s">
        <v>71</v>
      </c>
      <c r="AJ399" t="s">
        <v>70</v>
      </c>
      <c r="AK399" t="s">
        <v>71</v>
      </c>
      <c r="AL399" t="s">
        <v>72</v>
      </c>
      <c r="AM399">
        <v>346053</v>
      </c>
      <c r="AO399" s="16" t="s">
        <v>73</v>
      </c>
      <c r="AP399" s="17" t="str">
        <f t="shared" si="29"/>
        <v>Off-nest female</v>
      </c>
      <c r="AX399" s="22" t="str">
        <f>IF(AND('[1]observations-276632'!W399&gt;'[1]Methods write-up'!$Q$16,'[1]observations-276632'!W399&lt;'[1]Methods write-up'!$R$16,'[1]observations-276632'!X399&gt;'[1]Methods write-up'!$S$16,'[1]observations-276632'!X399&lt;'[1]Methods write-up'!$T$16),"West and Central Africa","")</f>
        <v/>
      </c>
      <c r="AY399" s="22" t="str">
        <f>IF(AND('[1]observations-276632'!W399&gt;'[1]Methods write-up'!$Q$17,'[1]observations-276632'!W399&lt;'[1]Methods write-up'!$R$17,'[1]observations-276632'!X399&gt;'[1]Methods write-up'!$S$17,'[1]observations-276632'!X399&lt;'[1]Methods write-up'!$T$17),"Equatorial tropical forest","")</f>
        <v/>
      </c>
      <c r="AZ399" s="22" t="str">
        <f>IF(AND('[1]observations-276632'!W399&gt;'[1]Methods write-up'!$Q$18,'[1]observations-276632'!W399&lt;'[1]Methods write-up'!$R$18,'[1]observations-276632'!X399&gt;'[1]Methods write-up'!$S$18,'[1]observations-276632'!X399&lt;'[1]Methods write-up'!$T$18),"Somali peninsula","")</f>
        <v/>
      </c>
      <c r="BA399" s="22" t="str">
        <f>IF(AND('[1]observations-276632'!W399&gt;'[1]Methods write-up'!$Q$19,'[1]observations-276632'!W399&lt;'[1]Methods write-up'!$R$19,'[1]observations-276632'!X399&gt;'[1]Methods write-up'!$S$19,'[1]observations-276632'!X399&lt;'[1]Methods write-up'!$T$19),"East Africa","")</f>
        <v/>
      </c>
      <c r="BB399" s="22" t="str">
        <f>IF(AND('[1]observations-276632'!W399&gt;'[1]Methods write-up'!$Q$20,'[1]observations-276632'!W399&lt;'[1]Methods write-up'!$R$20,'[1]observations-276632'!X399&gt;'[1]Methods write-up'!$S$20,'[1]observations-276632'!X399&lt;'[1]Methods write-up'!$T$20),"Temperate seasonal","")</f>
        <v>Temperate seasonal</v>
      </c>
      <c r="BC399" s="22" t="str">
        <f>IF(AND('[1]observations-276632'!W399&gt;'[1]Methods write-up'!$Q$21,'[1]observations-276632'!W399&lt;'[1]Methods write-up'!$R$21,'[1]observations-276632'!X399&gt;'[1]Methods write-up'!$S$21,'[1]observations-276632'!X399&lt;'[1]Methods write-up'!$T$21),"Desert and high aridity","")</f>
        <v/>
      </c>
      <c r="BD399" s="23" t="str">
        <f t="shared" si="28"/>
        <v>Temperate seasonal</v>
      </c>
      <c r="BE399" s="24">
        <f t="shared" si="26"/>
        <v>26</v>
      </c>
      <c r="BF399" s="24">
        <f t="shared" si="27"/>
        <v>1</v>
      </c>
    </row>
    <row r="400" spans="1:58" ht="16.25" customHeight="1" x14ac:dyDescent="0.2">
      <c r="A400">
        <v>38507443</v>
      </c>
      <c r="B400" t="s">
        <v>2929</v>
      </c>
      <c r="C400" s="14">
        <v>43871</v>
      </c>
      <c r="D400" t="s">
        <v>2930</v>
      </c>
      <c r="E400" t="s">
        <v>113</v>
      </c>
      <c r="F400">
        <v>528390</v>
      </c>
      <c r="G400" t="s">
        <v>843</v>
      </c>
      <c r="H400" t="s">
        <v>844</v>
      </c>
      <c r="I400" t="s">
        <v>2931</v>
      </c>
      <c r="J400" t="s">
        <v>2932</v>
      </c>
      <c r="K400" t="s">
        <v>62</v>
      </c>
      <c r="L400" t="s">
        <v>63</v>
      </c>
      <c r="M400" t="s">
        <v>2933</v>
      </c>
      <c r="N400" t="s">
        <v>2934</v>
      </c>
      <c r="Q400" t="s">
        <v>2935</v>
      </c>
      <c r="R400">
        <v>4</v>
      </c>
      <c r="S400">
        <v>0</v>
      </c>
      <c r="T400" t="b">
        <v>0</v>
      </c>
      <c r="U400">
        <v>2</v>
      </c>
      <c r="V400" t="s">
        <v>2936</v>
      </c>
      <c r="W400" s="15">
        <v>-33.961944580000001</v>
      </c>
      <c r="X400" s="15">
        <v>22.086666109999999</v>
      </c>
      <c r="AF400" t="b">
        <v>0</v>
      </c>
      <c r="AG400" t="s">
        <v>350</v>
      </c>
      <c r="AH400" t="s">
        <v>350</v>
      </c>
      <c r="AI400" t="s">
        <v>71</v>
      </c>
      <c r="AJ400" t="s">
        <v>70</v>
      </c>
      <c r="AK400" t="s">
        <v>71</v>
      </c>
      <c r="AL400" t="s">
        <v>72</v>
      </c>
      <c r="AM400">
        <v>346053</v>
      </c>
      <c r="AO400" s="16" t="s">
        <v>140</v>
      </c>
      <c r="AP400" s="17" t="str">
        <f t="shared" si="29"/>
        <v>Post-emergence nest</v>
      </c>
      <c r="AQ400" s="18">
        <v>2</v>
      </c>
      <c r="AT400" s="19" t="s">
        <v>104</v>
      </c>
      <c r="AU400" s="20" t="s">
        <v>104</v>
      </c>
      <c r="AX400" s="22" t="str">
        <f>IF(AND('[1]observations-276632'!W400&gt;'[1]Methods write-up'!$Q$16,'[1]observations-276632'!W400&lt;'[1]Methods write-up'!$R$16,'[1]observations-276632'!X400&gt;'[1]Methods write-up'!$S$16,'[1]observations-276632'!X400&lt;'[1]Methods write-up'!$T$16),"West and Central Africa","")</f>
        <v/>
      </c>
      <c r="AY400" s="22" t="str">
        <f>IF(AND('[1]observations-276632'!W400&gt;'[1]Methods write-up'!$Q$17,'[1]observations-276632'!W400&lt;'[1]Methods write-up'!$R$17,'[1]observations-276632'!X400&gt;'[1]Methods write-up'!$S$17,'[1]observations-276632'!X400&lt;'[1]Methods write-up'!$T$17),"Equatorial tropical forest","")</f>
        <v/>
      </c>
      <c r="AZ400" s="22" t="str">
        <f>IF(AND('[1]observations-276632'!W400&gt;'[1]Methods write-up'!$Q$18,'[1]observations-276632'!W400&lt;'[1]Methods write-up'!$R$18,'[1]observations-276632'!X400&gt;'[1]Methods write-up'!$S$18,'[1]observations-276632'!X400&lt;'[1]Methods write-up'!$T$18),"Somali peninsula","")</f>
        <v/>
      </c>
      <c r="BA400" s="22" t="str">
        <f>IF(AND('[1]observations-276632'!W400&gt;'[1]Methods write-up'!$Q$19,'[1]observations-276632'!W400&lt;'[1]Methods write-up'!$R$19,'[1]observations-276632'!X400&gt;'[1]Methods write-up'!$S$19,'[1]observations-276632'!X400&lt;'[1]Methods write-up'!$T$19),"East Africa","")</f>
        <v/>
      </c>
      <c r="BB400" s="22" t="str">
        <f>IF(AND('[1]observations-276632'!W400&gt;'[1]Methods write-up'!$Q$20,'[1]observations-276632'!W400&lt;'[1]Methods write-up'!$R$20,'[1]observations-276632'!X400&gt;'[1]Methods write-up'!$S$20,'[1]observations-276632'!X400&lt;'[1]Methods write-up'!$T$20),"Temperate seasonal","")</f>
        <v/>
      </c>
      <c r="BC400" s="22" t="str">
        <f>IF(AND('[1]observations-276632'!W400&gt;'[1]Methods write-up'!$Q$21,'[1]observations-276632'!W400&lt;'[1]Methods write-up'!$R$21,'[1]observations-276632'!X400&gt;'[1]Methods write-up'!$S$21,'[1]observations-276632'!X400&lt;'[1]Methods write-up'!$T$21),"Desert and high aridity","")</f>
        <v/>
      </c>
      <c r="BD400" s="23" t="str">
        <f t="shared" si="28"/>
        <v/>
      </c>
      <c r="BE400" s="24">
        <f t="shared" si="26"/>
        <v>10</v>
      </c>
      <c r="BF400" s="24">
        <f t="shared" si="27"/>
        <v>2</v>
      </c>
    </row>
    <row r="401" spans="1:58" ht="16.25" customHeight="1" x14ac:dyDescent="0.2">
      <c r="A401">
        <v>38536148</v>
      </c>
      <c r="B401" t="s">
        <v>2937</v>
      </c>
      <c r="C401" s="14">
        <v>40136</v>
      </c>
      <c r="D401" t="s">
        <v>2938</v>
      </c>
      <c r="E401" t="s">
        <v>243</v>
      </c>
      <c r="F401">
        <v>1803827</v>
      </c>
      <c r="G401" t="s">
        <v>2699</v>
      </c>
      <c r="H401" t="s">
        <v>2700</v>
      </c>
      <c r="I401" t="s">
        <v>2939</v>
      </c>
      <c r="J401" t="s">
        <v>2940</v>
      </c>
      <c r="K401" t="s">
        <v>62</v>
      </c>
      <c r="L401" t="s">
        <v>63</v>
      </c>
      <c r="M401" t="s">
        <v>2941</v>
      </c>
      <c r="N401" t="s">
        <v>2942</v>
      </c>
      <c r="R401">
        <v>1</v>
      </c>
      <c r="S401">
        <v>0</v>
      </c>
      <c r="T401" t="b">
        <v>0</v>
      </c>
      <c r="V401" t="s">
        <v>2943</v>
      </c>
      <c r="W401" s="15">
        <v>-31.6287512</v>
      </c>
      <c r="X401" s="15">
        <v>29.5368709</v>
      </c>
      <c r="Y401">
        <v>2480</v>
      </c>
      <c r="AC401">
        <v>2480</v>
      </c>
      <c r="AF401" t="b">
        <v>0</v>
      </c>
      <c r="AI401" t="s">
        <v>71</v>
      </c>
      <c r="AJ401" t="s">
        <v>70</v>
      </c>
      <c r="AK401" t="s">
        <v>71</v>
      </c>
      <c r="AL401" t="s">
        <v>72</v>
      </c>
      <c r="AM401">
        <v>346053</v>
      </c>
      <c r="AO401" s="16" t="s">
        <v>1574</v>
      </c>
      <c r="AP401" s="17" t="str">
        <f t="shared" si="29"/>
        <v>Nest (foundress)</v>
      </c>
      <c r="AQ401" s="18" t="s">
        <v>2944</v>
      </c>
      <c r="AX401" s="22" t="str">
        <f>IF(AND('[1]observations-276632'!W401&gt;'[1]Methods write-up'!$Q$16,'[1]observations-276632'!W401&lt;'[1]Methods write-up'!$R$16,'[1]observations-276632'!X401&gt;'[1]Methods write-up'!$S$16,'[1]observations-276632'!X401&lt;'[1]Methods write-up'!$T$16),"West and Central Africa","")</f>
        <v/>
      </c>
      <c r="AY401" s="22" t="str">
        <f>IF(AND('[1]observations-276632'!W401&gt;'[1]Methods write-up'!$Q$17,'[1]observations-276632'!W401&lt;'[1]Methods write-up'!$R$17,'[1]observations-276632'!X401&gt;'[1]Methods write-up'!$S$17,'[1]observations-276632'!X401&lt;'[1]Methods write-up'!$T$17),"Equatorial tropical forest","")</f>
        <v/>
      </c>
      <c r="AZ401" s="22" t="str">
        <f>IF(AND('[1]observations-276632'!W401&gt;'[1]Methods write-up'!$Q$18,'[1]observations-276632'!W401&lt;'[1]Methods write-up'!$R$18,'[1]observations-276632'!X401&gt;'[1]Methods write-up'!$S$18,'[1]observations-276632'!X401&lt;'[1]Methods write-up'!$T$18),"Somali peninsula","")</f>
        <v/>
      </c>
      <c r="BA401" s="22" t="str">
        <f>IF(AND('[1]observations-276632'!W401&gt;'[1]Methods write-up'!$Q$19,'[1]observations-276632'!W401&lt;'[1]Methods write-up'!$R$19,'[1]observations-276632'!X401&gt;'[1]Methods write-up'!$S$19,'[1]observations-276632'!X401&lt;'[1]Methods write-up'!$T$19),"East Africa","")</f>
        <v/>
      </c>
      <c r="BB401" s="22" t="str">
        <f>IF(AND('[1]observations-276632'!W401&gt;'[1]Methods write-up'!$Q$20,'[1]observations-276632'!W401&lt;'[1]Methods write-up'!$R$20,'[1]observations-276632'!X401&gt;'[1]Methods write-up'!$S$20,'[1]observations-276632'!X401&lt;'[1]Methods write-up'!$T$20),"Temperate seasonal","")</f>
        <v>Temperate seasonal</v>
      </c>
      <c r="BC401" s="22" t="str">
        <f>IF(AND('[1]observations-276632'!W401&gt;'[1]Methods write-up'!$Q$21,'[1]observations-276632'!W401&lt;'[1]Methods write-up'!$R$21,'[1]observations-276632'!X401&gt;'[1]Methods write-up'!$S$21,'[1]observations-276632'!X401&lt;'[1]Methods write-up'!$T$21),"Desert and high aridity","")</f>
        <v/>
      </c>
      <c r="BD401" s="23" t="str">
        <f t="shared" si="28"/>
        <v>Temperate seasonal</v>
      </c>
      <c r="BE401" s="24">
        <f t="shared" si="26"/>
        <v>19</v>
      </c>
      <c r="BF401" s="24">
        <f t="shared" si="27"/>
        <v>11</v>
      </c>
    </row>
    <row r="402" spans="1:58" ht="16.25" customHeight="1" x14ac:dyDescent="0.2">
      <c r="A402">
        <v>38537442</v>
      </c>
      <c r="B402" t="s">
        <v>2945</v>
      </c>
      <c r="C402" s="14">
        <v>43869</v>
      </c>
      <c r="D402" t="s">
        <v>2946</v>
      </c>
      <c r="E402" t="s">
        <v>113</v>
      </c>
      <c r="F402">
        <v>2305864</v>
      </c>
      <c r="G402" t="s">
        <v>2947</v>
      </c>
      <c r="I402" t="s">
        <v>2948</v>
      </c>
      <c r="J402" t="s">
        <v>2949</v>
      </c>
      <c r="K402" t="s">
        <v>62</v>
      </c>
      <c r="L402" t="s">
        <v>63</v>
      </c>
      <c r="M402" t="s">
        <v>2950</v>
      </c>
      <c r="N402" t="s">
        <v>2951</v>
      </c>
      <c r="R402">
        <v>3</v>
      </c>
      <c r="S402">
        <v>0</v>
      </c>
      <c r="T402" t="b">
        <v>0</v>
      </c>
      <c r="U402">
        <v>3</v>
      </c>
      <c r="V402" t="s">
        <v>2952</v>
      </c>
      <c r="W402" s="15">
        <v>12.59305</v>
      </c>
      <c r="X402" s="15">
        <v>37.446186670000003</v>
      </c>
      <c r="Y402">
        <v>10</v>
      </c>
      <c r="AC402">
        <v>10</v>
      </c>
      <c r="AF402" t="b">
        <v>0</v>
      </c>
      <c r="AI402" t="s">
        <v>70</v>
      </c>
      <c r="AJ402" t="s">
        <v>70</v>
      </c>
      <c r="AK402" t="s">
        <v>71</v>
      </c>
      <c r="AL402" t="s">
        <v>72</v>
      </c>
      <c r="AM402">
        <v>346053</v>
      </c>
      <c r="AO402" s="16" t="s">
        <v>73</v>
      </c>
      <c r="AP402" s="17" t="str">
        <f t="shared" si="29"/>
        <v>Off-nest female</v>
      </c>
      <c r="AX402" s="22" t="str">
        <f>IF(AND('[1]observations-276632'!W402&gt;'[1]Methods write-up'!$Q$16,'[1]observations-276632'!W402&lt;'[1]Methods write-up'!$R$16,'[1]observations-276632'!X402&gt;'[1]Methods write-up'!$S$16,'[1]observations-276632'!X402&lt;'[1]Methods write-up'!$T$16),"West and Central Africa","")</f>
        <v/>
      </c>
      <c r="AY402" s="22" t="str">
        <f>IF(AND('[1]observations-276632'!W402&gt;'[1]Methods write-up'!$Q$17,'[1]observations-276632'!W402&lt;'[1]Methods write-up'!$R$17,'[1]observations-276632'!X402&gt;'[1]Methods write-up'!$S$17,'[1]observations-276632'!X402&lt;'[1]Methods write-up'!$T$17),"Equatorial tropical forest","")</f>
        <v/>
      </c>
      <c r="AZ402" s="22" t="str">
        <f>IF(AND('[1]observations-276632'!W402&gt;'[1]Methods write-up'!$Q$18,'[1]observations-276632'!W402&lt;'[1]Methods write-up'!$R$18,'[1]observations-276632'!X402&gt;'[1]Methods write-up'!$S$18,'[1]observations-276632'!X402&lt;'[1]Methods write-up'!$T$18),"Somali peninsula","")</f>
        <v>Somali peninsula</v>
      </c>
      <c r="BA402" s="22" t="str">
        <f>IF(AND('[1]observations-276632'!W402&gt;'[1]Methods write-up'!$Q$19,'[1]observations-276632'!W402&lt;'[1]Methods write-up'!$R$19,'[1]observations-276632'!X402&gt;'[1]Methods write-up'!$S$19,'[1]observations-276632'!X402&lt;'[1]Methods write-up'!$T$19),"East Africa","")</f>
        <v/>
      </c>
      <c r="BB402" s="22" t="str">
        <f>IF(AND('[1]observations-276632'!W402&gt;'[1]Methods write-up'!$Q$20,'[1]observations-276632'!W402&lt;'[1]Methods write-up'!$R$20,'[1]observations-276632'!X402&gt;'[1]Methods write-up'!$S$20,'[1]observations-276632'!X402&lt;'[1]Methods write-up'!$T$20),"Temperate seasonal","")</f>
        <v/>
      </c>
      <c r="BC402" s="22" t="str">
        <f>IF(AND('[1]observations-276632'!W402&gt;'[1]Methods write-up'!$Q$21,'[1]observations-276632'!W402&lt;'[1]Methods write-up'!$R$21,'[1]observations-276632'!X402&gt;'[1]Methods write-up'!$S$21,'[1]observations-276632'!X402&lt;'[1]Methods write-up'!$T$21),"Desert and high aridity","")</f>
        <v/>
      </c>
      <c r="BD402" s="23" t="str">
        <f t="shared" si="28"/>
        <v>Somali peninsula</v>
      </c>
      <c r="BE402" s="24">
        <f t="shared" si="26"/>
        <v>8</v>
      </c>
      <c r="BF402" s="24">
        <f t="shared" si="27"/>
        <v>2</v>
      </c>
    </row>
    <row r="403" spans="1:58" ht="16.25" customHeight="1" x14ac:dyDescent="0.2">
      <c r="A403">
        <v>38563463</v>
      </c>
      <c r="B403" t="s">
        <v>2953</v>
      </c>
      <c r="C403" s="14">
        <v>43873</v>
      </c>
      <c r="D403" t="s">
        <v>2954</v>
      </c>
      <c r="E403" t="s">
        <v>403</v>
      </c>
      <c r="F403">
        <v>903661</v>
      </c>
      <c r="G403" t="s">
        <v>2955</v>
      </c>
      <c r="H403" t="s">
        <v>2956</v>
      </c>
      <c r="I403" t="s">
        <v>2957</v>
      </c>
      <c r="J403" t="s">
        <v>2958</v>
      </c>
      <c r="K403" t="s">
        <v>62</v>
      </c>
      <c r="L403" t="s">
        <v>63</v>
      </c>
      <c r="M403" t="s">
        <v>2959</v>
      </c>
      <c r="N403" t="s">
        <v>2960</v>
      </c>
      <c r="R403">
        <v>2</v>
      </c>
      <c r="S403">
        <v>0</v>
      </c>
      <c r="T403" t="b">
        <v>0</v>
      </c>
      <c r="U403">
        <v>2</v>
      </c>
      <c r="V403" t="s">
        <v>2961</v>
      </c>
      <c r="W403" s="15">
        <v>-1.054396667</v>
      </c>
      <c r="X403" s="15">
        <v>35.230123329999998</v>
      </c>
      <c r="Y403">
        <v>10</v>
      </c>
      <c r="AC403">
        <v>10</v>
      </c>
      <c r="AF403" t="b">
        <v>0</v>
      </c>
      <c r="AI403" t="s">
        <v>70</v>
      </c>
      <c r="AJ403" t="s">
        <v>70</v>
      </c>
      <c r="AK403" t="s">
        <v>71</v>
      </c>
      <c r="AL403" t="s">
        <v>72</v>
      </c>
      <c r="AM403">
        <v>346053</v>
      </c>
      <c r="AO403" s="16" t="s">
        <v>442</v>
      </c>
      <c r="AP403" s="17" t="str">
        <f t="shared" si="29"/>
        <v>Dead female</v>
      </c>
      <c r="AX403" s="22" t="str">
        <f>IF(AND('[1]observations-276632'!W403&gt;'[1]Methods write-up'!$Q$16,'[1]observations-276632'!W403&lt;'[1]Methods write-up'!$R$16,'[1]observations-276632'!X403&gt;'[1]Methods write-up'!$S$16,'[1]observations-276632'!X403&lt;'[1]Methods write-up'!$T$16),"West and Central Africa","")</f>
        <v/>
      </c>
      <c r="AY403" s="22" t="str">
        <f>IF(AND('[1]observations-276632'!W403&gt;'[1]Methods write-up'!$Q$17,'[1]observations-276632'!W403&lt;'[1]Methods write-up'!$R$17,'[1]observations-276632'!X403&gt;'[1]Methods write-up'!$S$17,'[1]observations-276632'!X403&lt;'[1]Methods write-up'!$T$17),"Equatorial tropical forest","")</f>
        <v/>
      </c>
      <c r="AZ403" s="22" t="str">
        <f>IF(AND('[1]observations-276632'!W403&gt;'[1]Methods write-up'!$Q$18,'[1]observations-276632'!W403&lt;'[1]Methods write-up'!$R$18,'[1]observations-276632'!X403&gt;'[1]Methods write-up'!$S$18,'[1]observations-276632'!X403&lt;'[1]Methods write-up'!$T$18),"Somali peninsula","")</f>
        <v/>
      </c>
      <c r="BA403" s="22" t="str">
        <f>IF(AND('[1]observations-276632'!W403&gt;'[1]Methods write-up'!$Q$19,'[1]observations-276632'!W403&lt;'[1]Methods write-up'!$R$19,'[1]observations-276632'!X403&gt;'[1]Methods write-up'!$S$19,'[1]observations-276632'!X403&lt;'[1]Methods write-up'!$T$19),"East Africa","")</f>
        <v>East Africa</v>
      </c>
      <c r="BB403" s="22" t="str">
        <f>IF(AND('[1]observations-276632'!W403&gt;'[1]Methods write-up'!$Q$20,'[1]observations-276632'!W403&lt;'[1]Methods write-up'!$R$20,'[1]observations-276632'!X403&gt;'[1]Methods write-up'!$S$20,'[1]observations-276632'!X403&lt;'[1]Methods write-up'!$T$20),"Temperate seasonal","")</f>
        <v/>
      </c>
      <c r="BC403" s="22" t="str">
        <f>IF(AND('[1]observations-276632'!W403&gt;'[1]Methods write-up'!$Q$21,'[1]observations-276632'!W403&lt;'[1]Methods write-up'!$R$21,'[1]observations-276632'!X403&gt;'[1]Methods write-up'!$S$21,'[1]observations-276632'!X403&lt;'[1]Methods write-up'!$T$21),"Desert and high aridity","")</f>
        <v/>
      </c>
      <c r="BD403" s="23" t="str">
        <f t="shared" si="28"/>
        <v>East Africa</v>
      </c>
      <c r="BE403" s="24">
        <f t="shared" si="26"/>
        <v>12</v>
      </c>
      <c r="BF403" s="24">
        <f t="shared" si="27"/>
        <v>2</v>
      </c>
    </row>
    <row r="404" spans="1:58" ht="16.25" customHeight="1" x14ac:dyDescent="0.2">
      <c r="A404">
        <v>38595650</v>
      </c>
      <c r="B404" t="s">
        <v>2962</v>
      </c>
      <c r="C404" s="14">
        <v>43845</v>
      </c>
      <c r="D404" t="s">
        <v>2963</v>
      </c>
      <c r="E404" t="s">
        <v>403</v>
      </c>
      <c r="F404">
        <v>1918895</v>
      </c>
      <c r="G404" t="s">
        <v>2964</v>
      </c>
      <c r="H404" t="s">
        <v>2965</v>
      </c>
      <c r="I404" t="s">
        <v>2966</v>
      </c>
      <c r="J404" t="s">
        <v>2967</v>
      </c>
      <c r="K404" t="s">
        <v>62</v>
      </c>
      <c r="L404" t="s">
        <v>63</v>
      </c>
      <c r="M404" t="s">
        <v>2968</v>
      </c>
      <c r="N404" t="s">
        <v>2969</v>
      </c>
      <c r="R404">
        <v>1</v>
      </c>
      <c r="S404">
        <v>0</v>
      </c>
      <c r="T404" t="b">
        <v>0</v>
      </c>
      <c r="U404">
        <v>2</v>
      </c>
      <c r="V404" t="s">
        <v>2970</v>
      </c>
      <c r="W404" s="15">
        <v>-4.8246536259999999</v>
      </c>
      <c r="X404" s="15">
        <v>38.448432920000002</v>
      </c>
      <c r="AF404" t="b">
        <v>0</v>
      </c>
      <c r="AG404" t="s">
        <v>350</v>
      </c>
      <c r="AH404" t="s">
        <v>350</v>
      </c>
      <c r="AI404" t="s">
        <v>71</v>
      </c>
      <c r="AJ404" t="s">
        <v>70</v>
      </c>
      <c r="AK404" t="s">
        <v>71</v>
      </c>
      <c r="AL404" t="s">
        <v>72</v>
      </c>
      <c r="AM404">
        <v>346053</v>
      </c>
      <c r="AO404" s="16" t="s">
        <v>1356</v>
      </c>
      <c r="AP404" s="17" t="str">
        <f t="shared" si="29"/>
        <v>Nest (foundress)</v>
      </c>
      <c r="AQ404" s="18">
        <v>1</v>
      </c>
      <c r="AT404" s="19" t="s">
        <v>104</v>
      </c>
      <c r="AX404" s="22" t="str">
        <f>IF(AND('[1]observations-276632'!W404&gt;'[1]Methods write-up'!$Q$16,'[1]observations-276632'!W404&lt;'[1]Methods write-up'!$R$16,'[1]observations-276632'!X404&gt;'[1]Methods write-up'!$S$16,'[1]observations-276632'!X404&lt;'[1]Methods write-up'!$T$16),"West and Central Africa","")</f>
        <v/>
      </c>
      <c r="AY404" s="22" t="str">
        <f>IF(AND('[1]observations-276632'!W404&gt;'[1]Methods write-up'!$Q$17,'[1]observations-276632'!W404&lt;'[1]Methods write-up'!$R$17,'[1]observations-276632'!X404&gt;'[1]Methods write-up'!$S$17,'[1]observations-276632'!X404&lt;'[1]Methods write-up'!$T$17),"Equatorial tropical forest","")</f>
        <v/>
      </c>
      <c r="AZ404" s="22" t="str">
        <f>IF(AND('[1]observations-276632'!W404&gt;'[1]Methods write-up'!$Q$18,'[1]observations-276632'!W404&lt;'[1]Methods write-up'!$R$18,'[1]observations-276632'!X404&gt;'[1]Methods write-up'!$S$18,'[1]observations-276632'!X404&lt;'[1]Methods write-up'!$T$18),"Somali peninsula","")</f>
        <v/>
      </c>
      <c r="BA404" s="22" t="str">
        <f>IF(AND('[1]observations-276632'!W404&gt;'[1]Methods write-up'!$Q$19,'[1]observations-276632'!W404&lt;'[1]Methods write-up'!$R$19,'[1]observations-276632'!X404&gt;'[1]Methods write-up'!$S$19,'[1]observations-276632'!X404&lt;'[1]Methods write-up'!$T$19),"East Africa","")</f>
        <v>East Africa</v>
      </c>
      <c r="BB404" s="22" t="str">
        <f>IF(AND('[1]observations-276632'!W404&gt;'[1]Methods write-up'!$Q$20,'[1]observations-276632'!W404&lt;'[1]Methods write-up'!$R$20,'[1]observations-276632'!X404&gt;'[1]Methods write-up'!$S$20,'[1]observations-276632'!X404&lt;'[1]Methods write-up'!$T$20),"Temperate seasonal","")</f>
        <v/>
      </c>
      <c r="BC404" s="22" t="str">
        <f>IF(AND('[1]observations-276632'!W404&gt;'[1]Methods write-up'!$Q$21,'[1]observations-276632'!W404&lt;'[1]Methods write-up'!$R$21,'[1]observations-276632'!X404&gt;'[1]Methods write-up'!$S$21,'[1]observations-276632'!X404&lt;'[1]Methods write-up'!$T$21),"Desert and high aridity","")</f>
        <v/>
      </c>
      <c r="BD404" s="23" t="str">
        <f t="shared" si="28"/>
        <v>East Africa</v>
      </c>
      <c r="BE404" s="24">
        <f t="shared" si="26"/>
        <v>15</v>
      </c>
      <c r="BF404" s="24">
        <f t="shared" si="27"/>
        <v>1</v>
      </c>
    </row>
    <row r="405" spans="1:58" ht="16.25" customHeight="1" x14ac:dyDescent="0.2">
      <c r="A405">
        <v>38598145</v>
      </c>
      <c r="B405" t="s">
        <v>2971</v>
      </c>
      <c r="C405" s="14">
        <v>43874</v>
      </c>
      <c r="D405" t="s">
        <v>2972</v>
      </c>
      <c r="E405" t="s">
        <v>113</v>
      </c>
      <c r="F405">
        <v>427956</v>
      </c>
      <c r="G405" t="s">
        <v>2973</v>
      </c>
      <c r="H405" t="s">
        <v>2974</v>
      </c>
      <c r="I405" t="s">
        <v>2975</v>
      </c>
      <c r="J405" t="s">
        <v>2976</v>
      </c>
      <c r="K405" t="s">
        <v>62</v>
      </c>
      <c r="L405" t="s">
        <v>63</v>
      </c>
      <c r="M405" t="s">
        <v>2977</v>
      </c>
      <c r="N405" t="s">
        <v>2978</v>
      </c>
      <c r="Q405" t="s">
        <v>2979</v>
      </c>
      <c r="R405">
        <v>2</v>
      </c>
      <c r="S405">
        <v>0</v>
      </c>
      <c r="T405" t="b">
        <v>0</v>
      </c>
      <c r="U405">
        <v>3</v>
      </c>
      <c r="V405" t="s">
        <v>2980</v>
      </c>
      <c r="W405" s="15">
        <v>-20.20616137</v>
      </c>
      <c r="X405" s="15">
        <v>28.5929629</v>
      </c>
      <c r="Y405">
        <v>19</v>
      </c>
      <c r="AC405">
        <v>19</v>
      </c>
      <c r="AF405" t="b">
        <v>0</v>
      </c>
      <c r="AI405" t="s">
        <v>71</v>
      </c>
      <c r="AJ405" t="s">
        <v>70</v>
      </c>
      <c r="AK405" t="s">
        <v>71</v>
      </c>
      <c r="AL405" t="s">
        <v>72</v>
      </c>
      <c r="AM405">
        <v>346053</v>
      </c>
      <c r="AO405" s="16" t="s">
        <v>140</v>
      </c>
      <c r="AP405" s="17" t="str">
        <f t="shared" si="29"/>
        <v>Post-emergence nest</v>
      </c>
      <c r="AQ405" s="18">
        <v>13</v>
      </c>
      <c r="AT405" s="19" t="s">
        <v>141</v>
      </c>
      <c r="AU405" s="20" t="s">
        <v>104</v>
      </c>
      <c r="AX405" s="22" t="str">
        <f>IF(AND('[1]observations-276632'!W405&gt;'[1]Methods write-up'!$Q$16,'[1]observations-276632'!W405&lt;'[1]Methods write-up'!$R$16,'[1]observations-276632'!X405&gt;'[1]Methods write-up'!$S$16,'[1]observations-276632'!X405&lt;'[1]Methods write-up'!$T$16),"West and Central Africa","")</f>
        <v/>
      </c>
      <c r="AY405" s="22" t="str">
        <f>IF(AND('[1]observations-276632'!W405&gt;'[1]Methods write-up'!$Q$17,'[1]observations-276632'!W405&lt;'[1]Methods write-up'!$R$17,'[1]observations-276632'!X405&gt;'[1]Methods write-up'!$S$17,'[1]observations-276632'!X405&lt;'[1]Methods write-up'!$T$17),"Equatorial tropical forest","")</f>
        <v/>
      </c>
      <c r="AZ405" s="22" t="str">
        <f>IF(AND('[1]observations-276632'!W405&gt;'[1]Methods write-up'!$Q$18,'[1]observations-276632'!W405&lt;'[1]Methods write-up'!$R$18,'[1]observations-276632'!X405&gt;'[1]Methods write-up'!$S$18,'[1]observations-276632'!X405&lt;'[1]Methods write-up'!$T$18),"Somali peninsula","")</f>
        <v/>
      </c>
      <c r="BA405" s="22" t="str">
        <f>IF(AND('[1]observations-276632'!W405&gt;'[1]Methods write-up'!$Q$19,'[1]observations-276632'!W405&lt;'[1]Methods write-up'!$R$19,'[1]observations-276632'!X405&gt;'[1]Methods write-up'!$S$19,'[1]observations-276632'!X405&lt;'[1]Methods write-up'!$T$19),"East Africa","")</f>
        <v/>
      </c>
      <c r="BB405" s="22" t="str">
        <f>IF(AND('[1]observations-276632'!W405&gt;'[1]Methods write-up'!$Q$20,'[1]observations-276632'!W405&lt;'[1]Methods write-up'!$R$20,'[1]observations-276632'!X405&gt;'[1]Methods write-up'!$S$20,'[1]observations-276632'!X405&lt;'[1]Methods write-up'!$T$20),"Temperate seasonal","")</f>
        <v/>
      </c>
      <c r="BC405" s="22" t="str">
        <f>IF(AND('[1]observations-276632'!W405&gt;'[1]Methods write-up'!$Q$21,'[1]observations-276632'!W405&lt;'[1]Methods write-up'!$R$21,'[1]observations-276632'!X405&gt;'[1]Methods write-up'!$S$21,'[1]observations-276632'!X405&lt;'[1]Methods write-up'!$T$21),"Desert and high aridity","")</f>
        <v/>
      </c>
      <c r="BD405" s="23" t="str">
        <f t="shared" si="28"/>
        <v/>
      </c>
      <c r="BE405" s="24">
        <f t="shared" si="26"/>
        <v>13</v>
      </c>
      <c r="BF405" s="24">
        <f t="shared" si="27"/>
        <v>2</v>
      </c>
    </row>
    <row r="406" spans="1:58" ht="16.25" customHeight="1" x14ac:dyDescent="0.2">
      <c r="A406">
        <v>38610123</v>
      </c>
      <c r="B406" t="s">
        <v>2981</v>
      </c>
      <c r="C406" s="14">
        <v>43874</v>
      </c>
      <c r="D406" t="s">
        <v>2982</v>
      </c>
      <c r="E406" t="s">
        <v>113</v>
      </c>
      <c r="F406">
        <v>390621</v>
      </c>
      <c r="G406" t="s">
        <v>863</v>
      </c>
      <c r="H406" t="s">
        <v>864</v>
      </c>
      <c r="I406" t="s">
        <v>2983</v>
      </c>
      <c r="J406" t="s">
        <v>2984</v>
      </c>
      <c r="K406" t="s">
        <v>62</v>
      </c>
      <c r="L406" t="s">
        <v>63</v>
      </c>
      <c r="M406" t="s">
        <v>2985</v>
      </c>
      <c r="N406" t="s">
        <v>2986</v>
      </c>
      <c r="R406">
        <v>3</v>
      </c>
      <c r="S406">
        <v>0</v>
      </c>
      <c r="T406" t="b">
        <v>0</v>
      </c>
      <c r="V406" t="s">
        <v>1112</v>
      </c>
      <c r="W406" s="15">
        <v>-33.94320183</v>
      </c>
      <c r="X406" s="15">
        <v>22.475736869999999</v>
      </c>
      <c r="Y406">
        <v>67</v>
      </c>
      <c r="AC406">
        <v>67</v>
      </c>
      <c r="AF406" t="b">
        <v>0</v>
      </c>
      <c r="AI406" t="s">
        <v>71</v>
      </c>
      <c r="AJ406" t="s">
        <v>70</v>
      </c>
      <c r="AK406" t="s">
        <v>71</v>
      </c>
      <c r="AL406" t="s">
        <v>72</v>
      </c>
      <c r="AM406">
        <v>346053</v>
      </c>
      <c r="AO406" s="16" t="s">
        <v>73</v>
      </c>
      <c r="AP406" s="17" t="str">
        <f t="shared" si="29"/>
        <v>Off-nest female</v>
      </c>
      <c r="AX406" s="22" t="str">
        <f>IF(AND('[1]observations-276632'!W406&gt;'[1]Methods write-up'!$Q$16,'[1]observations-276632'!W406&lt;'[1]Methods write-up'!$R$16,'[1]observations-276632'!X406&gt;'[1]Methods write-up'!$S$16,'[1]observations-276632'!X406&lt;'[1]Methods write-up'!$T$16),"West and Central Africa","")</f>
        <v/>
      </c>
      <c r="AY406" s="22" t="str">
        <f>IF(AND('[1]observations-276632'!W406&gt;'[1]Methods write-up'!$Q$17,'[1]observations-276632'!W406&lt;'[1]Methods write-up'!$R$17,'[1]observations-276632'!X406&gt;'[1]Methods write-up'!$S$17,'[1]observations-276632'!X406&lt;'[1]Methods write-up'!$T$17),"Equatorial tropical forest","")</f>
        <v/>
      </c>
      <c r="AZ406" s="22" t="str">
        <f>IF(AND('[1]observations-276632'!W406&gt;'[1]Methods write-up'!$Q$18,'[1]observations-276632'!W406&lt;'[1]Methods write-up'!$R$18,'[1]observations-276632'!X406&gt;'[1]Methods write-up'!$S$18,'[1]observations-276632'!X406&lt;'[1]Methods write-up'!$T$18),"Somali peninsula","")</f>
        <v/>
      </c>
      <c r="BA406" s="22" t="str">
        <f>IF(AND('[1]observations-276632'!W406&gt;'[1]Methods write-up'!$Q$19,'[1]observations-276632'!W406&lt;'[1]Methods write-up'!$R$19,'[1]observations-276632'!X406&gt;'[1]Methods write-up'!$S$19,'[1]observations-276632'!X406&lt;'[1]Methods write-up'!$T$19),"East Africa","")</f>
        <v/>
      </c>
      <c r="BB406" s="22" t="str">
        <f>IF(AND('[1]observations-276632'!W406&gt;'[1]Methods write-up'!$Q$20,'[1]observations-276632'!W406&lt;'[1]Methods write-up'!$R$20,'[1]observations-276632'!X406&gt;'[1]Methods write-up'!$S$20,'[1]observations-276632'!X406&lt;'[1]Methods write-up'!$T$20),"Temperate seasonal","")</f>
        <v/>
      </c>
      <c r="BC406" s="22" t="str">
        <f>IF(AND('[1]observations-276632'!W406&gt;'[1]Methods write-up'!$Q$21,'[1]observations-276632'!W406&lt;'[1]Methods write-up'!$R$21,'[1]observations-276632'!X406&gt;'[1]Methods write-up'!$S$21,'[1]observations-276632'!X406&lt;'[1]Methods write-up'!$T$21),"Desert and high aridity","")</f>
        <v/>
      </c>
      <c r="BD406" s="23" t="str">
        <f t="shared" si="28"/>
        <v/>
      </c>
      <c r="BE406" s="24">
        <f t="shared" si="26"/>
        <v>13</v>
      </c>
      <c r="BF406" s="24">
        <f t="shared" si="27"/>
        <v>2</v>
      </c>
    </row>
    <row r="407" spans="1:58" ht="16.25" customHeight="1" x14ac:dyDescent="0.2">
      <c r="A407">
        <v>38709696</v>
      </c>
      <c r="B407" t="s">
        <v>2987</v>
      </c>
      <c r="C407" s="14">
        <v>43877</v>
      </c>
      <c r="D407" t="s">
        <v>2988</v>
      </c>
      <c r="E407" t="s">
        <v>1408</v>
      </c>
      <c r="F407">
        <v>2588178</v>
      </c>
      <c r="G407" t="s">
        <v>2989</v>
      </c>
      <c r="I407" t="s">
        <v>2990</v>
      </c>
      <c r="J407" t="s">
        <v>2991</v>
      </c>
      <c r="K407" t="s">
        <v>157</v>
      </c>
      <c r="M407" t="s">
        <v>2992</v>
      </c>
      <c r="N407" t="s">
        <v>2993</v>
      </c>
      <c r="Q407" t="s">
        <v>2994</v>
      </c>
      <c r="R407">
        <v>2</v>
      </c>
      <c r="S407">
        <v>0</v>
      </c>
      <c r="T407" t="b">
        <v>0</v>
      </c>
      <c r="U407">
        <v>333</v>
      </c>
      <c r="V407" t="s">
        <v>2995</v>
      </c>
      <c r="W407" s="15">
        <v>-6.260500167</v>
      </c>
      <c r="X407" s="15">
        <v>39.535009799999997</v>
      </c>
      <c r="AF407" t="b">
        <v>0</v>
      </c>
      <c r="AI407" t="s">
        <v>71</v>
      </c>
      <c r="AJ407" t="s">
        <v>70</v>
      </c>
      <c r="AK407" t="s">
        <v>71</v>
      </c>
      <c r="AL407" t="s">
        <v>72</v>
      </c>
      <c r="AM407">
        <v>346053</v>
      </c>
      <c r="AO407" s="16" t="s">
        <v>140</v>
      </c>
      <c r="AP407" s="17" t="str">
        <f t="shared" si="29"/>
        <v>Post-emergence nest</v>
      </c>
      <c r="AQ407" s="18">
        <v>2</v>
      </c>
      <c r="AT407" s="19" t="s">
        <v>104</v>
      </c>
      <c r="AU407" s="20" t="s">
        <v>104</v>
      </c>
      <c r="AX407" s="22" t="str">
        <f>IF(AND('[1]observations-276632'!W407&gt;'[1]Methods write-up'!$Q$16,'[1]observations-276632'!W407&lt;'[1]Methods write-up'!$R$16,'[1]observations-276632'!X407&gt;'[1]Methods write-up'!$S$16,'[1]observations-276632'!X407&lt;'[1]Methods write-up'!$T$16),"West and Central Africa","")</f>
        <v/>
      </c>
      <c r="AY407" s="22" t="str">
        <f>IF(AND('[1]observations-276632'!W407&gt;'[1]Methods write-up'!$Q$17,'[1]observations-276632'!W407&lt;'[1]Methods write-up'!$R$17,'[1]observations-276632'!X407&gt;'[1]Methods write-up'!$S$17,'[1]observations-276632'!X407&lt;'[1]Methods write-up'!$T$17),"Equatorial tropical forest","")</f>
        <v/>
      </c>
      <c r="AZ407" s="22" t="str">
        <f>IF(AND('[1]observations-276632'!W407&gt;'[1]Methods write-up'!$Q$18,'[1]observations-276632'!W407&lt;'[1]Methods write-up'!$R$18,'[1]observations-276632'!X407&gt;'[1]Methods write-up'!$S$18,'[1]observations-276632'!X407&lt;'[1]Methods write-up'!$T$18),"Somali peninsula","")</f>
        <v/>
      </c>
      <c r="BA407" s="22" t="str">
        <f>IF(AND('[1]observations-276632'!W407&gt;'[1]Methods write-up'!$Q$19,'[1]observations-276632'!W407&lt;'[1]Methods write-up'!$R$19,'[1]observations-276632'!X407&gt;'[1]Methods write-up'!$S$19,'[1]observations-276632'!X407&lt;'[1]Methods write-up'!$T$19),"East Africa","")</f>
        <v>East Africa</v>
      </c>
      <c r="BB407" s="22" t="str">
        <f>IF(AND('[1]observations-276632'!W407&gt;'[1]Methods write-up'!$Q$20,'[1]observations-276632'!W407&lt;'[1]Methods write-up'!$R$20,'[1]observations-276632'!X407&gt;'[1]Methods write-up'!$S$20,'[1]observations-276632'!X407&lt;'[1]Methods write-up'!$T$20),"Temperate seasonal","")</f>
        <v/>
      </c>
      <c r="BC407" s="22" t="str">
        <f>IF(AND('[1]observations-276632'!W407&gt;'[1]Methods write-up'!$Q$21,'[1]observations-276632'!W407&lt;'[1]Methods write-up'!$R$21,'[1]observations-276632'!X407&gt;'[1]Methods write-up'!$S$21,'[1]observations-276632'!X407&lt;'[1]Methods write-up'!$T$21),"Desert and high aridity","")</f>
        <v/>
      </c>
      <c r="BD407" s="23" t="str">
        <f t="shared" si="28"/>
        <v>East Africa</v>
      </c>
      <c r="BE407" s="24">
        <f t="shared" si="26"/>
        <v>16</v>
      </c>
      <c r="BF407" s="24">
        <f t="shared" si="27"/>
        <v>2</v>
      </c>
    </row>
    <row r="408" spans="1:58" ht="16.25" customHeight="1" x14ac:dyDescent="0.2">
      <c r="A408">
        <v>39045487</v>
      </c>
      <c r="B408" t="s">
        <v>2996</v>
      </c>
      <c r="C408" s="14">
        <v>43883</v>
      </c>
      <c r="D408" t="s">
        <v>2997</v>
      </c>
      <c r="E408" t="s">
        <v>403</v>
      </c>
      <c r="F408">
        <v>13379</v>
      </c>
      <c r="G408" t="s">
        <v>2998</v>
      </c>
      <c r="I408" t="s">
        <v>2999</v>
      </c>
      <c r="J408" t="s">
        <v>3000</v>
      </c>
      <c r="K408" t="s">
        <v>62</v>
      </c>
      <c r="L408" t="s">
        <v>63</v>
      </c>
      <c r="M408" t="s">
        <v>3001</v>
      </c>
      <c r="N408" t="s">
        <v>3002</v>
      </c>
      <c r="R408">
        <v>2</v>
      </c>
      <c r="S408">
        <v>0</v>
      </c>
      <c r="T408" t="b">
        <v>0</v>
      </c>
      <c r="U408">
        <v>3</v>
      </c>
      <c r="V408" t="s">
        <v>3003</v>
      </c>
      <c r="W408" s="15">
        <v>-2.4460883299999998</v>
      </c>
      <c r="X408" s="15">
        <v>34.818325000000002</v>
      </c>
      <c r="Y408">
        <v>65</v>
      </c>
      <c r="AC408">
        <v>65</v>
      </c>
      <c r="AF408" t="b">
        <v>0</v>
      </c>
      <c r="AI408" t="s">
        <v>70</v>
      </c>
      <c r="AJ408" t="s">
        <v>70</v>
      </c>
      <c r="AK408" t="s">
        <v>71</v>
      </c>
      <c r="AL408" t="s">
        <v>72</v>
      </c>
      <c r="AM408">
        <v>346053</v>
      </c>
      <c r="AO408" s="16" t="s">
        <v>73</v>
      </c>
      <c r="AP408" s="17" t="str">
        <f t="shared" si="29"/>
        <v>Off-nest female</v>
      </c>
      <c r="AX408" s="22" t="str">
        <f>IF(AND('[1]observations-276632'!W408&gt;'[1]Methods write-up'!$Q$16,'[1]observations-276632'!W408&lt;'[1]Methods write-up'!$R$16,'[1]observations-276632'!X408&gt;'[1]Methods write-up'!$S$16,'[1]observations-276632'!X408&lt;'[1]Methods write-up'!$T$16),"West and Central Africa","")</f>
        <v/>
      </c>
      <c r="AY408" s="22" t="str">
        <f>IF(AND('[1]observations-276632'!W408&gt;'[1]Methods write-up'!$Q$17,'[1]observations-276632'!W408&lt;'[1]Methods write-up'!$R$17,'[1]observations-276632'!X408&gt;'[1]Methods write-up'!$S$17,'[1]observations-276632'!X408&lt;'[1]Methods write-up'!$T$17),"Equatorial tropical forest","")</f>
        <v/>
      </c>
      <c r="AZ408" s="22" t="str">
        <f>IF(AND('[1]observations-276632'!W408&gt;'[1]Methods write-up'!$Q$18,'[1]observations-276632'!W408&lt;'[1]Methods write-up'!$R$18,'[1]observations-276632'!X408&gt;'[1]Methods write-up'!$S$18,'[1]observations-276632'!X408&lt;'[1]Methods write-up'!$T$18),"Somali peninsula","")</f>
        <v/>
      </c>
      <c r="BA408" s="22" t="str">
        <f>IF(AND('[1]observations-276632'!W408&gt;'[1]Methods write-up'!$Q$19,'[1]observations-276632'!W408&lt;'[1]Methods write-up'!$R$19,'[1]observations-276632'!X408&gt;'[1]Methods write-up'!$S$19,'[1]observations-276632'!X408&lt;'[1]Methods write-up'!$T$19),"East Africa","")</f>
        <v>East Africa</v>
      </c>
      <c r="BB408" s="22" t="str">
        <f>IF(AND('[1]observations-276632'!W408&gt;'[1]Methods write-up'!$Q$20,'[1]observations-276632'!W408&lt;'[1]Methods write-up'!$R$20,'[1]observations-276632'!X408&gt;'[1]Methods write-up'!$S$20,'[1]observations-276632'!X408&lt;'[1]Methods write-up'!$T$20),"Temperate seasonal","")</f>
        <v/>
      </c>
      <c r="BC408" s="22" t="str">
        <f>IF(AND('[1]observations-276632'!W408&gt;'[1]Methods write-up'!$Q$21,'[1]observations-276632'!W408&lt;'[1]Methods write-up'!$R$21,'[1]observations-276632'!X408&gt;'[1]Methods write-up'!$S$21,'[1]observations-276632'!X408&lt;'[1]Methods write-up'!$T$21),"Desert and high aridity","")</f>
        <v/>
      </c>
      <c r="BD408" s="23" t="str">
        <f t="shared" si="28"/>
        <v>East Africa</v>
      </c>
      <c r="BE408" s="24">
        <f t="shared" si="26"/>
        <v>22</v>
      </c>
      <c r="BF408" s="24">
        <f t="shared" si="27"/>
        <v>2</v>
      </c>
    </row>
    <row r="409" spans="1:58" ht="16.25" customHeight="1" x14ac:dyDescent="0.2">
      <c r="A409">
        <v>39086392</v>
      </c>
      <c r="B409" t="s">
        <v>3004</v>
      </c>
      <c r="C409" s="14">
        <v>42725</v>
      </c>
      <c r="D409" t="s">
        <v>3005</v>
      </c>
      <c r="E409" t="s">
        <v>113</v>
      </c>
      <c r="F409">
        <v>2600909</v>
      </c>
      <c r="G409" t="s">
        <v>3006</v>
      </c>
      <c r="H409" t="s">
        <v>3007</v>
      </c>
      <c r="I409" t="s">
        <v>3008</v>
      </c>
      <c r="J409" t="s">
        <v>3009</v>
      </c>
      <c r="K409" t="s">
        <v>62</v>
      </c>
      <c r="L409" t="s">
        <v>63</v>
      </c>
      <c r="M409" t="s">
        <v>3010</v>
      </c>
      <c r="N409" t="s">
        <v>3011</v>
      </c>
      <c r="R409">
        <v>4</v>
      </c>
      <c r="S409">
        <v>0</v>
      </c>
      <c r="T409" t="b">
        <v>0</v>
      </c>
      <c r="V409" t="s">
        <v>3012</v>
      </c>
      <c r="W409" s="15">
        <v>-32.695609300000001</v>
      </c>
      <c r="X409" s="15">
        <v>28.33845767</v>
      </c>
      <c r="Y409">
        <v>4</v>
      </c>
      <c r="AC409">
        <v>4</v>
      </c>
      <c r="AF409" t="b">
        <v>0</v>
      </c>
      <c r="AI409" t="s">
        <v>3013</v>
      </c>
      <c r="AJ409" t="s">
        <v>70</v>
      </c>
      <c r="AK409" t="s">
        <v>71</v>
      </c>
      <c r="AL409" t="s">
        <v>72</v>
      </c>
      <c r="AM409">
        <v>346053</v>
      </c>
      <c r="AO409" s="16" t="s">
        <v>73</v>
      </c>
      <c r="AP409" s="17" t="str">
        <f t="shared" si="29"/>
        <v>Off-nest female</v>
      </c>
      <c r="AX409" s="22" t="str">
        <f>IF(AND('[1]observations-276632'!W409&gt;'[1]Methods write-up'!$Q$16,'[1]observations-276632'!W409&lt;'[1]Methods write-up'!$R$16,'[1]observations-276632'!X409&gt;'[1]Methods write-up'!$S$16,'[1]observations-276632'!X409&lt;'[1]Methods write-up'!$T$16),"West and Central Africa","")</f>
        <v/>
      </c>
      <c r="AY409" s="22" t="str">
        <f>IF(AND('[1]observations-276632'!W409&gt;'[1]Methods write-up'!$Q$17,'[1]observations-276632'!W409&lt;'[1]Methods write-up'!$R$17,'[1]observations-276632'!X409&gt;'[1]Methods write-up'!$S$17,'[1]observations-276632'!X409&lt;'[1]Methods write-up'!$T$17),"Equatorial tropical forest","")</f>
        <v/>
      </c>
      <c r="AZ409" s="22" t="str">
        <f>IF(AND('[1]observations-276632'!W409&gt;'[1]Methods write-up'!$Q$18,'[1]observations-276632'!W409&lt;'[1]Methods write-up'!$R$18,'[1]observations-276632'!X409&gt;'[1]Methods write-up'!$S$18,'[1]observations-276632'!X409&lt;'[1]Methods write-up'!$T$18),"Somali peninsula","")</f>
        <v/>
      </c>
      <c r="BA409" s="22" t="str">
        <f>IF(AND('[1]observations-276632'!W409&gt;'[1]Methods write-up'!$Q$19,'[1]observations-276632'!W409&lt;'[1]Methods write-up'!$R$19,'[1]observations-276632'!X409&gt;'[1]Methods write-up'!$S$19,'[1]observations-276632'!X409&lt;'[1]Methods write-up'!$T$19),"East Africa","")</f>
        <v/>
      </c>
      <c r="BB409" s="22" t="str">
        <f>IF(AND('[1]observations-276632'!W409&gt;'[1]Methods write-up'!$Q$20,'[1]observations-276632'!W409&lt;'[1]Methods write-up'!$R$20,'[1]observations-276632'!X409&gt;'[1]Methods write-up'!$S$20,'[1]observations-276632'!X409&lt;'[1]Methods write-up'!$T$20),"Temperate seasonal","")</f>
        <v>Temperate seasonal</v>
      </c>
      <c r="BC409" s="22" t="str">
        <f>IF(AND('[1]observations-276632'!W409&gt;'[1]Methods write-up'!$Q$21,'[1]observations-276632'!W409&lt;'[1]Methods write-up'!$R$21,'[1]observations-276632'!X409&gt;'[1]Methods write-up'!$S$21,'[1]observations-276632'!X409&lt;'[1]Methods write-up'!$T$21),"Desert and high aridity","")</f>
        <v/>
      </c>
      <c r="BD409" s="23" t="str">
        <f t="shared" si="28"/>
        <v>Temperate seasonal</v>
      </c>
      <c r="BE409" s="24">
        <f t="shared" si="26"/>
        <v>21</v>
      </c>
      <c r="BF409" s="24">
        <f t="shared" si="27"/>
        <v>12</v>
      </c>
    </row>
    <row r="410" spans="1:58" ht="16.25" customHeight="1" x14ac:dyDescent="0.2">
      <c r="A410">
        <v>39198037</v>
      </c>
      <c r="B410" t="s">
        <v>3014</v>
      </c>
      <c r="C410" s="14">
        <v>43881</v>
      </c>
      <c r="D410" t="s">
        <v>3015</v>
      </c>
      <c r="E410" t="s">
        <v>113</v>
      </c>
      <c r="F410">
        <v>2562650</v>
      </c>
      <c r="G410" t="s">
        <v>3016</v>
      </c>
      <c r="H410" t="s">
        <v>3017</v>
      </c>
      <c r="I410" t="s">
        <v>3018</v>
      </c>
      <c r="J410" t="s">
        <v>3019</v>
      </c>
      <c r="K410" t="s">
        <v>62</v>
      </c>
      <c r="M410" t="s">
        <v>3020</v>
      </c>
      <c r="N410" t="s">
        <v>3021</v>
      </c>
      <c r="R410">
        <v>2</v>
      </c>
      <c r="S410">
        <v>0</v>
      </c>
      <c r="T410" t="b">
        <v>0</v>
      </c>
      <c r="U410">
        <v>3</v>
      </c>
      <c r="V410" t="s">
        <v>3022</v>
      </c>
      <c r="W410" s="15">
        <v>-3.6644616700000001</v>
      </c>
      <c r="X410" s="15">
        <v>29.97948667</v>
      </c>
      <c r="Y410">
        <v>65</v>
      </c>
      <c r="AC410">
        <v>65</v>
      </c>
      <c r="AF410" t="b">
        <v>0</v>
      </c>
      <c r="AI410" t="s">
        <v>70</v>
      </c>
      <c r="AJ410" t="s">
        <v>70</v>
      </c>
      <c r="AK410" t="s">
        <v>71</v>
      </c>
      <c r="AL410" t="s">
        <v>72</v>
      </c>
      <c r="AM410">
        <v>346053</v>
      </c>
      <c r="AO410" s="16" t="s">
        <v>73</v>
      </c>
      <c r="AP410" s="17" t="str">
        <f t="shared" si="29"/>
        <v>Off-nest female</v>
      </c>
      <c r="AX410" s="22" t="str">
        <f>IF(AND('[1]observations-276632'!W410&gt;'[1]Methods write-up'!$Q$16,'[1]observations-276632'!W410&lt;'[1]Methods write-up'!$R$16,'[1]observations-276632'!X410&gt;'[1]Methods write-up'!$S$16,'[1]observations-276632'!X410&lt;'[1]Methods write-up'!$T$16),"West and Central Africa","")</f>
        <v>West and Central Africa</v>
      </c>
      <c r="AY410" s="22" t="str">
        <f>IF(AND('[1]observations-276632'!W410&gt;'[1]Methods write-up'!$Q$17,'[1]observations-276632'!W410&lt;'[1]Methods write-up'!$R$17,'[1]observations-276632'!X410&gt;'[1]Methods write-up'!$S$17,'[1]observations-276632'!X410&lt;'[1]Methods write-up'!$T$17),"Equatorial tropical forest","")</f>
        <v/>
      </c>
      <c r="AZ410" s="22" t="str">
        <f>IF(AND('[1]observations-276632'!W410&gt;'[1]Methods write-up'!$Q$18,'[1]observations-276632'!W410&lt;'[1]Methods write-up'!$R$18,'[1]observations-276632'!X410&gt;'[1]Methods write-up'!$S$18,'[1]observations-276632'!X410&lt;'[1]Methods write-up'!$T$18),"Somali peninsula","")</f>
        <v/>
      </c>
      <c r="BA410" s="22" t="str">
        <f>IF(AND('[1]observations-276632'!W410&gt;'[1]Methods write-up'!$Q$19,'[1]observations-276632'!W410&lt;'[1]Methods write-up'!$R$19,'[1]observations-276632'!X410&gt;'[1]Methods write-up'!$S$19,'[1]observations-276632'!X410&lt;'[1]Methods write-up'!$T$19),"East Africa","")</f>
        <v/>
      </c>
      <c r="BB410" s="22" t="str">
        <f>IF(AND('[1]observations-276632'!W410&gt;'[1]Methods write-up'!$Q$20,'[1]observations-276632'!W410&lt;'[1]Methods write-up'!$R$20,'[1]observations-276632'!X410&gt;'[1]Methods write-up'!$S$20,'[1]observations-276632'!X410&lt;'[1]Methods write-up'!$T$20),"Temperate seasonal","")</f>
        <v/>
      </c>
      <c r="BC410" s="22" t="str">
        <f>IF(AND('[1]observations-276632'!W410&gt;'[1]Methods write-up'!$Q$21,'[1]observations-276632'!W410&lt;'[1]Methods write-up'!$R$21,'[1]observations-276632'!X410&gt;'[1]Methods write-up'!$S$21,'[1]observations-276632'!X410&lt;'[1]Methods write-up'!$T$21),"Desert and high aridity","")</f>
        <v/>
      </c>
      <c r="BD410" s="23" t="str">
        <f t="shared" si="28"/>
        <v>West and Central Africa</v>
      </c>
      <c r="BE410" s="24">
        <f t="shared" si="26"/>
        <v>20</v>
      </c>
      <c r="BF410" s="24">
        <f t="shared" si="27"/>
        <v>2</v>
      </c>
    </row>
    <row r="411" spans="1:58" ht="16.25" customHeight="1" x14ac:dyDescent="0.2">
      <c r="A411">
        <v>39323830</v>
      </c>
      <c r="E411" t="s">
        <v>1408</v>
      </c>
      <c r="F411">
        <v>1764058</v>
      </c>
      <c r="G411" t="s">
        <v>3023</v>
      </c>
      <c r="H411" t="s">
        <v>3024</v>
      </c>
      <c r="I411" t="s">
        <v>3025</v>
      </c>
      <c r="J411" t="s">
        <v>3026</v>
      </c>
      <c r="K411" t="s">
        <v>2038</v>
      </c>
      <c r="M411" t="s">
        <v>3027</v>
      </c>
      <c r="N411" t="s">
        <v>3028</v>
      </c>
      <c r="R411">
        <v>0</v>
      </c>
      <c r="S411">
        <v>0</v>
      </c>
      <c r="T411" t="b">
        <v>0</v>
      </c>
      <c r="U411">
        <v>2</v>
      </c>
      <c r="V411" t="s">
        <v>3029</v>
      </c>
      <c r="W411" s="15">
        <v>-24.709570880000001</v>
      </c>
      <c r="X411" s="15">
        <v>28.39878414</v>
      </c>
      <c r="Y411">
        <v>8415</v>
      </c>
      <c r="AC411">
        <v>8415</v>
      </c>
      <c r="AF411" t="b">
        <v>0</v>
      </c>
      <c r="AG411" t="s">
        <v>350</v>
      </c>
      <c r="AH411" t="s">
        <v>350</v>
      </c>
      <c r="AI411" t="s">
        <v>71</v>
      </c>
      <c r="AJ411" t="s">
        <v>70</v>
      </c>
      <c r="AK411" t="s">
        <v>71</v>
      </c>
      <c r="AL411" t="s">
        <v>72</v>
      </c>
      <c r="AM411">
        <v>346053</v>
      </c>
      <c r="AO411" s="16" t="s">
        <v>140</v>
      </c>
      <c r="AP411" s="17" t="str">
        <f t="shared" si="29"/>
        <v>Post-emergence nest</v>
      </c>
      <c r="AQ411" s="18">
        <v>11</v>
      </c>
      <c r="AT411" s="19" t="s">
        <v>141</v>
      </c>
      <c r="AU411" s="20" t="s">
        <v>104</v>
      </c>
      <c r="AV411" s="21" t="s">
        <v>3030</v>
      </c>
      <c r="AX411" s="22" t="str">
        <f>IF(AND('[1]observations-276632'!W411&gt;'[1]Methods write-up'!$Q$16,'[1]observations-276632'!W411&lt;'[1]Methods write-up'!$R$16,'[1]observations-276632'!X411&gt;'[1]Methods write-up'!$S$16,'[1]observations-276632'!X411&lt;'[1]Methods write-up'!$T$16),"West and Central Africa","")</f>
        <v/>
      </c>
      <c r="AY411" s="22" t="str">
        <f>IF(AND('[1]observations-276632'!W411&gt;'[1]Methods write-up'!$Q$17,'[1]observations-276632'!W411&lt;'[1]Methods write-up'!$R$17,'[1]observations-276632'!X411&gt;'[1]Methods write-up'!$S$17,'[1]observations-276632'!X411&lt;'[1]Methods write-up'!$T$17),"Equatorial tropical forest","")</f>
        <v/>
      </c>
      <c r="AZ411" s="22" t="str">
        <f>IF(AND('[1]observations-276632'!W411&gt;'[1]Methods write-up'!$Q$18,'[1]observations-276632'!W411&lt;'[1]Methods write-up'!$R$18,'[1]observations-276632'!X411&gt;'[1]Methods write-up'!$S$18,'[1]observations-276632'!X411&lt;'[1]Methods write-up'!$T$18),"Somali peninsula","")</f>
        <v/>
      </c>
      <c r="BA411" s="22" t="str">
        <f>IF(AND('[1]observations-276632'!W411&gt;'[1]Methods write-up'!$Q$19,'[1]observations-276632'!W411&lt;'[1]Methods write-up'!$R$19,'[1]observations-276632'!X411&gt;'[1]Methods write-up'!$S$19,'[1]observations-276632'!X411&lt;'[1]Methods write-up'!$T$19),"East Africa","")</f>
        <v/>
      </c>
      <c r="BB411" s="22" t="str">
        <f>IF(AND('[1]observations-276632'!W411&gt;'[1]Methods write-up'!$Q$20,'[1]observations-276632'!W411&lt;'[1]Methods write-up'!$R$20,'[1]observations-276632'!X411&gt;'[1]Methods write-up'!$S$20,'[1]observations-276632'!X411&lt;'[1]Methods write-up'!$T$20),"Temperate seasonal","")</f>
        <v/>
      </c>
      <c r="BC411" s="22" t="str">
        <f>IF(AND('[1]observations-276632'!W411&gt;'[1]Methods write-up'!$Q$21,'[1]observations-276632'!W411&lt;'[1]Methods write-up'!$R$21,'[1]observations-276632'!X411&gt;'[1]Methods write-up'!$S$21,'[1]observations-276632'!X411&lt;'[1]Methods write-up'!$T$21),"Desert and high aridity","")</f>
        <v/>
      </c>
      <c r="BD411" s="23" t="str">
        <f t="shared" si="28"/>
        <v/>
      </c>
      <c r="BE411" s="24">
        <f t="shared" si="26"/>
        <v>0</v>
      </c>
      <c r="BF411" s="24">
        <f t="shared" si="27"/>
        <v>1</v>
      </c>
    </row>
    <row r="412" spans="1:58" ht="16.25" customHeight="1" x14ac:dyDescent="0.2">
      <c r="A412">
        <v>39325595</v>
      </c>
      <c r="B412" t="s">
        <v>3031</v>
      </c>
      <c r="C412" s="14">
        <v>43876</v>
      </c>
      <c r="E412" t="s">
        <v>1408</v>
      </c>
      <c r="F412">
        <v>2533020</v>
      </c>
      <c r="G412" t="s">
        <v>3032</v>
      </c>
      <c r="I412" t="s">
        <v>3033</v>
      </c>
      <c r="J412" t="s">
        <v>3034</v>
      </c>
      <c r="K412" t="s">
        <v>62</v>
      </c>
      <c r="L412" t="s">
        <v>63</v>
      </c>
      <c r="M412" t="s">
        <v>3035</v>
      </c>
      <c r="N412" t="s">
        <v>3036</v>
      </c>
      <c r="R412">
        <v>2</v>
      </c>
      <c r="S412">
        <v>0</v>
      </c>
      <c r="T412" t="b">
        <v>0</v>
      </c>
      <c r="V412" t="s">
        <v>3037</v>
      </c>
      <c r="W412" s="15">
        <v>-3.1658861109999998</v>
      </c>
      <c r="X412" s="15">
        <v>39.867224999999998</v>
      </c>
      <c r="AF412" t="b">
        <v>0</v>
      </c>
      <c r="AI412" t="s">
        <v>71</v>
      </c>
      <c r="AJ412" t="s">
        <v>70</v>
      </c>
      <c r="AK412" t="s">
        <v>71</v>
      </c>
      <c r="AL412" t="s">
        <v>72</v>
      </c>
      <c r="AM412">
        <v>346053</v>
      </c>
      <c r="AO412" s="16" t="s">
        <v>140</v>
      </c>
      <c r="AP412" s="17" t="str">
        <f t="shared" si="29"/>
        <v>Post-emergence nest</v>
      </c>
      <c r="AQ412" s="18">
        <v>7</v>
      </c>
      <c r="AT412" s="19" t="s">
        <v>141</v>
      </c>
      <c r="AU412" s="20" t="s">
        <v>104</v>
      </c>
      <c r="AX412" s="22" t="str">
        <f>IF(AND('[1]observations-276632'!W412&gt;'[1]Methods write-up'!$Q$16,'[1]observations-276632'!W412&lt;'[1]Methods write-up'!$R$16,'[1]observations-276632'!X412&gt;'[1]Methods write-up'!$S$16,'[1]observations-276632'!X412&lt;'[1]Methods write-up'!$T$16),"West and Central Africa","")</f>
        <v/>
      </c>
      <c r="AY412" s="22" t="str">
        <f>IF(AND('[1]observations-276632'!W412&gt;'[1]Methods write-up'!$Q$17,'[1]observations-276632'!W412&lt;'[1]Methods write-up'!$R$17,'[1]observations-276632'!X412&gt;'[1]Methods write-up'!$S$17,'[1]observations-276632'!X412&lt;'[1]Methods write-up'!$T$17),"Equatorial tropical forest","")</f>
        <v/>
      </c>
      <c r="AZ412" s="22" t="str">
        <f>IF(AND('[1]observations-276632'!W412&gt;'[1]Methods write-up'!$Q$18,'[1]observations-276632'!W412&lt;'[1]Methods write-up'!$R$18,'[1]observations-276632'!X412&gt;'[1]Methods write-up'!$S$18,'[1]observations-276632'!X412&lt;'[1]Methods write-up'!$T$18),"Somali peninsula","")</f>
        <v/>
      </c>
      <c r="BA412" s="22" t="str">
        <f>IF(AND('[1]observations-276632'!W412&gt;'[1]Methods write-up'!$Q$19,'[1]observations-276632'!W412&lt;'[1]Methods write-up'!$R$19,'[1]observations-276632'!X412&gt;'[1]Methods write-up'!$S$19,'[1]observations-276632'!X412&lt;'[1]Methods write-up'!$T$19),"East Africa","")</f>
        <v>East Africa</v>
      </c>
      <c r="BB412" s="22" t="str">
        <f>IF(AND('[1]observations-276632'!W412&gt;'[1]Methods write-up'!$Q$20,'[1]observations-276632'!W412&lt;'[1]Methods write-up'!$R$20,'[1]observations-276632'!X412&gt;'[1]Methods write-up'!$S$20,'[1]observations-276632'!X412&lt;'[1]Methods write-up'!$T$20),"Temperate seasonal","")</f>
        <v/>
      </c>
      <c r="BC412" s="22" t="str">
        <f>IF(AND('[1]observations-276632'!W412&gt;'[1]Methods write-up'!$Q$21,'[1]observations-276632'!W412&lt;'[1]Methods write-up'!$R$21,'[1]observations-276632'!X412&gt;'[1]Methods write-up'!$S$21,'[1]observations-276632'!X412&lt;'[1]Methods write-up'!$T$21),"Desert and high aridity","")</f>
        <v/>
      </c>
      <c r="BD412" s="23" t="str">
        <f t="shared" si="28"/>
        <v>East Africa</v>
      </c>
      <c r="BE412" s="24">
        <f t="shared" si="26"/>
        <v>15</v>
      </c>
      <c r="BF412" s="24">
        <f t="shared" si="27"/>
        <v>2</v>
      </c>
    </row>
    <row r="413" spans="1:58" ht="16.25" customHeight="1" x14ac:dyDescent="0.2">
      <c r="A413">
        <v>39345741</v>
      </c>
      <c r="B413" t="s">
        <v>3038</v>
      </c>
      <c r="C413" s="14">
        <v>43875</v>
      </c>
      <c r="D413" t="s">
        <v>3039</v>
      </c>
      <c r="E413" t="s">
        <v>3040</v>
      </c>
      <c r="F413">
        <v>1549528</v>
      </c>
      <c r="G413" t="s">
        <v>3041</v>
      </c>
      <c r="H413" t="s">
        <v>3042</v>
      </c>
      <c r="I413" t="s">
        <v>3043</v>
      </c>
      <c r="J413" t="s">
        <v>3044</v>
      </c>
      <c r="K413" t="s">
        <v>62</v>
      </c>
      <c r="L413" t="s">
        <v>63</v>
      </c>
      <c r="M413" t="s">
        <v>3045</v>
      </c>
      <c r="N413" t="s">
        <v>3046</v>
      </c>
      <c r="R413">
        <v>2</v>
      </c>
      <c r="S413">
        <v>0</v>
      </c>
      <c r="T413" t="b">
        <v>0</v>
      </c>
      <c r="V413" t="s">
        <v>3047</v>
      </c>
      <c r="W413" s="15">
        <v>-1.3342347999999999</v>
      </c>
      <c r="X413" s="15">
        <v>36.715376499999998</v>
      </c>
      <c r="Y413">
        <v>100</v>
      </c>
      <c r="AC413">
        <v>100</v>
      </c>
      <c r="AF413" t="b">
        <v>0</v>
      </c>
      <c r="AI413" t="s">
        <v>71</v>
      </c>
      <c r="AJ413" t="s">
        <v>70</v>
      </c>
      <c r="AK413" t="s">
        <v>71</v>
      </c>
      <c r="AL413" t="s">
        <v>72</v>
      </c>
      <c r="AM413">
        <v>346053</v>
      </c>
      <c r="AO413" s="16" t="s">
        <v>140</v>
      </c>
      <c r="AP413" s="17" t="str">
        <f t="shared" si="29"/>
        <v>Post-emergence nest</v>
      </c>
      <c r="AQ413" s="18">
        <v>2</v>
      </c>
      <c r="AT413" s="19" t="s">
        <v>141</v>
      </c>
      <c r="AU413" s="20" t="s">
        <v>104</v>
      </c>
      <c r="AX413" s="22" t="str">
        <f>IF(AND('[1]observations-276632'!W413&gt;'[1]Methods write-up'!$Q$16,'[1]observations-276632'!W413&lt;'[1]Methods write-up'!$R$16,'[1]observations-276632'!X413&gt;'[1]Methods write-up'!$S$16,'[1]observations-276632'!X413&lt;'[1]Methods write-up'!$T$16),"West and Central Africa","")</f>
        <v/>
      </c>
      <c r="AY413" s="22" t="str">
        <f>IF(AND('[1]observations-276632'!W413&gt;'[1]Methods write-up'!$Q$17,'[1]observations-276632'!W413&lt;'[1]Methods write-up'!$R$17,'[1]observations-276632'!X413&gt;'[1]Methods write-up'!$S$17,'[1]observations-276632'!X413&lt;'[1]Methods write-up'!$T$17),"Equatorial tropical forest","")</f>
        <v/>
      </c>
      <c r="AZ413" s="22" t="str">
        <f>IF(AND('[1]observations-276632'!W413&gt;'[1]Methods write-up'!$Q$18,'[1]observations-276632'!W413&lt;'[1]Methods write-up'!$R$18,'[1]observations-276632'!X413&gt;'[1]Methods write-up'!$S$18,'[1]observations-276632'!X413&lt;'[1]Methods write-up'!$T$18),"Somali peninsula","")</f>
        <v/>
      </c>
      <c r="BA413" s="22" t="str">
        <f>IF(AND('[1]observations-276632'!W413&gt;'[1]Methods write-up'!$Q$19,'[1]observations-276632'!W413&lt;'[1]Methods write-up'!$R$19,'[1]observations-276632'!X413&gt;'[1]Methods write-up'!$S$19,'[1]observations-276632'!X413&lt;'[1]Methods write-up'!$T$19),"East Africa","")</f>
        <v>East Africa</v>
      </c>
      <c r="BB413" s="22" t="str">
        <f>IF(AND('[1]observations-276632'!W413&gt;'[1]Methods write-up'!$Q$20,'[1]observations-276632'!W413&lt;'[1]Methods write-up'!$R$20,'[1]observations-276632'!X413&gt;'[1]Methods write-up'!$S$20,'[1]observations-276632'!X413&lt;'[1]Methods write-up'!$T$20),"Temperate seasonal","")</f>
        <v/>
      </c>
      <c r="BC413" s="22" t="str">
        <f>IF(AND('[1]observations-276632'!W413&gt;'[1]Methods write-up'!$Q$21,'[1]observations-276632'!W413&lt;'[1]Methods write-up'!$R$21,'[1]observations-276632'!X413&gt;'[1]Methods write-up'!$S$21,'[1]observations-276632'!X413&lt;'[1]Methods write-up'!$T$21),"Desert and high aridity","")</f>
        <v/>
      </c>
      <c r="BD413" s="23" t="str">
        <f t="shared" si="28"/>
        <v>East Africa</v>
      </c>
      <c r="BE413" s="24">
        <f t="shared" si="26"/>
        <v>14</v>
      </c>
      <c r="BF413" s="24">
        <f t="shared" si="27"/>
        <v>2</v>
      </c>
    </row>
    <row r="414" spans="1:58" ht="16.25" customHeight="1" x14ac:dyDescent="0.2">
      <c r="A414">
        <v>39642020</v>
      </c>
      <c r="B414" t="s">
        <v>3048</v>
      </c>
      <c r="C414" s="14">
        <v>40230</v>
      </c>
      <c r="D414" t="s">
        <v>3049</v>
      </c>
      <c r="E414" t="s">
        <v>3050</v>
      </c>
      <c r="F414">
        <v>1043349</v>
      </c>
      <c r="G414" t="s">
        <v>3051</v>
      </c>
      <c r="H414" t="s">
        <v>3052</v>
      </c>
      <c r="I414" t="s">
        <v>3053</v>
      </c>
      <c r="J414" t="s">
        <v>3054</v>
      </c>
      <c r="K414" t="s">
        <v>62</v>
      </c>
      <c r="L414" t="s">
        <v>63</v>
      </c>
      <c r="M414" t="s">
        <v>3055</v>
      </c>
      <c r="N414" t="s">
        <v>3056</v>
      </c>
      <c r="R414">
        <v>3</v>
      </c>
      <c r="S414">
        <v>0</v>
      </c>
      <c r="T414" t="b">
        <v>0</v>
      </c>
      <c r="V414" t="s">
        <v>3057</v>
      </c>
      <c r="W414" s="15">
        <v>-20.557222199999998</v>
      </c>
      <c r="X414" s="15">
        <v>28.512499999999999</v>
      </c>
      <c r="Y414">
        <v>15963</v>
      </c>
      <c r="AC414">
        <v>15963</v>
      </c>
      <c r="AF414" t="b">
        <v>0</v>
      </c>
      <c r="AI414" t="s">
        <v>71</v>
      </c>
      <c r="AJ414" t="s">
        <v>70</v>
      </c>
      <c r="AK414" t="s">
        <v>71</v>
      </c>
      <c r="AL414" t="s">
        <v>72</v>
      </c>
      <c r="AM414">
        <v>346053</v>
      </c>
      <c r="AO414" s="16" t="s">
        <v>73</v>
      </c>
      <c r="AP414" s="17" t="str">
        <f t="shared" si="29"/>
        <v>Off-nest female</v>
      </c>
      <c r="AX414" s="22" t="str">
        <f>IF(AND('[1]observations-276632'!W414&gt;'[1]Methods write-up'!$Q$16,'[1]observations-276632'!W414&lt;'[1]Methods write-up'!$R$16,'[1]observations-276632'!X414&gt;'[1]Methods write-up'!$S$16,'[1]observations-276632'!X414&lt;'[1]Methods write-up'!$T$16),"West and Central Africa","")</f>
        <v/>
      </c>
      <c r="AY414" s="22" t="str">
        <f>IF(AND('[1]observations-276632'!W414&gt;'[1]Methods write-up'!$Q$17,'[1]observations-276632'!W414&lt;'[1]Methods write-up'!$R$17,'[1]observations-276632'!X414&gt;'[1]Methods write-up'!$S$17,'[1]observations-276632'!X414&lt;'[1]Methods write-up'!$T$17),"Equatorial tropical forest","")</f>
        <v/>
      </c>
      <c r="AZ414" s="22" t="str">
        <f>IF(AND('[1]observations-276632'!W414&gt;'[1]Methods write-up'!$Q$18,'[1]observations-276632'!W414&lt;'[1]Methods write-up'!$R$18,'[1]observations-276632'!X414&gt;'[1]Methods write-up'!$S$18,'[1]observations-276632'!X414&lt;'[1]Methods write-up'!$T$18),"Somali peninsula","")</f>
        <v/>
      </c>
      <c r="BA414" s="22" t="str">
        <f>IF(AND('[1]observations-276632'!W414&gt;'[1]Methods write-up'!$Q$19,'[1]observations-276632'!W414&lt;'[1]Methods write-up'!$R$19,'[1]observations-276632'!X414&gt;'[1]Methods write-up'!$S$19,'[1]observations-276632'!X414&lt;'[1]Methods write-up'!$T$19),"East Africa","")</f>
        <v/>
      </c>
      <c r="BB414" s="22" t="str">
        <f>IF(AND('[1]observations-276632'!W414&gt;'[1]Methods write-up'!$Q$20,'[1]observations-276632'!W414&lt;'[1]Methods write-up'!$R$20,'[1]observations-276632'!X414&gt;'[1]Methods write-up'!$S$20,'[1]observations-276632'!X414&lt;'[1]Methods write-up'!$T$20),"Temperate seasonal","")</f>
        <v/>
      </c>
      <c r="BC414" s="22" t="str">
        <f>IF(AND('[1]observations-276632'!W414&gt;'[1]Methods write-up'!$Q$21,'[1]observations-276632'!W414&lt;'[1]Methods write-up'!$R$21,'[1]observations-276632'!X414&gt;'[1]Methods write-up'!$S$21,'[1]observations-276632'!X414&lt;'[1]Methods write-up'!$T$21),"Desert and high aridity","")</f>
        <v/>
      </c>
      <c r="BD414" s="23" t="str">
        <f t="shared" si="28"/>
        <v/>
      </c>
      <c r="BE414" s="24">
        <f t="shared" si="26"/>
        <v>21</v>
      </c>
      <c r="BF414" s="24">
        <f t="shared" si="27"/>
        <v>2</v>
      </c>
    </row>
    <row r="415" spans="1:58" ht="16.25" customHeight="1" x14ac:dyDescent="0.2">
      <c r="A415">
        <v>39701093</v>
      </c>
      <c r="B415" t="s">
        <v>3058</v>
      </c>
      <c r="C415" s="14">
        <v>43041</v>
      </c>
      <c r="D415" t="s">
        <v>3059</v>
      </c>
      <c r="E415" t="s">
        <v>243</v>
      </c>
      <c r="F415">
        <v>2586265</v>
      </c>
      <c r="G415" t="s">
        <v>3060</v>
      </c>
      <c r="H415" t="s">
        <v>3061</v>
      </c>
      <c r="I415" t="s">
        <v>3062</v>
      </c>
      <c r="J415" t="s">
        <v>3063</v>
      </c>
      <c r="K415" t="s">
        <v>62</v>
      </c>
      <c r="L415" t="s">
        <v>63</v>
      </c>
      <c r="M415" t="s">
        <v>3064</v>
      </c>
      <c r="N415" t="s">
        <v>3065</v>
      </c>
      <c r="R415">
        <v>2</v>
      </c>
      <c r="S415">
        <v>0</v>
      </c>
      <c r="T415" t="b">
        <v>0</v>
      </c>
      <c r="V415" t="s">
        <v>3066</v>
      </c>
      <c r="W415" s="15">
        <v>-12.834171420000001</v>
      </c>
      <c r="X415" s="15">
        <v>45.134578500000003</v>
      </c>
      <c r="Y415">
        <v>2</v>
      </c>
      <c r="AC415">
        <v>2</v>
      </c>
      <c r="AF415" t="b">
        <v>0</v>
      </c>
      <c r="AI415" t="s">
        <v>71</v>
      </c>
      <c r="AJ415" t="s">
        <v>70</v>
      </c>
      <c r="AK415" t="s">
        <v>71</v>
      </c>
      <c r="AL415" t="s">
        <v>72</v>
      </c>
      <c r="AM415">
        <v>346053</v>
      </c>
      <c r="AO415" s="16" t="s">
        <v>140</v>
      </c>
      <c r="AP415" s="17" t="str">
        <f t="shared" si="29"/>
        <v>Post-emergence nest</v>
      </c>
      <c r="AQ415" s="18">
        <v>3</v>
      </c>
      <c r="AT415" s="19" t="s">
        <v>141</v>
      </c>
      <c r="AU415" s="20" t="s">
        <v>104</v>
      </c>
      <c r="AX415" s="22" t="str">
        <f>IF(AND('[1]observations-276632'!W415&gt;'[1]Methods write-up'!$Q$16,'[1]observations-276632'!W415&lt;'[1]Methods write-up'!$R$16,'[1]observations-276632'!X415&gt;'[1]Methods write-up'!$S$16,'[1]observations-276632'!X415&lt;'[1]Methods write-up'!$T$16),"West and Central Africa","")</f>
        <v/>
      </c>
      <c r="AY415" s="22" t="str">
        <f>IF(AND('[1]observations-276632'!W415&gt;'[1]Methods write-up'!$Q$17,'[1]observations-276632'!W415&lt;'[1]Methods write-up'!$R$17,'[1]observations-276632'!X415&gt;'[1]Methods write-up'!$S$17,'[1]observations-276632'!X415&lt;'[1]Methods write-up'!$T$17),"Equatorial tropical forest","")</f>
        <v/>
      </c>
      <c r="AZ415" s="22" t="str">
        <f>IF(AND('[1]observations-276632'!W415&gt;'[1]Methods write-up'!$Q$18,'[1]observations-276632'!W415&lt;'[1]Methods write-up'!$R$18,'[1]observations-276632'!X415&gt;'[1]Methods write-up'!$S$18,'[1]observations-276632'!X415&lt;'[1]Methods write-up'!$T$18),"Somali peninsula","")</f>
        <v/>
      </c>
      <c r="BA415" s="22" t="str">
        <f>IF(AND('[1]observations-276632'!W415&gt;'[1]Methods write-up'!$Q$19,'[1]observations-276632'!W415&lt;'[1]Methods write-up'!$R$19,'[1]observations-276632'!X415&gt;'[1]Methods write-up'!$S$19,'[1]observations-276632'!X415&lt;'[1]Methods write-up'!$T$19),"East Africa","")</f>
        <v/>
      </c>
      <c r="BB415" s="22" t="str">
        <f>IF(AND('[1]observations-276632'!W415&gt;'[1]Methods write-up'!$Q$20,'[1]observations-276632'!W415&lt;'[1]Methods write-up'!$R$20,'[1]observations-276632'!X415&gt;'[1]Methods write-up'!$S$20,'[1]observations-276632'!X415&lt;'[1]Methods write-up'!$T$20),"Temperate seasonal","")</f>
        <v/>
      </c>
      <c r="BC415" s="22" t="str">
        <f>IF(AND('[1]observations-276632'!W415&gt;'[1]Methods write-up'!$Q$21,'[1]observations-276632'!W415&lt;'[1]Methods write-up'!$R$21,'[1]observations-276632'!X415&gt;'[1]Methods write-up'!$S$21,'[1]observations-276632'!X415&lt;'[1]Methods write-up'!$T$21),"Desert and high aridity","")</f>
        <v/>
      </c>
      <c r="BD415" s="23" t="str">
        <f t="shared" si="28"/>
        <v/>
      </c>
      <c r="BE415" s="24">
        <f t="shared" si="26"/>
        <v>2</v>
      </c>
      <c r="BF415" s="24">
        <f t="shared" si="27"/>
        <v>11</v>
      </c>
    </row>
    <row r="416" spans="1:58" ht="16.25" customHeight="1" x14ac:dyDescent="0.2">
      <c r="A416">
        <v>39706152</v>
      </c>
      <c r="B416" t="s">
        <v>3067</v>
      </c>
      <c r="C416" s="14">
        <v>43897</v>
      </c>
      <c r="D416" t="s">
        <v>3068</v>
      </c>
      <c r="E416" t="s">
        <v>193</v>
      </c>
      <c r="F416">
        <v>10586</v>
      </c>
      <c r="G416" t="s">
        <v>1793</v>
      </c>
      <c r="H416" t="s">
        <v>1794</v>
      </c>
      <c r="I416" t="s">
        <v>3069</v>
      </c>
      <c r="J416" t="s">
        <v>3070</v>
      </c>
      <c r="K416" t="s">
        <v>62</v>
      </c>
      <c r="L416" t="s">
        <v>98</v>
      </c>
      <c r="M416" t="s">
        <v>3071</v>
      </c>
      <c r="N416" t="s">
        <v>3072</v>
      </c>
      <c r="R416">
        <v>2</v>
      </c>
      <c r="S416">
        <v>0</v>
      </c>
      <c r="T416" t="b">
        <v>0</v>
      </c>
      <c r="U416">
        <v>3</v>
      </c>
      <c r="V416" t="s">
        <v>3073</v>
      </c>
      <c r="W416" s="15">
        <v>1.3561922500000001</v>
      </c>
      <c r="X416" s="15">
        <v>17.454769429999999</v>
      </c>
      <c r="Y416">
        <v>64</v>
      </c>
      <c r="AC416">
        <v>64</v>
      </c>
      <c r="AF416" t="b">
        <v>0</v>
      </c>
      <c r="AI416" t="s">
        <v>71</v>
      </c>
      <c r="AJ416" t="s">
        <v>70</v>
      </c>
      <c r="AK416" t="s">
        <v>71</v>
      </c>
      <c r="AL416" t="s">
        <v>72</v>
      </c>
      <c r="AM416">
        <v>346053</v>
      </c>
      <c r="AO416" s="16" t="s">
        <v>73</v>
      </c>
      <c r="AP416" s="17" t="str">
        <f t="shared" si="29"/>
        <v>Off-nest female</v>
      </c>
      <c r="AX416" s="22" t="str">
        <f>IF(AND('[1]observations-276632'!W416&gt;'[1]Methods write-up'!$Q$16,'[1]observations-276632'!W416&lt;'[1]Methods write-up'!$R$16,'[1]observations-276632'!X416&gt;'[1]Methods write-up'!$S$16,'[1]observations-276632'!X416&lt;'[1]Methods write-up'!$T$16),"West and Central Africa","")</f>
        <v>West and Central Africa</v>
      </c>
      <c r="AY416" s="22" t="str">
        <f>IF(AND('[1]observations-276632'!W416&gt;'[1]Methods write-up'!$Q$17,'[1]observations-276632'!W416&lt;'[1]Methods write-up'!$R$17,'[1]observations-276632'!X416&gt;'[1]Methods write-up'!$S$17,'[1]observations-276632'!X416&lt;'[1]Methods write-up'!$T$17),"Equatorial tropical forest","")</f>
        <v/>
      </c>
      <c r="AZ416" s="22" t="str">
        <f>IF(AND('[1]observations-276632'!W416&gt;'[1]Methods write-up'!$Q$18,'[1]observations-276632'!W416&lt;'[1]Methods write-up'!$R$18,'[1]observations-276632'!X416&gt;'[1]Methods write-up'!$S$18,'[1]observations-276632'!X416&lt;'[1]Methods write-up'!$T$18),"Somali peninsula","")</f>
        <v/>
      </c>
      <c r="BA416" s="22" t="str">
        <f>IF(AND('[1]observations-276632'!W416&gt;'[1]Methods write-up'!$Q$19,'[1]observations-276632'!W416&lt;'[1]Methods write-up'!$R$19,'[1]observations-276632'!X416&gt;'[1]Methods write-up'!$S$19,'[1]observations-276632'!X416&lt;'[1]Methods write-up'!$T$19),"East Africa","")</f>
        <v/>
      </c>
      <c r="BB416" s="22" t="str">
        <f>IF(AND('[1]observations-276632'!W416&gt;'[1]Methods write-up'!$Q$20,'[1]observations-276632'!W416&lt;'[1]Methods write-up'!$R$20,'[1]observations-276632'!X416&gt;'[1]Methods write-up'!$S$20,'[1]observations-276632'!X416&lt;'[1]Methods write-up'!$T$20),"Temperate seasonal","")</f>
        <v/>
      </c>
      <c r="BC416" s="22" t="str">
        <f>IF(AND('[1]observations-276632'!W416&gt;'[1]Methods write-up'!$Q$21,'[1]observations-276632'!W416&lt;'[1]Methods write-up'!$R$21,'[1]observations-276632'!X416&gt;'[1]Methods write-up'!$S$21,'[1]observations-276632'!X416&lt;'[1]Methods write-up'!$T$21),"Desert and high aridity","")</f>
        <v/>
      </c>
      <c r="BD416" s="23" t="str">
        <f t="shared" si="28"/>
        <v>West and Central Africa</v>
      </c>
      <c r="BE416" s="24">
        <f t="shared" si="26"/>
        <v>7</v>
      </c>
      <c r="BF416" s="24">
        <f t="shared" si="27"/>
        <v>3</v>
      </c>
    </row>
    <row r="417" spans="1:58" ht="16.25" customHeight="1" x14ac:dyDescent="0.2">
      <c r="A417">
        <v>39877568</v>
      </c>
      <c r="B417" t="s">
        <v>3074</v>
      </c>
      <c r="C417" s="14">
        <v>43663</v>
      </c>
      <c r="E417" t="s">
        <v>1408</v>
      </c>
      <c r="F417">
        <v>1427126</v>
      </c>
      <c r="G417" t="s">
        <v>3075</v>
      </c>
      <c r="I417" t="s">
        <v>3076</v>
      </c>
      <c r="J417" t="s">
        <v>3077</v>
      </c>
      <c r="K417" t="s">
        <v>62</v>
      </c>
      <c r="L417" t="s">
        <v>63</v>
      </c>
      <c r="M417" t="s">
        <v>3078</v>
      </c>
      <c r="N417" t="s">
        <v>3079</v>
      </c>
      <c r="R417">
        <v>2</v>
      </c>
      <c r="S417">
        <v>0</v>
      </c>
      <c r="T417" t="b">
        <v>0</v>
      </c>
      <c r="V417" t="s">
        <v>3080</v>
      </c>
      <c r="W417" s="15">
        <v>9.8184746000000001</v>
      </c>
      <c r="X417" s="15">
        <v>8.9053909000000004</v>
      </c>
      <c r="Y417">
        <v>218</v>
      </c>
      <c r="AC417">
        <v>218</v>
      </c>
      <c r="AF417" t="b">
        <v>0</v>
      </c>
      <c r="AI417" t="s">
        <v>71</v>
      </c>
      <c r="AJ417" t="s">
        <v>70</v>
      </c>
      <c r="AK417" t="s">
        <v>71</v>
      </c>
      <c r="AL417" t="s">
        <v>72</v>
      </c>
      <c r="AM417">
        <v>346053</v>
      </c>
      <c r="AO417" s="16" t="s">
        <v>73</v>
      </c>
      <c r="AP417" s="17" t="str">
        <f t="shared" si="29"/>
        <v>Off-nest female</v>
      </c>
      <c r="AX417" s="22" t="str">
        <f>IF(AND('[1]observations-276632'!W417&gt;'[1]Methods write-up'!$Q$16,'[1]observations-276632'!W417&lt;'[1]Methods write-up'!$R$16,'[1]observations-276632'!X417&gt;'[1]Methods write-up'!$S$16,'[1]observations-276632'!X417&lt;'[1]Methods write-up'!$T$16),"West and Central Africa","")</f>
        <v>West and Central Africa</v>
      </c>
      <c r="AY417" s="22" t="str">
        <f>IF(AND('[1]observations-276632'!W417&gt;'[1]Methods write-up'!$Q$17,'[1]observations-276632'!W417&lt;'[1]Methods write-up'!$R$17,'[1]observations-276632'!X417&gt;'[1]Methods write-up'!$S$17,'[1]observations-276632'!X417&lt;'[1]Methods write-up'!$T$17),"Equatorial tropical forest","")</f>
        <v/>
      </c>
      <c r="AZ417" s="22" t="str">
        <f>IF(AND('[1]observations-276632'!W417&gt;'[1]Methods write-up'!$Q$18,'[1]observations-276632'!W417&lt;'[1]Methods write-up'!$R$18,'[1]observations-276632'!X417&gt;'[1]Methods write-up'!$S$18,'[1]observations-276632'!X417&lt;'[1]Methods write-up'!$T$18),"Somali peninsula","")</f>
        <v/>
      </c>
      <c r="BA417" s="22" t="str">
        <f>IF(AND('[1]observations-276632'!W417&gt;'[1]Methods write-up'!$Q$19,'[1]observations-276632'!W417&lt;'[1]Methods write-up'!$R$19,'[1]observations-276632'!X417&gt;'[1]Methods write-up'!$S$19,'[1]observations-276632'!X417&lt;'[1]Methods write-up'!$T$19),"East Africa","")</f>
        <v/>
      </c>
      <c r="BB417" s="22" t="str">
        <f>IF(AND('[1]observations-276632'!W417&gt;'[1]Methods write-up'!$Q$20,'[1]observations-276632'!W417&lt;'[1]Methods write-up'!$R$20,'[1]observations-276632'!X417&gt;'[1]Methods write-up'!$S$20,'[1]observations-276632'!X417&lt;'[1]Methods write-up'!$T$20),"Temperate seasonal","")</f>
        <v/>
      </c>
      <c r="BC417" s="22" t="str">
        <f>IF(AND('[1]observations-276632'!W417&gt;'[1]Methods write-up'!$Q$21,'[1]observations-276632'!W417&lt;'[1]Methods write-up'!$R$21,'[1]observations-276632'!X417&gt;'[1]Methods write-up'!$S$21,'[1]observations-276632'!X417&lt;'[1]Methods write-up'!$T$21),"Desert and high aridity","")</f>
        <v/>
      </c>
      <c r="BD417" s="23" t="str">
        <f t="shared" si="28"/>
        <v>West and Central Africa</v>
      </c>
      <c r="BE417" s="24">
        <f t="shared" si="26"/>
        <v>17</v>
      </c>
      <c r="BF417" s="24">
        <f t="shared" si="27"/>
        <v>7</v>
      </c>
    </row>
    <row r="418" spans="1:58" ht="16.25" customHeight="1" x14ac:dyDescent="0.2">
      <c r="A418">
        <v>40207455</v>
      </c>
      <c r="B418" t="s">
        <v>3081</v>
      </c>
      <c r="C418" s="14">
        <v>42276</v>
      </c>
      <c r="D418" t="s">
        <v>3082</v>
      </c>
      <c r="E418" t="s">
        <v>243</v>
      </c>
      <c r="F418">
        <v>2584581</v>
      </c>
      <c r="G418" t="s">
        <v>3083</v>
      </c>
      <c r="H418" t="s">
        <v>3084</v>
      </c>
      <c r="I418" t="s">
        <v>3085</v>
      </c>
      <c r="J418" t="s">
        <v>3086</v>
      </c>
      <c r="K418" t="s">
        <v>62</v>
      </c>
      <c r="L418" t="s">
        <v>63</v>
      </c>
      <c r="M418" t="s">
        <v>3087</v>
      </c>
      <c r="N418" t="s">
        <v>3088</v>
      </c>
      <c r="R418">
        <v>2</v>
      </c>
      <c r="S418">
        <v>0</v>
      </c>
      <c r="T418" t="b">
        <v>0</v>
      </c>
      <c r="V418" t="s">
        <v>3089</v>
      </c>
      <c r="W418" s="15">
        <v>6.7050307179999997</v>
      </c>
      <c r="X418" s="15">
        <v>-1.688848667</v>
      </c>
      <c r="Y418">
        <v>21</v>
      </c>
      <c r="AC418">
        <v>21</v>
      </c>
      <c r="AF418" t="b">
        <v>0</v>
      </c>
      <c r="AI418" t="s">
        <v>71</v>
      </c>
      <c r="AJ418" t="s">
        <v>70</v>
      </c>
      <c r="AK418" t="s">
        <v>71</v>
      </c>
      <c r="AL418" t="s">
        <v>72</v>
      </c>
      <c r="AM418">
        <v>346053</v>
      </c>
      <c r="AO418" s="16" t="s">
        <v>73</v>
      </c>
      <c r="AP418" s="17" t="str">
        <f t="shared" si="29"/>
        <v>Off-nest female</v>
      </c>
      <c r="AX418" s="22" t="str">
        <f>IF(AND('[1]observations-276632'!W418&gt;'[1]Methods write-up'!$Q$16,'[1]observations-276632'!W418&lt;'[1]Methods write-up'!$R$16,'[1]observations-276632'!X418&gt;'[1]Methods write-up'!$S$16,'[1]observations-276632'!X418&lt;'[1]Methods write-up'!$T$16),"West and Central Africa","")</f>
        <v>West and Central Africa</v>
      </c>
      <c r="AY418" s="22" t="str">
        <f>IF(AND('[1]observations-276632'!W418&gt;'[1]Methods write-up'!$Q$17,'[1]observations-276632'!W418&lt;'[1]Methods write-up'!$R$17,'[1]observations-276632'!X418&gt;'[1]Methods write-up'!$S$17,'[1]observations-276632'!X418&lt;'[1]Methods write-up'!$T$17),"Equatorial tropical forest","")</f>
        <v/>
      </c>
      <c r="AZ418" s="22" t="str">
        <f>IF(AND('[1]observations-276632'!W418&gt;'[1]Methods write-up'!$Q$18,'[1]observations-276632'!W418&lt;'[1]Methods write-up'!$R$18,'[1]observations-276632'!X418&gt;'[1]Methods write-up'!$S$18,'[1]observations-276632'!X418&lt;'[1]Methods write-up'!$T$18),"Somali peninsula","")</f>
        <v/>
      </c>
      <c r="BA418" s="22" t="str">
        <f>IF(AND('[1]observations-276632'!W418&gt;'[1]Methods write-up'!$Q$19,'[1]observations-276632'!W418&lt;'[1]Methods write-up'!$R$19,'[1]observations-276632'!X418&gt;'[1]Methods write-up'!$S$19,'[1]observations-276632'!X418&lt;'[1]Methods write-up'!$T$19),"East Africa","")</f>
        <v/>
      </c>
      <c r="BB418" s="22" t="str">
        <f>IF(AND('[1]observations-276632'!W418&gt;'[1]Methods write-up'!$Q$20,'[1]observations-276632'!W418&lt;'[1]Methods write-up'!$R$20,'[1]observations-276632'!X418&gt;'[1]Methods write-up'!$S$20,'[1]observations-276632'!X418&lt;'[1]Methods write-up'!$T$20),"Temperate seasonal","")</f>
        <v/>
      </c>
      <c r="BC418" s="22" t="str">
        <f>IF(AND('[1]observations-276632'!W418&gt;'[1]Methods write-up'!$Q$21,'[1]observations-276632'!W418&lt;'[1]Methods write-up'!$R$21,'[1]observations-276632'!X418&gt;'[1]Methods write-up'!$S$21,'[1]observations-276632'!X418&lt;'[1]Methods write-up'!$T$21),"Desert and high aridity","")</f>
        <v/>
      </c>
      <c r="BD418" s="23" t="str">
        <f t="shared" si="28"/>
        <v>West and Central Africa</v>
      </c>
      <c r="BE418" s="24">
        <f t="shared" si="26"/>
        <v>29</v>
      </c>
      <c r="BF418" s="24">
        <f t="shared" si="27"/>
        <v>9</v>
      </c>
    </row>
    <row r="419" spans="1:58" ht="16.25" customHeight="1" x14ac:dyDescent="0.2">
      <c r="A419">
        <v>40359407</v>
      </c>
      <c r="B419" t="s">
        <v>3090</v>
      </c>
      <c r="C419" s="14">
        <v>43900</v>
      </c>
      <c r="D419" t="s">
        <v>3091</v>
      </c>
      <c r="E419" t="s">
        <v>463</v>
      </c>
      <c r="F419">
        <v>474623</v>
      </c>
      <c r="G419" t="s">
        <v>3092</v>
      </c>
      <c r="H419" t="s">
        <v>3093</v>
      </c>
      <c r="I419" t="s">
        <v>3094</v>
      </c>
      <c r="J419" t="s">
        <v>3095</v>
      </c>
      <c r="K419" t="s">
        <v>62</v>
      </c>
      <c r="L419" t="s">
        <v>3096</v>
      </c>
      <c r="M419" t="s">
        <v>3097</v>
      </c>
      <c r="N419" t="s">
        <v>3098</v>
      </c>
      <c r="R419">
        <v>3</v>
      </c>
      <c r="S419">
        <v>0</v>
      </c>
      <c r="T419" t="b">
        <v>0</v>
      </c>
      <c r="V419" t="s">
        <v>535</v>
      </c>
      <c r="W419" s="15">
        <v>-24.269490829999999</v>
      </c>
      <c r="X419" s="15">
        <v>28.565303020000002</v>
      </c>
      <c r="Y419">
        <v>51401</v>
      </c>
      <c r="AC419">
        <v>51401</v>
      </c>
      <c r="AF419" t="b">
        <v>0</v>
      </c>
      <c r="AI419" t="s">
        <v>71</v>
      </c>
      <c r="AJ419" t="s">
        <v>70</v>
      </c>
      <c r="AK419" t="s">
        <v>71</v>
      </c>
      <c r="AL419" t="s">
        <v>72</v>
      </c>
      <c r="AM419">
        <v>346053</v>
      </c>
      <c r="AO419" s="16" t="s">
        <v>140</v>
      </c>
      <c r="AP419" s="17" t="str">
        <f t="shared" si="29"/>
        <v>Post-emergence nest</v>
      </c>
      <c r="AQ419" s="18">
        <v>9</v>
      </c>
      <c r="AT419" s="19" t="s">
        <v>141</v>
      </c>
      <c r="AU419" s="20" t="s">
        <v>104</v>
      </c>
      <c r="AX419" s="22" t="str">
        <f>IF(AND('[1]observations-276632'!W419&gt;'[1]Methods write-up'!$Q$16,'[1]observations-276632'!W419&lt;'[1]Methods write-up'!$R$16,'[1]observations-276632'!X419&gt;'[1]Methods write-up'!$S$16,'[1]observations-276632'!X419&lt;'[1]Methods write-up'!$T$16),"West and Central Africa","")</f>
        <v/>
      </c>
      <c r="AY419" s="22" t="str">
        <f>IF(AND('[1]observations-276632'!W419&gt;'[1]Methods write-up'!$Q$17,'[1]observations-276632'!W419&lt;'[1]Methods write-up'!$R$17,'[1]observations-276632'!X419&gt;'[1]Methods write-up'!$S$17,'[1]observations-276632'!X419&lt;'[1]Methods write-up'!$T$17),"Equatorial tropical forest","")</f>
        <v/>
      </c>
      <c r="AZ419" s="22" t="str">
        <f>IF(AND('[1]observations-276632'!W419&gt;'[1]Methods write-up'!$Q$18,'[1]observations-276632'!W419&lt;'[1]Methods write-up'!$R$18,'[1]observations-276632'!X419&gt;'[1]Methods write-up'!$S$18,'[1]observations-276632'!X419&lt;'[1]Methods write-up'!$T$18),"Somali peninsula","")</f>
        <v/>
      </c>
      <c r="BA419" s="22" t="str">
        <f>IF(AND('[1]observations-276632'!W419&gt;'[1]Methods write-up'!$Q$19,'[1]observations-276632'!W419&lt;'[1]Methods write-up'!$R$19,'[1]observations-276632'!X419&gt;'[1]Methods write-up'!$S$19,'[1]observations-276632'!X419&lt;'[1]Methods write-up'!$T$19),"East Africa","")</f>
        <v/>
      </c>
      <c r="BB419" s="22" t="str">
        <f>IF(AND('[1]observations-276632'!W419&gt;'[1]Methods write-up'!$Q$20,'[1]observations-276632'!W419&lt;'[1]Methods write-up'!$R$20,'[1]observations-276632'!X419&gt;'[1]Methods write-up'!$S$20,'[1]observations-276632'!X419&lt;'[1]Methods write-up'!$T$20),"Temperate seasonal","")</f>
        <v/>
      </c>
      <c r="BC419" s="22" t="str">
        <f>IF(AND('[1]observations-276632'!W419&gt;'[1]Methods write-up'!$Q$21,'[1]observations-276632'!W419&lt;'[1]Methods write-up'!$R$21,'[1]observations-276632'!X419&gt;'[1]Methods write-up'!$S$21,'[1]observations-276632'!X419&lt;'[1]Methods write-up'!$T$21),"Desert and high aridity","")</f>
        <v/>
      </c>
      <c r="BD419" s="23" t="str">
        <f t="shared" si="28"/>
        <v/>
      </c>
      <c r="BE419" s="24">
        <f t="shared" si="26"/>
        <v>10</v>
      </c>
      <c r="BF419" s="24">
        <f t="shared" si="27"/>
        <v>3</v>
      </c>
    </row>
    <row r="420" spans="1:58" ht="16.25" customHeight="1" x14ac:dyDescent="0.2">
      <c r="A420">
        <v>40603938</v>
      </c>
      <c r="B420" t="s">
        <v>3099</v>
      </c>
      <c r="C420" s="14">
        <v>43912</v>
      </c>
      <c r="D420" t="s">
        <v>3100</v>
      </c>
      <c r="E420" t="s">
        <v>113</v>
      </c>
      <c r="F420">
        <v>1080660</v>
      </c>
      <c r="G420" t="s">
        <v>3101</v>
      </c>
      <c r="I420" t="s">
        <v>3102</v>
      </c>
      <c r="J420" t="s">
        <v>3103</v>
      </c>
      <c r="K420" t="s">
        <v>62</v>
      </c>
      <c r="M420" t="s">
        <v>3104</v>
      </c>
      <c r="N420" t="s">
        <v>3105</v>
      </c>
      <c r="R420">
        <v>3</v>
      </c>
      <c r="S420">
        <v>0</v>
      </c>
      <c r="T420" t="b">
        <v>0</v>
      </c>
      <c r="U420">
        <v>3</v>
      </c>
      <c r="V420" t="s">
        <v>3106</v>
      </c>
      <c r="W420" s="15">
        <v>-33.977431090000003</v>
      </c>
      <c r="X420" s="15">
        <v>22.630385230000002</v>
      </c>
      <c r="Y420">
        <v>45</v>
      </c>
      <c r="AC420">
        <v>45</v>
      </c>
      <c r="AF420" t="b">
        <v>0</v>
      </c>
      <c r="AI420" t="s">
        <v>71</v>
      </c>
      <c r="AJ420" t="s">
        <v>70</v>
      </c>
      <c r="AK420" t="s">
        <v>71</v>
      </c>
      <c r="AL420" t="s">
        <v>72</v>
      </c>
      <c r="AM420">
        <v>346053</v>
      </c>
      <c r="AO420" s="16" t="s">
        <v>3107</v>
      </c>
      <c r="AP420" s="17" t="str">
        <f t="shared" si="29"/>
        <v>Lek</v>
      </c>
      <c r="AX420" s="22" t="str">
        <f>IF(AND('[1]observations-276632'!W420&gt;'[1]Methods write-up'!$Q$16,'[1]observations-276632'!W420&lt;'[1]Methods write-up'!$R$16,'[1]observations-276632'!X420&gt;'[1]Methods write-up'!$S$16,'[1]observations-276632'!X420&lt;'[1]Methods write-up'!$T$16),"West and Central Africa","")</f>
        <v/>
      </c>
      <c r="AY420" s="22" t="str">
        <f>IF(AND('[1]observations-276632'!W420&gt;'[1]Methods write-up'!$Q$17,'[1]observations-276632'!W420&lt;'[1]Methods write-up'!$R$17,'[1]observations-276632'!X420&gt;'[1]Methods write-up'!$S$17,'[1]observations-276632'!X420&lt;'[1]Methods write-up'!$T$17),"Equatorial tropical forest","")</f>
        <v/>
      </c>
      <c r="AZ420" s="22" t="str">
        <f>IF(AND('[1]observations-276632'!W420&gt;'[1]Methods write-up'!$Q$18,'[1]observations-276632'!W420&lt;'[1]Methods write-up'!$R$18,'[1]observations-276632'!X420&gt;'[1]Methods write-up'!$S$18,'[1]observations-276632'!X420&lt;'[1]Methods write-up'!$T$18),"Somali peninsula","")</f>
        <v/>
      </c>
      <c r="BA420" s="22" t="str">
        <f>IF(AND('[1]observations-276632'!W420&gt;'[1]Methods write-up'!$Q$19,'[1]observations-276632'!W420&lt;'[1]Methods write-up'!$R$19,'[1]observations-276632'!X420&gt;'[1]Methods write-up'!$S$19,'[1]observations-276632'!X420&lt;'[1]Methods write-up'!$T$19),"East Africa","")</f>
        <v/>
      </c>
      <c r="BB420" s="22" t="str">
        <f>IF(AND('[1]observations-276632'!W420&gt;'[1]Methods write-up'!$Q$20,'[1]observations-276632'!W420&lt;'[1]Methods write-up'!$R$20,'[1]observations-276632'!X420&gt;'[1]Methods write-up'!$S$20,'[1]observations-276632'!X420&lt;'[1]Methods write-up'!$T$20),"Temperate seasonal","")</f>
        <v/>
      </c>
      <c r="BC420" s="22" t="str">
        <f>IF(AND('[1]observations-276632'!W420&gt;'[1]Methods write-up'!$Q$21,'[1]observations-276632'!W420&lt;'[1]Methods write-up'!$R$21,'[1]observations-276632'!X420&gt;'[1]Methods write-up'!$S$21,'[1]observations-276632'!X420&lt;'[1]Methods write-up'!$T$21),"Desert and high aridity","")</f>
        <v/>
      </c>
      <c r="BD420" s="23" t="str">
        <f t="shared" si="28"/>
        <v/>
      </c>
      <c r="BE420" s="24">
        <f t="shared" si="26"/>
        <v>22</v>
      </c>
      <c r="BF420" s="24">
        <f t="shared" si="27"/>
        <v>3</v>
      </c>
    </row>
    <row r="421" spans="1:58" ht="16.25" customHeight="1" x14ac:dyDescent="0.2">
      <c r="A421">
        <v>40618087</v>
      </c>
      <c r="B421" t="s">
        <v>3090</v>
      </c>
      <c r="C421" s="14">
        <v>43900</v>
      </c>
      <c r="D421" t="s">
        <v>3091</v>
      </c>
      <c r="E421" t="s">
        <v>463</v>
      </c>
      <c r="F421">
        <v>474623</v>
      </c>
      <c r="G421" t="s">
        <v>3092</v>
      </c>
      <c r="H421" t="s">
        <v>3093</v>
      </c>
      <c r="I421" t="s">
        <v>3108</v>
      </c>
      <c r="J421" t="s">
        <v>3109</v>
      </c>
      <c r="K421" t="s">
        <v>62</v>
      </c>
      <c r="L421" t="s">
        <v>3096</v>
      </c>
      <c r="M421" t="s">
        <v>3110</v>
      </c>
      <c r="N421" t="s">
        <v>3111</v>
      </c>
      <c r="P421" t="s">
        <v>3112</v>
      </c>
      <c r="R421">
        <v>4</v>
      </c>
      <c r="S421">
        <v>0</v>
      </c>
      <c r="T421" t="b">
        <v>0</v>
      </c>
      <c r="V421" t="s">
        <v>535</v>
      </c>
      <c r="W421" s="15">
        <v>-23.63345202</v>
      </c>
      <c r="X421" s="15">
        <v>28.82577465</v>
      </c>
      <c r="Y421">
        <v>78399</v>
      </c>
      <c r="AC421">
        <v>78399</v>
      </c>
      <c r="AF421" t="b">
        <v>0</v>
      </c>
      <c r="AI421" t="s">
        <v>71</v>
      </c>
      <c r="AJ421" t="s">
        <v>70</v>
      </c>
      <c r="AK421" t="s">
        <v>71</v>
      </c>
      <c r="AL421" t="s">
        <v>72</v>
      </c>
      <c r="AM421">
        <v>346053</v>
      </c>
      <c r="AO421" s="16" t="s">
        <v>140</v>
      </c>
      <c r="AP421" s="17" t="str">
        <f t="shared" si="29"/>
        <v>Post-emergence nest</v>
      </c>
      <c r="AX421" s="22" t="str">
        <f>IF(AND('[1]observations-276632'!W421&gt;'[1]Methods write-up'!$Q$16,'[1]observations-276632'!W421&lt;'[1]Methods write-up'!$R$16,'[1]observations-276632'!X421&gt;'[1]Methods write-up'!$S$16,'[1]observations-276632'!X421&lt;'[1]Methods write-up'!$T$16),"West and Central Africa","")</f>
        <v/>
      </c>
      <c r="AY421" s="22" t="str">
        <f>IF(AND('[1]observations-276632'!W421&gt;'[1]Methods write-up'!$Q$17,'[1]observations-276632'!W421&lt;'[1]Methods write-up'!$R$17,'[1]observations-276632'!X421&gt;'[1]Methods write-up'!$S$17,'[1]observations-276632'!X421&lt;'[1]Methods write-up'!$T$17),"Equatorial tropical forest","")</f>
        <v/>
      </c>
      <c r="AZ421" s="22" t="str">
        <f>IF(AND('[1]observations-276632'!W421&gt;'[1]Methods write-up'!$Q$18,'[1]observations-276632'!W421&lt;'[1]Methods write-up'!$R$18,'[1]observations-276632'!X421&gt;'[1]Methods write-up'!$S$18,'[1]observations-276632'!X421&lt;'[1]Methods write-up'!$T$18),"Somali peninsula","")</f>
        <v/>
      </c>
      <c r="BA421" s="22" t="str">
        <f>IF(AND('[1]observations-276632'!W421&gt;'[1]Methods write-up'!$Q$19,'[1]observations-276632'!W421&lt;'[1]Methods write-up'!$R$19,'[1]observations-276632'!X421&gt;'[1]Methods write-up'!$S$19,'[1]observations-276632'!X421&lt;'[1]Methods write-up'!$T$19),"East Africa","")</f>
        <v/>
      </c>
      <c r="BB421" s="22" t="str">
        <f>IF(AND('[1]observations-276632'!W421&gt;'[1]Methods write-up'!$Q$20,'[1]observations-276632'!W421&lt;'[1]Methods write-up'!$R$20,'[1]observations-276632'!X421&gt;'[1]Methods write-up'!$S$20,'[1]observations-276632'!X421&lt;'[1]Methods write-up'!$T$20),"Temperate seasonal","")</f>
        <v/>
      </c>
      <c r="BC421" s="22" t="str">
        <f>IF(AND('[1]observations-276632'!W421&gt;'[1]Methods write-up'!$Q$21,'[1]observations-276632'!W421&lt;'[1]Methods write-up'!$R$21,'[1]observations-276632'!X421&gt;'[1]Methods write-up'!$S$21,'[1]observations-276632'!X421&lt;'[1]Methods write-up'!$T$21),"Desert and high aridity","")</f>
        <v/>
      </c>
      <c r="BD421" s="23" t="str">
        <f t="shared" si="28"/>
        <v/>
      </c>
      <c r="BE421" s="24">
        <f t="shared" si="26"/>
        <v>10</v>
      </c>
      <c r="BF421" s="24">
        <f t="shared" si="27"/>
        <v>3</v>
      </c>
    </row>
    <row r="422" spans="1:58" ht="16.25" customHeight="1" x14ac:dyDescent="0.2">
      <c r="A422">
        <v>40647019</v>
      </c>
      <c r="B422" t="s">
        <v>3113</v>
      </c>
      <c r="C422" s="14">
        <v>43676</v>
      </c>
      <c r="D422" t="s">
        <v>3114</v>
      </c>
      <c r="E422" t="s">
        <v>3115</v>
      </c>
      <c r="F422">
        <v>155951</v>
      </c>
      <c r="G422" t="s">
        <v>3116</v>
      </c>
      <c r="H422" t="s">
        <v>3117</v>
      </c>
      <c r="I422" t="s">
        <v>3118</v>
      </c>
      <c r="J422" t="s">
        <v>3119</v>
      </c>
      <c r="K422" t="s">
        <v>157</v>
      </c>
      <c r="M422" t="s">
        <v>3120</v>
      </c>
      <c r="N422" t="s">
        <v>3121</v>
      </c>
      <c r="R422">
        <v>1</v>
      </c>
      <c r="S422">
        <v>0</v>
      </c>
      <c r="T422" t="b">
        <v>0</v>
      </c>
      <c r="V422" t="s">
        <v>3122</v>
      </c>
      <c r="W422" s="15">
        <v>7.2476071940000004</v>
      </c>
      <c r="X422" s="15">
        <v>36.256597499999998</v>
      </c>
      <c r="Y422">
        <v>136</v>
      </c>
      <c r="AC422">
        <v>136</v>
      </c>
      <c r="AF422" t="b">
        <v>0</v>
      </c>
      <c r="AI422" t="s">
        <v>3123</v>
      </c>
      <c r="AJ422" t="s">
        <v>3123</v>
      </c>
      <c r="AL422" t="s">
        <v>72</v>
      </c>
      <c r="AM422">
        <v>652801</v>
      </c>
      <c r="AO422" s="16" t="s">
        <v>3124</v>
      </c>
      <c r="AP422" s="16"/>
      <c r="AX422" s="22" t="str">
        <f>IF(AND('[1]observations-276632'!W422&gt;'[1]Methods write-up'!$Q$16,'[1]observations-276632'!W422&lt;'[1]Methods write-up'!$R$16,'[1]observations-276632'!X422&gt;'[1]Methods write-up'!$S$16,'[1]observations-276632'!X422&lt;'[1]Methods write-up'!$T$16),"West Africa","")</f>
        <v/>
      </c>
      <c r="AY422" s="22" t="str">
        <f>IF(AND('[1]observations-276632'!W422&gt;'[1]Methods write-up'!$Q$17,'[1]observations-276632'!W422&lt;'[1]Methods write-up'!$R$17,'[1]observations-276632'!X422&gt;'[1]Methods write-up'!$S$17,'[1]observations-276632'!X422&lt;'[1]Methods write-up'!$T$17),"Equatorial tropical forest","")</f>
        <v/>
      </c>
      <c r="AZ422" s="22" t="str">
        <f>IF(AND('[1]observations-276632'!W422&gt;'[1]Methods write-up'!$Q$18,'[1]observations-276632'!W422&lt;'[1]Methods write-up'!$R$18,'[1]observations-276632'!X422&gt;'[1]Methods write-up'!$S$18,'[1]observations-276632'!X422&lt;'[1]Methods write-up'!$T$18),"Somali peninsula","")</f>
        <v>Somali peninsula</v>
      </c>
      <c r="BA422" s="22" t="str">
        <f>IF(AND('[1]observations-276632'!W422&gt;'[1]Methods write-up'!$Q$19,'[1]observations-276632'!W422&lt;'[1]Methods write-up'!$R$19,'[1]observations-276632'!X422&gt;'[1]Methods write-up'!$S$19,'[1]observations-276632'!X422&lt;'[1]Methods write-up'!$T$19),"East Africa","")</f>
        <v/>
      </c>
      <c r="BB422" s="22" t="str">
        <f>IF(AND('[1]observations-276632'!W422&gt;'[1]Methods write-up'!$Q$20,'[1]observations-276632'!W422&lt;'[1]Methods write-up'!$R$20,'[1]observations-276632'!X422&gt;'[1]Methods write-up'!$S$20,'[1]observations-276632'!X422&lt;'[1]Methods write-up'!$T$20),"Temperate seasonal","")</f>
        <v/>
      </c>
      <c r="BC422" s="22" t="str">
        <f>IF(AND('[1]observations-276632'!W422&gt;'[1]Methods write-up'!$Q$21,'[1]observations-276632'!W422&lt;'[1]Methods write-up'!$R$21,'[1]observations-276632'!X422&gt;'[1]Methods write-up'!$S$21,'[1]observations-276632'!X422&lt;'[1]Methods write-up'!$T$21),"Desert and high aridity","")</f>
        <v/>
      </c>
      <c r="BD422" s="23" t="str">
        <f t="shared" si="28"/>
        <v>Somali peninsula</v>
      </c>
      <c r="BE422" s="24">
        <f t="shared" si="26"/>
        <v>30</v>
      </c>
      <c r="BF422" s="24">
        <f t="shared" si="27"/>
        <v>7</v>
      </c>
    </row>
    <row r="423" spans="1:58" ht="16.25" customHeight="1" x14ac:dyDescent="0.2">
      <c r="A423">
        <v>40924346</v>
      </c>
      <c r="B423" t="s">
        <v>3125</v>
      </c>
      <c r="C423" s="14">
        <v>42271</v>
      </c>
      <c r="D423" t="s">
        <v>3126</v>
      </c>
      <c r="E423" t="s">
        <v>243</v>
      </c>
      <c r="F423">
        <v>2584581</v>
      </c>
      <c r="G423" t="s">
        <v>3083</v>
      </c>
      <c r="H423" t="s">
        <v>3084</v>
      </c>
      <c r="I423" t="s">
        <v>3127</v>
      </c>
      <c r="J423" t="s">
        <v>3128</v>
      </c>
      <c r="K423" t="s">
        <v>62</v>
      </c>
      <c r="L423" t="s">
        <v>63</v>
      </c>
      <c r="M423" t="s">
        <v>3129</v>
      </c>
      <c r="N423" t="s">
        <v>3130</v>
      </c>
      <c r="R423">
        <v>2</v>
      </c>
      <c r="S423">
        <v>0</v>
      </c>
      <c r="T423" t="b">
        <v>0</v>
      </c>
      <c r="V423" t="s">
        <v>3089</v>
      </c>
      <c r="W423" s="15">
        <v>6.7050307179999997</v>
      </c>
      <c r="X423" s="15">
        <v>-1.688848667</v>
      </c>
      <c r="Y423">
        <v>21</v>
      </c>
      <c r="AC423">
        <v>21</v>
      </c>
      <c r="AF423" t="b">
        <v>0</v>
      </c>
      <c r="AI423" t="s">
        <v>71</v>
      </c>
      <c r="AJ423" t="s">
        <v>70</v>
      </c>
      <c r="AK423" t="s">
        <v>71</v>
      </c>
      <c r="AL423" t="s">
        <v>72</v>
      </c>
      <c r="AM423">
        <v>346053</v>
      </c>
      <c r="AO423" s="16" t="s">
        <v>73</v>
      </c>
      <c r="AP423" s="17" t="str">
        <f t="shared" ref="AP423:AP486" si="30">IF(COUNTIF(AO423,"*foundress*"),"Nest (foundress)",AO423)</f>
        <v>Off-nest female</v>
      </c>
      <c r="AX423" s="22" t="str">
        <f>IF(AND('[1]observations-276632'!W423&gt;'[1]Methods write-up'!$Q$16,'[1]observations-276632'!W423&lt;'[1]Methods write-up'!$R$16,'[1]observations-276632'!X423&gt;'[1]Methods write-up'!$S$16,'[1]observations-276632'!X423&lt;'[1]Methods write-up'!$T$16),"West and Central Africa","")</f>
        <v>West and Central Africa</v>
      </c>
      <c r="AY423" s="22" t="str">
        <f>IF(AND('[1]observations-276632'!W423&gt;'[1]Methods write-up'!$Q$17,'[1]observations-276632'!W423&lt;'[1]Methods write-up'!$R$17,'[1]observations-276632'!X423&gt;'[1]Methods write-up'!$S$17,'[1]observations-276632'!X423&lt;'[1]Methods write-up'!$T$17),"Equatorial tropical forest","")</f>
        <v/>
      </c>
      <c r="AZ423" s="22" t="str">
        <f>IF(AND('[1]observations-276632'!W423&gt;'[1]Methods write-up'!$Q$18,'[1]observations-276632'!W423&lt;'[1]Methods write-up'!$R$18,'[1]observations-276632'!X423&gt;'[1]Methods write-up'!$S$18,'[1]observations-276632'!X423&lt;'[1]Methods write-up'!$T$18),"Somali peninsula","")</f>
        <v/>
      </c>
      <c r="BA423" s="22" t="str">
        <f>IF(AND('[1]observations-276632'!W423&gt;'[1]Methods write-up'!$Q$19,'[1]observations-276632'!W423&lt;'[1]Methods write-up'!$R$19,'[1]observations-276632'!X423&gt;'[1]Methods write-up'!$S$19,'[1]observations-276632'!X423&lt;'[1]Methods write-up'!$T$19),"East Africa","")</f>
        <v/>
      </c>
      <c r="BB423" s="22" t="str">
        <f>IF(AND('[1]observations-276632'!W423&gt;'[1]Methods write-up'!$Q$20,'[1]observations-276632'!W423&lt;'[1]Methods write-up'!$R$20,'[1]observations-276632'!X423&gt;'[1]Methods write-up'!$S$20,'[1]observations-276632'!X423&lt;'[1]Methods write-up'!$T$20),"Temperate seasonal","")</f>
        <v/>
      </c>
      <c r="BC423" s="22" t="str">
        <f>IF(AND('[1]observations-276632'!W423&gt;'[1]Methods write-up'!$Q$21,'[1]observations-276632'!W423&lt;'[1]Methods write-up'!$R$21,'[1]observations-276632'!X423&gt;'[1]Methods write-up'!$S$21,'[1]observations-276632'!X423&lt;'[1]Methods write-up'!$T$21),"Desert and high aridity","")</f>
        <v/>
      </c>
      <c r="BD423" s="23" t="str">
        <f t="shared" si="28"/>
        <v>West and Central Africa</v>
      </c>
      <c r="BE423" s="24">
        <f t="shared" si="26"/>
        <v>24</v>
      </c>
      <c r="BF423" s="24">
        <f t="shared" si="27"/>
        <v>9</v>
      </c>
    </row>
    <row r="424" spans="1:58" ht="16.25" customHeight="1" x14ac:dyDescent="0.2">
      <c r="A424">
        <v>40976657</v>
      </c>
      <c r="B424" t="s">
        <v>3131</v>
      </c>
      <c r="C424" s="14">
        <v>43918</v>
      </c>
      <c r="D424" t="s">
        <v>3132</v>
      </c>
      <c r="E424" t="s">
        <v>113</v>
      </c>
      <c r="F424">
        <v>659922</v>
      </c>
      <c r="G424" t="s">
        <v>918</v>
      </c>
      <c r="I424" t="s">
        <v>3133</v>
      </c>
      <c r="J424" t="s">
        <v>3134</v>
      </c>
      <c r="K424" t="s">
        <v>62</v>
      </c>
      <c r="L424" t="s">
        <v>63</v>
      </c>
      <c r="M424" t="s">
        <v>3135</v>
      </c>
      <c r="N424" t="s">
        <v>3136</v>
      </c>
      <c r="Q424" t="s">
        <v>3137</v>
      </c>
      <c r="R424">
        <v>2</v>
      </c>
      <c r="S424">
        <v>0</v>
      </c>
      <c r="T424" t="b">
        <v>0</v>
      </c>
      <c r="V424" t="s">
        <v>924</v>
      </c>
      <c r="W424" s="15">
        <v>-28.376200000000001</v>
      </c>
      <c r="X424" s="15">
        <v>32.418100000000003</v>
      </c>
      <c r="Y424">
        <v>31</v>
      </c>
      <c r="AC424">
        <v>31</v>
      </c>
      <c r="AF424" t="b">
        <v>0</v>
      </c>
      <c r="AI424" t="s">
        <v>71</v>
      </c>
      <c r="AJ424" t="s">
        <v>70</v>
      </c>
      <c r="AK424" t="s">
        <v>71</v>
      </c>
      <c r="AL424" t="s">
        <v>72</v>
      </c>
      <c r="AM424">
        <v>346053</v>
      </c>
      <c r="AO424" s="16" t="s">
        <v>73</v>
      </c>
      <c r="AP424" s="17" t="str">
        <f t="shared" si="30"/>
        <v>Off-nest female</v>
      </c>
      <c r="AX424" s="22" t="str">
        <f>IF(AND('[1]observations-276632'!W424&gt;'[1]Methods write-up'!$Q$16,'[1]observations-276632'!W424&lt;'[1]Methods write-up'!$R$16,'[1]observations-276632'!X424&gt;'[1]Methods write-up'!$S$16,'[1]observations-276632'!X424&lt;'[1]Methods write-up'!$T$16),"West and Central Africa","")</f>
        <v/>
      </c>
      <c r="AY424" s="22" t="str">
        <f>IF(AND('[1]observations-276632'!W424&gt;'[1]Methods write-up'!$Q$17,'[1]observations-276632'!W424&lt;'[1]Methods write-up'!$R$17,'[1]observations-276632'!X424&gt;'[1]Methods write-up'!$S$17,'[1]observations-276632'!X424&lt;'[1]Methods write-up'!$T$17),"Equatorial tropical forest","")</f>
        <v/>
      </c>
      <c r="AZ424" s="22" t="str">
        <f>IF(AND('[1]observations-276632'!W424&gt;'[1]Methods write-up'!$Q$18,'[1]observations-276632'!W424&lt;'[1]Methods write-up'!$R$18,'[1]observations-276632'!X424&gt;'[1]Methods write-up'!$S$18,'[1]observations-276632'!X424&lt;'[1]Methods write-up'!$T$18),"Somali peninsula","")</f>
        <v/>
      </c>
      <c r="BA424" s="22" t="str">
        <f>IF(AND('[1]observations-276632'!W424&gt;'[1]Methods write-up'!$Q$19,'[1]observations-276632'!W424&lt;'[1]Methods write-up'!$R$19,'[1]observations-276632'!X424&gt;'[1]Methods write-up'!$S$19,'[1]observations-276632'!X424&lt;'[1]Methods write-up'!$T$19),"East Africa","")</f>
        <v/>
      </c>
      <c r="BB424" s="22" t="str">
        <f>IF(AND('[1]observations-276632'!W424&gt;'[1]Methods write-up'!$Q$20,'[1]observations-276632'!W424&lt;'[1]Methods write-up'!$R$20,'[1]observations-276632'!X424&gt;'[1]Methods write-up'!$S$20,'[1]observations-276632'!X424&lt;'[1]Methods write-up'!$T$20),"Temperate seasonal","")</f>
        <v>Temperate seasonal</v>
      </c>
      <c r="BC424" s="22" t="str">
        <f>IF(AND('[1]observations-276632'!W424&gt;'[1]Methods write-up'!$Q$21,'[1]observations-276632'!W424&lt;'[1]Methods write-up'!$R$21,'[1]observations-276632'!X424&gt;'[1]Methods write-up'!$S$21,'[1]observations-276632'!X424&lt;'[1]Methods write-up'!$T$21),"Desert and high aridity","")</f>
        <v/>
      </c>
      <c r="BD424" s="23" t="str">
        <f t="shared" si="28"/>
        <v>Temperate seasonal</v>
      </c>
      <c r="BE424" s="24">
        <f t="shared" si="26"/>
        <v>28</v>
      </c>
      <c r="BF424" s="24">
        <f t="shared" si="27"/>
        <v>3</v>
      </c>
    </row>
    <row r="425" spans="1:58" ht="16.25" customHeight="1" x14ac:dyDescent="0.2">
      <c r="A425">
        <v>40999207</v>
      </c>
      <c r="B425" t="s">
        <v>3138</v>
      </c>
      <c r="C425" s="14">
        <v>41713</v>
      </c>
      <c r="D425" t="s">
        <v>3139</v>
      </c>
      <c r="E425" t="s">
        <v>201</v>
      </c>
      <c r="F425">
        <v>886680</v>
      </c>
      <c r="G425" t="s">
        <v>3140</v>
      </c>
      <c r="H425" t="s">
        <v>3141</v>
      </c>
      <c r="I425" t="s">
        <v>3142</v>
      </c>
      <c r="J425" t="s">
        <v>3143</v>
      </c>
      <c r="K425" t="s">
        <v>62</v>
      </c>
      <c r="L425" t="s">
        <v>63</v>
      </c>
      <c r="M425" t="s">
        <v>3144</v>
      </c>
      <c r="N425" t="s">
        <v>3145</v>
      </c>
      <c r="Q425" t="s">
        <v>3146</v>
      </c>
      <c r="R425">
        <v>3</v>
      </c>
      <c r="S425">
        <v>0</v>
      </c>
      <c r="T425" t="b">
        <v>0</v>
      </c>
      <c r="V425" t="s">
        <v>3147</v>
      </c>
      <c r="W425" s="15">
        <v>7.5382793870000002</v>
      </c>
      <c r="X425" s="15">
        <v>-10.98658914</v>
      </c>
      <c r="Y425">
        <v>3553</v>
      </c>
      <c r="AC425">
        <v>3553</v>
      </c>
      <c r="AF425" t="b">
        <v>0</v>
      </c>
      <c r="AI425" t="s">
        <v>71</v>
      </c>
      <c r="AJ425" t="s">
        <v>70</v>
      </c>
      <c r="AK425" t="s">
        <v>71</v>
      </c>
      <c r="AL425" t="s">
        <v>72</v>
      </c>
      <c r="AM425">
        <v>346053</v>
      </c>
      <c r="AO425" s="16" t="s">
        <v>442</v>
      </c>
      <c r="AP425" s="17" t="str">
        <f t="shared" si="30"/>
        <v>Dead female</v>
      </c>
      <c r="AX425" s="22" t="str">
        <f>IF(AND('[1]observations-276632'!W425&gt;'[1]Methods write-up'!$Q$16,'[1]observations-276632'!W425&lt;'[1]Methods write-up'!$R$16,'[1]observations-276632'!X425&gt;'[1]Methods write-up'!$S$16,'[1]observations-276632'!X425&lt;'[1]Methods write-up'!$T$16),"West and Central Africa","")</f>
        <v>West and Central Africa</v>
      </c>
      <c r="AY425" s="22" t="str">
        <f>IF(AND('[1]observations-276632'!W425&gt;'[1]Methods write-up'!$Q$17,'[1]observations-276632'!W425&lt;'[1]Methods write-up'!$R$17,'[1]observations-276632'!X425&gt;'[1]Methods write-up'!$S$17,'[1]observations-276632'!X425&lt;'[1]Methods write-up'!$T$17),"Equatorial tropical forest","")</f>
        <v/>
      </c>
      <c r="AZ425" s="22" t="str">
        <f>IF(AND('[1]observations-276632'!W425&gt;'[1]Methods write-up'!$Q$18,'[1]observations-276632'!W425&lt;'[1]Methods write-up'!$R$18,'[1]observations-276632'!X425&gt;'[1]Methods write-up'!$S$18,'[1]observations-276632'!X425&lt;'[1]Methods write-up'!$T$18),"Somali peninsula","")</f>
        <v/>
      </c>
      <c r="BA425" s="22" t="str">
        <f>IF(AND('[1]observations-276632'!W425&gt;'[1]Methods write-up'!$Q$19,'[1]observations-276632'!W425&lt;'[1]Methods write-up'!$R$19,'[1]observations-276632'!X425&gt;'[1]Methods write-up'!$S$19,'[1]observations-276632'!X425&lt;'[1]Methods write-up'!$T$19),"East Africa","")</f>
        <v/>
      </c>
      <c r="BB425" s="22" t="str">
        <f>IF(AND('[1]observations-276632'!W425&gt;'[1]Methods write-up'!$Q$20,'[1]observations-276632'!W425&lt;'[1]Methods write-up'!$R$20,'[1]observations-276632'!X425&gt;'[1]Methods write-up'!$S$20,'[1]observations-276632'!X425&lt;'[1]Methods write-up'!$T$20),"Temperate seasonal","")</f>
        <v/>
      </c>
      <c r="BC425" s="22" t="str">
        <f>IF(AND('[1]observations-276632'!W425&gt;'[1]Methods write-up'!$Q$21,'[1]observations-276632'!W425&lt;'[1]Methods write-up'!$R$21,'[1]observations-276632'!X425&gt;'[1]Methods write-up'!$S$21,'[1]observations-276632'!X425&lt;'[1]Methods write-up'!$T$21),"Desert and high aridity","")</f>
        <v/>
      </c>
      <c r="BD425" s="23" t="str">
        <f t="shared" si="28"/>
        <v>West and Central Africa</v>
      </c>
      <c r="BE425" s="24">
        <f t="shared" si="26"/>
        <v>15</v>
      </c>
      <c r="BF425" s="24">
        <f t="shared" si="27"/>
        <v>3</v>
      </c>
    </row>
    <row r="426" spans="1:58" ht="16.25" customHeight="1" x14ac:dyDescent="0.2">
      <c r="A426">
        <v>41058915</v>
      </c>
      <c r="B426" t="s">
        <v>3148</v>
      </c>
      <c r="C426" s="14">
        <v>43904</v>
      </c>
      <c r="D426" t="s">
        <v>3149</v>
      </c>
      <c r="E426" t="s">
        <v>113</v>
      </c>
      <c r="F426">
        <v>7682</v>
      </c>
      <c r="G426" t="s">
        <v>693</v>
      </c>
      <c r="H426" t="s">
        <v>694</v>
      </c>
      <c r="I426" t="s">
        <v>3150</v>
      </c>
      <c r="J426" t="s">
        <v>3151</v>
      </c>
      <c r="K426" t="s">
        <v>62</v>
      </c>
      <c r="L426" t="s">
        <v>98</v>
      </c>
      <c r="M426" t="s">
        <v>3152</v>
      </c>
      <c r="N426" t="s">
        <v>3153</v>
      </c>
      <c r="R426">
        <v>3</v>
      </c>
      <c r="S426">
        <v>0</v>
      </c>
      <c r="T426" t="b">
        <v>0</v>
      </c>
      <c r="V426" t="s">
        <v>3154</v>
      </c>
      <c r="W426" s="15">
        <v>-25.833500000000001</v>
      </c>
      <c r="X426" s="15">
        <v>27.88974</v>
      </c>
      <c r="Y426">
        <v>5</v>
      </c>
      <c r="AC426">
        <v>5</v>
      </c>
      <c r="AF426" t="b">
        <v>0</v>
      </c>
      <c r="AI426" t="s">
        <v>70</v>
      </c>
      <c r="AJ426" t="s">
        <v>70</v>
      </c>
      <c r="AK426" t="s">
        <v>71</v>
      </c>
      <c r="AL426" t="s">
        <v>72</v>
      </c>
      <c r="AM426">
        <v>346053</v>
      </c>
      <c r="AO426" s="16" t="s">
        <v>73</v>
      </c>
      <c r="AP426" s="17" t="str">
        <f t="shared" si="30"/>
        <v>Off-nest female</v>
      </c>
      <c r="AX426" s="22" t="str">
        <f>IF(AND('[1]observations-276632'!W426&gt;'[1]Methods write-up'!$Q$16,'[1]observations-276632'!W426&lt;'[1]Methods write-up'!$R$16,'[1]observations-276632'!X426&gt;'[1]Methods write-up'!$S$16,'[1]observations-276632'!X426&lt;'[1]Methods write-up'!$T$16),"West and Central Africa","")</f>
        <v/>
      </c>
      <c r="AY426" s="22" t="str">
        <f>IF(AND('[1]observations-276632'!W426&gt;'[1]Methods write-up'!$Q$17,'[1]observations-276632'!W426&lt;'[1]Methods write-up'!$R$17,'[1]observations-276632'!X426&gt;'[1]Methods write-up'!$S$17,'[1]observations-276632'!X426&lt;'[1]Methods write-up'!$T$17),"Equatorial tropical forest","")</f>
        <v/>
      </c>
      <c r="AZ426" s="22" t="str">
        <f>IF(AND('[1]observations-276632'!W426&gt;'[1]Methods write-up'!$Q$18,'[1]observations-276632'!W426&lt;'[1]Methods write-up'!$R$18,'[1]observations-276632'!X426&gt;'[1]Methods write-up'!$S$18,'[1]observations-276632'!X426&lt;'[1]Methods write-up'!$T$18),"Somali peninsula","")</f>
        <v/>
      </c>
      <c r="BA426" s="22" t="str">
        <f>IF(AND('[1]observations-276632'!W426&gt;'[1]Methods write-up'!$Q$19,'[1]observations-276632'!W426&lt;'[1]Methods write-up'!$R$19,'[1]observations-276632'!X426&gt;'[1]Methods write-up'!$S$19,'[1]observations-276632'!X426&lt;'[1]Methods write-up'!$T$19),"East Africa","")</f>
        <v/>
      </c>
      <c r="BB426" s="22" t="str">
        <f>IF(AND('[1]observations-276632'!W426&gt;'[1]Methods write-up'!$Q$20,'[1]observations-276632'!W426&lt;'[1]Methods write-up'!$R$20,'[1]observations-276632'!X426&gt;'[1]Methods write-up'!$S$20,'[1]observations-276632'!X426&lt;'[1]Methods write-up'!$T$20),"Temperate seasonal","")</f>
        <v>Temperate seasonal</v>
      </c>
      <c r="BC426" s="22" t="str">
        <f>IF(AND('[1]observations-276632'!W426&gt;'[1]Methods write-up'!$Q$21,'[1]observations-276632'!W426&lt;'[1]Methods write-up'!$R$21,'[1]observations-276632'!X426&gt;'[1]Methods write-up'!$S$21,'[1]observations-276632'!X426&lt;'[1]Methods write-up'!$T$21),"Desert and high aridity","")</f>
        <v/>
      </c>
      <c r="BD426" s="23" t="str">
        <f t="shared" si="28"/>
        <v>Temperate seasonal</v>
      </c>
      <c r="BE426" s="24">
        <f t="shared" si="26"/>
        <v>14</v>
      </c>
      <c r="BF426" s="24">
        <f t="shared" si="27"/>
        <v>3</v>
      </c>
    </row>
    <row r="427" spans="1:58" ht="16.25" customHeight="1" x14ac:dyDescent="0.2">
      <c r="A427">
        <v>41107122</v>
      </c>
      <c r="B427" t="s">
        <v>3155</v>
      </c>
      <c r="C427" s="14">
        <v>43921</v>
      </c>
      <c r="D427" t="s">
        <v>3156</v>
      </c>
      <c r="E427" t="s">
        <v>113</v>
      </c>
      <c r="F427">
        <v>50393</v>
      </c>
      <c r="G427" t="s">
        <v>194</v>
      </c>
      <c r="I427" t="s">
        <v>3157</v>
      </c>
      <c r="J427" t="s">
        <v>3158</v>
      </c>
      <c r="K427" t="s">
        <v>62</v>
      </c>
      <c r="L427" t="s">
        <v>63</v>
      </c>
      <c r="M427" t="s">
        <v>3159</v>
      </c>
      <c r="N427" t="s">
        <v>3160</v>
      </c>
      <c r="R427">
        <v>2</v>
      </c>
      <c r="S427">
        <v>0</v>
      </c>
      <c r="T427" t="b">
        <v>0</v>
      </c>
      <c r="U427">
        <v>3</v>
      </c>
      <c r="V427" t="s">
        <v>2364</v>
      </c>
      <c r="W427" s="15">
        <v>3.7526995950000002</v>
      </c>
      <c r="X427" s="15">
        <v>29.523887210000002</v>
      </c>
      <c r="Y427">
        <v>20</v>
      </c>
      <c r="AC427">
        <v>20</v>
      </c>
      <c r="AF427" t="b">
        <v>0</v>
      </c>
      <c r="AI427" t="s">
        <v>71</v>
      </c>
      <c r="AJ427" t="s">
        <v>70</v>
      </c>
      <c r="AK427" t="s">
        <v>71</v>
      </c>
      <c r="AL427" t="s">
        <v>72</v>
      </c>
      <c r="AM427">
        <v>346053</v>
      </c>
      <c r="AO427" s="16" t="s">
        <v>140</v>
      </c>
      <c r="AP427" s="17" t="str">
        <f t="shared" si="30"/>
        <v>Post-emergence nest</v>
      </c>
      <c r="AQ427" s="18">
        <v>12</v>
      </c>
      <c r="AT427" s="19" t="s">
        <v>141</v>
      </c>
      <c r="AU427" s="20" t="s">
        <v>104</v>
      </c>
      <c r="AX427" s="22" t="str">
        <f>IF(AND('[1]observations-276632'!W427&gt;'[1]Methods write-up'!$Q$16,'[1]observations-276632'!W427&lt;'[1]Methods write-up'!$R$16,'[1]observations-276632'!X427&gt;'[1]Methods write-up'!$S$16,'[1]observations-276632'!X427&lt;'[1]Methods write-up'!$T$16),"West and Central Africa","")</f>
        <v>West and Central Africa</v>
      </c>
      <c r="AY427" s="22" t="str">
        <f>IF(AND('[1]observations-276632'!W427&gt;'[1]Methods write-up'!$Q$17,'[1]observations-276632'!W427&lt;'[1]Methods write-up'!$R$17,'[1]observations-276632'!X427&gt;'[1]Methods write-up'!$S$17,'[1]observations-276632'!X427&lt;'[1]Methods write-up'!$T$17),"Equatorial tropical forest","")</f>
        <v/>
      </c>
      <c r="AZ427" s="22" t="str">
        <f>IF(AND('[1]observations-276632'!W427&gt;'[1]Methods write-up'!$Q$18,'[1]observations-276632'!W427&lt;'[1]Methods write-up'!$R$18,'[1]observations-276632'!X427&gt;'[1]Methods write-up'!$S$18,'[1]observations-276632'!X427&lt;'[1]Methods write-up'!$T$18),"Somali peninsula","")</f>
        <v/>
      </c>
      <c r="BA427" s="22" t="str">
        <f>IF(AND('[1]observations-276632'!W427&gt;'[1]Methods write-up'!$Q$19,'[1]observations-276632'!W427&lt;'[1]Methods write-up'!$R$19,'[1]observations-276632'!X427&gt;'[1]Methods write-up'!$S$19,'[1]observations-276632'!X427&lt;'[1]Methods write-up'!$T$19),"East Africa","")</f>
        <v/>
      </c>
      <c r="BB427" s="22" t="str">
        <f>IF(AND('[1]observations-276632'!W427&gt;'[1]Methods write-up'!$Q$20,'[1]observations-276632'!W427&lt;'[1]Methods write-up'!$R$20,'[1]observations-276632'!X427&gt;'[1]Methods write-up'!$S$20,'[1]observations-276632'!X427&lt;'[1]Methods write-up'!$T$20),"Temperate seasonal","")</f>
        <v/>
      </c>
      <c r="BC427" s="22" t="str">
        <f>IF(AND('[1]observations-276632'!W427&gt;'[1]Methods write-up'!$Q$21,'[1]observations-276632'!W427&lt;'[1]Methods write-up'!$R$21,'[1]observations-276632'!X427&gt;'[1]Methods write-up'!$S$21,'[1]observations-276632'!X427&lt;'[1]Methods write-up'!$T$21),"Desert and high aridity","")</f>
        <v/>
      </c>
      <c r="BD427" s="23" t="str">
        <f t="shared" si="28"/>
        <v>West and Central Africa</v>
      </c>
      <c r="BE427" s="24">
        <f t="shared" si="26"/>
        <v>31</v>
      </c>
      <c r="BF427" s="24">
        <f t="shared" si="27"/>
        <v>3</v>
      </c>
    </row>
    <row r="428" spans="1:58" ht="16.25" customHeight="1" x14ac:dyDescent="0.2">
      <c r="A428">
        <v>41164321</v>
      </c>
      <c r="B428" t="s">
        <v>3161</v>
      </c>
      <c r="C428" s="14">
        <v>43601</v>
      </c>
      <c r="D428" t="s">
        <v>3162</v>
      </c>
      <c r="E428" t="s">
        <v>113</v>
      </c>
      <c r="F428">
        <v>1667099</v>
      </c>
      <c r="G428" t="s">
        <v>3163</v>
      </c>
      <c r="H428" t="s">
        <v>3164</v>
      </c>
      <c r="I428" t="s">
        <v>3165</v>
      </c>
      <c r="J428" t="s">
        <v>3166</v>
      </c>
      <c r="K428" t="s">
        <v>157</v>
      </c>
      <c r="L428" t="s">
        <v>63</v>
      </c>
      <c r="M428" t="s">
        <v>3167</v>
      </c>
      <c r="N428" t="s">
        <v>3168</v>
      </c>
      <c r="P428" t="s">
        <v>3169</v>
      </c>
      <c r="R428">
        <v>2</v>
      </c>
      <c r="S428">
        <v>0</v>
      </c>
      <c r="T428" t="b">
        <v>0</v>
      </c>
      <c r="V428" t="s">
        <v>3170</v>
      </c>
      <c r="W428" s="15">
        <v>-28.59328477</v>
      </c>
      <c r="X428" s="15">
        <v>20.339001570000001</v>
      </c>
      <c r="Y428">
        <v>5</v>
      </c>
      <c r="AC428">
        <v>5</v>
      </c>
      <c r="AF428" t="b">
        <v>0</v>
      </c>
      <c r="AI428" t="s">
        <v>756</v>
      </c>
      <c r="AJ428" t="s">
        <v>756</v>
      </c>
      <c r="AL428" t="s">
        <v>72</v>
      </c>
      <c r="AM428">
        <v>652800</v>
      </c>
      <c r="AO428" s="16" t="s">
        <v>73</v>
      </c>
      <c r="AP428" s="17" t="str">
        <f t="shared" si="30"/>
        <v>Off-nest female</v>
      </c>
      <c r="AX428" s="22" t="str">
        <f>IF(AND('[1]observations-276632'!W428&gt;'[1]Methods write-up'!$Q$16,'[1]observations-276632'!W428&lt;'[1]Methods write-up'!$R$16,'[1]observations-276632'!X428&gt;'[1]Methods write-up'!$S$16,'[1]observations-276632'!X428&lt;'[1]Methods write-up'!$T$16),"West and Central Africa","")</f>
        <v/>
      </c>
      <c r="AY428" s="22" t="str">
        <f>IF(AND('[1]observations-276632'!W428&gt;'[1]Methods write-up'!$Q$17,'[1]observations-276632'!W428&lt;'[1]Methods write-up'!$R$17,'[1]observations-276632'!X428&gt;'[1]Methods write-up'!$S$17,'[1]observations-276632'!X428&lt;'[1]Methods write-up'!$T$17),"Equatorial tropical forest","")</f>
        <v/>
      </c>
      <c r="AZ428" s="22" t="str">
        <f>IF(AND('[1]observations-276632'!W428&gt;'[1]Methods write-up'!$Q$18,'[1]observations-276632'!W428&lt;'[1]Methods write-up'!$R$18,'[1]observations-276632'!X428&gt;'[1]Methods write-up'!$S$18,'[1]observations-276632'!X428&lt;'[1]Methods write-up'!$T$18),"Somali peninsula","")</f>
        <v/>
      </c>
      <c r="BA428" s="22" t="str">
        <f>IF(AND('[1]observations-276632'!W428&gt;'[1]Methods write-up'!$Q$19,'[1]observations-276632'!W428&lt;'[1]Methods write-up'!$R$19,'[1]observations-276632'!X428&gt;'[1]Methods write-up'!$S$19,'[1]observations-276632'!X428&lt;'[1]Methods write-up'!$T$19),"East Africa","")</f>
        <v/>
      </c>
      <c r="BB428" s="22" t="str">
        <f>IF(AND('[1]observations-276632'!W428&gt;'[1]Methods write-up'!$Q$20,'[1]observations-276632'!W428&lt;'[1]Methods write-up'!$R$20,'[1]observations-276632'!X428&gt;'[1]Methods write-up'!$S$20,'[1]observations-276632'!X428&lt;'[1]Methods write-up'!$T$20),"Temperate seasonal","")</f>
        <v/>
      </c>
      <c r="BC428" s="22" t="str">
        <f>IF(AND('[1]observations-276632'!W428&gt;'[1]Methods write-up'!$Q$21,'[1]observations-276632'!W428&lt;'[1]Methods write-up'!$R$21,'[1]observations-276632'!X428&gt;'[1]Methods write-up'!$S$21,'[1]observations-276632'!X428&lt;'[1]Methods write-up'!$T$21),"Desert and high aridity","")</f>
        <v>Desert and high aridity</v>
      </c>
      <c r="BD428" s="23" t="str">
        <f t="shared" si="28"/>
        <v>Desert and high aridity</v>
      </c>
      <c r="BE428" s="24">
        <f t="shared" si="26"/>
        <v>16</v>
      </c>
      <c r="BF428" s="24">
        <f t="shared" si="27"/>
        <v>5</v>
      </c>
    </row>
    <row r="429" spans="1:58" ht="16.25" customHeight="1" x14ac:dyDescent="0.2">
      <c r="A429">
        <v>41347368</v>
      </c>
      <c r="B429" t="s">
        <v>3171</v>
      </c>
      <c r="C429" s="14">
        <v>43920</v>
      </c>
      <c r="D429" t="s">
        <v>3172</v>
      </c>
      <c r="E429" t="s">
        <v>113</v>
      </c>
      <c r="F429">
        <v>2282330</v>
      </c>
      <c r="G429" t="s">
        <v>3173</v>
      </c>
      <c r="I429" t="s">
        <v>3174</v>
      </c>
      <c r="J429" t="s">
        <v>3175</v>
      </c>
      <c r="K429" t="s">
        <v>62</v>
      </c>
      <c r="L429" t="s">
        <v>63</v>
      </c>
      <c r="M429" t="s">
        <v>3176</v>
      </c>
      <c r="N429" t="s">
        <v>3177</v>
      </c>
      <c r="P429" t="s">
        <v>3178</v>
      </c>
      <c r="R429">
        <v>4</v>
      </c>
      <c r="S429">
        <v>0</v>
      </c>
      <c r="T429" t="b">
        <v>0</v>
      </c>
      <c r="V429" t="s">
        <v>3179</v>
      </c>
      <c r="W429" s="15">
        <v>-26.104266169999999</v>
      </c>
      <c r="X429" s="15">
        <v>27.83372018</v>
      </c>
      <c r="Y429">
        <v>8</v>
      </c>
      <c r="AC429">
        <v>8</v>
      </c>
      <c r="AF429" t="b">
        <v>0</v>
      </c>
      <c r="AI429" t="s">
        <v>3180</v>
      </c>
      <c r="AJ429" t="s">
        <v>70</v>
      </c>
      <c r="AK429" t="s">
        <v>71</v>
      </c>
      <c r="AL429" t="s">
        <v>72</v>
      </c>
      <c r="AM429">
        <v>346053</v>
      </c>
      <c r="AO429" s="16" t="s">
        <v>73</v>
      </c>
      <c r="AP429" s="17" t="str">
        <f t="shared" si="30"/>
        <v>Off-nest female</v>
      </c>
      <c r="AX429" s="22" t="str">
        <f>IF(AND('[1]observations-276632'!W429&gt;'[1]Methods write-up'!$Q$16,'[1]observations-276632'!W429&lt;'[1]Methods write-up'!$R$16,'[1]observations-276632'!X429&gt;'[1]Methods write-up'!$S$16,'[1]observations-276632'!X429&lt;'[1]Methods write-up'!$T$16),"West and Central Africa","")</f>
        <v/>
      </c>
      <c r="AY429" s="22" t="str">
        <f>IF(AND('[1]observations-276632'!W429&gt;'[1]Methods write-up'!$Q$17,'[1]observations-276632'!W429&lt;'[1]Methods write-up'!$R$17,'[1]observations-276632'!X429&gt;'[1]Methods write-up'!$S$17,'[1]observations-276632'!X429&lt;'[1]Methods write-up'!$T$17),"Equatorial tropical forest","")</f>
        <v/>
      </c>
      <c r="AZ429" s="22" t="str">
        <f>IF(AND('[1]observations-276632'!W429&gt;'[1]Methods write-up'!$Q$18,'[1]observations-276632'!W429&lt;'[1]Methods write-up'!$R$18,'[1]observations-276632'!X429&gt;'[1]Methods write-up'!$S$18,'[1]observations-276632'!X429&lt;'[1]Methods write-up'!$T$18),"Somali peninsula","")</f>
        <v/>
      </c>
      <c r="BA429" s="22" t="str">
        <f>IF(AND('[1]observations-276632'!W429&gt;'[1]Methods write-up'!$Q$19,'[1]observations-276632'!W429&lt;'[1]Methods write-up'!$R$19,'[1]observations-276632'!X429&gt;'[1]Methods write-up'!$S$19,'[1]observations-276632'!X429&lt;'[1]Methods write-up'!$T$19),"East Africa","")</f>
        <v/>
      </c>
      <c r="BB429" s="22" t="str">
        <f>IF(AND('[1]observations-276632'!W429&gt;'[1]Methods write-up'!$Q$20,'[1]observations-276632'!W429&lt;'[1]Methods write-up'!$R$20,'[1]observations-276632'!X429&gt;'[1]Methods write-up'!$S$20,'[1]observations-276632'!X429&lt;'[1]Methods write-up'!$T$20),"Temperate seasonal","")</f>
        <v>Temperate seasonal</v>
      </c>
      <c r="BC429" s="22" t="str">
        <f>IF(AND('[1]observations-276632'!W429&gt;'[1]Methods write-up'!$Q$21,'[1]observations-276632'!W429&lt;'[1]Methods write-up'!$R$21,'[1]observations-276632'!X429&gt;'[1]Methods write-up'!$S$21,'[1]observations-276632'!X429&lt;'[1]Methods write-up'!$T$21),"Desert and high aridity","")</f>
        <v/>
      </c>
      <c r="BD429" s="23" t="str">
        <f t="shared" si="28"/>
        <v>Temperate seasonal</v>
      </c>
      <c r="BE429" s="24">
        <f t="shared" si="26"/>
        <v>30</v>
      </c>
      <c r="BF429" s="24">
        <f t="shared" si="27"/>
        <v>3</v>
      </c>
    </row>
    <row r="430" spans="1:58" ht="16.25" customHeight="1" x14ac:dyDescent="0.2">
      <c r="A430">
        <v>41596354</v>
      </c>
      <c r="B430" t="s">
        <v>3181</v>
      </c>
      <c r="C430" s="14">
        <v>43928</v>
      </c>
      <c r="D430" t="s">
        <v>3182</v>
      </c>
      <c r="E430" t="s">
        <v>113</v>
      </c>
      <c r="F430">
        <v>2719207</v>
      </c>
      <c r="G430" t="s">
        <v>3183</v>
      </c>
      <c r="H430" t="s">
        <v>3184</v>
      </c>
      <c r="I430" t="s">
        <v>3185</v>
      </c>
      <c r="J430" t="s">
        <v>3186</v>
      </c>
      <c r="K430" t="s">
        <v>62</v>
      </c>
      <c r="M430" t="s">
        <v>3187</v>
      </c>
      <c r="N430" t="s">
        <v>3188</v>
      </c>
      <c r="R430">
        <v>3</v>
      </c>
      <c r="S430">
        <v>0</v>
      </c>
      <c r="T430" t="b">
        <v>0</v>
      </c>
      <c r="U430">
        <v>2</v>
      </c>
      <c r="V430" t="s">
        <v>3189</v>
      </c>
      <c r="W430" s="15">
        <v>-25.59401922</v>
      </c>
      <c r="X430" s="15">
        <v>28.326540510000001</v>
      </c>
      <c r="Y430">
        <v>263</v>
      </c>
      <c r="AC430">
        <v>263</v>
      </c>
      <c r="AF430" t="b">
        <v>0</v>
      </c>
      <c r="AG430" t="s">
        <v>350</v>
      </c>
      <c r="AH430" t="s">
        <v>350</v>
      </c>
      <c r="AI430" t="s">
        <v>71</v>
      </c>
      <c r="AJ430" t="s">
        <v>70</v>
      </c>
      <c r="AK430" t="s">
        <v>71</v>
      </c>
      <c r="AL430" t="s">
        <v>72</v>
      </c>
      <c r="AM430">
        <v>346053</v>
      </c>
      <c r="AO430" s="16" t="s">
        <v>73</v>
      </c>
      <c r="AP430" s="17" t="str">
        <f t="shared" si="30"/>
        <v>Off-nest female</v>
      </c>
      <c r="AX430" s="22" t="str">
        <f>IF(AND('[1]observations-276632'!W430&gt;'[1]Methods write-up'!$Q$16,'[1]observations-276632'!W430&lt;'[1]Methods write-up'!$R$16,'[1]observations-276632'!X430&gt;'[1]Methods write-up'!$S$16,'[1]observations-276632'!X430&lt;'[1]Methods write-up'!$T$16),"West and Central Africa","")</f>
        <v/>
      </c>
      <c r="AY430" s="22" t="str">
        <f>IF(AND('[1]observations-276632'!W430&gt;'[1]Methods write-up'!$Q$17,'[1]observations-276632'!W430&lt;'[1]Methods write-up'!$R$17,'[1]observations-276632'!X430&gt;'[1]Methods write-up'!$S$17,'[1]observations-276632'!X430&lt;'[1]Methods write-up'!$T$17),"Equatorial tropical forest","")</f>
        <v/>
      </c>
      <c r="AZ430" s="22" t="str">
        <f>IF(AND('[1]observations-276632'!W430&gt;'[1]Methods write-up'!$Q$18,'[1]observations-276632'!W430&lt;'[1]Methods write-up'!$R$18,'[1]observations-276632'!X430&gt;'[1]Methods write-up'!$S$18,'[1]observations-276632'!X430&lt;'[1]Methods write-up'!$T$18),"Somali peninsula","")</f>
        <v/>
      </c>
      <c r="BA430" s="22" t="str">
        <f>IF(AND('[1]observations-276632'!W430&gt;'[1]Methods write-up'!$Q$19,'[1]observations-276632'!W430&lt;'[1]Methods write-up'!$R$19,'[1]observations-276632'!X430&gt;'[1]Methods write-up'!$S$19,'[1]observations-276632'!X430&lt;'[1]Methods write-up'!$T$19),"East Africa","")</f>
        <v/>
      </c>
      <c r="BB430" s="22" t="str">
        <f>IF(AND('[1]observations-276632'!W430&gt;'[1]Methods write-up'!$Q$20,'[1]observations-276632'!W430&lt;'[1]Methods write-up'!$R$20,'[1]observations-276632'!X430&gt;'[1]Methods write-up'!$S$20,'[1]observations-276632'!X430&lt;'[1]Methods write-up'!$T$20),"Temperate seasonal","")</f>
        <v>Temperate seasonal</v>
      </c>
      <c r="BC430" s="22" t="str">
        <f>IF(AND('[1]observations-276632'!W430&gt;'[1]Methods write-up'!$Q$21,'[1]observations-276632'!W430&lt;'[1]Methods write-up'!$R$21,'[1]observations-276632'!X430&gt;'[1]Methods write-up'!$S$21,'[1]observations-276632'!X430&lt;'[1]Methods write-up'!$T$21),"Desert and high aridity","")</f>
        <v/>
      </c>
      <c r="BD430" s="23" t="str">
        <f t="shared" si="28"/>
        <v>Temperate seasonal</v>
      </c>
      <c r="BE430" s="24">
        <f t="shared" si="26"/>
        <v>7</v>
      </c>
      <c r="BF430" s="24">
        <f t="shared" si="27"/>
        <v>4</v>
      </c>
    </row>
    <row r="431" spans="1:58" ht="16.25" customHeight="1" x14ac:dyDescent="0.2">
      <c r="A431">
        <v>41597092</v>
      </c>
      <c r="B431" t="s">
        <v>3190</v>
      </c>
      <c r="C431" s="14">
        <v>43928</v>
      </c>
      <c r="D431" t="s">
        <v>3191</v>
      </c>
      <c r="E431" t="s">
        <v>113</v>
      </c>
      <c r="F431">
        <v>2719207</v>
      </c>
      <c r="G431" t="s">
        <v>3183</v>
      </c>
      <c r="H431" t="s">
        <v>3184</v>
      </c>
      <c r="I431" t="s">
        <v>3192</v>
      </c>
      <c r="J431" t="s">
        <v>3193</v>
      </c>
      <c r="K431" t="s">
        <v>62</v>
      </c>
      <c r="M431" t="s">
        <v>3194</v>
      </c>
      <c r="N431" t="s">
        <v>3195</v>
      </c>
      <c r="R431">
        <v>3</v>
      </c>
      <c r="S431">
        <v>0</v>
      </c>
      <c r="T431" t="b">
        <v>0</v>
      </c>
      <c r="U431">
        <v>2</v>
      </c>
      <c r="V431" t="s">
        <v>3189</v>
      </c>
      <c r="W431" s="15">
        <v>-25.5941048</v>
      </c>
      <c r="X431" s="15">
        <v>28.32670178</v>
      </c>
      <c r="Y431">
        <v>263</v>
      </c>
      <c r="AC431">
        <v>263</v>
      </c>
      <c r="AF431" t="b">
        <v>0</v>
      </c>
      <c r="AG431" t="s">
        <v>350</v>
      </c>
      <c r="AH431" t="s">
        <v>350</v>
      </c>
      <c r="AI431" t="s">
        <v>71</v>
      </c>
      <c r="AJ431" t="s">
        <v>70</v>
      </c>
      <c r="AK431" t="s">
        <v>71</v>
      </c>
      <c r="AL431" t="s">
        <v>72</v>
      </c>
      <c r="AM431">
        <v>346053</v>
      </c>
      <c r="AO431" s="16" t="s">
        <v>73</v>
      </c>
      <c r="AP431" s="17" t="str">
        <f t="shared" si="30"/>
        <v>Off-nest female</v>
      </c>
      <c r="AX431" s="22" t="str">
        <f>IF(AND('[1]observations-276632'!W431&gt;'[1]Methods write-up'!$Q$16,'[1]observations-276632'!W431&lt;'[1]Methods write-up'!$R$16,'[1]observations-276632'!X431&gt;'[1]Methods write-up'!$S$16,'[1]observations-276632'!X431&lt;'[1]Methods write-up'!$T$16),"West and Central Africa","")</f>
        <v/>
      </c>
      <c r="AY431" s="22" t="str">
        <f>IF(AND('[1]observations-276632'!W431&gt;'[1]Methods write-up'!$Q$17,'[1]observations-276632'!W431&lt;'[1]Methods write-up'!$R$17,'[1]observations-276632'!X431&gt;'[1]Methods write-up'!$S$17,'[1]observations-276632'!X431&lt;'[1]Methods write-up'!$T$17),"Equatorial tropical forest","")</f>
        <v/>
      </c>
      <c r="AZ431" s="22" t="str">
        <f>IF(AND('[1]observations-276632'!W431&gt;'[1]Methods write-up'!$Q$18,'[1]observations-276632'!W431&lt;'[1]Methods write-up'!$R$18,'[1]observations-276632'!X431&gt;'[1]Methods write-up'!$S$18,'[1]observations-276632'!X431&lt;'[1]Methods write-up'!$T$18),"Somali peninsula","")</f>
        <v/>
      </c>
      <c r="BA431" s="22" t="str">
        <f>IF(AND('[1]observations-276632'!W431&gt;'[1]Methods write-up'!$Q$19,'[1]observations-276632'!W431&lt;'[1]Methods write-up'!$R$19,'[1]observations-276632'!X431&gt;'[1]Methods write-up'!$S$19,'[1]observations-276632'!X431&lt;'[1]Methods write-up'!$T$19),"East Africa","")</f>
        <v/>
      </c>
      <c r="BB431" s="22" t="str">
        <f>IF(AND('[1]observations-276632'!W431&gt;'[1]Methods write-up'!$Q$20,'[1]observations-276632'!W431&lt;'[1]Methods write-up'!$R$20,'[1]observations-276632'!X431&gt;'[1]Methods write-up'!$S$20,'[1]observations-276632'!X431&lt;'[1]Methods write-up'!$T$20),"Temperate seasonal","")</f>
        <v>Temperate seasonal</v>
      </c>
      <c r="BC431" s="22" t="str">
        <f>IF(AND('[1]observations-276632'!W431&gt;'[1]Methods write-up'!$Q$21,'[1]observations-276632'!W431&lt;'[1]Methods write-up'!$R$21,'[1]observations-276632'!X431&gt;'[1]Methods write-up'!$S$21,'[1]observations-276632'!X431&lt;'[1]Methods write-up'!$T$21),"Desert and high aridity","")</f>
        <v/>
      </c>
      <c r="BD431" s="23" t="str">
        <f t="shared" si="28"/>
        <v>Temperate seasonal</v>
      </c>
      <c r="BE431" s="24">
        <f t="shared" si="26"/>
        <v>7</v>
      </c>
      <c r="BF431" s="24">
        <f t="shared" si="27"/>
        <v>4</v>
      </c>
    </row>
    <row r="432" spans="1:58" ht="16.25" customHeight="1" x14ac:dyDescent="0.2">
      <c r="A432">
        <v>41809685</v>
      </c>
      <c r="B432" t="s">
        <v>3196</v>
      </c>
      <c r="C432" s="14">
        <v>43931</v>
      </c>
      <c r="D432" t="s">
        <v>3197</v>
      </c>
      <c r="E432" t="s">
        <v>113</v>
      </c>
      <c r="F432">
        <v>2600909</v>
      </c>
      <c r="G432" t="s">
        <v>3006</v>
      </c>
      <c r="H432" t="s">
        <v>3007</v>
      </c>
      <c r="I432" t="s">
        <v>3198</v>
      </c>
      <c r="J432" t="s">
        <v>3199</v>
      </c>
      <c r="K432" t="s">
        <v>62</v>
      </c>
      <c r="L432" t="s">
        <v>63</v>
      </c>
      <c r="M432" t="s">
        <v>3200</v>
      </c>
      <c r="N432" t="s">
        <v>3201</v>
      </c>
      <c r="Q432" t="s">
        <v>3202</v>
      </c>
      <c r="R432">
        <v>2</v>
      </c>
      <c r="S432">
        <v>0</v>
      </c>
      <c r="T432" t="b">
        <v>0</v>
      </c>
      <c r="V432" t="s">
        <v>3203</v>
      </c>
      <c r="W432" s="15">
        <v>-32.675428859999997</v>
      </c>
      <c r="X432" s="15">
        <v>28.371548829999998</v>
      </c>
      <c r="Y432">
        <v>2</v>
      </c>
      <c r="AC432">
        <v>2</v>
      </c>
      <c r="AF432" t="b">
        <v>0</v>
      </c>
      <c r="AI432" t="s">
        <v>71</v>
      </c>
      <c r="AJ432" t="s">
        <v>70</v>
      </c>
      <c r="AK432" t="s">
        <v>71</v>
      </c>
      <c r="AL432" t="s">
        <v>72</v>
      </c>
      <c r="AM432">
        <v>346053</v>
      </c>
      <c r="AO432" s="16" t="s">
        <v>73</v>
      </c>
      <c r="AP432" s="17" t="str">
        <f t="shared" si="30"/>
        <v>Off-nest female</v>
      </c>
      <c r="AX432" s="22" t="str">
        <f>IF(AND('[1]observations-276632'!W432&gt;'[1]Methods write-up'!$Q$16,'[1]observations-276632'!W432&lt;'[1]Methods write-up'!$R$16,'[1]observations-276632'!X432&gt;'[1]Methods write-up'!$S$16,'[1]observations-276632'!X432&lt;'[1]Methods write-up'!$T$16),"West and Central Africa","")</f>
        <v/>
      </c>
      <c r="AY432" s="22" t="str">
        <f>IF(AND('[1]observations-276632'!W432&gt;'[1]Methods write-up'!$Q$17,'[1]observations-276632'!W432&lt;'[1]Methods write-up'!$R$17,'[1]observations-276632'!X432&gt;'[1]Methods write-up'!$S$17,'[1]observations-276632'!X432&lt;'[1]Methods write-up'!$T$17),"Equatorial tropical forest","")</f>
        <v/>
      </c>
      <c r="AZ432" s="22" t="str">
        <f>IF(AND('[1]observations-276632'!W432&gt;'[1]Methods write-up'!$Q$18,'[1]observations-276632'!W432&lt;'[1]Methods write-up'!$R$18,'[1]observations-276632'!X432&gt;'[1]Methods write-up'!$S$18,'[1]observations-276632'!X432&lt;'[1]Methods write-up'!$T$18),"Somali peninsula","")</f>
        <v/>
      </c>
      <c r="BA432" s="22" t="str">
        <f>IF(AND('[1]observations-276632'!W432&gt;'[1]Methods write-up'!$Q$19,'[1]observations-276632'!W432&lt;'[1]Methods write-up'!$R$19,'[1]observations-276632'!X432&gt;'[1]Methods write-up'!$S$19,'[1]observations-276632'!X432&lt;'[1]Methods write-up'!$T$19),"East Africa","")</f>
        <v/>
      </c>
      <c r="BB432" s="22" t="str">
        <f>IF(AND('[1]observations-276632'!W432&gt;'[1]Methods write-up'!$Q$20,'[1]observations-276632'!W432&lt;'[1]Methods write-up'!$R$20,'[1]observations-276632'!X432&gt;'[1]Methods write-up'!$S$20,'[1]observations-276632'!X432&lt;'[1]Methods write-up'!$T$20),"Temperate seasonal","")</f>
        <v>Temperate seasonal</v>
      </c>
      <c r="BC432" s="22" t="str">
        <f>IF(AND('[1]observations-276632'!W432&gt;'[1]Methods write-up'!$Q$21,'[1]observations-276632'!W432&lt;'[1]Methods write-up'!$R$21,'[1]observations-276632'!X432&gt;'[1]Methods write-up'!$S$21,'[1]observations-276632'!X432&lt;'[1]Methods write-up'!$T$21),"Desert and high aridity","")</f>
        <v/>
      </c>
      <c r="BD432" s="23" t="str">
        <f t="shared" si="28"/>
        <v>Temperate seasonal</v>
      </c>
      <c r="BE432" s="24">
        <f t="shared" si="26"/>
        <v>10</v>
      </c>
      <c r="BF432" s="24">
        <f t="shared" si="27"/>
        <v>4</v>
      </c>
    </row>
    <row r="433" spans="1:58" ht="16.25" customHeight="1" x14ac:dyDescent="0.2">
      <c r="A433">
        <v>42180790</v>
      </c>
      <c r="B433" t="s">
        <v>3204</v>
      </c>
      <c r="C433" s="14">
        <v>43822</v>
      </c>
      <c r="D433" t="s">
        <v>3205</v>
      </c>
      <c r="E433" t="s">
        <v>201</v>
      </c>
      <c r="F433">
        <v>1876348</v>
      </c>
      <c r="G433" t="s">
        <v>3206</v>
      </c>
      <c r="H433" t="s">
        <v>3207</v>
      </c>
      <c r="I433" t="s">
        <v>3208</v>
      </c>
      <c r="J433" t="s">
        <v>3209</v>
      </c>
      <c r="K433" t="s">
        <v>62</v>
      </c>
      <c r="L433" t="s">
        <v>118</v>
      </c>
      <c r="M433" t="s">
        <v>3210</v>
      </c>
      <c r="N433" t="s">
        <v>3211</v>
      </c>
      <c r="Q433" t="s">
        <v>3212</v>
      </c>
      <c r="R433">
        <v>0</v>
      </c>
      <c r="S433">
        <v>0</v>
      </c>
      <c r="T433" t="b">
        <v>0</v>
      </c>
      <c r="V433" t="s">
        <v>3213</v>
      </c>
      <c r="W433" s="15">
        <v>-2.3333333000000001</v>
      </c>
      <c r="X433" s="15">
        <v>34.8333333</v>
      </c>
      <c r="Y433">
        <v>185113</v>
      </c>
      <c r="AC433">
        <v>185113</v>
      </c>
      <c r="AF433" t="b">
        <v>0</v>
      </c>
      <c r="AI433" t="s">
        <v>102</v>
      </c>
      <c r="AJ433" t="s">
        <v>102</v>
      </c>
      <c r="AL433" t="s">
        <v>72</v>
      </c>
      <c r="AM433">
        <v>1070939</v>
      </c>
      <c r="AO433" s="16" t="s">
        <v>140</v>
      </c>
      <c r="AP433" s="17" t="str">
        <f t="shared" si="30"/>
        <v>Post-emergence nest</v>
      </c>
      <c r="AQ433" s="18">
        <v>3</v>
      </c>
      <c r="AT433" s="19" t="s">
        <v>104</v>
      </c>
      <c r="AU433" s="20" t="s">
        <v>104</v>
      </c>
      <c r="AX433" s="22" t="str">
        <f>IF(AND('[1]observations-276632'!W433&gt;'[1]Methods write-up'!$Q$16,'[1]observations-276632'!W433&lt;'[1]Methods write-up'!$R$16,'[1]observations-276632'!X433&gt;'[1]Methods write-up'!$S$16,'[1]observations-276632'!X433&lt;'[1]Methods write-up'!$T$16),"West and Central Africa","")</f>
        <v/>
      </c>
      <c r="AY433" s="22" t="str">
        <f>IF(AND('[1]observations-276632'!W433&gt;'[1]Methods write-up'!$Q$17,'[1]observations-276632'!W433&lt;'[1]Methods write-up'!$R$17,'[1]observations-276632'!X433&gt;'[1]Methods write-up'!$S$17,'[1]observations-276632'!X433&lt;'[1]Methods write-up'!$T$17),"Equatorial tropical forest","")</f>
        <v/>
      </c>
      <c r="AZ433" s="22" t="str">
        <f>IF(AND('[1]observations-276632'!W433&gt;'[1]Methods write-up'!$Q$18,'[1]observations-276632'!W433&lt;'[1]Methods write-up'!$R$18,'[1]observations-276632'!X433&gt;'[1]Methods write-up'!$S$18,'[1]observations-276632'!X433&lt;'[1]Methods write-up'!$T$18),"Somali peninsula","")</f>
        <v/>
      </c>
      <c r="BA433" s="22" t="str">
        <f>IF(AND('[1]observations-276632'!W433&gt;'[1]Methods write-up'!$Q$19,'[1]observations-276632'!W433&lt;'[1]Methods write-up'!$R$19,'[1]observations-276632'!X433&gt;'[1]Methods write-up'!$S$19,'[1]observations-276632'!X433&lt;'[1]Methods write-up'!$T$19),"East Africa","")</f>
        <v>East Africa</v>
      </c>
      <c r="BB433" s="22" t="str">
        <f>IF(AND('[1]observations-276632'!W433&gt;'[1]Methods write-up'!$Q$20,'[1]observations-276632'!W433&lt;'[1]Methods write-up'!$R$20,'[1]observations-276632'!X433&gt;'[1]Methods write-up'!$S$20,'[1]observations-276632'!X433&lt;'[1]Methods write-up'!$T$20),"Temperate seasonal","")</f>
        <v/>
      </c>
      <c r="BC433" s="22" t="str">
        <f>IF(AND('[1]observations-276632'!W433&gt;'[1]Methods write-up'!$Q$21,'[1]observations-276632'!W433&lt;'[1]Methods write-up'!$R$21,'[1]observations-276632'!X433&gt;'[1]Methods write-up'!$S$21,'[1]observations-276632'!X433&lt;'[1]Methods write-up'!$T$21),"Desert and high aridity","")</f>
        <v/>
      </c>
      <c r="BD433" s="23" t="str">
        <f t="shared" si="28"/>
        <v>East Africa</v>
      </c>
      <c r="BE433" s="24">
        <f t="shared" si="26"/>
        <v>23</v>
      </c>
      <c r="BF433" s="24">
        <f t="shared" si="27"/>
        <v>12</v>
      </c>
    </row>
    <row r="434" spans="1:58" ht="16.25" customHeight="1" x14ac:dyDescent="0.2">
      <c r="A434">
        <v>42581148</v>
      </c>
      <c r="B434" t="s">
        <v>3214</v>
      </c>
      <c r="C434" s="14">
        <v>43939</v>
      </c>
      <c r="D434" t="s">
        <v>3215</v>
      </c>
      <c r="E434" t="s">
        <v>57</v>
      </c>
      <c r="F434">
        <v>2498450</v>
      </c>
      <c r="G434" t="s">
        <v>2851</v>
      </c>
      <c r="H434" t="s">
        <v>2852</v>
      </c>
      <c r="I434" t="s">
        <v>3216</v>
      </c>
      <c r="J434" t="s">
        <v>3217</v>
      </c>
      <c r="K434" t="s">
        <v>62</v>
      </c>
      <c r="M434" t="s">
        <v>3218</v>
      </c>
      <c r="N434" t="s">
        <v>3219</v>
      </c>
      <c r="Q434" t="s">
        <v>3220</v>
      </c>
      <c r="R434">
        <v>3</v>
      </c>
      <c r="S434">
        <v>0</v>
      </c>
      <c r="T434" t="b">
        <v>0</v>
      </c>
      <c r="V434" t="s">
        <v>2857</v>
      </c>
      <c r="W434" s="15">
        <v>-29.801171499999999</v>
      </c>
      <c r="X434" s="15">
        <v>30.853323140000001</v>
      </c>
      <c r="Y434">
        <v>57</v>
      </c>
      <c r="AC434">
        <v>57</v>
      </c>
      <c r="AF434" t="b">
        <v>0</v>
      </c>
      <c r="AI434" t="s">
        <v>71</v>
      </c>
      <c r="AJ434" t="s">
        <v>70</v>
      </c>
      <c r="AK434" t="s">
        <v>71</v>
      </c>
      <c r="AL434" t="s">
        <v>72</v>
      </c>
      <c r="AM434">
        <v>346053</v>
      </c>
      <c r="AO434" s="16" t="s">
        <v>442</v>
      </c>
      <c r="AP434" s="17" t="str">
        <f t="shared" si="30"/>
        <v>Dead female</v>
      </c>
      <c r="AX434" s="22" t="str">
        <f>IF(AND('[1]observations-276632'!W434&gt;'[1]Methods write-up'!$Q$16,'[1]observations-276632'!W434&lt;'[1]Methods write-up'!$R$16,'[1]observations-276632'!X434&gt;'[1]Methods write-up'!$S$16,'[1]observations-276632'!X434&lt;'[1]Methods write-up'!$T$16),"West and Central Africa","")</f>
        <v/>
      </c>
      <c r="AY434" s="22" t="str">
        <f>IF(AND('[1]observations-276632'!W434&gt;'[1]Methods write-up'!$Q$17,'[1]observations-276632'!W434&lt;'[1]Methods write-up'!$R$17,'[1]observations-276632'!X434&gt;'[1]Methods write-up'!$S$17,'[1]observations-276632'!X434&lt;'[1]Methods write-up'!$T$17),"Equatorial tropical forest","")</f>
        <v/>
      </c>
      <c r="AZ434" s="22" t="str">
        <f>IF(AND('[1]observations-276632'!W434&gt;'[1]Methods write-up'!$Q$18,'[1]observations-276632'!W434&lt;'[1]Methods write-up'!$R$18,'[1]observations-276632'!X434&gt;'[1]Methods write-up'!$S$18,'[1]observations-276632'!X434&lt;'[1]Methods write-up'!$T$18),"Somali peninsula","")</f>
        <v/>
      </c>
      <c r="BA434" s="22" t="str">
        <f>IF(AND('[1]observations-276632'!W434&gt;'[1]Methods write-up'!$Q$19,'[1]observations-276632'!W434&lt;'[1]Methods write-up'!$R$19,'[1]observations-276632'!X434&gt;'[1]Methods write-up'!$S$19,'[1]observations-276632'!X434&lt;'[1]Methods write-up'!$T$19),"East Africa","")</f>
        <v/>
      </c>
      <c r="BB434" s="22" t="str">
        <f>IF(AND('[1]observations-276632'!W434&gt;'[1]Methods write-up'!$Q$20,'[1]observations-276632'!W434&lt;'[1]Methods write-up'!$R$20,'[1]observations-276632'!X434&gt;'[1]Methods write-up'!$S$20,'[1]observations-276632'!X434&lt;'[1]Methods write-up'!$T$20),"Temperate seasonal","")</f>
        <v>Temperate seasonal</v>
      </c>
      <c r="BC434" s="22" t="str">
        <f>IF(AND('[1]observations-276632'!W434&gt;'[1]Methods write-up'!$Q$21,'[1]observations-276632'!W434&lt;'[1]Methods write-up'!$R$21,'[1]observations-276632'!X434&gt;'[1]Methods write-up'!$S$21,'[1]observations-276632'!X434&lt;'[1]Methods write-up'!$T$21),"Desert and high aridity","")</f>
        <v/>
      </c>
      <c r="BD434" s="23" t="str">
        <f t="shared" si="28"/>
        <v>Temperate seasonal</v>
      </c>
      <c r="BE434" s="24">
        <f t="shared" si="26"/>
        <v>18</v>
      </c>
      <c r="BF434" s="24">
        <f t="shared" si="27"/>
        <v>4</v>
      </c>
    </row>
    <row r="435" spans="1:58" ht="16.25" customHeight="1" x14ac:dyDescent="0.2">
      <c r="A435">
        <v>42591975</v>
      </c>
      <c r="B435" t="s">
        <v>3221</v>
      </c>
      <c r="C435" s="14">
        <v>43939</v>
      </c>
      <c r="D435" t="s">
        <v>3222</v>
      </c>
      <c r="E435" t="s">
        <v>113</v>
      </c>
      <c r="F435">
        <v>1668995</v>
      </c>
      <c r="G435" t="s">
        <v>3223</v>
      </c>
      <c r="H435" t="s">
        <v>3224</v>
      </c>
      <c r="I435" t="s">
        <v>3225</v>
      </c>
      <c r="J435" t="s">
        <v>3226</v>
      </c>
      <c r="K435" t="s">
        <v>62</v>
      </c>
      <c r="M435" t="s">
        <v>3227</v>
      </c>
      <c r="N435" t="s">
        <v>3228</v>
      </c>
      <c r="R435">
        <v>4</v>
      </c>
      <c r="S435">
        <v>0</v>
      </c>
      <c r="T435" t="b">
        <v>0</v>
      </c>
      <c r="V435" t="s">
        <v>2936</v>
      </c>
      <c r="W435" s="15">
        <v>-34.003886629999997</v>
      </c>
      <c r="X435" s="15">
        <v>23.257243129999999</v>
      </c>
      <c r="Y435">
        <v>2</v>
      </c>
      <c r="AC435">
        <v>2</v>
      </c>
      <c r="AF435" t="b">
        <v>0</v>
      </c>
      <c r="AI435" t="s">
        <v>71</v>
      </c>
      <c r="AJ435" t="s">
        <v>70</v>
      </c>
      <c r="AK435" t="s">
        <v>71</v>
      </c>
      <c r="AL435" t="s">
        <v>72</v>
      </c>
      <c r="AM435">
        <v>346053</v>
      </c>
      <c r="AO435" s="16" t="s">
        <v>73</v>
      </c>
      <c r="AP435" s="17" t="str">
        <f t="shared" si="30"/>
        <v>Off-nest female</v>
      </c>
      <c r="AX435" s="22" t="str">
        <f>IF(AND('[1]observations-276632'!W435&gt;'[1]Methods write-up'!$Q$16,'[1]observations-276632'!W435&lt;'[1]Methods write-up'!$R$16,'[1]observations-276632'!X435&gt;'[1]Methods write-up'!$S$16,'[1]observations-276632'!X435&lt;'[1]Methods write-up'!$T$16),"West and Central Africa","")</f>
        <v/>
      </c>
      <c r="AY435" s="22" t="str">
        <f>IF(AND('[1]observations-276632'!W435&gt;'[1]Methods write-up'!$Q$17,'[1]observations-276632'!W435&lt;'[1]Methods write-up'!$R$17,'[1]observations-276632'!X435&gt;'[1]Methods write-up'!$S$17,'[1]observations-276632'!X435&lt;'[1]Methods write-up'!$T$17),"Equatorial tropical forest","")</f>
        <v/>
      </c>
      <c r="AZ435" s="22" t="str">
        <f>IF(AND('[1]observations-276632'!W435&gt;'[1]Methods write-up'!$Q$18,'[1]observations-276632'!W435&lt;'[1]Methods write-up'!$R$18,'[1]observations-276632'!X435&gt;'[1]Methods write-up'!$S$18,'[1]observations-276632'!X435&lt;'[1]Methods write-up'!$T$18),"Somali peninsula","")</f>
        <v/>
      </c>
      <c r="BA435" s="22" t="str">
        <f>IF(AND('[1]observations-276632'!W435&gt;'[1]Methods write-up'!$Q$19,'[1]observations-276632'!W435&lt;'[1]Methods write-up'!$R$19,'[1]observations-276632'!X435&gt;'[1]Methods write-up'!$S$19,'[1]observations-276632'!X435&lt;'[1]Methods write-up'!$T$19),"East Africa","")</f>
        <v/>
      </c>
      <c r="BB435" s="22" t="str">
        <f>IF(AND('[1]observations-276632'!W435&gt;'[1]Methods write-up'!$Q$20,'[1]observations-276632'!W435&lt;'[1]Methods write-up'!$R$20,'[1]observations-276632'!X435&gt;'[1]Methods write-up'!$S$20,'[1]observations-276632'!X435&lt;'[1]Methods write-up'!$T$20),"Temperate seasonal","")</f>
        <v/>
      </c>
      <c r="BC435" s="22" t="str">
        <f>IF(AND('[1]observations-276632'!W435&gt;'[1]Methods write-up'!$Q$21,'[1]observations-276632'!W435&lt;'[1]Methods write-up'!$R$21,'[1]observations-276632'!X435&gt;'[1]Methods write-up'!$S$21,'[1]observations-276632'!X435&lt;'[1]Methods write-up'!$T$21),"Desert and high aridity","")</f>
        <v/>
      </c>
      <c r="BD435" s="23" t="str">
        <f t="shared" si="28"/>
        <v/>
      </c>
      <c r="BE435" s="24">
        <f t="shared" si="26"/>
        <v>18</v>
      </c>
      <c r="BF435" s="24">
        <f t="shared" si="27"/>
        <v>4</v>
      </c>
    </row>
    <row r="436" spans="1:58" ht="16.25" customHeight="1" x14ac:dyDescent="0.2">
      <c r="A436">
        <v>42785958</v>
      </c>
      <c r="B436" t="s">
        <v>3229</v>
      </c>
      <c r="C436" s="14">
        <v>43942</v>
      </c>
      <c r="D436" t="s">
        <v>3230</v>
      </c>
      <c r="E436" t="s">
        <v>113</v>
      </c>
      <c r="F436">
        <v>919758</v>
      </c>
      <c r="G436" t="s">
        <v>3231</v>
      </c>
      <c r="H436" t="s">
        <v>3232</v>
      </c>
      <c r="I436" t="s">
        <v>3233</v>
      </c>
      <c r="J436" t="s">
        <v>3234</v>
      </c>
      <c r="K436" t="s">
        <v>62</v>
      </c>
      <c r="M436" t="s">
        <v>3235</v>
      </c>
      <c r="N436" t="s">
        <v>3236</v>
      </c>
      <c r="R436">
        <v>4</v>
      </c>
      <c r="S436">
        <v>0</v>
      </c>
      <c r="T436" t="b">
        <v>0</v>
      </c>
      <c r="V436" t="s">
        <v>3237</v>
      </c>
      <c r="W436" s="15">
        <v>-25.732768050000001</v>
      </c>
      <c r="X436" s="15">
        <v>28.023296739999999</v>
      </c>
      <c r="Y436">
        <v>2</v>
      </c>
      <c r="AC436">
        <v>2</v>
      </c>
      <c r="AF436" t="b">
        <v>0</v>
      </c>
      <c r="AI436" t="s">
        <v>71</v>
      </c>
      <c r="AJ436" t="s">
        <v>70</v>
      </c>
      <c r="AK436" t="s">
        <v>71</v>
      </c>
      <c r="AL436" t="s">
        <v>72</v>
      </c>
      <c r="AM436">
        <v>346053</v>
      </c>
      <c r="AO436" s="16" t="s">
        <v>73</v>
      </c>
      <c r="AP436" s="17" t="str">
        <f t="shared" si="30"/>
        <v>Off-nest female</v>
      </c>
      <c r="AX436" s="22" t="str">
        <f>IF(AND('[1]observations-276632'!W436&gt;'[1]Methods write-up'!$Q$16,'[1]observations-276632'!W436&lt;'[1]Methods write-up'!$R$16,'[1]observations-276632'!X436&gt;'[1]Methods write-up'!$S$16,'[1]observations-276632'!X436&lt;'[1]Methods write-up'!$T$16),"West and Central Africa","")</f>
        <v/>
      </c>
      <c r="AY436" s="22" t="str">
        <f>IF(AND('[1]observations-276632'!W436&gt;'[1]Methods write-up'!$Q$17,'[1]observations-276632'!W436&lt;'[1]Methods write-up'!$R$17,'[1]observations-276632'!X436&gt;'[1]Methods write-up'!$S$17,'[1]observations-276632'!X436&lt;'[1]Methods write-up'!$T$17),"Equatorial tropical forest","")</f>
        <v/>
      </c>
      <c r="AZ436" s="22" t="str">
        <f>IF(AND('[1]observations-276632'!W436&gt;'[1]Methods write-up'!$Q$18,'[1]observations-276632'!W436&lt;'[1]Methods write-up'!$R$18,'[1]observations-276632'!X436&gt;'[1]Methods write-up'!$S$18,'[1]observations-276632'!X436&lt;'[1]Methods write-up'!$T$18),"Somali peninsula","")</f>
        <v/>
      </c>
      <c r="BA436" s="22" t="str">
        <f>IF(AND('[1]observations-276632'!W436&gt;'[1]Methods write-up'!$Q$19,'[1]observations-276632'!W436&lt;'[1]Methods write-up'!$R$19,'[1]observations-276632'!X436&gt;'[1]Methods write-up'!$S$19,'[1]observations-276632'!X436&lt;'[1]Methods write-up'!$T$19),"East Africa","")</f>
        <v/>
      </c>
      <c r="BB436" s="22" t="str">
        <f>IF(AND('[1]observations-276632'!W436&gt;'[1]Methods write-up'!$Q$20,'[1]observations-276632'!W436&lt;'[1]Methods write-up'!$R$20,'[1]observations-276632'!X436&gt;'[1]Methods write-up'!$S$20,'[1]observations-276632'!X436&lt;'[1]Methods write-up'!$T$20),"Temperate seasonal","")</f>
        <v>Temperate seasonal</v>
      </c>
      <c r="BC436" s="22" t="str">
        <f>IF(AND('[1]observations-276632'!W436&gt;'[1]Methods write-up'!$Q$21,'[1]observations-276632'!W436&lt;'[1]Methods write-up'!$R$21,'[1]observations-276632'!X436&gt;'[1]Methods write-up'!$S$21,'[1]observations-276632'!X436&lt;'[1]Methods write-up'!$T$21),"Desert and high aridity","")</f>
        <v/>
      </c>
      <c r="BD436" s="23" t="str">
        <f t="shared" si="28"/>
        <v>Temperate seasonal</v>
      </c>
      <c r="BE436" s="24">
        <f t="shared" si="26"/>
        <v>21</v>
      </c>
      <c r="BF436" s="24">
        <f t="shared" si="27"/>
        <v>4</v>
      </c>
    </row>
    <row r="437" spans="1:58" ht="16.25" customHeight="1" x14ac:dyDescent="0.2">
      <c r="A437">
        <v>42865976</v>
      </c>
      <c r="B437" t="s">
        <v>3238</v>
      </c>
      <c r="C437" s="14">
        <v>43943</v>
      </c>
      <c r="E437" t="s">
        <v>1408</v>
      </c>
      <c r="F437">
        <v>2727604</v>
      </c>
      <c r="G437" t="s">
        <v>3239</v>
      </c>
      <c r="I437" t="s">
        <v>3240</v>
      </c>
      <c r="J437" t="s">
        <v>3241</v>
      </c>
      <c r="K437" t="s">
        <v>62</v>
      </c>
      <c r="L437" t="s">
        <v>63</v>
      </c>
      <c r="M437" t="s">
        <v>3242</v>
      </c>
      <c r="N437" t="s">
        <v>3243</v>
      </c>
      <c r="Q437" t="s">
        <v>3244</v>
      </c>
      <c r="R437">
        <v>4</v>
      </c>
      <c r="S437">
        <v>0</v>
      </c>
      <c r="T437" t="b">
        <v>0</v>
      </c>
      <c r="V437" t="s">
        <v>3245</v>
      </c>
      <c r="W437" s="15">
        <v>-34.053179200000002</v>
      </c>
      <c r="X437" s="15">
        <v>23.078847060000001</v>
      </c>
      <c r="Y437">
        <v>4</v>
      </c>
      <c r="AC437">
        <v>4</v>
      </c>
      <c r="AF437" t="b">
        <v>0</v>
      </c>
      <c r="AI437" t="s">
        <v>71</v>
      </c>
      <c r="AJ437" t="s">
        <v>70</v>
      </c>
      <c r="AK437" t="s">
        <v>71</v>
      </c>
      <c r="AL437" t="s">
        <v>72</v>
      </c>
      <c r="AM437">
        <v>346053</v>
      </c>
      <c r="AO437" s="16" t="s">
        <v>73</v>
      </c>
      <c r="AP437" s="17" t="str">
        <f t="shared" si="30"/>
        <v>Off-nest female</v>
      </c>
      <c r="AX437" s="22" t="str">
        <f>IF(AND('[1]observations-276632'!W437&gt;'[1]Methods write-up'!$Q$16,'[1]observations-276632'!W437&lt;'[1]Methods write-up'!$R$16,'[1]observations-276632'!X437&gt;'[1]Methods write-up'!$S$16,'[1]observations-276632'!X437&lt;'[1]Methods write-up'!$T$16),"West and Central Africa","")</f>
        <v/>
      </c>
      <c r="AY437" s="22" t="str">
        <f>IF(AND('[1]observations-276632'!W437&gt;'[1]Methods write-up'!$Q$17,'[1]observations-276632'!W437&lt;'[1]Methods write-up'!$R$17,'[1]observations-276632'!X437&gt;'[1]Methods write-up'!$S$17,'[1]observations-276632'!X437&lt;'[1]Methods write-up'!$T$17),"Equatorial tropical forest","")</f>
        <v/>
      </c>
      <c r="AZ437" s="22" t="str">
        <f>IF(AND('[1]observations-276632'!W437&gt;'[1]Methods write-up'!$Q$18,'[1]observations-276632'!W437&lt;'[1]Methods write-up'!$R$18,'[1]observations-276632'!X437&gt;'[1]Methods write-up'!$S$18,'[1]observations-276632'!X437&lt;'[1]Methods write-up'!$T$18),"Somali peninsula","")</f>
        <v/>
      </c>
      <c r="BA437" s="22" t="str">
        <f>IF(AND('[1]observations-276632'!W437&gt;'[1]Methods write-up'!$Q$19,'[1]observations-276632'!W437&lt;'[1]Methods write-up'!$R$19,'[1]observations-276632'!X437&gt;'[1]Methods write-up'!$S$19,'[1]observations-276632'!X437&lt;'[1]Methods write-up'!$T$19),"East Africa","")</f>
        <v/>
      </c>
      <c r="BB437" s="22" t="str">
        <f>IF(AND('[1]observations-276632'!W437&gt;'[1]Methods write-up'!$Q$20,'[1]observations-276632'!W437&lt;'[1]Methods write-up'!$R$20,'[1]observations-276632'!X437&gt;'[1]Methods write-up'!$S$20,'[1]observations-276632'!X437&lt;'[1]Methods write-up'!$T$20),"Temperate seasonal","")</f>
        <v/>
      </c>
      <c r="BC437" s="22" t="str">
        <f>IF(AND('[1]observations-276632'!W437&gt;'[1]Methods write-up'!$Q$21,'[1]observations-276632'!W437&lt;'[1]Methods write-up'!$R$21,'[1]observations-276632'!X437&gt;'[1]Methods write-up'!$S$21,'[1]observations-276632'!X437&lt;'[1]Methods write-up'!$T$21),"Desert and high aridity","")</f>
        <v/>
      </c>
      <c r="BD437" s="23" t="str">
        <f t="shared" si="28"/>
        <v/>
      </c>
      <c r="BE437" s="24">
        <f t="shared" si="26"/>
        <v>22</v>
      </c>
      <c r="BF437" s="24">
        <f t="shared" si="27"/>
        <v>4</v>
      </c>
    </row>
    <row r="438" spans="1:58" ht="16.25" customHeight="1" x14ac:dyDescent="0.2">
      <c r="A438">
        <v>42930827</v>
      </c>
      <c r="B438" t="s">
        <v>3246</v>
      </c>
      <c r="C438" s="14">
        <v>43944</v>
      </c>
      <c r="D438" t="s">
        <v>3247</v>
      </c>
      <c r="E438" t="s">
        <v>113</v>
      </c>
      <c r="F438">
        <v>611863</v>
      </c>
      <c r="G438" t="s">
        <v>825</v>
      </c>
      <c r="I438" t="s">
        <v>3248</v>
      </c>
      <c r="J438" t="s">
        <v>3249</v>
      </c>
      <c r="K438" t="s">
        <v>157</v>
      </c>
      <c r="L438" t="s">
        <v>98</v>
      </c>
      <c r="M438" t="s">
        <v>3250</v>
      </c>
      <c r="N438" t="s">
        <v>3251</v>
      </c>
      <c r="R438">
        <v>3</v>
      </c>
      <c r="S438">
        <v>0</v>
      </c>
      <c r="T438" t="b">
        <v>0</v>
      </c>
      <c r="U438">
        <v>3</v>
      </c>
      <c r="V438" t="s">
        <v>2544</v>
      </c>
      <c r="W438" s="15">
        <v>-29.845072179999999</v>
      </c>
      <c r="X438" s="15">
        <v>30.919723739999998</v>
      </c>
      <c r="Y438">
        <v>5</v>
      </c>
      <c r="AC438">
        <v>5</v>
      </c>
      <c r="AF438" t="b">
        <v>0</v>
      </c>
      <c r="AI438" t="s">
        <v>71</v>
      </c>
      <c r="AJ438" t="s">
        <v>70</v>
      </c>
      <c r="AK438" t="s">
        <v>71</v>
      </c>
      <c r="AL438" t="s">
        <v>72</v>
      </c>
      <c r="AM438">
        <v>346053</v>
      </c>
      <c r="AO438" s="16" t="s">
        <v>140</v>
      </c>
      <c r="AP438" s="17" t="str">
        <f t="shared" si="30"/>
        <v>Post-emergence nest</v>
      </c>
      <c r="AQ438" s="18">
        <v>17</v>
      </c>
      <c r="AT438" s="19" t="s">
        <v>141</v>
      </c>
      <c r="AU438" s="20" t="s">
        <v>315</v>
      </c>
      <c r="AX438" s="22" t="str">
        <f>IF(AND('[1]observations-276632'!W438&gt;'[1]Methods write-up'!$Q$16,'[1]observations-276632'!W438&lt;'[1]Methods write-up'!$R$16,'[1]observations-276632'!X438&gt;'[1]Methods write-up'!$S$16,'[1]observations-276632'!X438&lt;'[1]Methods write-up'!$T$16),"West and Central Africa","")</f>
        <v/>
      </c>
      <c r="AY438" s="22" t="str">
        <f>IF(AND('[1]observations-276632'!W438&gt;'[1]Methods write-up'!$Q$17,'[1]observations-276632'!W438&lt;'[1]Methods write-up'!$R$17,'[1]observations-276632'!X438&gt;'[1]Methods write-up'!$S$17,'[1]observations-276632'!X438&lt;'[1]Methods write-up'!$T$17),"Equatorial tropical forest","")</f>
        <v/>
      </c>
      <c r="AZ438" s="22" t="str">
        <f>IF(AND('[1]observations-276632'!W438&gt;'[1]Methods write-up'!$Q$18,'[1]observations-276632'!W438&lt;'[1]Methods write-up'!$R$18,'[1]observations-276632'!X438&gt;'[1]Methods write-up'!$S$18,'[1]observations-276632'!X438&lt;'[1]Methods write-up'!$T$18),"Somali peninsula","")</f>
        <v/>
      </c>
      <c r="BA438" s="22" t="str">
        <f>IF(AND('[1]observations-276632'!W438&gt;'[1]Methods write-up'!$Q$19,'[1]observations-276632'!W438&lt;'[1]Methods write-up'!$R$19,'[1]observations-276632'!X438&gt;'[1]Methods write-up'!$S$19,'[1]observations-276632'!X438&lt;'[1]Methods write-up'!$T$19),"East Africa","")</f>
        <v/>
      </c>
      <c r="BB438" s="22" t="str">
        <f>IF(AND('[1]observations-276632'!W438&gt;'[1]Methods write-up'!$Q$20,'[1]observations-276632'!W438&lt;'[1]Methods write-up'!$R$20,'[1]observations-276632'!X438&gt;'[1]Methods write-up'!$S$20,'[1]observations-276632'!X438&lt;'[1]Methods write-up'!$T$20),"Temperate seasonal","")</f>
        <v>Temperate seasonal</v>
      </c>
      <c r="BC438" s="22" t="str">
        <f>IF(AND('[1]observations-276632'!W438&gt;'[1]Methods write-up'!$Q$21,'[1]observations-276632'!W438&lt;'[1]Methods write-up'!$R$21,'[1]observations-276632'!X438&gt;'[1]Methods write-up'!$S$21,'[1]observations-276632'!X438&lt;'[1]Methods write-up'!$T$21),"Desert and high aridity","")</f>
        <v/>
      </c>
      <c r="BD438" s="23" t="str">
        <f t="shared" si="28"/>
        <v>Temperate seasonal</v>
      </c>
      <c r="BE438" s="24">
        <f t="shared" si="26"/>
        <v>23</v>
      </c>
      <c r="BF438" s="24">
        <f t="shared" si="27"/>
        <v>4</v>
      </c>
    </row>
    <row r="439" spans="1:58" ht="16.25" customHeight="1" x14ac:dyDescent="0.2">
      <c r="A439">
        <v>43070287</v>
      </c>
      <c r="B439" t="s">
        <v>3252</v>
      </c>
      <c r="C439" s="14">
        <v>43945</v>
      </c>
      <c r="D439" t="s">
        <v>3253</v>
      </c>
      <c r="E439" t="s">
        <v>113</v>
      </c>
      <c r="F439">
        <v>662724</v>
      </c>
      <c r="G439" t="s">
        <v>903</v>
      </c>
      <c r="H439" t="s">
        <v>904</v>
      </c>
      <c r="I439" t="s">
        <v>3254</v>
      </c>
      <c r="J439" t="s">
        <v>3255</v>
      </c>
      <c r="K439" t="s">
        <v>62</v>
      </c>
      <c r="L439" t="s">
        <v>63</v>
      </c>
      <c r="M439" t="s">
        <v>3256</v>
      </c>
      <c r="N439" t="s">
        <v>3257</v>
      </c>
      <c r="Q439" s="26" t="s">
        <v>3258</v>
      </c>
      <c r="R439">
        <v>4</v>
      </c>
      <c r="S439">
        <v>0</v>
      </c>
      <c r="T439" t="b">
        <v>0</v>
      </c>
      <c r="V439" t="s">
        <v>1146</v>
      </c>
      <c r="W439" s="15">
        <v>-30.301135089999999</v>
      </c>
      <c r="X439" s="15">
        <v>30.742451469999999</v>
      </c>
      <c r="Y439">
        <v>2</v>
      </c>
      <c r="AC439">
        <v>2</v>
      </c>
      <c r="AF439" t="b">
        <v>0</v>
      </c>
      <c r="AI439" t="s">
        <v>71</v>
      </c>
      <c r="AJ439" t="s">
        <v>70</v>
      </c>
      <c r="AK439" t="s">
        <v>71</v>
      </c>
      <c r="AL439" t="s">
        <v>72</v>
      </c>
      <c r="AM439">
        <v>346053</v>
      </c>
      <c r="AO439" s="16" t="s">
        <v>73</v>
      </c>
      <c r="AP439" s="17" t="str">
        <f t="shared" si="30"/>
        <v>Off-nest female</v>
      </c>
      <c r="AX439" s="22" t="str">
        <f>IF(AND('[1]observations-276632'!W439&gt;'[1]Methods write-up'!$Q$16,'[1]observations-276632'!W439&lt;'[1]Methods write-up'!$R$16,'[1]observations-276632'!X439&gt;'[1]Methods write-up'!$S$16,'[1]observations-276632'!X439&lt;'[1]Methods write-up'!$T$16),"West and Central Africa","")</f>
        <v/>
      </c>
      <c r="AY439" s="22" t="str">
        <f>IF(AND('[1]observations-276632'!W439&gt;'[1]Methods write-up'!$Q$17,'[1]observations-276632'!W439&lt;'[1]Methods write-up'!$R$17,'[1]observations-276632'!X439&gt;'[1]Methods write-up'!$S$17,'[1]observations-276632'!X439&lt;'[1]Methods write-up'!$T$17),"Equatorial tropical forest","")</f>
        <v/>
      </c>
      <c r="AZ439" s="22" t="str">
        <f>IF(AND('[1]observations-276632'!W439&gt;'[1]Methods write-up'!$Q$18,'[1]observations-276632'!W439&lt;'[1]Methods write-up'!$R$18,'[1]observations-276632'!X439&gt;'[1]Methods write-up'!$S$18,'[1]observations-276632'!X439&lt;'[1]Methods write-up'!$T$18),"Somali peninsula","")</f>
        <v/>
      </c>
      <c r="BA439" s="22" t="str">
        <f>IF(AND('[1]observations-276632'!W439&gt;'[1]Methods write-up'!$Q$19,'[1]observations-276632'!W439&lt;'[1]Methods write-up'!$R$19,'[1]observations-276632'!X439&gt;'[1]Methods write-up'!$S$19,'[1]observations-276632'!X439&lt;'[1]Methods write-up'!$T$19),"East Africa","")</f>
        <v/>
      </c>
      <c r="BB439" s="22" t="str">
        <f>IF(AND('[1]observations-276632'!W439&gt;'[1]Methods write-up'!$Q$20,'[1]observations-276632'!W439&lt;'[1]Methods write-up'!$R$20,'[1]observations-276632'!X439&gt;'[1]Methods write-up'!$S$20,'[1]observations-276632'!X439&lt;'[1]Methods write-up'!$T$20),"Temperate seasonal","")</f>
        <v>Temperate seasonal</v>
      </c>
      <c r="BC439" s="22" t="str">
        <f>IF(AND('[1]observations-276632'!W439&gt;'[1]Methods write-up'!$Q$21,'[1]observations-276632'!W439&lt;'[1]Methods write-up'!$R$21,'[1]observations-276632'!X439&gt;'[1]Methods write-up'!$S$21,'[1]observations-276632'!X439&lt;'[1]Methods write-up'!$T$21),"Desert and high aridity","")</f>
        <v/>
      </c>
      <c r="BD439" s="23" t="str">
        <f t="shared" si="28"/>
        <v>Temperate seasonal</v>
      </c>
      <c r="BE439" s="24">
        <f t="shared" si="26"/>
        <v>24</v>
      </c>
      <c r="BF439" s="24">
        <f t="shared" si="27"/>
        <v>4</v>
      </c>
    </row>
    <row r="440" spans="1:58" ht="16.25" customHeight="1" x14ac:dyDescent="0.2">
      <c r="A440">
        <v>43146463</v>
      </c>
      <c r="B440" t="s">
        <v>3259</v>
      </c>
      <c r="C440" s="14">
        <v>43945</v>
      </c>
      <c r="D440" t="s">
        <v>3260</v>
      </c>
      <c r="E440" t="s">
        <v>113</v>
      </c>
      <c r="F440">
        <v>944243</v>
      </c>
      <c r="G440" t="s">
        <v>3261</v>
      </c>
      <c r="I440" t="s">
        <v>3262</v>
      </c>
      <c r="J440" t="s">
        <v>3263</v>
      </c>
      <c r="K440" t="s">
        <v>62</v>
      </c>
      <c r="L440" t="s">
        <v>373</v>
      </c>
      <c r="M440" t="s">
        <v>3264</v>
      </c>
      <c r="N440" t="s">
        <v>3265</v>
      </c>
      <c r="Q440" t="s">
        <v>3266</v>
      </c>
      <c r="R440">
        <v>3</v>
      </c>
      <c r="S440">
        <v>0</v>
      </c>
      <c r="T440" t="b">
        <v>0</v>
      </c>
      <c r="V440" t="s">
        <v>3267</v>
      </c>
      <c r="W440" s="15">
        <v>-34.043219999999998</v>
      </c>
      <c r="X440" s="15">
        <v>18.437760000000001</v>
      </c>
      <c r="Y440">
        <v>199</v>
      </c>
      <c r="AC440">
        <v>199</v>
      </c>
      <c r="AF440" t="b">
        <v>0</v>
      </c>
      <c r="AI440" t="s">
        <v>71</v>
      </c>
      <c r="AJ440" t="s">
        <v>70</v>
      </c>
      <c r="AK440" t="s">
        <v>71</v>
      </c>
      <c r="AL440" t="s">
        <v>72</v>
      </c>
      <c r="AM440">
        <v>346053</v>
      </c>
      <c r="AO440" s="16" t="s">
        <v>73</v>
      </c>
      <c r="AP440" s="17" t="str">
        <f t="shared" si="30"/>
        <v>Off-nest female</v>
      </c>
      <c r="AX440" s="22" t="str">
        <f>IF(AND('[1]observations-276632'!W440&gt;'[1]Methods write-up'!$Q$16,'[1]observations-276632'!W440&lt;'[1]Methods write-up'!$R$16,'[1]observations-276632'!X440&gt;'[1]Methods write-up'!$S$16,'[1]observations-276632'!X440&lt;'[1]Methods write-up'!$T$16),"West and Central Africa","")</f>
        <v/>
      </c>
      <c r="AY440" s="22" t="str">
        <f>IF(AND('[1]observations-276632'!W440&gt;'[1]Methods write-up'!$Q$17,'[1]observations-276632'!W440&lt;'[1]Methods write-up'!$R$17,'[1]observations-276632'!X440&gt;'[1]Methods write-up'!$S$17,'[1]observations-276632'!X440&lt;'[1]Methods write-up'!$T$17),"Equatorial tropical forest","")</f>
        <v/>
      </c>
      <c r="AZ440" s="22" t="str">
        <f>IF(AND('[1]observations-276632'!W440&gt;'[1]Methods write-up'!$Q$18,'[1]observations-276632'!W440&lt;'[1]Methods write-up'!$R$18,'[1]observations-276632'!X440&gt;'[1]Methods write-up'!$S$18,'[1]observations-276632'!X440&lt;'[1]Methods write-up'!$T$18),"Somali peninsula","")</f>
        <v/>
      </c>
      <c r="BA440" s="22" t="str">
        <f>IF(AND('[1]observations-276632'!W440&gt;'[1]Methods write-up'!$Q$19,'[1]observations-276632'!W440&lt;'[1]Methods write-up'!$R$19,'[1]observations-276632'!X440&gt;'[1]Methods write-up'!$S$19,'[1]observations-276632'!X440&lt;'[1]Methods write-up'!$T$19),"East Africa","")</f>
        <v/>
      </c>
      <c r="BB440" s="22" t="str">
        <f>IF(AND('[1]observations-276632'!W440&gt;'[1]Methods write-up'!$Q$20,'[1]observations-276632'!W440&lt;'[1]Methods write-up'!$R$20,'[1]observations-276632'!X440&gt;'[1]Methods write-up'!$S$20,'[1]observations-276632'!X440&lt;'[1]Methods write-up'!$T$20),"Temperate seasonal","")</f>
        <v/>
      </c>
      <c r="BC440" s="22" t="str">
        <f>IF(AND('[1]observations-276632'!W440&gt;'[1]Methods write-up'!$Q$21,'[1]observations-276632'!W440&lt;'[1]Methods write-up'!$R$21,'[1]observations-276632'!X440&gt;'[1]Methods write-up'!$S$21,'[1]observations-276632'!X440&lt;'[1]Methods write-up'!$T$21),"Desert and high aridity","")</f>
        <v/>
      </c>
      <c r="BD440" s="23" t="str">
        <f t="shared" si="28"/>
        <v/>
      </c>
      <c r="BE440" s="24">
        <f t="shared" si="26"/>
        <v>24</v>
      </c>
      <c r="BF440" s="24">
        <f t="shared" si="27"/>
        <v>4</v>
      </c>
    </row>
    <row r="441" spans="1:58" ht="16.25" customHeight="1" x14ac:dyDescent="0.2">
      <c r="A441">
        <v>43265554</v>
      </c>
      <c r="B441" t="s">
        <v>3268</v>
      </c>
      <c r="C441" s="14">
        <v>38718</v>
      </c>
      <c r="D441" t="s">
        <v>3269</v>
      </c>
      <c r="E441" t="s">
        <v>3270</v>
      </c>
      <c r="F441">
        <v>19767</v>
      </c>
      <c r="G441" t="s">
        <v>3271</v>
      </c>
      <c r="H441" t="s">
        <v>3272</v>
      </c>
      <c r="I441" t="s">
        <v>3273</v>
      </c>
      <c r="J441" t="s">
        <v>3274</v>
      </c>
      <c r="K441" t="s">
        <v>62</v>
      </c>
      <c r="L441" t="s">
        <v>63</v>
      </c>
      <c r="M441" t="s">
        <v>3275</v>
      </c>
      <c r="N441" t="s">
        <v>3276</v>
      </c>
      <c r="P441" t="s">
        <v>3277</v>
      </c>
      <c r="R441">
        <v>2</v>
      </c>
      <c r="S441">
        <v>0</v>
      </c>
      <c r="T441" t="b">
        <v>0</v>
      </c>
      <c r="V441" t="s">
        <v>3278</v>
      </c>
      <c r="W441" s="15">
        <v>-19.118310000000001</v>
      </c>
      <c r="X441" s="15">
        <v>32.775309999999998</v>
      </c>
      <c r="Y441">
        <v>200</v>
      </c>
      <c r="AC441">
        <v>200</v>
      </c>
      <c r="AF441" t="b">
        <v>0</v>
      </c>
      <c r="AI441" t="s">
        <v>71</v>
      </c>
      <c r="AJ441" t="s">
        <v>70</v>
      </c>
      <c r="AK441" t="s">
        <v>71</v>
      </c>
      <c r="AL441" t="s">
        <v>72</v>
      </c>
      <c r="AM441">
        <v>346053</v>
      </c>
      <c r="AO441" s="16" t="s">
        <v>1574</v>
      </c>
      <c r="AP441" s="17" t="str">
        <f t="shared" si="30"/>
        <v>Nest (foundress)</v>
      </c>
      <c r="AQ441" s="18">
        <v>2</v>
      </c>
      <c r="AT441" s="19" t="s">
        <v>104</v>
      </c>
      <c r="AX441" s="22" t="str">
        <f>IF(AND('[1]observations-276632'!W441&gt;'[1]Methods write-up'!$Q$16,'[1]observations-276632'!W441&lt;'[1]Methods write-up'!$R$16,'[1]observations-276632'!X441&gt;'[1]Methods write-up'!$S$16,'[1]observations-276632'!X441&lt;'[1]Methods write-up'!$T$16),"West and Central Africa","")</f>
        <v/>
      </c>
      <c r="AY441" s="22" t="str">
        <f>IF(AND('[1]observations-276632'!W441&gt;'[1]Methods write-up'!$Q$17,'[1]observations-276632'!W441&lt;'[1]Methods write-up'!$R$17,'[1]observations-276632'!X441&gt;'[1]Methods write-up'!$S$17,'[1]observations-276632'!X441&lt;'[1]Methods write-up'!$T$17),"Equatorial tropical forest","")</f>
        <v/>
      </c>
      <c r="AZ441" s="22" t="str">
        <f>IF(AND('[1]observations-276632'!W441&gt;'[1]Methods write-up'!$Q$18,'[1]observations-276632'!W441&lt;'[1]Methods write-up'!$R$18,'[1]observations-276632'!X441&gt;'[1]Methods write-up'!$S$18,'[1]observations-276632'!X441&lt;'[1]Methods write-up'!$T$18),"Somali peninsula","")</f>
        <v/>
      </c>
      <c r="BA441" s="22" t="str">
        <f>IF(AND('[1]observations-276632'!W441&gt;'[1]Methods write-up'!$Q$19,'[1]observations-276632'!W441&lt;'[1]Methods write-up'!$R$19,'[1]observations-276632'!X441&gt;'[1]Methods write-up'!$S$19,'[1]observations-276632'!X441&lt;'[1]Methods write-up'!$T$19),"East Africa","")</f>
        <v/>
      </c>
      <c r="BB441" s="22" t="str">
        <f>IF(AND('[1]observations-276632'!W441&gt;'[1]Methods write-up'!$Q$20,'[1]observations-276632'!W441&lt;'[1]Methods write-up'!$R$20,'[1]observations-276632'!X441&gt;'[1]Methods write-up'!$S$20,'[1]observations-276632'!X441&lt;'[1]Methods write-up'!$T$20),"Temperate seasonal","")</f>
        <v/>
      </c>
      <c r="BC441" s="22" t="str">
        <f>IF(AND('[1]observations-276632'!W441&gt;'[1]Methods write-up'!$Q$21,'[1]observations-276632'!W441&lt;'[1]Methods write-up'!$R$21,'[1]observations-276632'!X441&gt;'[1]Methods write-up'!$S$21,'[1]observations-276632'!X441&lt;'[1]Methods write-up'!$T$21),"Desert and high aridity","")</f>
        <v/>
      </c>
      <c r="BD441" s="23" t="str">
        <f t="shared" si="28"/>
        <v/>
      </c>
      <c r="BE441" s="24">
        <f t="shared" si="26"/>
        <v>1</v>
      </c>
      <c r="BF441" s="24">
        <f t="shared" si="27"/>
        <v>1</v>
      </c>
    </row>
    <row r="442" spans="1:58" ht="16.25" customHeight="1" x14ac:dyDescent="0.2">
      <c r="A442">
        <v>43344937</v>
      </c>
      <c r="B442" t="s">
        <v>3279</v>
      </c>
      <c r="C442" s="14">
        <v>43434</v>
      </c>
      <c r="D442" t="s">
        <v>3280</v>
      </c>
      <c r="E442" t="s">
        <v>243</v>
      </c>
      <c r="F442">
        <v>2840663</v>
      </c>
      <c r="G442" t="s">
        <v>3281</v>
      </c>
      <c r="H442" t="s">
        <v>3282</v>
      </c>
      <c r="I442" t="s">
        <v>3283</v>
      </c>
      <c r="J442" t="s">
        <v>3284</v>
      </c>
      <c r="K442" t="s">
        <v>157</v>
      </c>
      <c r="L442" t="s">
        <v>63</v>
      </c>
      <c r="M442" t="s">
        <v>3285</v>
      </c>
      <c r="N442" t="s">
        <v>3286</v>
      </c>
      <c r="R442">
        <v>2</v>
      </c>
      <c r="S442">
        <v>0</v>
      </c>
      <c r="T442" t="b">
        <v>0</v>
      </c>
      <c r="V442" t="s">
        <v>3287</v>
      </c>
      <c r="W442" s="15">
        <v>-22.560880699999998</v>
      </c>
      <c r="X442" s="15">
        <v>17.065754900000002</v>
      </c>
      <c r="Y442">
        <v>10191</v>
      </c>
      <c r="AC442">
        <v>10191</v>
      </c>
      <c r="AF442" t="b">
        <v>0</v>
      </c>
      <c r="AI442" t="s">
        <v>756</v>
      </c>
      <c r="AJ442" t="s">
        <v>756</v>
      </c>
      <c r="AL442" t="s">
        <v>72</v>
      </c>
      <c r="AM442">
        <v>652800</v>
      </c>
      <c r="AO442" s="16" t="s">
        <v>73</v>
      </c>
      <c r="AP442" s="17" t="str">
        <f t="shared" si="30"/>
        <v>Off-nest female</v>
      </c>
      <c r="AX442" s="22" t="str">
        <f>IF(AND('[1]observations-276632'!W442&gt;'[1]Methods write-up'!$Q$16,'[1]observations-276632'!W442&lt;'[1]Methods write-up'!$R$16,'[1]observations-276632'!X442&gt;'[1]Methods write-up'!$S$16,'[1]observations-276632'!X442&lt;'[1]Methods write-up'!$T$16),"West and Central Africa","")</f>
        <v/>
      </c>
      <c r="AY442" s="22" t="str">
        <f>IF(AND('[1]observations-276632'!W442&gt;'[1]Methods write-up'!$Q$17,'[1]observations-276632'!W442&lt;'[1]Methods write-up'!$R$17,'[1]observations-276632'!X442&gt;'[1]Methods write-up'!$S$17,'[1]observations-276632'!X442&lt;'[1]Methods write-up'!$T$17),"Equatorial tropical forest","")</f>
        <v/>
      </c>
      <c r="AZ442" s="22" t="str">
        <f>IF(AND('[1]observations-276632'!W442&gt;'[1]Methods write-up'!$Q$18,'[1]observations-276632'!W442&lt;'[1]Methods write-up'!$R$18,'[1]observations-276632'!X442&gt;'[1]Methods write-up'!$S$18,'[1]observations-276632'!X442&lt;'[1]Methods write-up'!$T$18),"Somali peninsula","")</f>
        <v/>
      </c>
      <c r="BA442" s="22" t="str">
        <f>IF(AND('[1]observations-276632'!W442&gt;'[1]Methods write-up'!$Q$19,'[1]observations-276632'!W442&lt;'[1]Methods write-up'!$R$19,'[1]observations-276632'!X442&gt;'[1]Methods write-up'!$S$19,'[1]observations-276632'!X442&lt;'[1]Methods write-up'!$T$19),"East Africa","")</f>
        <v/>
      </c>
      <c r="BB442" s="22" t="str">
        <f>IF(AND('[1]observations-276632'!W442&gt;'[1]Methods write-up'!$Q$20,'[1]observations-276632'!W442&lt;'[1]Methods write-up'!$R$20,'[1]observations-276632'!X442&gt;'[1]Methods write-up'!$S$20,'[1]observations-276632'!X442&lt;'[1]Methods write-up'!$T$20),"Temperate seasonal","")</f>
        <v/>
      </c>
      <c r="BC442" s="22" t="str">
        <f>IF(AND('[1]observations-276632'!W442&gt;'[1]Methods write-up'!$Q$21,'[1]observations-276632'!W442&lt;'[1]Methods write-up'!$R$21,'[1]observations-276632'!X442&gt;'[1]Methods write-up'!$S$21,'[1]observations-276632'!X442&lt;'[1]Methods write-up'!$T$21),"Desert and high aridity","")</f>
        <v>Desert and high aridity</v>
      </c>
      <c r="BD442" s="23" t="str">
        <f t="shared" si="28"/>
        <v>Desert and high aridity</v>
      </c>
      <c r="BE442" s="24">
        <f t="shared" si="26"/>
        <v>30</v>
      </c>
      <c r="BF442" s="24">
        <f t="shared" si="27"/>
        <v>11</v>
      </c>
    </row>
    <row r="443" spans="1:58" ht="16.25" customHeight="1" x14ac:dyDescent="0.2">
      <c r="A443">
        <v>43388317</v>
      </c>
      <c r="B443" t="s">
        <v>3288</v>
      </c>
      <c r="C443" s="14">
        <v>43946</v>
      </c>
      <c r="D443" t="s">
        <v>3289</v>
      </c>
      <c r="E443" t="s">
        <v>113</v>
      </c>
      <c r="F443">
        <v>778039</v>
      </c>
      <c r="G443" t="s">
        <v>3290</v>
      </c>
      <c r="H443" t="s">
        <v>3291</v>
      </c>
      <c r="I443" t="s">
        <v>3292</v>
      </c>
      <c r="J443" t="s">
        <v>3293</v>
      </c>
      <c r="K443" t="s">
        <v>62</v>
      </c>
      <c r="L443" t="s">
        <v>63</v>
      </c>
      <c r="M443" t="s">
        <v>3294</v>
      </c>
      <c r="N443" t="s">
        <v>3295</v>
      </c>
      <c r="R443">
        <v>4</v>
      </c>
      <c r="S443">
        <v>0</v>
      </c>
      <c r="T443" t="b">
        <v>0</v>
      </c>
      <c r="U443">
        <v>3</v>
      </c>
      <c r="V443" t="s">
        <v>3296</v>
      </c>
      <c r="W443" s="15">
        <v>-29.77635506</v>
      </c>
      <c r="X443" s="15">
        <v>30.835600079999999</v>
      </c>
      <c r="Y443">
        <v>22</v>
      </c>
      <c r="AC443">
        <v>22</v>
      </c>
      <c r="AF443" t="b">
        <v>0</v>
      </c>
      <c r="AI443" t="s">
        <v>71</v>
      </c>
      <c r="AJ443" t="s">
        <v>70</v>
      </c>
      <c r="AK443" t="s">
        <v>71</v>
      </c>
      <c r="AL443" t="s">
        <v>72</v>
      </c>
      <c r="AM443">
        <v>346053</v>
      </c>
      <c r="AO443" s="16" t="s">
        <v>140</v>
      </c>
      <c r="AP443" s="17" t="str">
        <f t="shared" si="30"/>
        <v>Post-emergence nest</v>
      </c>
      <c r="AQ443" s="18">
        <v>9</v>
      </c>
      <c r="AT443" s="19" t="s">
        <v>141</v>
      </c>
      <c r="AU443" s="20" t="s">
        <v>104</v>
      </c>
      <c r="AX443" s="22" t="str">
        <f>IF(AND('[1]observations-276632'!W443&gt;'[1]Methods write-up'!$Q$16,'[1]observations-276632'!W443&lt;'[1]Methods write-up'!$R$16,'[1]observations-276632'!X443&gt;'[1]Methods write-up'!$S$16,'[1]observations-276632'!X443&lt;'[1]Methods write-up'!$T$16),"West and Central Africa","")</f>
        <v/>
      </c>
      <c r="AY443" s="22" t="str">
        <f>IF(AND('[1]observations-276632'!W443&gt;'[1]Methods write-up'!$Q$17,'[1]observations-276632'!W443&lt;'[1]Methods write-up'!$R$17,'[1]observations-276632'!X443&gt;'[1]Methods write-up'!$S$17,'[1]observations-276632'!X443&lt;'[1]Methods write-up'!$T$17),"Equatorial tropical forest","")</f>
        <v/>
      </c>
      <c r="AZ443" s="22" t="str">
        <f>IF(AND('[1]observations-276632'!W443&gt;'[1]Methods write-up'!$Q$18,'[1]observations-276632'!W443&lt;'[1]Methods write-up'!$R$18,'[1]observations-276632'!X443&gt;'[1]Methods write-up'!$S$18,'[1]observations-276632'!X443&lt;'[1]Methods write-up'!$T$18),"Somali peninsula","")</f>
        <v/>
      </c>
      <c r="BA443" s="22" t="str">
        <f>IF(AND('[1]observations-276632'!W443&gt;'[1]Methods write-up'!$Q$19,'[1]observations-276632'!W443&lt;'[1]Methods write-up'!$R$19,'[1]observations-276632'!X443&gt;'[1]Methods write-up'!$S$19,'[1]observations-276632'!X443&lt;'[1]Methods write-up'!$T$19),"East Africa","")</f>
        <v/>
      </c>
      <c r="BB443" s="22" t="str">
        <f>IF(AND('[1]observations-276632'!W443&gt;'[1]Methods write-up'!$Q$20,'[1]observations-276632'!W443&lt;'[1]Methods write-up'!$R$20,'[1]observations-276632'!X443&gt;'[1]Methods write-up'!$S$20,'[1]observations-276632'!X443&lt;'[1]Methods write-up'!$T$20),"Temperate seasonal","")</f>
        <v>Temperate seasonal</v>
      </c>
      <c r="BC443" s="22" t="str">
        <f>IF(AND('[1]observations-276632'!W443&gt;'[1]Methods write-up'!$Q$21,'[1]observations-276632'!W443&lt;'[1]Methods write-up'!$R$21,'[1]observations-276632'!X443&gt;'[1]Methods write-up'!$S$21,'[1]observations-276632'!X443&lt;'[1]Methods write-up'!$T$21),"Desert and high aridity","")</f>
        <v/>
      </c>
      <c r="BD443" s="23" t="str">
        <f t="shared" si="28"/>
        <v>Temperate seasonal</v>
      </c>
      <c r="BE443" s="24">
        <f t="shared" si="26"/>
        <v>25</v>
      </c>
      <c r="BF443" s="24">
        <f t="shared" si="27"/>
        <v>4</v>
      </c>
    </row>
    <row r="444" spans="1:58" ht="16.25" customHeight="1" x14ac:dyDescent="0.2">
      <c r="C444" s="14">
        <v>43946</v>
      </c>
      <c r="M444" t="s">
        <v>3297</v>
      </c>
      <c r="W444" s="15">
        <v>-29.77635506</v>
      </c>
      <c r="X444" s="15">
        <v>30.835600079999999</v>
      </c>
      <c r="AO444" s="16" t="s">
        <v>110</v>
      </c>
      <c r="AP444" s="17" t="str">
        <f t="shared" si="30"/>
        <v>Nest (foundress)</v>
      </c>
      <c r="AQ444" s="18">
        <v>2</v>
      </c>
      <c r="AT444" s="19" t="s">
        <v>104</v>
      </c>
      <c r="AX444" s="22" t="str">
        <f>IF(AND('[1]observations-276632'!W444&gt;'[1]Methods write-up'!$Q$16,'[1]observations-276632'!W444&lt;'[1]Methods write-up'!$R$16,'[1]observations-276632'!X444&gt;'[1]Methods write-up'!$S$16,'[1]observations-276632'!X444&lt;'[1]Methods write-up'!$T$16),"West and Central Africa","")</f>
        <v/>
      </c>
      <c r="AY444" s="22" t="str">
        <f>IF(AND('[1]observations-276632'!W444&gt;'[1]Methods write-up'!$Q$17,'[1]observations-276632'!W444&lt;'[1]Methods write-up'!$R$17,'[1]observations-276632'!X444&gt;'[1]Methods write-up'!$S$17,'[1]observations-276632'!X444&lt;'[1]Methods write-up'!$T$17),"Equatorial tropical forest","")</f>
        <v/>
      </c>
      <c r="AZ444" s="22" t="str">
        <f>IF(AND('[1]observations-276632'!W444&gt;'[1]Methods write-up'!$Q$18,'[1]observations-276632'!W444&lt;'[1]Methods write-up'!$R$18,'[1]observations-276632'!X444&gt;'[1]Methods write-up'!$S$18,'[1]observations-276632'!X444&lt;'[1]Methods write-up'!$T$18),"Somali peninsula","")</f>
        <v/>
      </c>
      <c r="BA444" s="22" t="str">
        <f>IF(AND('[1]observations-276632'!W444&gt;'[1]Methods write-up'!$Q$19,'[1]observations-276632'!W444&lt;'[1]Methods write-up'!$R$19,'[1]observations-276632'!X444&gt;'[1]Methods write-up'!$S$19,'[1]observations-276632'!X444&lt;'[1]Methods write-up'!$T$19),"East Africa","")</f>
        <v/>
      </c>
      <c r="BB444" s="22" t="str">
        <f>IF(AND('[1]observations-276632'!W444&gt;'[1]Methods write-up'!$Q$20,'[1]observations-276632'!W444&lt;'[1]Methods write-up'!$R$20,'[1]observations-276632'!X444&gt;'[1]Methods write-up'!$S$20,'[1]observations-276632'!X444&lt;'[1]Methods write-up'!$T$20),"Temperate seasonal","")</f>
        <v>Temperate seasonal</v>
      </c>
      <c r="BC444" s="22" t="str">
        <f>IF(AND('[1]observations-276632'!W444&gt;'[1]Methods write-up'!$Q$21,'[1]observations-276632'!W444&lt;'[1]Methods write-up'!$R$21,'[1]observations-276632'!X444&gt;'[1]Methods write-up'!$S$21,'[1]observations-276632'!X444&lt;'[1]Methods write-up'!$T$21),"Desert and high aridity","")</f>
        <v/>
      </c>
      <c r="BD444" s="23" t="str">
        <f t="shared" si="28"/>
        <v>Temperate seasonal</v>
      </c>
      <c r="BE444" s="24">
        <f t="shared" si="26"/>
        <v>25</v>
      </c>
      <c r="BF444" s="24">
        <f t="shared" si="27"/>
        <v>4</v>
      </c>
    </row>
    <row r="445" spans="1:58" ht="16.25" customHeight="1" x14ac:dyDescent="0.2">
      <c r="A445">
        <v>43515051</v>
      </c>
      <c r="B445" t="s">
        <v>3298</v>
      </c>
      <c r="C445" s="14">
        <v>43946</v>
      </c>
      <c r="D445" t="s">
        <v>3299</v>
      </c>
      <c r="E445" t="s">
        <v>113</v>
      </c>
      <c r="F445">
        <v>1290847</v>
      </c>
      <c r="G445" t="s">
        <v>3300</v>
      </c>
      <c r="H445" t="s">
        <v>3301</v>
      </c>
      <c r="I445" t="s">
        <v>3302</v>
      </c>
      <c r="J445" t="s">
        <v>3303</v>
      </c>
      <c r="K445" t="s">
        <v>62</v>
      </c>
      <c r="M445" t="s">
        <v>3304</v>
      </c>
      <c r="N445" t="s">
        <v>3305</v>
      </c>
      <c r="R445">
        <v>2</v>
      </c>
      <c r="S445">
        <v>0</v>
      </c>
      <c r="T445" t="b">
        <v>0</v>
      </c>
      <c r="U445">
        <v>2</v>
      </c>
      <c r="V445" t="s">
        <v>3306</v>
      </c>
      <c r="W445" s="15">
        <v>-26.546244919999999</v>
      </c>
      <c r="X445" s="15">
        <v>28.065333590000002</v>
      </c>
      <c r="Y445">
        <v>263</v>
      </c>
      <c r="AC445">
        <v>263</v>
      </c>
      <c r="AF445" t="b">
        <v>0</v>
      </c>
      <c r="AG445" t="s">
        <v>350</v>
      </c>
      <c r="AH445" t="s">
        <v>350</v>
      </c>
      <c r="AI445" t="s">
        <v>71</v>
      </c>
      <c r="AJ445" t="s">
        <v>70</v>
      </c>
      <c r="AK445" t="s">
        <v>71</v>
      </c>
      <c r="AL445" t="s">
        <v>72</v>
      </c>
      <c r="AM445">
        <v>346053</v>
      </c>
      <c r="AO445" s="16" t="s">
        <v>140</v>
      </c>
      <c r="AP445" s="17" t="str">
        <f t="shared" si="30"/>
        <v>Post-emergence nest</v>
      </c>
      <c r="AQ445" s="18">
        <v>3</v>
      </c>
      <c r="AT445" s="19" t="s">
        <v>141</v>
      </c>
      <c r="AU445" s="20" t="s">
        <v>104</v>
      </c>
      <c r="AX445" s="22" t="str">
        <f>IF(AND('[1]observations-276632'!W445&gt;'[1]Methods write-up'!$Q$16,'[1]observations-276632'!W445&lt;'[1]Methods write-up'!$R$16,'[1]observations-276632'!X445&gt;'[1]Methods write-up'!$S$16,'[1]observations-276632'!X445&lt;'[1]Methods write-up'!$T$16),"West and Central Africa","")</f>
        <v/>
      </c>
      <c r="AY445" s="22" t="str">
        <f>IF(AND('[1]observations-276632'!W445&gt;'[1]Methods write-up'!$Q$17,'[1]observations-276632'!W445&lt;'[1]Methods write-up'!$R$17,'[1]observations-276632'!X445&gt;'[1]Methods write-up'!$S$17,'[1]observations-276632'!X445&lt;'[1]Methods write-up'!$T$17),"Equatorial tropical forest","")</f>
        <v/>
      </c>
      <c r="AZ445" s="22" t="str">
        <f>IF(AND('[1]observations-276632'!W445&gt;'[1]Methods write-up'!$Q$18,'[1]observations-276632'!W445&lt;'[1]Methods write-up'!$R$18,'[1]observations-276632'!X445&gt;'[1]Methods write-up'!$S$18,'[1]observations-276632'!X445&lt;'[1]Methods write-up'!$T$18),"Somali peninsula","")</f>
        <v/>
      </c>
      <c r="BA445" s="22" t="str">
        <f>IF(AND('[1]observations-276632'!W445&gt;'[1]Methods write-up'!$Q$19,'[1]observations-276632'!W445&lt;'[1]Methods write-up'!$R$19,'[1]observations-276632'!X445&gt;'[1]Methods write-up'!$S$19,'[1]observations-276632'!X445&lt;'[1]Methods write-up'!$T$19),"East Africa","")</f>
        <v/>
      </c>
      <c r="BB445" s="22" t="str">
        <f>IF(AND('[1]observations-276632'!W445&gt;'[1]Methods write-up'!$Q$20,'[1]observations-276632'!W445&lt;'[1]Methods write-up'!$R$20,'[1]observations-276632'!X445&gt;'[1]Methods write-up'!$S$20,'[1]observations-276632'!X445&lt;'[1]Methods write-up'!$T$20),"Temperate seasonal","")</f>
        <v>Temperate seasonal</v>
      </c>
      <c r="BC445" s="22" t="str">
        <f>IF(AND('[1]observations-276632'!W445&gt;'[1]Methods write-up'!$Q$21,'[1]observations-276632'!W445&lt;'[1]Methods write-up'!$R$21,'[1]observations-276632'!X445&gt;'[1]Methods write-up'!$S$21,'[1]observations-276632'!X445&lt;'[1]Methods write-up'!$T$21),"Desert and high aridity","")</f>
        <v/>
      </c>
      <c r="BD445" s="23" t="str">
        <f t="shared" si="28"/>
        <v>Temperate seasonal</v>
      </c>
      <c r="BE445" s="24">
        <f t="shared" si="26"/>
        <v>25</v>
      </c>
      <c r="BF445" s="24">
        <f t="shared" si="27"/>
        <v>4</v>
      </c>
    </row>
    <row r="446" spans="1:58" ht="16.25" customHeight="1" x14ac:dyDescent="0.2">
      <c r="A446">
        <v>43556756</v>
      </c>
      <c r="B446" t="s">
        <v>3307</v>
      </c>
      <c r="C446" s="14">
        <v>43947</v>
      </c>
      <c r="D446" t="s">
        <v>3308</v>
      </c>
      <c r="E446" t="s">
        <v>113</v>
      </c>
      <c r="F446">
        <v>2639286</v>
      </c>
      <c r="G446" t="s">
        <v>3309</v>
      </c>
      <c r="I446" t="s">
        <v>3310</v>
      </c>
      <c r="J446" t="s">
        <v>3311</v>
      </c>
      <c r="K446" t="s">
        <v>62</v>
      </c>
      <c r="L446" t="s">
        <v>63</v>
      </c>
      <c r="M446" t="s">
        <v>3312</v>
      </c>
      <c r="N446" t="s">
        <v>3313</v>
      </c>
      <c r="R446">
        <v>2</v>
      </c>
      <c r="S446">
        <v>0</v>
      </c>
      <c r="T446" t="b">
        <v>0</v>
      </c>
      <c r="U446">
        <v>3</v>
      </c>
      <c r="V446" t="s">
        <v>3314</v>
      </c>
      <c r="W446" s="15">
        <v>-25.73807339</v>
      </c>
      <c r="X446" s="15">
        <v>28.239923610000002</v>
      </c>
      <c r="Y446">
        <v>32</v>
      </c>
      <c r="AC446">
        <v>32</v>
      </c>
      <c r="AF446" t="b">
        <v>0</v>
      </c>
      <c r="AI446" t="s">
        <v>71</v>
      </c>
      <c r="AJ446" t="s">
        <v>70</v>
      </c>
      <c r="AK446" t="s">
        <v>71</v>
      </c>
      <c r="AL446" t="s">
        <v>72</v>
      </c>
      <c r="AM446">
        <v>346053</v>
      </c>
      <c r="AO446" s="16" t="s">
        <v>140</v>
      </c>
      <c r="AP446" s="17" t="str">
        <f t="shared" si="30"/>
        <v>Post-emergence nest</v>
      </c>
      <c r="AQ446" s="18">
        <v>12</v>
      </c>
      <c r="AT446" s="19" t="s">
        <v>141</v>
      </c>
      <c r="AU446" s="20" t="s">
        <v>104</v>
      </c>
      <c r="AX446" s="22" t="str">
        <f>IF(AND('[1]observations-276632'!W446&gt;'[1]Methods write-up'!$Q$16,'[1]observations-276632'!W446&lt;'[1]Methods write-up'!$R$16,'[1]observations-276632'!X446&gt;'[1]Methods write-up'!$S$16,'[1]observations-276632'!X446&lt;'[1]Methods write-up'!$T$16),"West and Central Africa","")</f>
        <v/>
      </c>
      <c r="AY446" s="22" t="str">
        <f>IF(AND('[1]observations-276632'!W446&gt;'[1]Methods write-up'!$Q$17,'[1]observations-276632'!W446&lt;'[1]Methods write-up'!$R$17,'[1]observations-276632'!X446&gt;'[1]Methods write-up'!$S$17,'[1]observations-276632'!X446&lt;'[1]Methods write-up'!$T$17),"Equatorial tropical forest","")</f>
        <v/>
      </c>
      <c r="AZ446" s="22" t="str">
        <f>IF(AND('[1]observations-276632'!W446&gt;'[1]Methods write-up'!$Q$18,'[1]observations-276632'!W446&lt;'[1]Methods write-up'!$R$18,'[1]observations-276632'!X446&gt;'[1]Methods write-up'!$S$18,'[1]observations-276632'!X446&lt;'[1]Methods write-up'!$T$18),"Somali peninsula","")</f>
        <v/>
      </c>
      <c r="BA446" s="22" t="str">
        <f>IF(AND('[1]observations-276632'!W446&gt;'[1]Methods write-up'!$Q$19,'[1]observations-276632'!W446&lt;'[1]Methods write-up'!$R$19,'[1]observations-276632'!X446&gt;'[1]Methods write-up'!$S$19,'[1]observations-276632'!X446&lt;'[1]Methods write-up'!$T$19),"East Africa","")</f>
        <v/>
      </c>
      <c r="BB446" s="22" t="str">
        <f>IF(AND('[1]observations-276632'!W446&gt;'[1]Methods write-up'!$Q$20,'[1]observations-276632'!W446&lt;'[1]Methods write-up'!$R$20,'[1]observations-276632'!X446&gt;'[1]Methods write-up'!$S$20,'[1]observations-276632'!X446&lt;'[1]Methods write-up'!$T$20),"Temperate seasonal","")</f>
        <v>Temperate seasonal</v>
      </c>
      <c r="BC446" s="22" t="str">
        <f>IF(AND('[1]observations-276632'!W446&gt;'[1]Methods write-up'!$Q$21,'[1]observations-276632'!W446&lt;'[1]Methods write-up'!$R$21,'[1]observations-276632'!X446&gt;'[1]Methods write-up'!$S$21,'[1]observations-276632'!X446&lt;'[1]Methods write-up'!$T$21),"Desert and high aridity","")</f>
        <v/>
      </c>
      <c r="BD446" s="23" t="str">
        <f t="shared" si="28"/>
        <v>Temperate seasonal</v>
      </c>
      <c r="BE446" s="24">
        <f t="shared" si="26"/>
        <v>26</v>
      </c>
      <c r="BF446" s="24">
        <f t="shared" si="27"/>
        <v>4</v>
      </c>
    </row>
    <row r="447" spans="1:58" ht="16.25" customHeight="1" x14ac:dyDescent="0.2">
      <c r="A447">
        <v>43563901</v>
      </c>
      <c r="B447" t="s">
        <v>3315</v>
      </c>
      <c r="C447" s="14">
        <v>43934</v>
      </c>
      <c r="D447" t="s">
        <v>3316</v>
      </c>
      <c r="E447" t="s">
        <v>57</v>
      </c>
      <c r="F447">
        <v>703114</v>
      </c>
      <c r="G447" t="s">
        <v>2136</v>
      </c>
      <c r="H447" t="s">
        <v>2137</v>
      </c>
      <c r="I447" t="s">
        <v>3317</v>
      </c>
      <c r="J447" t="s">
        <v>3318</v>
      </c>
      <c r="K447" t="s">
        <v>62</v>
      </c>
      <c r="L447" t="s">
        <v>98</v>
      </c>
      <c r="M447" t="s">
        <v>3319</v>
      </c>
      <c r="N447" t="s">
        <v>3320</v>
      </c>
      <c r="R447">
        <v>2</v>
      </c>
      <c r="S447">
        <v>0</v>
      </c>
      <c r="T447" t="b">
        <v>0</v>
      </c>
      <c r="V447" t="s">
        <v>3321</v>
      </c>
      <c r="W447" s="15">
        <v>-29.55715528</v>
      </c>
      <c r="X447" s="15">
        <v>30.36202175</v>
      </c>
      <c r="Y447">
        <v>95</v>
      </c>
      <c r="AC447">
        <v>95</v>
      </c>
      <c r="AF447" t="b">
        <v>0</v>
      </c>
      <c r="AI447" t="s">
        <v>71</v>
      </c>
      <c r="AJ447" t="s">
        <v>70</v>
      </c>
      <c r="AK447" t="s">
        <v>71</v>
      </c>
      <c r="AL447" t="s">
        <v>72</v>
      </c>
      <c r="AM447">
        <v>346053</v>
      </c>
      <c r="AO447" s="16" t="s">
        <v>73</v>
      </c>
      <c r="AP447" s="17" t="str">
        <f t="shared" si="30"/>
        <v>Off-nest female</v>
      </c>
      <c r="AX447" s="22" t="str">
        <f>IF(AND('[1]observations-276632'!W447&gt;'[1]Methods write-up'!$Q$16,'[1]observations-276632'!W447&lt;'[1]Methods write-up'!$R$16,'[1]observations-276632'!X447&gt;'[1]Methods write-up'!$S$16,'[1]observations-276632'!X447&lt;'[1]Methods write-up'!$T$16),"West and Central Africa","")</f>
        <v/>
      </c>
      <c r="AY447" s="22" t="str">
        <f>IF(AND('[1]observations-276632'!W447&gt;'[1]Methods write-up'!$Q$17,'[1]observations-276632'!W447&lt;'[1]Methods write-up'!$R$17,'[1]observations-276632'!X447&gt;'[1]Methods write-up'!$S$17,'[1]observations-276632'!X447&lt;'[1]Methods write-up'!$T$17),"Equatorial tropical forest","")</f>
        <v/>
      </c>
      <c r="AZ447" s="22" t="str">
        <f>IF(AND('[1]observations-276632'!W447&gt;'[1]Methods write-up'!$Q$18,'[1]observations-276632'!W447&lt;'[1]Methods write-up'!$R$18,'[1]observations-276632'!X447&gt;'[1]Methods write-up'!$S$18,'[1]observations-276632'!X447&lt;'[1]Methods write-up'!$T$18),"Somali peninsula","")</f>
        <v/>
      </c>
      <c r="BA447" s="22" t="str">
        <f>IF(AND('[1]observations-276632'!W447&gt;'[1]Methods write-up'!$Q$19,'[1]observations-276632'!W447&lt;'[1]Methods write-up'!$R$19,'[1]observations-276632'!X447&gt;'[1]Methods write-up'!$S$19,'[1]observations-276632'!X447&lt;'[1]Methods write-up'!$T$19),"East Africa","")</f>
        <v/>
      </c>
      <c r="BB447" s="22" t="str">
        <f>IF(AND('[1]observations-276632'!W447&gt;'[1]Methods write-up'!$Q$20,'[1]observations-276632'!W447&lt;'[1]Methods write-up'!$R$20,'[1]observations-276632'!X447&gt;'[1]Methods write-up'!$S$20,'[1]observations-276632'!X447&lt;'[1]Methods write-up'!$T$20),"Temperate seasonal","")</f>
        <v>Temperate seasonal</v>
      </c>
      <c r="BC447" s="22" t="str">
        <f>IF(AND('[1]observations-276632'!W447&gt;'[1]Methods write-up'!$Q$21,'[1]observations-276632'!W447&lt;'[1]Methods write-up'!$R$21,'[1]observations-276632'!X447&gt;'[1]Methods write-up'!$S$21,'[1]observations-276632'!X447&lt;'[1]Methods write-up'!$T$21),"Desert and high aridity","")</f>
        <v/>
      </c>
      <c r="BD447" s="23" t="str">
        <f t="shared" si="28"/>
        <v>Temperate seasonal</v>
      </c>
      <c r="BE447" s="24">
        <f t="shared" si="26"/>
        <v>13</v>
      </c>
      <c r="BF447" s="24">
        <f t="shared" si="27"/>
        <v>4</v>
      </c>
    </row>
    <row r="448" spans="1:58" ht="16.25" customHeight="1" x14ac:dyDescent="0.2">
      <c r="A448">
        <v>43567330</v>
      </c>
      <c r="B448" t="s">
        <v>3322</v>
      </c>
      <c r="C448" s="14">
        <v>43947</v>
      </c>
      <c r="D448" t="s">
        <v>3323</v>
      </c>
      <c r="E448" t="s">
        <v>113</v>
      </c>
      <c r="F448">
        <v>768780</v>
      </c>
      <c r="G448" t="s">
        <v>3324</v>
      </c>
      <c r="H448" t="s">
        <v>3325</v>
      </c>
      <c r="I448" t="s">
        <v>3326</v>
      </c>
      <c r="J448" t="s">
        <v>3327</v>
      </c>
      <c r="K448" t="s">
        <v>62</v>
      </c>
      <c r="L448" t="s">
        <v>63</v>
      </c>
      <c r="M448" t="s">
        <v>3328</v>
      </c>
      <c r="N448" t="s">
        <v>3329</v>
      </c>
      <c r="R448">
        <v>3</v>
      </c>
      <c r="S448">
        <v>0</v>
      </c>
      <c r="T448" t="b">
        <v>0</v>
      </c>
      <c r="U448">
        <v>3</v>
      </c>
      <c r="V448" t="s">
        <v>3330</v>
      </c>
      <c r="W448" s="15">
        <v>-34.077674999999999</v>
      </c>
      <c r="X448" s="15">
        <v>23.363708330000001</v>
      </c>
      <c r="Y448">
        <v>65</v>
      </c>
      <c r="AC448">
        <v>65</v>
      </c>
      <c r="AF448" t="b">
        <v>0</v>
      </c>
      <c r="AI448" t="s">
        <v>71</v>
      </c>
      <c r="AJ448" t="s">
        <v>70</v>
      </c>
      <c r="AK448" t="s">
        <v>71</v>
      </c>
      <c r="AL448" t="s">
        <v>72</v>
      </c>
      <c r="AM448">
        <v>346053</v>
      </c>
      <c r="AO448" s="16" t="s">
        <v>140</v>
      </c>
      <c r="AP448" s="17" t="str">
        <f t="shared" si="30"/>
        <v>Post-emergence nest</v>
      </c>
      <c r="AQ448" s="18">
        <v>6</v>
      </c>
      <c r="AT448" s="19" t="s">
        <v>141</v>
      </c>
      <c r="AU448" s="20" t="s">
        <v>104</v>
      </c>
      <c r="AX448" s="22" t="str">
        <f>IF(AND('[1]observations-276632'!W448&gt;'[1]Methods write-up'!$Q$16,'[1]observations-276632'!W448&lt;'[1]Methods write-up'!$R$16,'[1]observations-276632'!X448&gt;'[1]Methods write-up'!$S$16,'[1]observations-276632'!X448&lt;'[1]Methods write-up'!$T$16),"West and Central Africa","")</f>
        <v/>
      </c>
      <c r="AY448" s="22" t="str">
        <f>IF(AND('[1]observations-276632'!W448&gt;'[1]Methods write-up'!$Q$17,'[1]observations-276632'!W448&lt;'[1]Methods write-up'!$R$17,'[1]observations-276632'!X448&gt;'[1]Methods write-up'!$S$17,'[1]observations-276632'!X448&lt;'[1]Methods write-up'!$T$17),"Equatorial tropical forest","")</f>
        <v/>
      </c>
      <c r="AZ448" s="22" t="str">
        <f>IF(AND('[1]observations-276632'!W448&gt;'[1]Methods write-up'!$Q$18,'[1]observations-276632'!W448&lt;'[1]Methods write-up'!$R$18,'[1]observations-276632'!X448&gt;'[1]Methods write-up'!$S$18,'[1]observations-276632'!X448&lt;'[1]Methods write-up'!$T$18),"Somali peninsula","")</f>
        <v/>
      </c>
      <c r="BA448" s="22" t="str">
        <f>IF(AND('[1]observations-276632'!W448&gt;'[1]Methods write-up'!$Q$19,'[1]observations-276632'!W448&lt;'[1]Methods write-up'!$R$19,'[1]observations-276632'!X448&gt;'[1]Methods write-up'!$S$19,'[1]observations-276632'!X448&lt;'[1]Methods write-up'!$T$19),"East Africa","")</f>
        <v/>
      </c>
      <c r="BB448" s="22" t="str">
        <f>IF(AND('[1]observations-276632'!W448&gt;'[1]Methods write-up'!$Q$20,'[1]observations-276632'!W448&lt;'[1]Methods write-up'!$R$20,'[1]observations-276632'!X448&gt;'[1]Methods write-up'!$S$20,'[1]observations-276632'!X448&lt;'[1]Methods write-up'!$T$20),"Temperate seasonal","")</f>
        <v/>
      </c>
      <c r="BC448" s="22" t="str">
        <f>IF(AND('[1]observations-276632'!W448&gt;'[1]Methods write-up'!$Q$21,'[1]observations-276632'!W448&lt;'[1]Methods write-up'!$R$21,'[1]observations-276632'!X448&gt;'[1]Methods write-up'!$S$21,'[1]observations-276632'!X448&lt;'[1]Methods write-up'!$T$21),"Desert and high aridity","")</f>
        <v/>
      </c>
      <c r="BD448" s="23" t="str">
        <f t="shared" si="28"/>
        <v/>
      </c>
      <c r="BE448" s="24">
        <f t="shared" si="26"/>
        <v>26</v>
      </c>
      <c r="BF448" s="24">
        <f t="shared" si="27"/>
        <v>4</v>
      </c>
    </row>
    <row r="449" spans="1:58" ht="16.25" customHeight="1" x14ac:dyDescent="0.2">
      <c r="A449">
        <v>43568681</v>
      </c>
      <c r="B449" t="s">
        <v>3331</v>
      </c>
      <c r="C449" s="14">
        <v>43938</v>
      </c>
      <c r="D449" t="s">
        <v>3332</v>
      </c>
      <c r="E449" t="s">
        <v>57</v>
      </c>
      <c r="F449">
        <v>703114</v>
      </c>
      <c r="G449" t="s">
        <v>2136</v>
      </c>
      <c r="H449" t="s">
        <v>2137</v>
      </c>
      <c r="I449" t="s">
        <v>3333</v>
      </c>
      <c r="J449" t="s">
        <v>3334</v>
      </c>
      <c r="K449" t="s">
        <v>62</v>
      </c>
      <c r="L449" t="s">
        <v>98</v>
      </c>
      <c r="M449" t="s">
        <v>3335</v>
      </c>
      <c r="N449" t="s">
        <v>3336</v>
      </c>
      <c r="R449">
        <v>2</v>
      </c>
      <c r="S449">
        <v>0</v>
      </c>
      <c r="T449" t="b">
        <v>0</v>
      </c>
      <c r="V449" t="s">
        <v>3321</v>
      </c>
      <c r="W449" s="15">
        <v>-29.55715528</v>
      </c>
      <c r="X449" s="15">
        <v>30.36202175</v>
      </c>
      <c r="Y449">
        <v>95</v>
      </c>
      <c r="AC449">
        <v>95</v>
      </c>
      <c r="AF449" t="b">
        <v>0</v>
      </c>
      <c r="AI449" t="s">
        <v>71</v>
      </c>
      <c r="AJ449" t="s">
        <v>70</v>
      </c>
      <c r="AK449" t="s">
        <v>71</v>
      </c>
      <c r="AL449" t="s">
        <v>72</v>
      </c>
      <c r="AM449">
        <v>346053</v>
      </c>
      <c r="AO449" s="16" t="s">
        <v>73</v>
      </c>
      <c r="AP449" s="17" t="str">
        <f t="shared" si="30"/>
        <v>Off-nest female</v>
      </c>
      <c r="AX449" s="22" t="str">
        <f>IF(AND('[1]observations-276632'!W449&gt;'[1]Methods write-up'!$Q$16,'[1]observations-276632'!W449&lt;'[1]Methods write-up'!$R$16,'[1]observations-276632'!X449&gt;'[1]Methods write-up'!$S$16,'[1]observations-276632'!X449&lt;'[1]Methods write-up'!$T$16),"West and Central Africa","")</f>
        <v/>
      </c>
      <c r="AY449" s="22" t="str">
        <f>IF(AND('[1]observations-276632'!W449&gt;'[1]Methods write-up'!$Q$17,'[1]observations-276632'!W449&lt;'[1]Methods write-up'!$R$17,'[1]observations-276632'!X449&gt;'[1]Methods write-up'!$S$17,'[1]observations-276632'!X449&lt;'[1]Methods write-up'!$T$17),"Equatorial tropical forest","")</f>
        <v/>
      </c>
      <c r="AZ449" s="22" t="str">
        <f>IF(AND('[1]observations-276632'!W449&gt;'[1]Methods write-up'!$Q$18,'[1]observations-276632'!W449&lt;'[1]Methods write-up'!$R$18,'[1]observations-276632'!X449&gt;'[1]Methods write-up'!$S$18,'[1]observations-276632'!X449&lt;'[1]Methods write-up'!$T$18),"Somali peninsula","")</f>
        <v/>
      </c>
      <c r="BA449" s="22" t="str">
        <f>IF(AND('[1]observations-276632'!W449&gt;'[1]Methods write-up'!$Q$19,'[1]observations-276632'!W449&lt;'[1]Methods write-up'!$R$19,'[1]observations-276632'!X449&gt;'[1]Methods write-up'!$S$19,'[1]observations-276632'!X449&lt;'[1]Methods write-up'!$T$19),"East Africa","")</f>
        <v/>
      </c>
      <c r="BB449" s="22" t="str">
        <f>IF(AND('[1]observations-276632'!W449&gt;'[1]Methods write-up'!$Q$20,'[1]observations-276632'!W449&lt;'[1]Methods write-up'!$R$20,'[1]observations-276632'!X449&gt;'[1]Methods write-up'!$S$20,'[1]observations-276632'!X449&lt;'[1]Methods write-up'!$T$20),"Temperate seasonal","")</f>
        <v>Temperate seasonal</v>
      </c>
      <c r="BC449" s="22" t="str">
        <f>IF(AND('[1]observations-276632'!W449&gt;'[1]Methods write-up'!$Q$21,'[1]observations-276632'!W449&lt;'[1]Methods write-up'!$R$21,'[1]observations-276632'!X449&gt;'[1]Methods write-up'!$S$21,'[1]observations-276632'!X449&lt;'[1]Methods write-up'!$T$21),"Desert and high aridity","")</f>
        <v/>
      </c>
      <c r="BD449" s="23" t="str">
        <f t="shared" si="28"/>
        <v>Temperate seasonal</v>
      </c>
      <c r="BE449" s="24">
        <f t="shared" si="26"/>
        <v>17</v>
      </c>
      <c r="BF449" s="24">
        <f t="shared" si="27"/>
        <v>4</v>
      </c>
    </row>
    <row r="450" spans="1:58" ht="16.25" customHeight="1" x14ac:dyDescent="0.2">
      <c r="A450">
        <v>43628330</v>
      </c>
      <c r="B450" t="s">
        <v>3337</v>
      </c>
      <c r="C450" s="14">
        <v>43947</v>
      </c>
      <c r="D450" t="s">
        <v>3338</v>
      </c>
      <c r="E450" t="s">
        <v>201</v>
      </c>
      <c r="F450">
        <v>2065791</v>
      </c>
      <c r="G450" t="s">
        <v>3339</v>
      </c>
      <c r="H450" t="s">
        <v>3340</v>
      </c>
      <c r="I450" t="s">
        <v>3341</v>
      </c>
      <c r="J450" t="s">
        <v>3342</v>
      </c>
      <c r="K450" t="s">
        <v>62</v>
      </c>
      <c r="M450" t="s">
        <v>3343</v>
      </c>
      <c r="N450" t="s">
        <v>3344</v>
      </c>
      <c r="R450">
        <v>3</v>
      </c>
      <c r="S450">
        <v>0</v>
      </c>
      <c r="T450" t="b">
        <v>0</v>
      </c>
      <c r="V450" t="s">
        <v>3345</v>
      </c>
      <c r="W450" s="15">
        <v>-34.076865390000002</v>
      </c>
      <c r="X450" s="15">
        <v>23.064608490000001</v>
      </c>
      <c r="Y450">
        <v>430</v>
      </c>
      <c r="AC450">
        <v>430</v>
      </c>
      <c r="AF450" t="b">
        <v>0</v>
      </c>
      <c r="AI450" t="s">
        <v>71</v>
      </c>
      <c r="AJ450" t="s">
        <v>70</v>
      </c>
      <c r="AK450" t="s">
        <v>71</v>
      </c>
      <c r="AL450" t="s">
        <v>72</v>
      </c>
      <c r="AM450">
        <v>346053</v>
      </c>
      <c r="AO450" s="16" t="s">
        <v>73</v>
      </c>
      <c r="AP450" s="17" t="str">
        <f t="shared" si="30"/>
        <v>Off-nest female</v>
      </c>
      <c r="AX450" s="22" t="str">
        <f>IF(AND('[1]observations-276632'!W450&gt;'[1]Methods write-up'!$Q$16,'[1]observations-276632'!W450&lt;'[1]Methods write-up'!$R$16,'[1]observations-276632'!X450&gt;'[1]Methods write-up'!$S$16,'[1]observations-276632'!X450&lt;'[1]Methods write-up'!$T$16),"West and Central Africa","")</f>
        <v/>
      </c>
      <c r="AY450" s="22" t="str">
        <f>IF(AND('[1]observations-276632'!W450&gt;'[1]Methods write-up'!$Q$17,'[1]observations-276632'!W450&lt;'[1]Methods write-up'!$R$17,'[1]observations-276632'!X450&gt;'[1]Methods write-up'!$S$17,'[1]observations-276632'!X450&lt;'[1]Methods write-up'!$T$17),"Equatorial tropical forest","")</f>
        <v/>
      </c>
      <c r="AZ450" s="22" t="str">
        <f>IF(AND('[1]observations-276632'!W450&gt;'[1]Methods write-up'!$Q$18,'[1]observations-276632'!W450&lt;'[1]Methods write-up'!$R$18,'[1]observations-276632'!X450&gt;'[1]Methods write-up'!$S$18,'[1]observations-276632'!X450&lt;'[1]Methods write-up'!$T$18),"Somali peninsula","")</f>
        <v/>
      </c>
      <c r="BA450" s="22" t="str">
        <f>IF(AND('[1]observations-276632'!W450&gt;'[1]Methods write-up'!$Q$19,'[1]observations-276632'!W450&lt;'[1]Methods write-up'!$R$19,'[1]observations-276632'!X450&gt;'[1]Methods write-up'!$S$19,'[1]observations-276632'!X450&lt;'[1]Methods write-up'!$T$19),"East Africa","")</f>
        <v/>
      </c>
      <c r="BB450" s="22" t="str">
        <f>IF(AND('[1]observations-276632'!W450&gt;'[1]Methods write-up'!$Q$20,'[1]observations-276632'!W450&lt;'[1]Methods write-up'!$R$20,'[1]observations-276632'!X450&gt;'[1]Methods write-up'!$S$20,'[1]observations-276632'!X450&lt;'[1]Methods write-up'!$T$20),"Temperate seasonal","")</f>
        <v/>
      </c>
      <c r="BC450" s="22" t="str">
        <f>IF(AND('[1]observations-276632'!W450&gt;'[1]Methods write-up'!$Q$21,'[1]observations-276632'!W450&lt;'[1]Methods write-up'!$R$21,'[1]observations-276632'!X450&gt;'[1]Methods write-up'!$S$21,'[1]observations-276632'!X450&lt;'[1]Methods write-up'!$T$21),"Desert and high aridity","")</f>
        <v/>
      </c>
      <c r="BD450" s="23" t="str">
        <f t="shared" si="28"/>
        <v/>
      </c>
      <c r="BE450" s="24">
        <f t="shared" ref="BE450:BE513" si="31">DAY(C450)</f>
        <v>26</v>
      </c>
      <c r="BF450" s="24">
        <f t="shared" ref="BF450:BF513" si="32">MONTH(C450)</f>
        <v>4</v>
      </c>
    </row>
    <row r="451" spans="1:58" ht="16.25" customHeight="1" x14ac:dyDescent="0.2">
      <c r="A451">
        <v>43639132</v>
      </c>
      <c r="B451" t="s">
        <v>3346</v>
      </c>
      <c r="C451" s="14">
        <v>43947</v>
      </c>
      <c r="D451" t="s">
        <v>3347</v>
      </c>
      <c r="E451" t="s">
        <v>113</v>
      </c>
      <c r="F451">
        <v>2549490</v>
      </c>
      <c r="G451" t="s">
        <v>3348</v>
      </c>
      <c r="I451" t="s">
        <v>3349</v>
      </c>
      <c r="J451" t="s">
        <v>3350</v>
      </c>
      <c r="K451" t="s">
        <v>62</v>
      </c>
      <c r="L451" t="s">
        <v>63</v>
      </c>
      <c r="M451" t="s">
        <v>3351</v>
      </c>
      <c r="N451" t="s">
        <v>3352</v>
      </c>
      <c r="R451">
        <v>4</v>
      </c>
      <c r="S451">
        <v>0</v>
      </c>
      <c r="T451" t="b">
        <v>0</v>
      </c>
      <c r="U451">
        <v>3</v>
      </c>
      <c r="V451" t="s">
        <v>3353</v>
      </c>
      <c r="W451" s="15">
        <v>-34.045093369999996</v>
      </c>
      <c r="X451" s="15">
        <v>18.437226240000001</v>
      </c>
      <c r="Y451">
        <v>5</v>
      </c>
      <c r="AC451">
        <v>5</v>
      </c>
      <c r="AF451" t="b">
        <v>0</v>
      </c>
      <c r="AI451" t="s">
        <v>71</v>
      </c>
      <c r="AJ451" t="s">
        <v>70</v>
      </c>
      <c r="AK451" t="s">
        <v>71</v>
      </c>
      <c r="AL451" t="s">
        <v>72</v>
      </c>
      <c r="AM451">
        <v>346053</v>
      </c>
      <c r="AO451" s="16" t="s">
        <v>140</v>
      </c>
      <c r="AP451" s="17" t="str">
        <f t="shared" si="30"/>
        <v>Post-emergence nest</v>
      </c>
      <c r="AQ451" s="18">
        <v>8</v>
      </c>
      <c r="AT451" s="19" t="s">
        <v>141</v>
      </c>
      <c r="AU451" s="20" t="s">
        <v>104</v>
      </c>
      <c r="AX451" s="22" t="str">
        <f>IF(AND('[1]observations-276632'!W451&gt;'[1]Methods write-up'!$Q$16,'[1]observations-276632'!W451&lt;'[1]Methods write-up'!$R$16,'[1]observations-276632'!X451&gt;'[1]Methods write-up'!$S$16,'[1]observations-276632'!X451&lt;'[1]Methods write-up'!$T$16),"West and Central Africa","")</f>
        <v/>
      </c>
      <c r="AY451" s="22" t="str">
        <f>IF(AND('[1]observations-276632'!W451&gt;'[1]Methods write-up'!$Q$17,'[1]observations-276632'!W451&lt;'[1]Methods write-up'!$R$17,'[1]observations-276632'!X451&gt;'[1]Methods write-up'!$S$17,'[1]observations-276632'!X451&lt;'[1]Methods write-up'!$T$17),"Equatorial tropical forest","")</f>
        <v/>
      </c>
      <c r="AZ451" s="22" t="str">
        <f>IF(AND('[1]observations-276632'!W451&gt;'[1]Methods write-up'!$Q$18,'[1]observations-276632'!W451&lt;'[1]Methods write-up'!$R$18,'[1]observations-276632'!X451&gt;'[1]Methods write-up'!$S$18,'[1]observations-276632'!X451&lt;'[1]Methods write-up'!$T$18),"Somali peninsula","")</f>
        <v/>
      </c>
      <c r="BA451" s="22" t="str">
        <f>IF(AND('[1]observations-276632'!W451&gt;'[1]Methods write-up'!$Q$19,'[1]observations-276632'!W451&lt;'[1]Methods write-up'!$R$19,'[1]observations-276632'!X451&gt;'[1]Methods write-up'!$S$19,'[1]observations-276632'!X451&lt;'[1]Methods write-up'!$T$19),"East Africa","")</f>
        <v/>
      </c>
      <c r="BB451" s="22" t="str">
        <f>IF(AND('[1]observations-276632'!W451&gt;'[1]Methods write-up'!$Q$20,'[1]observations-276632'!W451&lt;'[1]Methods write-up'!$R$20,'[1]observations-276632'!X451&gt;'[1]Methods write-up'!$S$20,'[1]observations-276632'!X451&lt;'[1]Methods write-up'!$T$20),"Temperate seasonal","")</f>
        <v/>
      </c>
      <c r="BC451" s="22" t="str">
        <f>IF(AND('[1]observations-276632'!W451&gt;'[1]Methods write-up'!$Q$21,'[1]observations-276632'!W451&lt;'[1]Methods write-up'!$R$21,'[1]observations-276632'!X451&gt;'[1]Methods write-up'!$S$21,'[1]observations-276632'!X451&lt;'[1]Methods write-up'!$T$21),"Desert and high aridity","")</f>
        <v/>
      </c>
      <c r="BD451" s="23" t="str">
        <f t="shared" ref="BD451:BD514" si="33">AX451&amp;AY451&amp;AZ451&amp;BA451&amp;BB451&amp;BC451</f>
        <v/>
      </c>
      <c r="BE451" s="24">
        <f t="shared" si="31"/>
        <v>26</v>
      </c>
      <c r="BF451" s="24">
        <f t="shared" si="32"/>
        <v>4</v>
      </c>
    </row>
    <row r="452" spans="1:58" ht="16.25" customHeight="1" x14ac:dyDescent="0.2">
      <c r="A452">
        <v>43643258</v>
      </c>
      <c r="B452" t="s">
        <v>3354</v>
      </c>
      <c r="C452" s="14">
        <v>43946</v>
      </c>
      <c r="D452" t="s">
        <v>3355</v>
      </c>
      <c r="E452" t="s">
        <v>113</v>
      </c>
      <c r="F452">
        <v>944243</v>
      </c>
      <c r="G452" t="s">
        <v>3261</v>
      </c>
      <c r="I452" t="s">
        <v>3356</v>
      </c>
      <c r="J452" t="s">
        <v>3357</v>
      </c>
      <c r="K452" t="s">
        <v>62</v>
      </c>
      <c r="L452" t="s">
        <v>373</v>
      </c>
      <c r="M452" t="s">
        <v>3358</v>
      </c>
      <c r="N452" t="s">
        <v>3359</v>
      </c>
      <c r="R452">
        <v>3</v>
      </c>
      <c r="S452">
        <v>0</v>
      </c>
      <c r="T452" t="b">
        <v>0</v>
      </c>
      <c r="V452" t="s">
        <v>3267</v>
      </c>
      <c r="W452" s="15">
        <v>-34.043219999999998</v>
      </c>
      <c r="X452" s="15">
        <v>18.437760000000001</v>
      </c>
      <c r="Y452">
        <v>199</v>
      </c>
      <c r="AC452">
        <v>199</v>
      </c>
      <c r="AF452" t="b">
        <v>0</v>
      </c>
      <c r="AI452" t="s">
        <v>71</v>
      </c>
      <c r="AJ452" t="s">
        <v>70</v>
      </c>
      <c r="AK452" t="s">
        <v>71</v>
      </c>
      <c r="AL452" t="s">
        <v>72</v>
      </c>
      <c r="AM452">
        <v>346053</v>
      </c>
      <c r="AO452" s="16" t="s">
        <v>73</v>
      </c>
      <c r="AP452" s="17" t="str">
        <f t="shared" si="30"/>
        <v>Off-nest female</v>
      </c>
      <c r="AX452" s="22" t="str">
        <f>IF(AND('[1]observations-276632'!W452&gt;'[1]Methods write-up'!$Q$16,'[1]observations-276632'!W452&lt;'[1]Methods write-up'!$R$16,'[1]observations-276632'!X452&gt;'[1]Methods write-up'!$S$16,'[1]observations-276632'!X452&lt;'[1]Methods write-up'!$T$16),"West and Central Africa","")</f>
        <v/>
      </c>
      <c r="AY452" s="22" t="str">
        <f>IF(AND('[1]observations-276632'!W452&gt;'[1]Methods write-up'!$Q$17,'[1]observations-276632'!W452&lt;'[1]Methods write-up'!$R$17,'[1]observations-276632'!X452&gt;'[1]Methods write-up'!$S$17,'[1]observations-276632'!X452&lt;'[1]Methods write-up'!$T$17),"Equatorial tropical forest","")</f>
        <v/>
      </c>
      <c r="AZ452" s="22" t="str">
        <f>IF(AND('[1]observations-276632'!W452&gt;'[1]Methods write-up'!$Q$18,'[1]observations-276632'!W452&lt;'[1]Methods write-up'!$R$18,'[1]observations-276632'!X452&gt;'[1]Methods write-up'!$S$18,'[1]observations-276632'!X452&lt;'[1]Methods write-up'!$T$18),"Somali peninsula","")</f>
        <v/>
      </c>
      <c r="BA452" s="22" t="str">
        <f>IF(AND('[1]observations-276632'!W452&gt;'[1]Methods write-up'!$Q$19,'[1]observations-276632'!W452&lt;'[1]Methods write-up'!$R$19,'[1]observations-276632'!X452&gt;'[1]Methods write-up'!$S$19,'[1]observations-276632'!X452&lt;'[1]Methods write-up'!$T$19),"East Africa","")</f>
        <v/>
      </c>
      <c r="BB452" s="22" t="str">
        <f>IF(AND('[1]observations-276632'!W452&gt;'[1]Methods write-up'!$Q$20,'[1]observations-276632'!W452&lt;'[1]Methods write-up'!$R$20,'[1]observations-276632'!X452&gt;'[1]Methods write-up'!$S$20,'[1]observations-276632'!X452&lt;'[1]Methods write-up'!$T$20),"Temperate seasonal","")</f>
        <v/>
      </c>
      <c r="BC452" s="22" t="str">
        <f>IF(AND('[1]observations-276632'!W452&gt;'[1]Methods write-up'!$Q$21,'[1]observations-276632'!W452&lt;'[1]Methods write-up'!$R$21,'[1]observations-276632'!X452&gt;'[1]Methods write-up'!$S$21,'[1]observations-276632'!X452&lt;'[1]Methods write-up'!$T$21),"Desert and high aridity","")</f>
        <v/>
      </c>
      <c r="BD452" s="23" t="str">
        <f t="shared" si="33"/>
        <v/>
      </c>
      <c r="BE452" s="24">
        <f t="shared" si="31"/>
        <v>25</v>
      </c>
      <c r="BF452" s="24">
        <f t="shared" si="32"/>
        <v>4</v>
      </c>
    </row>
    <row r="453" spans="1:58" ht="16.25" customHeight="1" x14ac:dyDescent="0.2">
      <c r="A453">
        <v>44251245</v>
      </c>
      <c r="B453" t="s">
        <v>3360</v>
      </c>
      <c r="C453" s="14">
        <v>43855</v>
      </c>
      <c r="D453" t="s">
        <v>3361</v>
      </c>
      <c r="E453" t="s">
        <v>193</v>
      </c>
      <c r="F453">
        <v>2874838</v>
      </c>
      <c r="G453" t="s">
        <v>3362</v>
      </c>
      <c r="H453" t="s">
        <v>3363</v>
      </c>
      <c r="I453" t="s">
        <v>3364</v>
      </c>
      <c r="J453" t="s">
        <v>3365</v>
      </c>
      <c r="K453" t="s">
        <v>62</v>
      </c>
      <c r="L453" t="s">
        <v>63</v>
      </c>
      <c r="M453" t="s">
        <v>3366</v>
      </c>
      <c r="N453" t="s">
        <v>3367</v>
      </c>
      <c r="Q453" t="s">
        <v>3368</v>
      </c>
      <c r="R453">
        <v>2</v>
      </c>
      <c r="S453">
        <v>0</v>
      </c>
      <c r="T453" t="b">
        <v>0</v>
      </c>
      <c r="U453">
        <v>3</v>
      </c>
      <c r="V453" t="s">
        <v>3369</v>
      </c>
      <c r="W453" s="15">
        <v>-5.291377013</v>
      </c>
      <c r="X453" s="15">
        <v>39.659398869999997</v>
      </c>
      <c r="Y453">
        <v>86</v>
      </c>
      <c r="AC453">
        <v>86</v>
      </c>
      <c r="AF453" t="b">
        <v>0</v>
      </c>
      <c r="AI453" t="s">
        <v>71</v>
      </c>
      <c r="AJ453" t="s">
        <v>70</v>
      </c>
      <c r="AK453" t="s">
        <v>71</v>
      </c>
      <c r="AL453" t="s">
        <v>72</v>
      </c>
      <c r="AM453">
        <v>346053</v>
      </c>
      <c r="AO453" s="16" t="s">
        <v>140</v>
      </c>
      <c r="AP453" s="17" t="str">
        <f t="shared" si="30"/>
        <v>Post-emergence nest</v>
      </c>
      <c r="AQ453" s="18">
        <v>5</v>
      </c>
      <c r="AT453" s="19" t="s">
        <v>141</v>
      </c>
      <c r="AU453" s="20" t="s">
        <v>104</v>
      </c>
      <c r="AX453" s="22" t="str">
        <f>IF(AND('[1]observations-276632'!W453&gt;'[1]Methods write-up'!$Q$16,'[1]observations-276632'!W453&lt;'[1]Methods write-up'!$R$16,'[1]observations-276632'!X453&gt;'[1]Methods write-up'!$S$16,'[1]observations-276632'!X453&lt;'[1]Methods write-up'!$T$16),"West and Central Africa","")</f>
        <v/>
      </c>
      <c r="AY453" s="22" t="str">
        <f>IF(AND('[1]observations-276632'!W453&gt;'[1]Methods write-up'!$Q$17,'[1]observations-276632'!W453&lt;'[1]Methods write-up'!$R$17,'[1]observations-276632'!X453&gt;'[1]Methods write-up'!$S$17,'[1]observations-276632'!X453&lt;'[1]Methods write-up'!$T$17),"Equatorial tropical forest","")</f>
        <v/>
      </c>
      <c r="AZ453" s="22" t="str">
        <f>IF(AND('[1]observations-276632'!W453&gt;'[1]Methods write-up'!$Q$18,'[1]observations-276632'!W453&lt;'[1]Methods write-up'!$R$18,'[1]observations-276632'!X453&gt;'[1]Methods write-up'!$S$18,'[1]observations-276632'!X453&lt;'[1]Methods write-up'!$T$18),"Somali peninsula","")</f>
        <v/>
      </c>
      <c r="BA453" s="22" t="str">
        <f>IF(AND('[1]observations-276632'!W453&gt;'[1]Methods write-up'!$Q$19,'[1]observations-276632'!W453&lt;'[1]Methods write-up'!$R$19,'[1]observations-276632'!X453&gt;'[1]Methods write-up'!$S$19,'[1]observations-276632'!X453&lt;'[1]Methods write-up'!$T$19),"East Africa","")</f>
        <v>East Africa</v>
      </c>
      <c r="BB453" s="22" t="str">
        <f>IF(AND('[1]observations-276632'!W453&gt;'[1]Methods write-up'!$Q$20,'[1]observations-276632'!W453&lt;'[1]Methods write-up'!$R$20,'[1]observations-276632'!X453&gt;'[1]Methods write-up'!$S$20,'[1]observations-276632'!X453&lt;'[1]Methods write-up'!$T$20),"Temperate seasonal","")</f>
        <v/>
      </c>
      <c r="BC453" s="22" t="str">
        <f>IF(AND('[1]observations-276632'!W453&gt;'[1]Methods write-up'!$Q$21,'[1]observations-276632'!W453&lt;'[1]Methods write-up'!$R$21,'[1]observations-276632'!X453&gt;'[1]Methods write-up'!$S$21,'[1]observations-276632'!X453&lt;'[1]Methods write-up'!$T$21),"Desert and high aridity","")</f>
        <v/>
      </c>
      <c r="BD453" s="23" t="str">
        <f t="shared" si="33"/>
        <v>East Africa</v>
      </c>
      <c r="BE453" s="24">
        <f t="shared" si="31"/>
        <v>25</v>
      </c>
      <c r="BF453" s="24">
        <f t="shared" si="32"/>
        <v>1</v>
      </c>
    </row>
    <row r="454" spans="1:58" ht="16.25" customHeight="1" x14ac:dyDescent="0.2">
      <c r="A454">
        <v>44262131</v>
      </c>
      <c r="B454" t="s">
        <v>3370</v>
      </c>
      <c r="C454" s="14">
        <v>43940</v>
      </c>
      <c r="D454" t="s">
        <v>3371</v>
      </c>
      <c r="E454" t="s">
        <v>113</v>
      </c>
      <c r="F454">
        <v>759731</v>
      </c>
      <c r="G454" t="s">
        <v>3372</v>
      </c>
      <c r="I454" t="s">
        <v>3373</v>
      </c>
      <c r="J454" t="s">
        <v>3374</v>
      </c>
      <c r="K454" t="s">
        <v>62</v>
      </c>
      <c r="L454" t="s">
        <v>63</v>
      </c>
      <c r="M454" t="s">
        <v>3375</v>
      </c>
      <c r="N454" t="s">
        <v>3376</v>
      </c>
      <c r="R454">
        <v>2</v>
      </c>
      <c r="S454">
        <v>0</v>
      </c>
      <c r="T454" t="b">
        <v>0</v>
      </c>
      <c r="V454" t="s">
        <v>3377</v>
      </c>
      <c r="W454" s="15">
        <v>-29.83180333</v>
      </c>
      <c r="X454" s="15">
        <v>30.91788167</v>
      </c>
      <c r="AF454" t="b">
        <v>0</v>
      </c>
      <c r="AI454" t="s">
        <v>71</v>
      </c>
      <c r="AJ454" t="s">
        <v>70</v>
      </c>
      <c r="AK454" t="s">
        <v>71</v>
      </c>
      <c r="AL454" t="s">
        <v>72</v>
      </c>
      <c r="AM454">
        <v>346053</v>
      </c>
      <c r="AO454" s="16" t="s">
        <v>140</v>
      </c>
      <c r="AP454" s="17" t="str">
        <f t="shared" si="30"/>
        <v>Post-emergence nest</v>
      </c>
      <c r="AQ454" s="18">
        <v>2</v>
      </c>
      <c r="AT454" s="19" t="s">
        <v>141</v>
      </c>
      <c r="AU454" s="20" t="s">
        <v>104</v>
      </c>
      <c r="AX454" s="22" t="str">
        <f>IF(AND('[1]observations-276632'!W454&gt;'[1]Methods write-up'!$Q$16,'[1]observations-276632'!W454&lt;'[1]Methods write-up'!$R$16,'[1]observations-276632'!X454&gt;'[1]Methods write-up'!$S$16,'[1]observations-276632'!X454&lt;'[1]Methods write-up'!$T$16),"West and Central Africa","")</f>
        <v/>
      </c>
      <c r="AY454" s="22" t="str">
        <f>IF(AND('[1]observations-276632'!W454&gt;'[1]Methods write-up'!$Q$17,'[1]observations-276632'!W454&lt;'[1]Methods write-up'!$R$17,'[1]observations-276632'!X454&gt;'[1]Methods write-up'!$S$17,'[1]observations-276632'!X454&lt;'[1]Methods write-up'!$T$17),"Equatorial tropical forest","")</f>
        <v/>
      </c>
      <c r="AZ454" s="22" t="str">
        <f>IF(AND('[1]observations-276632'!W454&gt;'[1]Methods write-up'!$Q$18,'[1]observations-276632'!W454&lt;'[1]Methods write-up'!$R$18,'[1]observations-276632'!X454&gt;'[1]Methods write-up'!$S$18,'[1]observations-276632'!X454&lt;'[1]Methods write-up'!$T$18),"Somali peninsula","")</f>
        <v/>
      </c>
      <c r="BA454" s="22" t="str">
        <f>IF(AND('[1]observations-276632'!W454&gt;'[1]Methods write-up'!$Q$19,'[1]observations-276632'!W454&lt;'[1]Methods write-up'!$R$19,'[1]observations-276632'!X454&gt;'[1]Methods write-up'!$S$19,'[1]observations-276632'!X454&lt;'[1]Methods write-up'!$T$19),"East Africa","")</f>
        <v/>
      </c>
      <c r="BB454" s="22" t="str">
        <f>IF(AND('[1]observations-276632'!W454&gt;'[1]Methods write-up'!$Q$20,'[1]observations-276632'!W454&lt;'[1]Methods write-up'!$R$20,'[1]observations-276632'!X454&gt;'[1]Methods write-up'!$S$20,'[1]observations-276632'!X454&lt;'[1]Methods write-up'!$T$20),"Temperate seasonal","")</f>
        <v>Temperate seasonal</v>
      </c>
      <c r="BC454" s="22" t="str">
        <f>IF(AND('[1]observations-276632'!W454&gt;'[1]Methods write-up'!$Q$21,'[1]observations-276632'!W454&lt;'[1]Methods write-up'!$R$21,'[1]observations-276632'!X454&gt;'[1]Methods write-up'!$S$21,'[1]observations-276632'!X454&lt;'[1]Methods write-up'!$T$21),"Desert and high aridity","")</f>
        <v/>
      </c>
      <c r="BD454" s="23" t="str">
        <f t="shared" si="33"/>
        <v>Temperate seasonal</v>
      </c>
      <c r="BE454" s="24">
        <f t="shared" si="31"/>
        <v>19</v>
      </c>
      <c r="BF454" s="24">
        <f t="shared" si="32"/>
        <v>4</v>
      </c>
    </row>
    <row r="455" spans="1:58" ht="16.25" customHeight="1" x14ac:dyDescent="0.2">
      <c r="A455">
        <v>44360672</v>
      </c>
      <c r="B455" t="s">
        <v>3378</v>
      </c>
      <c r="C455" s="14">
        <v>43951</v>
      </c>
      <c r="D455" t="s">
        <v>3379</v>
      </c>
      <c r="E455" t="s">
        <v>113</v>
      </c>
      <c r="F455">
        <v>1652017</v>
      </c>
      <c r="G455" t="s">
        <v>3380</v>
      </c>
      <c r="H455" t="s">
        <v>3381</v>
      </c>
      <c r="I455" t="s">
        <v>3382</v>
      </c>
      <c r="J455" t="s">
        <v>3383</v>
      </c>
      <c r="K455" t="s">
        <v>62</v>
      </c>
      <c r="L455" t="s">
        <v>63</v>
      </c>
      <c r="M455" t="s">
        <v>3384</v>
      </c>
      <c r="N455" t="s">
        <v>3385</v>
      </c>
      <c r="R455">
        <v>3</v>
      </c>
      <c r="S455">
        <v>0</v>
      </c>
      <c r="T455" t="b">
        <v>0</v>
      </c>
      <c r="U455">
        <v>3</v>
      </c>
      <c r="V455" t="s">
        <v>3386</v>
      </c>
      <c r="W455" s="15">
        <v>-25.631638330000001</v>
      </c>
      <c r="X455" s="15">
        <v>28.399728329999999</v>
      </c>
      <c r="Y455">
        <v>13</v>
      </c>
      <c r="AC455">
        <v>13</v>
      </c>
      <c r="AF455" t="b">
        <v>0</v>
      </c>
      <c r="AI455" t="s">
        <v>71</v>
      </c>
      <c r="AJ455" t="s">
        <v>70</v>
      </c>
      <c r="AK455" t="s">
        <v>71</v>
      </c>
      <c r="AL455" t="s">
        <v>72</v>
      </c>
      <c r="AM455">
        <v>346053</v>
      </c>
      <c r="AO455" s="16" t="s">
        <v>150</v>
      </c>
      <c r="AP455" s="17" t="str">
        <f t="shared" si="30"/>
        <v>Male (off nest)</v>
      </c>
      <c r="AX455" s="22" t="str">
        <f>IF(AND('[1]observations-276632'!W455&gt;'[1]Methods write-up'!$Q$16,'[1]observations-276632'!W455&lt;'[1]Methods write-up'!$R$16,'[1]observations-276632'!X455&gt;'[1]Methods write-up'!$S$16,'[1]observations-276632'!X455&lt;'[1]Methods write-up'!$T$16),"West and Central Africa","")</f>
        <v/>
      </c>
      <c r="AY455" s="22" t="str">
        <f>IF(AND('[1]observations-276632'!W455&gt;'[1]Methods write-up'!$Q$17,'[1]observations-276632'!W455&lt;'[1]Methods write-up'!$R$17,'[1]observations-276632'!X455&gt;'[1]Methods write-up'!$S$17,'[1]observations-276632'!X455&lt;'[1]Methods write-up'!$T$17),"Equatorial tropical forest","")</f>
        <v/>
      </c>
      <c r="AZ455" s="22" t="str">
        <f>IF(AND('[1]observations-276632'!W455&gt;'[1]Methods write-up'!$Q$18,'[1]observations-276632'!W455&lt;'[1]Methods write-up'!$R$18,'[1]observations-276632'!X455&gt;'[1]Methods write-up'!$S$18,'[1]observations-276632'!X455&lt;'[1]Methods write-up'!$T$18),"Somali peninsula","")</f>
        <v/>
      </c>
      <c r="BA455" s="22" t="str">
        <f>IF(AND('[1]observations-276632'!W455&gt;'[1]Methods write-up'!$Q$19,'[1]observations-276632'!W455&lt;'[1]Methods write-up'!$R$19,'[1]observations-276632'!X455&gt;'[1]Methods write-up'!$S$19,'[1]observations-276632'!X455&lt;'[1]Methods write-up'!$T$19),"East Africa","")</f>
        <v/>
      </c>
      <c r="BB455" s="22" t="str">
        <f>IF(AND('[1]observations-276632'!W455&gt;'[1]Methods write-up'!$Q$20,'[1]observations-276632'!W455&lt;'[1]Methods write-up'!$R$20,'[1]observations-276632'!X455&gt;'[1]Methods write-up'!$S$20,'[1]observations-276632'!X455&lt;'[1]Methods write-up'!$T$20),"Temperate seasonal","")</f>
        <v>Temperate seasonal</v>
      </c>
      <c r="BC455" s="22" t="str">
        <f>IF(AND('[1]observations-276632'!W455&gt;'[1]Methods write-up'!$Q$21,'[1]observations-276632'!W455&lt;'[1]Methods write-up'!$R$21,'[1]observations-276632'!X455&gt;'[1]Methods write-up'!$S$21,'[1]observations-276632'!X455&lt;'[1]Methods write-up'!$T$21),"Desert and high aridity","")</f>
        <v/>
      </c>
      <c r="BD455" s="23" t="str">
        <f t="shared" si="33"/>
        <v>Temperate seasonal</v>
      </c>
      <c r="BE455" s="24">
        <f t="shared" si="31"/>
        <v>30</v>
      </c>
      <c r="BF455" s="24">
        <f t="shared" si="32"/>
        <v>4</v>
      </c>
    </row>
    <row r="456" spans="1:58" ht="16.25" customHeight="1" x14ac:dyDescent="0.2">
      <c r="A456">
        <v>44393820</v>
      </c>
      <c r="B456" t="s">
        <v>3387</v>
      </c>
      <c r="C456" s="14">
        <v>43938</v>
      </c>
      <c r="D456" t="s">
        <v>3388</v>
      </c>
      <c r="E456" t="s">
        <v>113</v>
      </c>
      <c r="F456">
        <v>759731</v>
      </c>
      <c r="G456" t="s">
        <v>3372</v>
      </c>
      <c r="I456" t="s">
        <v>3389</v>
      </c>
      <c r="J456" t="s">
        <v>3390</v>
      </c>
      <c r="K456" t="s">
        <v>62</v>
      </c>
      <c r="L456" t="s">
        <v>63</v>
      </c>
      <c r="M456" t="s">
        <v>3391</v>
      </c>
      <c r="N456" t="s">
        <v>3392</v>
      </c>
      <c r="R456">
        <v>2</v>
      </c>
      <c r="S456">
        <v>0</v>
      </c>
      <c r="T456" t="b">
        <v>0</v>
      </c>
      <c r="V456" t="s">
        <v>3377</v>
      </c>
      <c r="W456" s="15">
        <v>-29.831851149999999</v>
      </c>
      <c r="X456" s="15">
        <v>30.917911029999999</v>
      </c>
      <c r="Y456">
        <v>20</v>
      </c>
      <c r="AC456">
        <v>20</v>
      </c>
      <c r="AF456" t="b">
        <v>0</v>
      </c>
      <c r="AI456" t="s">
        <v>71</v>
      </c>
      <c r="AJ456" t="s">
        <v>70</v>
      </c>
      <c r="AK456" t="s">
        <v>71</v>
      </c>
      <c r="AL456" t="s">
        <v>72</v>
      </c>
      <c r="AM456">
        <v>346053</v>
      </c>
      <c r="AO456" s="16" t="s">
        <v>140</v>
      </c>
      <c r="AP456" s="17" t="str">
        <f t="shared" si="30"/>
        <v>Post-emergence nest</v>
      </c>
      <c r="AQ456" s="18">
        <v>3</v>
      </c>
      <c r="AT456" s="19" t="s">
        <v>141</v>
      </c>
      <c r="AU456" s="20" t="s">
        <v>104</v>
      </c>
      <c r="AX456" s="22" t="str">
        <f>IF(AND('[1]observations-276632'!W456&gt;'[1]Methods write-up'!$Q$16,'[1]observations-276632'!W456&lt;'[1]Methods write-up'!$R$16,'[1]observations-276632'!X456&gt;'[1]Methods write-up'!$S$16,'[1]observations-276632'!X456&lt;'[1]Methods write-up'!$T$16),"West and Central Africa","")</f>
        <v/>
      </c>
      <c r="AY456" s="22" t="str">
        <f>IF(AND('[1]observations-276632'!W456&gt;'[1]Methods write-up'!$Q$17,'[1]observations-276632'!W456&lt;'[1]Methods write-up'!$R$17,'[1]observations-276632'!X456&gt;'[1]Methods write-up'!$S$17,'[1]observations-276632'!X456&lt;'[1]Methods write-up'!$T$17),"Equatorial tropical forest","")</f>
        <v/>
      </c>
      <c r="AZ456" s="22" t="str">
        <f>IF(AND('[1]observations-276632'!W456&gt;'[1]Methods write-up'!$Q$18,'[1]observations-276632'!W456&lt;'[1]Methods write-up'!$R$18,'[1]observations-276632'!X456&gt;'[1]Methods write-up'!$S$18,'[1]observations-276632'!X456&lt;'[1]Methods write-up'!$T$18),"Somali peninsula","")</f>
        <v/>
      </c>
      <c r="BA456" s="22" t="str">
        <f>IF(AND('[1]observations-276632'!W456&gt;'[1]Methods write-up'!$Q$19,'[1]observations-276632'!W456&lt;'[1]Methods write-up'!$R$19,'[1]observations-276632'!X456&gt;'[1]Methods write-up'!$S$19,'[1]observations-276632'!X456&lt;'[1]Methods write-up'!$T$19),"East Africa","")</f>
        <v/>
      </c>
      <c r="BB456" s="22" t="str">
        <f>IF(AND('[1]observations-276632'!W456&gt;'[1]Methods write-up'!$Q$20,'[1]observations-276632'!W456&lt;'[1]Methods write-up'!$R$20,'[1]observations-276632'!X456&gt;'[1]Methods write-up'!$S$20,'[1]observations-276632'!X456&lt;'[1]Methods write-up'!$T$20),"Temperate seasonal","")</f>
        <v>Temperate seasonal</v>
      </c>
      <c r="BC456" s="22" t="str">
        <f>IF(AND('[1]observations-276632'!W456&gt;'[1]Methods write-up'!$Q$21,'[1]observations-276632'!W456&lt;'[1]Methods write-up'!$R$21,'[1]observations-276632'!X456&gt;'[1]Methods write-up'!$S$21,'[1]observations-276632'!X456&lt;'[1]Methods write-up'!$T$21),"Desert and high aridity","")</f>
        <v/>
      </c>
      <c r="BD456" s="23" t="str">
        <f t="shared" si="33"/>
        <v>Temperate seasonal</v>
      </c>
      <c r="BE456" s="24">
        <f t="shared" si="31"/>
        <v>17</v>
      </c>
      <c r="BF456" s="24">
        <f t="shared" si="32"/>
        <v>4</v>
      </c>
    </row>
    <row r="457" spans="1:58" ht="16.25" customHeight="1" x14ac:dyDescent="0.2">
      <c r="A457">
        <v>44393821</v>
      </c>
      <c r="B457" t="s">
        <v>3387</v>
      </c>
      <c r="C457" s="14">
        <v>43938</v>
      </c>
      <c r="D457" t="s">
        <v>3388</v>
      </c>
      <c r="E457" t="s">
        <v>113</v>
      </c>
      <c r="F457">
        <v>759731</v>
      </c>
      <c r="G457" t="s">
        <v>3372</v>
      </c>
      <c r="I457" t="s">
        <v>3389</v>
      </c>
      <c r="J457" t="s">
        <v>3393</v>
      </c>
      <c r="K457" t="s">
        <v>62</v>
      </c>
      <c r="L457" t="s">
        <v>63</v>
      </c>
      <c r="M457" t="s">
        <v>3394</v>
      </c>
      <c r="N457" t="s">
        <v>3395</v>
      </c>
      <c r="R457">
        <v>3</v>
      </c>
      <c r="S457">
        <v>0</v>
      </c>
      <c r="T457" t="b">
        <v>0</v>
      </c>
      <c r="V457" t="s">
        <v>3377</v>
      </c>
      <c r="W457" s="15">
        <v>-29.831851149999999</v>
      </c>
      <c r="X457" s="15">
        <v>30.917911029999999</v>
      </c>
      <c r="Y457">
        <v>20</v>
      </c>
      <c r="AC457">
        <v>20</v>
      </c>
      <c r="AF457" t="b">
        <v>0</v>
      </c>
      <c r="AI457" t="s">
        <v>71</v>
      </c>
      <c r="AJ457" t="s">
        <v>70</v>
      </c>
      <c r="AK457" t="s">
        <v>71</v>
      </c>
      <c r="AL457" t="s">
        <v>72</v>
      </c>
      <c r="AM457">
        <v>346053</v>
      </c>
      <c r="AO457" s="16" t="s">
        <v>140</v>
      </c>
      <c r="AP457" s="17" t="str">
        <f t="shared" si="30"/>
        <v>Post-emergence nest</v>
      </c>
      <c r="AQ457" s="18">
        <v>1</v>
      </c>
      <c r="AT457" s="19" t="s">
        <v>141</v>
      </c>
      <c r="AU457" s="20" t="s">
        <v>104</v>
      </c>
      <c r="AX457" s="22" t="str">
        <f>IF(AND('[1]observations-276632'!W457&gt;'[1]Methods write-up'!$Q$16,'[1]observations-276632'!W457&lt;'[1]Methods write-up'!$R$16,'[1]observations-276632'!X457&gt;'[1]Methods write-up'!$S$16,'[1]observations-276632'!X457&lt;'[1]Methods write-up'!$T$16),"West and Central Africa","")</f>
        <v/>
      </c>
      <c r="AY457" s="22" t="str">
        <f>IF(AND('[1]observations-276632'!W457&gt;'[1]Methods write-up'!$Q$17,'[1]observations-276632'!W457&lt;'[1]Methods write-up'!$R$17,'[1]observations-276632'!X457&gt;'[1]Methods write-up'!$S$17,'[1]observations-276632'!X457&lt;'[1]Methods write-up'!$T$17),"Equatorial tropical forest","")</f>
        <v/>
      </c>
      <c r="AZ457" s="22" t="str">
        <f>IF(AND('[1]observations-276632'!W457&gt;'[1]Methods write-up'!$Q$18,'[1]observations-276632'!W457&lt;'[1]Methods write-up'!$R$18,'[1]observations-276632'!X457&gt;'[1]Methods write-up'!$S$18,'[1]observations-276632'!X457&lt;'[1]Methods write-up'!$T$18),"Somali peninsula","")</f>
        <v/>
      </c>
      <c r="BA457" s="22" t="str">
        <f>IF(AND('[1]observations-276632'!W457&gt;'[1]Methods write-up'!$Q$19,'[1]observations-276632'!W457&lt;'[1]Methods write-up'!$R$19,'[1]observations-276632'!X457&gt;'[1]Methods write-up'!$S$19,'[1]observations-276632'!X457&lt;'[1]Methods write-up'!$T$19),"East Africa","")</f>
        <v/>
      </c>
      <c r="BB457" s="22" t="str">
        <f>IF(AND('[1]observations-276632'!W457&gt;'[1]Methods write-up'!$Q$20,'[1]observations-276632'!W457&lt;'[1]Methods write-up'!$R$20,'[1]observations-276632'!X457&gt;'[1]Methods write-up'!$S$20,'[1]observations-276632'!X457&lt;'[1]Methods write-up'!$T$20),"Temperate seasonal","")</f>
        <v>Temperate seasonal</v>
      </c>
      <c r="BC457" s="22" t="str">
        <f>IF(AND('[1]observations-276632'!W457&gt;'[1]Methods write-up'!$Q$21,'[1]observations-276632'!W457&lt;'[1]Methods write-up'!$R$21,'[1]observations-276632'!X457&gt;'[1]Methods write-up'!$S$21,'[1]observations-276632'!X457&lt;'[1]Methods write-up'!$T$21),"Desert and high aridity","")</f>
        <v/>
      </c>
      <c r="BD457" s="23" t="str">
        <f t="shared" si="33"/>
        <v>Temperate seasonal</v>
      </c>
      <c r="BE457" s="24">
        <f t="shared" si="31"/>
        <v>17</v>
      </c>
      <c r="BF457" s="24">
        <f t="shared" si="32"/>
        <v>4</v>
      </c>
    </row>
    <row r="458" spans="1:58" ht="16.25" customHeight="1" x14ac:dyDescent="0.2">
      <c r="A458">
        <v>44394058</v>
      </c>
      <c r="B458" t="s">
        <v>3396</v>
      </c>
      <c r="C458" s="14">
        <v>43938</v>
      </c>
      <c r="D458" t="s">
        <v>3397</v>
      </c>
      <c r="E458" t="s">
        <v>113</v>
      </c>
      <c r="F458">
        <v>759731</v>
      </c>
      <c r="G458" t="s">
        <v>3372</v>
      </c>
      <c r="I458" t="s">
        <v>3398</v>
      </c>
      <c r="J458" t="s">
        <v>3399</v>
      </c>
      <c r="K458" t="s">
        <v>62</v>
      </c>
      <c r="L458" t="s">
        <v>63</v>
      </c>
      <c r="M458" t="s">
        <v>3400</v>
      </c>
      <c r="N458" t="s">
        <v>3401</v>
      </c>
      <c r="R458">
        <v>3</v>
      </c>
      <c r="S458">
        <v>0</v>
      </c>
      <c r="T458" t="b">
        <v>0</v>
      </c>
      <c r="V458" t="s">
        <v>3377</v>
      </c>
      <c r="W458" s="15">
        <v>-29.831832540000001</v>
      </c>
      <c r="X458" s="15">
        <v>30.917932489999998</v>
      </c>
      <c r="Y458">
        <v>20</v>
      </c>
      <c r="AC458">
        <v>20</v>
      </c>
      <c r="AF458" t="b">
        <v>0</v>
      </c>
      <c r="AI458" t="s">
        <v>71</v>
      </c>
      <c r="AJ458" t="s">
        <v>70</v>
      </c>
      <c r="AK458" t="s">
        <v>71</v>
      </c>
      <c r="AL458" t="s">
        <v>72</v>
      </c>
      <c r="AM458">
        <v>346053</v>
      </c>
      <c r="AO458" s="16" t="s">
        <v>73</v>
      </c>
      <c r="AP458" s="17" t="str">
        <f t="shared" si="30"/>
        <v>Off-nest female</v>
      </c>
      <c r="AX458" s="22" t="str">
        <f>IF(AND('[1]observations-276632'!W458&gt;'[1]Methods write-up'!$Q$16,'[1]observations-276632'!W458&lt;'[1]Methods write-up'!$R$16,'[1]observations-276632'!X458&gt;'[1]Methods write-up'!$S$16,'[1]observations-276632'!X458&lt;'[1]Methods write-up'!$T$16),"West and Central Africa","")</f>
        <v/>
      </c>
      <c r="AY458" s="22" t="str">
        <f>IF(AND('[1]observations-276632'!W458&gt;'[1]Methods write-up'!$Q$17,'[1]observations-276632'!W458&lt;'[1]Methods write-up'!$R$17,'[1]observations-276632'!X458&gt;'[1]Methods write-up'!$S$17,'[1]observations-276632'!X458&lt;'[1]Methods write-up'!$T$17),"Equatorial tropical forest","")</f>
        <v/>
      </c>
      <c r="AZ458" s="22" t="str">
        <f>IF(AND('[1]observations-276632'!W458&gt;'[1]Methods write-up'!$Q$18,'[1]observations-276632'!W458&lt;'[1]Methods write-up'!$R$18,'[1]observations-276632'!X458&gt;'[1]Methods write-up'!$S$18,'[1]observations-276632'!X458&lt;'[1]Methods write-up'!$T$18),"Somali peninsula","")</f>
        <v/>
      </c>
      <c r="BA458" s="22" t="str">
        <f>IF(AND('[1]observations-276632'!W458&gt;'[1]Methods write-up'!$Q$19,'[1]observations-276632'!W458&lt;'[1]Methods write-up'!$R$19,'[1]observations-276632'!X458&gt;'[1]Methods write-up'!$S$19,'[1]observations-276632'!X458&lt;'[1]Methods write-up'!$T$19),"East Africa","")</f>
        <v/>
      </c>
      <c r="BB458" s="22" t="str">
        <f>IF(AND('[1]observations-276632'!W458&gt;'[1]Methods write-up'!$Q$20,'[1]observations-276632'!W458&lt;'[1]Methods write-up'!$R$20,'[1]observations-276632'!X458&gt;'[1]Methods write-up'!$S$20,'[1]observations-276632'!X458&lt;'[1]Methods write-up'!$T$20),"Temperate seasonal","")</f>
        <v>Temperate seasonal</v>
      </c>
      <c r="BC458" s="22" t="str">
        <f>IF(AND('[1]observations-276632'!W458&gt;'[1]Methods write-up'!$Q$21,'[1]observations-276632'!W458&lt;'[1]Methods write-up'!$R$21,'[1]observations-276632'!X458&gt;'[1]Methods write-up'!$S$21,'[1]observations-276632'!X458&lt;'[1]Methods write-up'!$T$21),"Desert and high aridity","")</f>
        <v/>
      </c>
      <c r="BD458" s="23" t="str">
        <f t="shared" si="33"/>
        <v>Temperate seasonal</v>
      </c>
      <c r="BE458" s="24">
        <f t="shared" si="31"/>
        <v>17</v>
      </c>
      <c r="BF458" s="24">
        <f t="shared" si="32"/>
        <v>4</v>
      </c>
    </row>
    <row r="459" spans="1:58" ht="16.25" customHeight="1" x14ac:dyDescent="0.2">
      <c r="A459">
        <v>44395819</v>
      </c>
      <c r="B459" t="s">
        <v>3402</v>
      </c>
      <c r="C459" s="14">
        <v>43938</v>
      </c>
      <c r="D459" t="s">
        <v>3403</v>
      </c>
      <c r="E459" t="s">
        <v>113</v>
      </c>
      <c r="F459">
        <v>759731</v>
      </c>
      <c r="G459" t="s">
        <v>3372</v>
      </c>
      <c r="I459" t="s">
        <v>3404</v>
      </c>
      <c r="J459" t="s">
        <v>3405</v>
      </c>
      <c r="K459" t="s">
        <v>62</v>
      </c>
      <c r="L459" t="s">
        <v>63</v>
      </c>
      <c r="M459" t="s">
        <v>3406</v>
      </c>
      <c r="N459" t="s">
        <v>3407</v>
      </c>
      <c r="R459">
        <v>3</v>
      </c>
      <c r="S459">
        <v>0</v>
      </c>
      <c r="T459" t="b">
        <v>0</v>
      </c>
      <c r="V459" t="s">
        <v>3408</v>
      </c>
      <c r="W459" s="15">
        <v>-29.831832540000001</v>
      </c>
      <c r="X459" s="15">
        <v>30.917943220000002</v>
      </c>
      <c r="Y459">
        <v>20</v>
      </c>
      <c r="AC459">
        <v>20</v>
      </c>
      <c r="AF459" t="b">
        <v>0</v>
      </c>
      <c r="AI459" t="s">
        <v>71</v>
      </c>
      <c r="AJ459" t="s">
        <v>70</v>
      </c>
      <c r="AK459" t="s">
        <v>71</v>
      </c>
      <c r="AL459" t="s">
        <v>72</v>
      </c>
      <c r="AM459">
        <v>346053</v>
      </c>
      <c r="AO459" s="16" t="s">
        <v>110</v>
      </c>
      <c r="AP459" s="17" t="str">
        <f t="shared" si="30"/>
        <v>Nest (foundress)</v>
      </c>
      <c r="AQ459" s="18">
        <v>1</v>
      </c>
      <c r="AT459" s="19" t="s">
        <v>104</v>
      </c>
      <c r="AX459" s="22" t="str">
        <f>IF(AND('[1]observations-276632'!W459&gt;'[1]Methods write-up'!$Q$16,'[1]observations-276632'!W459&lt;'[1]Methods write-up'!$R$16,'[1]observations-276632'!X459&gt;'[1]Methods write-up'!$S$16,'[1]observations-276632'!X459&lt;'[1]Methods write-up'!$T$16),"West and Central Africa","")</f>
        <v/>
      </c>
      <c r="AY459" s="22" t="str">
        <f>IF(AND('[1]observations-276632'!W459&gt;'[1]Methods write-up'!$Q$17,'[1]observations-276632'!W459&lt;'[1]Methods write-up'!$R$17,'[1]observations-276632'!X459&gt;'[1]Methods write-up'!$S$17,'[1]observations-276632'!X459&lt;'[1]Methods write-up'!$T$17),"Equatorial tropical forest","")</f>
        <v/>
      </c>
      <c r="AZ459" s="22" t="str">
        <f>IF(AND('[1]observations-276632'!W459&gt;'[1]Methods write-up'!$Q$18,'[1]observations-276632'!W459&lt;'[1]Methods write-up'!$R$18,'[1]observations-276632'!X459&gt;'[1]Methods write-up'!$S$18,'[1]observations-276632'!X459&lt;'[1]Methods write-up'!$T$18),"Somali peninsula","")</f>
        <v/>
      </c>
      <c r="BA459" s="22" t="str">
        <f>IF(AND('[1]observations-276632'!W459&gt;'[1]Methods write-up'!$Q$19,'[1]observations-276632'!W459&lt;'[1]Methods write-up'!$R$19,'[1]observations-276632'!X459&gt;'[1]Methods write-up'!$S$19,'[1]observations-276632'!X459&lt;'[1]Methods write-up'!$T$19),"East Africa","")</f>
        <v/>
      </c>
      <c r="BB459" s="22" t="str">
        <f>IF(AND('[1]observations-276632'!W459&gt;'[1]Methods write-up'!$Q$20,'[1]observations-276632'!W459&lt;'[1]Methods write-up'!$R$20,'[1]observations-276632'!X459&gt;'[1]Methods write-up'!$S$20,'[1]observations-276632'!X459&lt;'[1]Methods write-up'!$T$20),"Temperate seasonal","")</f>
        <v>Temperate seasonal</v>
      </c>
      <c r="BC459" s="22" t="str">
        <f>IF(AND('[1]observations-276632'!W459&gt;'[1]Methods write-up'!$Q$21,'[1]observations-276632'!W459&lt;'[1]Methods write-up'!$R$21,'[1]observations-276632'!X459&gt;'[1]Methods write-up'!$S$21,'[1]observations-276632'!X459&lt;'[1]Methods write-up'!$T$21),"Desert and high aridity","")</f>
        <v/>
      </c>
      <c r="BD459" s="23" t="str">
        <f t="shared" si="33"/>
        <v>Temperate seasonal</v>
      </c>
      <c r="BE459" s="24">
        <f t="shared" si="31"/>
        <v>17</v>
      </c>
      <c r="BF459" s="24">
        <f t="shared" si="32"/>
        <v>4</v>
      </c>
    </row>
    <row r="460" spans="1:58" ht="16.25" customHeight="1" x14ac:dyDescent="0.2">
      <c r="A460">
        <v>44441444</v>
      </c>
      <c r="B460" t="s">
        <v>3409</v>
      </c>
      <c r="C460" s="14">
        <v>43952</v>
      </c>
      <c r="D460" t="s">
        <v>3410</v>
      </c>
      <c r="E460" t="s">
        <v>113</v>
      </c>
      <c r="F460">
        <v>662724</v>
      </c>
      <c r="G460" t="s">
        <v>903</v>
      </c>
      <c r="H460" t="s">
        <v>904</v>
      </c>
      <c r="I460" t="s">
        <v>3411</v>
      </c>
      <c r="J460" t="s">
        <v>3412</v>
      </c>
      <c r="K460" t="s">
        <v>62</v>
      </c>
      <c r="L460" t="s">
        <v>63</v>
      </c>
      <c r="M460" t="s">
        <v>3413</v>
      </c>
      <c r="N460" t="s">
        <v>3414</v>
      </c>
      <c r="Q460" s="26" t="s">
        <v>3415</v>
      </c>
      <c r="R460">
        <v>4</v>
      </c>
      <c r="S460">
        <v>0</v>
      </c>
      <c r="T460" t="b">
        <v>0</v>
      </c>
      <c r="V460" t="s">
        <v>1146</v>
      </c>
      <c r="W460" s="15">
        <v>-30.30113326</v>
      </c>
      <c r="X460" s="15">
        <v>30.742490579999998</v>
      </c>
      <c r="Y460">
        <v>2</v>
      </c>
      <c r="AC460">
        <v>2</v>
      </c>
      <c r="AF460" t="b">
        <v>0</v>
      </c>
      <c r="AI460" t="s">
        <v>71</v>
      </c>
      <c r="AJ460" t="s">
        <v>70</v>
      </c>
      <c r="AK460" t="s">
        <v>71</v>
      </c>
      <c r="AL460" t="s">
        <v>72</v>
      </c>
      <c r="AM460">
        <v>346053</v>
      </c>
      <c r="AO460" s="16" t="s">
        <v>73</v>
      </c>
      <c r="AP460" s="17" t="str">
        <f t="shared" si="30"/>
        <v>Off-nest female</v>
      </c>
      <c r="AX460" s="22" t="str">
        <f>IF(AND('[1]observations-276632'!W460&gt;'[1]Methods write-up'!$Q$16,'[1]observations-276632'!W460&lt;'[1]Methods write-up'!$R$16,'[1]observations-276632'!X460&gt;'[1]Methods write-up'!$S$16,'[1]observations-276632'!X460&lt;'[1]Methods write-up'!$T$16),"West and Central Africa","")</f>
        <v/>
      </c>
      <c r="AY460" s="22" t="str">
        <f>IF(AND('[1]observations-276632'!W460&gt;'[1]Methods write-up'!$Q$17,'[1]observations-276632'!W460&lt;'[1]Methods write-up'!$R$17,'[1]observations-276632'!X460&gt;'[1]Methods write-up'!$S$17,'[1]observations-276632'!X460&lt;'[1]Methods write-up'!$T$17),"Equatorial tropical forest","")</f>
        <v/>
      </c>
      <c r="AZ460" s="22" t="str">
        <f>IF(AND('[1]observations-276632'!W460&gt;'[1]Methods write-up'!$Q$18,'[1]observations-276632'!W460&lt;'[1]Methods write-up'!$R$18,'[1]observations-276632'!X460&gt;'[1]Methods write-up'!$S$18,'[1]observations-276632'!X460&lt;'[1]Methods write-up'!$T$18),"Somali peninsula","")</f>
        <v/>
      </c>
      <c r="BA460" s="22" t="str">
        <f>IF(AND('[1]observations-276632'!W460&gt;'[1]Methods write-up'!$Q$19,'[1]observations-276632'!W460&lt;'[1]Methods write-up'!$R$19,'[1]observations-276632'!X460&gt;'[1]Methods write-up'!$S$19,'[1]observations-276632'!X460&lt;'[1]Methods write-up'!$T$19),"East Africa","")</f>
        <v/>
      </c>
      <c r="BB460" s="22" t="str">
        <f>IF(AND('[1]observations-276632'!W460&gt;'[1]Methods write-up'!$Q$20,'[1]observations-276632'!W460&lt;'[1]Methods write-up'!$R$20,'[1]observations-276632'!X460&gt;'[1]Methods write-up'!$S$20,'[1]observations-276632'!X460&lt;'[1]Methods write-up'!$T$20),"Temperate seasonal","")</f>
        <v>Temperate seasonal</v>
      </c>
      <c r="BC460" s="22" t="str">
        <f>IF(AND('[1]observations-276632'!W460&gt;'[1]Methods write-up'!$Q$21,'[1]observations-276632'!W460&lt;'[1]Methods write-up'!$R$21,'[1]observations-276632'!X460&gt;'[1]Methods write-up'!$S$21,'[1]observations-276632'!X460&lt;'[1]Methods write-up'!$T$21),"Desert and high aridity","")</f>
        <v/>
      </c>
      <c r="BD460" s="23" t="str">
        <f t="shared" si="33"/>
        <v>Temperate seasonal</v>
      </c>
      <c r="BE460" s="24">
        <f t="shared" si="31"/>
        <v>1</v>
      </c>
      <c r="BF460" s="24">
        <f t="shared" si="32"/>
        <v>5</v>
      </c>
    </row>
    <row r="461" spans="1:58" ht="16.25" customHeight="1" x14ac:dyDescent="0.2">
      <c r="A461">
        <v>44458320</v>
      </c>
      <c r="B461" t="s">
        <v>3416</v>
      </c>
      <c r="C461" s="14">
        <v>43947</v>
      </c>
      <c r="D461" t="s">
        <v>3417</v>
      </c>
      <c r="E461" t="s">
        <v>113</v>
      </c>
      <c r="F461">
        <v>1002209</v>
      </c>
      <c r="G461" t="s">
        <v>3418</v>
      </c>
      <c r="H461" t="s">
        <v>3419</v>
      </c>
      <c r="I461" t="s">
        <v>3420</v>
      </c>
      <c r="J461" t="s">
        <v>3421</v>
      </c>
      <c r="K461" t="s">
        <v>62</v>
      </c>
      <c r="L461" t="s">
        <v>63</v>
      </c>
      <c r="M461" t="s">
        <v>3422</v>
      </c>
      <c r="N461" t="s">
        <v>3423</v>
      </c>
      <c r="R461">
        <v>2</v>
      </c>
      <c r="S461">
        <v>0</v>
      </c>
      <c r="T461" t="b">
        <v>0</v>
      </c>
      <c r="V461" t="s">
        <v>3424</v>
      </c>
      <c r="W461" s="15">
        <v>-33.9954471</v>
      </c>
      <c r="X461" s="15">
        <v>22.548424600000001</v>
      </c>
      <c r="AF461" t="b">
        <v>0</v>
      </c>
      <c r="AI461" t="s">
        <v>71</v>
      </c>
      <c r="AJ461" t="s">
        <v>70</v>
      </c>
      <c r="AK461" t="s">
        <v>71</v>
      </c>
      <c r="AL461" t="s">
        <v>72</v>
      </c>
      <c r="AM461">
        <v>346053</v>
      </c>
      <c r="AO461" s="16" t="s">
        <v>73</v>
      </c>
      <c r="AP461" s="17" t="str">
        <f t="shared" si="30"/>
        <v>Off-nest female</v>
      </c>
      <c r="AX461" s="22" t="str">
        <f>IF(AND('[1]observations-276632'!W461&gt;'[1]Methods write-up'!$Q$16,'[1]observations-276632'!W461&lt;'[1]Methods write-up'!$R$16,'[1]observations-276632'!X461&gt;'[1]Methods write-up'!$S$16,'[1]observations-276632'!X461&lt;'[1]Methods write-up'!$T$16),"West and Central Africa","")</f>
        <v/>
      </c>
      <c r="AY461" s="22" t="str">
        <f>IF(AND('[1]observations-276632'!W461&gt;'[1]Methods write-up'!$Q$17,'[1]observations-276632'!W461&lt;'[1]Methods write-up'!$R$17,'[1]observations-276632'!X461&gt;'[1]Methods write-up'!$S$17,'[1]observations-276632'!X461&lt;'[1]Methods write-up'!$T$17),"Equatorial tropical forest","")</f>
        <v/>
      </c>
      <c r="AZ461" s="22" t="str">
        <f>IF(AND('[1]observations-276632'!W461&gt;'[1]Methods write-up'!$Q$18,'[1]observations-276632'!W461&lt;'[1]Methods write-up'!$R$18,'[1]observations-276632'!X461&gt;'[1]Methods write-up'!$S$18,'[1]observations-276632'!X461&lt;'[1]Methods write-up'!$T$18),"Somali peninsula","")</f>
        <v/>
      </c>
      <c r="BA461" s="22" t="str">
        <f>IF(AND('[1]observations-276632'!W461&gt;'[1]Methods write-up'!$Q$19,'[1]observations-276632'!W461&lt;'[1]Methods write-up'!$R$19,'[1]observations-276632'!X461&gt;'[1]Methods write-up'!$S$19,'[1]observations-276632'!X461&lt;'[1]Methods write-up'!$T$19),"East Africa","")</f>
        <v/>
      </c>
      <c r="BB461" s="22" t="str">
        <f>IF(AND('[1]observations-276632'!W461&gt;'[1]Methods write-up'!$Q$20,'[1]observations-276632'!W461&lt;'[1]Methods write-up'!$R$20,'[1]observations-276632'!X461&gt;'[1]Methods write-up'!$S$20,'[1]observations-276632'!X461&lt;'[1]Methods write-up'!$T$20),"Temperate seasonal","")</f>
        <v/>
      </c>
      <c r="BC461" s="22" t="str">
        <f>IF(AND('[1]observations-276632'!W461&gt;'[1]Methods write-up'!$Q$21,'[1]observations-276632'!W461&lt;'[1]Methods write-up'!$R$21,'[1]observations-276632'!X461&gt;'[1]Methods write-up'!$S$21,'[1]observations-276632'!X461&lt;'[1]Methods write-up'!$T$21),"Desert and high aridity","")</f>
        <v/>
      </c>
      <c r="BD461" s="23" t="str">
        <f t="shared" si="33"/>
        <v/>
      </c>
      <c r="BE461" s="24">
        <f t="shared" si="31"/>
        <v>26</v>
      </c>
      <c r="BF461" s="24">
        <f t="shared" si="32"/>
        <v>4</v>
      </c>
    </row>
    <row r="462" spans="1:58" ht="16.25" customHeight="1" x14ac:dyDescent="0.2">
      <c r="A462">
        <v>44484027</v>
      </c>
      <c r="B462" t="s">
        <v>3425</v>
      </c>
      <c r="C462" s="14">
        <v>43882</v>
      </c>
      <c r="D462" t="s">
        <v>3426</v>
      </c>
      <c r="E462" t="s">
        <v>113</v>
      </c>
      <c r="F462">
        <v>772236</v>
      </c>
      <c r="G462" t="s">
        <v>3427</v>
      </c>
      <c r="H462" t="s">
        <v>3428</v>
      </c>
      <c r="I462" t="s">
        <v>3429</v>
      </c>
      <c r="J462" t="s">
        <v>3430</v>
      </c>
      <c r="K462" t="s">
        <v>62</v>
      </c>
      <c r="L462" t="s">
        <v>63</v>
      </c>
      <c r="M462" t="s">
        <v>3431</v>
      </c>
      <c r="N462" t="s">
        <v>3432</v>
      </c>
      <c r="R462">
        <v>5</v>
      </c>
      <c r="S462">
        <v>0</v>
      </c>
      <c r="T462" t="b">
        <v>0</v>
      </c>
      <c r="V462" t="s">
        <v>3433</v>
      </c>
      <c r="W462" s="15">
        <v>-30.678731809999999</v>
      </c>
      <c r="X462" s="15">
        <v>30.498427790000001</v>
      </c>
      <c r="Y462">
        <v>3</v>
      </c>
      <c r="AC462">
        <v>3</v>
      </c>
      <c r="AF462" t="b">
        <v>0</v>
      </c>
      <c r="AI462" t="s">
        <v>71</v>
      </c>
      <c r="AJ462" t="s">
        <v>70</v>
      </c>
      <c r="AK462" t="s">
        <v>71</v>
      </c>
      <c r="AL462" t="s">
        <v>72</v>
      </c>
      <c r="AM462">
        <v>346053</v>
      </c>
      <c r="AO462" s="16" t="s">
        <v>73</v>
      </c>
      <c r="AP462" s="17" t="str">
        <f t="shared" si="30"/>
        <v>Off-nest female</v>
      </c>
      <c r="AX462" s="22" t="str">
        <f>IF(AND('[1]observations-276632'!W462&gt;'[1]Methods write-up'!$Q$16,'[1]observations-276632'!W462&lt;'[1]Methods write-up'!$R$16,'[1]observations-276632'!X462&gt;'[1]Methods write-up'!$S$16,'[1]observations-276632'!X462&lt;'[1]Methods write-up'!$T$16),"West and Central Africa","")</f>
        <v/>
      </c>
      <c r="AY462" s="22" t="str">
        <f>IF(AND('[1]observations-276632'!W462&gt;'[1]Methods write-up'!$Q$17,'[1]observations-276632'!W462&lt;'[1]Methods write-up'!$R$17,'[1]observations-276632'!X462&gt;'[1]Methods write-up'!$S$17,'[1]observations-276632'!X462&lt;'[1]Methods write-up'!$T$17),"Equatorial tropical forest","")</f>
        <v/>
      </c>
      <c r="AZ462" s="22" t="str">
        <f>IF(AND('[1]observations-276632'!W462&gt;'[1]Methods write-up'!$Q$18,'[1]observations-276632'!W462&lt;'[1]Methods write-up'!$R$18,'[1]observations-276632'!X462&gt;'[1]Methods write-up'!$S$18,'[1]observations-276632'!X462&lt;'[1]Methods write-up'!$T$18),"Somali peninsula","")</f>
        <v/>
      </c>
      <c r="BA462" s="22" t="str">
        <f>IF(AND('[1]observations-276632'!W462&gt;'[1]Methods write-up'!$Q$19,'[1]observations-276632'!W462&lt;'[1]Methods write-up'!$R$19,'[1]observations-276632'!X462&gt;'[1]Methods write-up'!$S$19,'[1]observations-276632'!X462&lt;'[1]Methods write-up'!$T$19),"East Africa","")</f>
        <v/>
      </c>
      <c r="BB462" s="22" t="str">
        <f>IF(AND('[1]observations-276632'!W462&gt;'[1]Methods write-up'!$Q$20,'[1]observations-276632'!W462&lt;'[1]Methods write-up'!$R$20,'[1]observations-276632'!X462&gt;'[1]Methods write-up'!$S$20,'[1]observations-276632'!X462&lt;'[1]Methods write-up'!$T$20),"Temperate seasonal","")</f>
        <v>Temperate seasonal</v>
      </c>
      <c r="BC462" s="22" t="str">
        <f>IF(AND('[1]observations-276632'!W462&gt;'[1]Methods write-up'!$Q$21,'[1]observations-276632'!W462&lt;'[1]Methods write-up'!$R$21,'[1]observations-276632'!X462&gt;'[1]Methods write-up'!$S$21,'[1]observations-276632'!X462&lt;'[1]Methods write-up'!$T$21),"Desert and high aridity","")</f>
        <v/>
      </c>
      <c r="BD462" s="23" t="str">
        <f t="shared" si="33"/>
        <v>Temperate seasonal</v>
      </c>
      <c r="BE462" s="24">
        <f t="shared" si="31"/>
        <v>21</v>
      </c>
      <c r="BF462" s="24">
        <f t="shared" si="32"/>
        <v>2</v>
      </c>
    </row>
    <row r="463" spans="1:58" ht="16.25" customHeight="1" x14ac:dyDescent="0.2">
      <c r="A463">
        <v>44578486</v>
      </c>
      <c r="B463" t="s">
        <v>3434</v>
      </c>
      <c r="C463" s="14">
        <v>41581</v>
      </c>
      <c r="D463" t="s">
        <v>3435</v>
      </c>
      <c r="E463" t="s">
        <v>2807</v>
      </c>
      <c r="F463">
        <v>27842</v>
      </c>
      <c r="G463" t="s">
        <v>3436</v>
      </c>
      <c r="H463" t="s">
        <v>3437</v>
      </c>
      <c r="I463" t="s">
        <v>3438</v>
      </c>
      <c r="J463" t="s">
        <v>3439</v>
      </c>
      <c r="K463" t="s">
        <v>62</v>
      </c>
      <c r="L463" t="s">
        <v>63</v>
      </c>
      <c r="M463" t="s">
        <v>3440</v>
      </c>
      <c r="N463" t="s">
        <v>3441</v>
      </c>
      <c r="R463">
        <v>0</v>
      </c>
      <c r="S463">
        <v>0</v>
      </c>
      <c r="T463" t="b">
        <v>0</v>
      </c>
      <c r="V463" t="s">
        <v>3442</v>
      </c>
      <c r="W463" s="15">
        <v>0.48175089999999998</v>
      </c>
      <c r="X463" s="15">
        <v>33.164240100000001</v>
      </c>
      <c r="Y463">
        <v>198</v>
      </c>
      <c r="AC463">
        <v>198</v>
      </c>
      <c r="AF463" t="b">
        <v>0</v>
      </c>
      <c r="AI463" t="s">
        <v>3123</v>
      </c>
      <c r="AJ463" t="s">
        <v>3123</v>
      </c>
      <c r="AL463" t="s">
        <v>72</v>
      </c>
      <c r="AM463">
        <v>652801</v>
      </c>
      <c r="AO463" s="16" t="s">
        <v>110</v>
      </c>
      <c r="AP463" s="17" t="str">
        <f t="shared" si="30"/>
        <v>Nest (foundress)</v>
      </c>
      <c r="AQ463" s="18">
        <v>3</v>
      </c>
      <c r="AT463" s="19" t="s">
        <v>104</v>
      </c>
      <c r="AX463" s="22" t="str">
        <f>IF(AND('[1]observations-276632'!W463&gt;'[1]Methods write-up'!$Q$16,'[1]observations-276632'!W463&lt;'[1]Methods write-up'!$R$16,'[1]observations-276632'!X463&gt;'[1]Methods write-up'!$S$16,'[1]observations-276632'!X463&lt;'[1]Methods write-up'!$T$16),"West and Central Africa","")</f>
        <v/>
      </c>
      <c r="AY463" s="22" t="str">
        <f>IF(AND('[1]observations-276632'!W463&gt;'[1]Methods write-up'!$Q$17,'[1]observations-276632'!W463&lt;'[1]Methods write-up'!$R$17,'[1]observations-276632'!X463&gt;'[1]Methods write-up'!$S$17,'[1]observations-276632'!X463&lt;'[1]Methods write-up'!$T$17),"Equatorial tropical forest","")</f>
        <v/>
      </c>
      <c r="AZ463" s="22" t="str">
        <f>IF(AND('[1]observations-276632'!W463&gt;'[1]Methods write-up'!$Q$18,'[1]observations-276632'!W463&lt;'[1]Methods write-up'!$R$18,'[1]observations-276632'!X463&gt;'[1]Methods write-up'!$S$18,'[1]observations-276632'!X463&lt;'[1]Methods write-up'!$T$18),"Somali peninsula","")</f>
        <v/>
      </c>
      <c r="BA463" s="22" t="str">
        <f>IF(AND('[1]observations-276632'!W463&gt;'[1]Methods write-up'!$Q$19,'[1]observations-276632'!W463&lt;'[1]Methods write-up'!$R$19,'[1]observations-276632'!X463&gt;'[1]Methods write-up'!$S$19,'[1]observations-276632'!X463&lt;'[1]Methods write-up'!$T$19),"East Africa","")</f>
        <v>East Africa</v>
      </c>
      <c r="BB463" s="22" t="str">
        <f>IF(AND('[1]observations-276632'!W463&gt;'[1]Methods write-up'!$Q$20,'[1]observations-276632'!W463&lt;'[1]Methods write-up'!$R$20,'[1]observations-276632'!X463&gt;'[1]Methods write-up'!$S$20,'[1]observations-276632'!X463&lt;'[1]Methods write-up'!$T$20),"Temperate seasonal","")</f>
        <v/>
      </c>
      <c r="BC463" s="22" t="str">
        <f>IF(AND('[1]observations-276632'!W463&gt;'[1]Methods write-up'!$Q$21,'[1]observations-276632'!W463&lt;'[1]Methods write-up'!$R$21,'[1]observations-276632'!X463&gt;'[1]Methods write-up'!$S$21,'[1]observations-276632'!X463&lt;'[1]Methods write-up'!$T$21),"Desert and high aridity","")</f>
        <v/>
      </c>
      <c r="BD463" s="23" t="str">
        <f t="shared" si="33"/>
        <v>East Africa</v>
      </c>
      <c r="BE463" s="24">
        <f t="shared" si="31"/>
        <v>3</v>
      </c>
      <c r="BF463" s="24">
        <f t="shared" si="32"/>
        <v>11</v>
      </c>
    </row>
    <row r="464" spans="1:58" ht="16.25" customHeight="1" x14ac:dyDescent="0.2">
      <c r="A464">
        <v>44597753</v>
      </c>
      <c r="B464" t="s">
        <v>3443</v>
      </c>
      <c r="C464" s="14">
        <v>41582</v>
      </c>
      <c r="D464" t="s">
        <v>3444</v>
      </c>
      <c r="E464" t="s">
        <v>113</v>
      </c>
      <c r="F464">
        <v>27842</v>
      </c>
      <c r="G464" t="s">
        <v>3436</v>
      </c>
      <c r="H464" t="s">
        <v>3437</v>
      </c>
      <c r="I464" t="s">
        <v>3445</v>
      </c>
      <c r="J464" t="s">
        <v>3446</v>
      </c>
      <c r="K464" t="s">
        <v>62</v>
      </c>
      <c r="L464" t="s">
        <v>63</v>
      </c>
      <c r="M464" t="s">
        <v>3447</v>
      </c>
      <c r="N464" t="s">
        <v>3448</v>
      </c>
      <c r="R464">
        <v>0</v>
      </c>
      <c r="S464">
        <v>0</v>
      </c>
      <c r="T464" t="b">
        <v>0</v>
      </c>
      <c r="V464" t="s">
        <v>3442</v>
      </c>
      <c r="W464" s="15">
        <v>0.48175089999999998</v>
      </c>
      <c r="X464" s="15">
        <v>33.164240100000001</v>
      </c>
      <c r="Y464">
        <v>198</v>
      </c>
      <c r="AC464">
        <v>198</v>
      </c>
      <c r="AF464" t="b">
        <v>0</v>
      </c>
      <c r="AI464" t="s">
        <v>71</v>
      </c>
      <c r="AJ464" t="s">
        <v>3123</v>
      </c>
      <c r="AL464" t="s">
        <v>72</v>
      </c>
      <c r="AM464">
        <v>652801</v>
      </c>
      <c r="AO464" s="16" t="s">
        <v>140</v>
      </c>
      <c r="AP464" s="17" t="str">
        <f t="shared" si="30"/>
        <v>Post-emergence nest</v>
      </c>
      <c r="AQ464" s="18">
        <v>3</v>
      </c>
      <c r="AT464" s="19" t="s">
        <v>141</v>
      </c>
      <c r="AU464" s="20" t="s">
        <v>104</v>
      </c>
      <c r="AX464" s="22" t="str">
        <f>IF(AND('[1]observations-276632'!W464&gt;'[1]Methods write-up'!$Q$16,'[1]observations-276632'!W464&lt;'[1]Methods write-up'!$R$16,'[1]observations-276632'!X464&gt;'[1]Methods write-up'!$S$16,'[1]observations-276632'!X464&lt;'[1]Methods write-up'!$T$16),"West and Central Africa","")</f>
        <v/>
      </c>
      <c r="AY464" s="22" t="str">
        <f>IF(AND('[1]observations-276632'!W464&gt;'[1]Methods write-up'!$Q$17,'[1]observations-276632'!W464&lt;'[1]Methods write-up'!$R$17,'[1]observations-276632'!X464&gt;'[1]Methods write-up'!$S$17,'[1]observations-276632'!X464&lt;'[1]Methods write-up'!$T$17),"Equatorial tropical forest","")</f>
        <v/>
      </c>
      <c r="AZ464" s="22" t="str">
        <f>IF(AND('[1]observations-276632'!W464&gt;'[1]Methods write-up'!$Q$18,'[1]observations-276632'!W464&lt;'[1]Methods write-up'!$R$18,'[1]observations-276632'!X464&gt;'[1]Methods write-up'!$S$18,'[1]observations-276632'!X464&lt;'[1]Methods write-up'!$T$18),"Somali peninsula","")</f>
        <v/>
      </c>
      <c r="BA464" s="22" t="str">
        <f>IF(AND('[1]observations-276632'!W464&gt;'[1]Methods write-up'!$Q$19,'[1]observations-276632'!W464&lt;'[1]Methods write-up'!$R$19,'[1]observations-276632'!X464&gt;'[1]Methods write-up'!$S$19,'[1]observations-276632'!X464&lt;'[1]Methods write-up'!$T$19),"East Africa","")</f>
        <v>East Africa</v>
      </c>
      <c r="BB464" s="22" t="str">
        <f>IF(AND('[1]observations-276632'!W464&gt;'[1]Methods write-up'!$Q$20,'[1]observations-276632'!W464&lt;'[1]Methods write-up'!$R$20,'[1]observations-276632'!X464&gt;'[1]Methods write-up'!$S$20,'[1]observations-276632'!X464&lt;'[1]Methods write-up'!$T$20),"Temperate seasonal","")</f>
        <v/>
      </c>
      <c r="BC464" s="22" t="str">
        <f>IF(AND('[1]observations-276632'!W464&gt;'[1]Methods write-up'!$Q$21,'[1]observations-276632'!W464&lt;'[1]Methods write-up'!$R$21,'[1]observations-276632'!X464&gt;'[1]Methods write-up'!$S$21,'[1]observations-276632'!X464&lt;'[1]Methods write-up'!$T$21),"Desert and high aridity","")</f>
        <v/>
      </c>
      <c r="BD464" s="23" t="str">
        <f t="shared" si="33"/>
        <v>East Africa</v>
      </c>
      <c r="BE464" s="24">
        <f t="shared" si="31"/>
        <v>4</v>
      </c>
      <c r="BF464" s="24">
        <f t="shared" si="32"/>
        <v>11</v>
      </c>
    </row>
    <row r="465" spans="1:58" ht="16.25" customHeight="1" x14ac:dyDescent="0.2">
      <c r="A465">
        <v>44608912</v>
      </c>
      <c r="B465" t="s">
        <v>3449</v>
      </c>
      <c r="C465" s="14">
        <v>43743</v>
      </c>
      <c r="D465" t="s">
        <v>3450</v>
      </c>
      <c r="E465" t="s">
        <v>113</v>
      </c>
      <c r="F465">
        <v>759731</v>
      </c>
      <c r="G465" t="s">
        <v>3372</v>
      </c>
      <c r="I465" t="s">
        <v>3451</v>
      </c>
      <c r="J465" t="s">
        <v>3452</v>
      </c>
      <c r="K465" t="s">
        <v>62</v>
      </c>
      <c r="L465" t="s">
        <v>63</v>
      </c>
      <c r="M465" t="s">
        <v>3453</v>
      </c>
      <c r="N465" t="s">
        <v>3454</v>
      </c>
      <c r="R465">
        <v>3</v>
      </c>
      <c r="S465">
        <v>0</v>
      </c>
      <c r="T465" t="b">
        <v>0</v>
      </c>
      <c r="V465" t="s">
        <v>3455</v>
      </c>
      <c r="W465" s="15">
        <v>-29.808621670000001</v>
      </c>
      <c r="X465" s="15">
        <v>30.825376670000001</v>
      </c>
      <c r="AF465" t="b">
        <v>0</v>
      </c>
      <c r="AI465" t="s">
        <v>71</v>
      </c>
      <c r="AJ465" t="s">
        <v>70</v>
      </c>
      <c r="AK465" t="s">
        <v>71</v>
      </c>
      <c r="AL465" t="s">
        <v>72</v>
      </c>
      <c r="AM465">
        <v>346053</v>
      </c>
      <c r="AO465" s="16" t="s">
        <v>73</v>
      </c>
      <c r="AP465" s="17" t="str">
        <f t="shared" si="30"/>
        <v>Off-nest female</v>
      </c>
      <c r="AX465" s="22" t="str">
        <f>IF(AND('[1]observations-276632'!W465&gt;'[1]Methods write-up'!$Q$16,'[1]observations-276632'!W465&lt;'[1]Methods write-up'!$R$16,'[1]observations-276632'!X465&gt;'[1]Methods write-up'!$S$16,'[1]observations-276632'!X465&lt;'[1]Methods write-up'!$T$16),"West and Central Africa","")</f>
        <v/>
      </c>
      <c r="AY465" s="22" t="str">
        <f>IF(AND('[1]observations-276632'!W465&gt;'[1]Methods write-up'!$Q$17,'[1]observations-276632'!W465&lt;'[1]Methods write-up'!$R$17,'[1]observations-276632'!X465&gt;'[1]Methods write-up'!$S$17,'[1]observations-276632'!X465&lt;'[1]Methods write-up'!$T$17),"Equatorial tropical forest","")</f>
        <v/>
      </c>
      <c r="AZ465" s="22" t="str">
        <f>IF(AND('[1]observations-276632'!W465&gt;'[1]Methods write-up'!$Q$18,'[1]observations-276632'!W465&lt;'[1]Methods write-up'!$R$18,'[1]observations-276632'!X465&gt;'[1]Methods write-up'!$S$18,'[1]observations-276632'!X465&lt;'[1]Methods write-up'!$T$18),"Somali peninsula","")</f>
        <v/>
      </c>
      <c r="BA465" s="22" t="str">
        <f>IF(AND('[1]observations-276632'!W465&gt;'[1]Methods write-up'!$Q$19,'[1]observations-276632'!W465&lt;'[1]Methods write-up'!$R$19,'[1]observations-276632'!X465&gt;'[1]Methods write-up'!$S$19,'[1]observations-276632'!X465&lt;'[1]Methods write-up'!$T$19),"East Africa","")</f>
        <v/>
      </c>
      <c r="BB465" s="22" t="str">
        <f>IF(AND('[1]observations-276632'!W465&gt;'[1]Methods write-up'!$Q$20,'[1]observations-276632'!W465&lt;'[1]Methods write-up'!$R$20,'[1]observations-276632'!X465&gt;'[1]Methods write-up'!$S$20,'[1]observations-276632'!X465&lt;'[1]Methods write-up'!$T$20),"Temperate seasonal","")</f>
        <v>Temperate seasonal</v>
      </c>
      <c r="BC465" s="22" t="str">
        <f>IF(AND('[1]observations-276632'!W465&gt;'[1]Methods write-up'!$Q$21,'[1]observations-276632'!W465&lt;'[1]Methods write-up'!$R$21,'[1]observations-276632'!X465&gt;'[1]Methods write-up'!$S$21,'[1]observations-276632'!X465&lt;'[1]Methods write-up'!$T$21),"Desert and high aridity","")</f>
        <v/>
      </c>
      <c r="BD465" s="23" t="str">
        <f t="shared" si="33"/>
        <v>Temperate seasonal</v>
      </c>
      <c r="BE465" s="24">
        <f t="shared" si="31"/>
        <v>5</v>
      </c>
      <c r="BF465" s="24">
        <f t="shared" si="32"/>
        <v>10</v>
      </c>
    </row>
    <row r="466" spans="1:58" ht="16.25" customHeight="1" x14ac:dyDescent="0.2">
      <c r="A466">
        <v>44644213</v>
      </c>
      <c r="B466" t="s">
        <v>3456</v>
      </c>
      <c r="C466" s="14">
        <v>43947</v>
      </c>
      <c r="D466" t="s">
        <v>3457</v>
      </c>
      <c r="E466" t="s">
        <v>113</v>
      </c>
      <c r="F466">
        <v>2843251</v>
      </c>
      <c r="G466" t="s">
        <v>3458</v>
      </c>
      <c r="I466" t="s">
        <v>3459</v>
      </c>
      <c r="J466" t="s">
        <v>3460</v>
      </c>
      <c r="K466" t="s">
        <v>62</v>
      </c>
      <c r="L466" t="s">
        <v>63</v>
      </c>
      <c r="M466" t="s">
        <v>3461</v>
      </c>
      <c r="N466" t="s">
        <v>3462</v>
      </c>
      <c r="Q466" t="s">
        <v>161</v>
      </c>
      <c r="R466">
        <v>0</v>
      </c>
      <c r="S466">
        <v>0</v>
      </c>
      <c r="T466" t="b">
        <v>0</v>
      </c>
      <c r="V466" t="s">
        <v>1244</v>
      </c>
      <c r="W466" s="15">
        <v>-29.89143464</v>
      </c>
      <c r="X466" s="15">
        <v>31.164893620000001</v>
      </c>
      <c r="Y466">
        <v>1521</v>
      </c>
      <c r="AC466">
        <v>29433</v>
      </c>
      <c r="AD466" t="s">
        <v>839</v>
      </c>
      <c r="AF466" t="b">
        <v>1</v>
      </c>
      <c r="AI466" t="s">
        <v>71</v>
      </c>
      <c r="AJ466" t="s">
        <v>161</v>
      </c>
      <c r="AL466" t="s">
        <v>72</v>
      </c>
      <c r="AM466">
        <v>366867</v>
      </c>
      <c r="AO466" s="16" t="s">
        <v>140</v>
      </c>
      <c r="AP466" s="17" t="str">
        <f t="shared" si="30"/>
        <v>Post-emergence nest</v>
      </c>
      <c r="AQ466" s="18">
        <v>5</v>
      </c>
      <c r="AT466" s="19" t="s">
        <v>141</v>
      </c>
      <c r="AU466" s="20" t="s">
        <v>104</v>
      </c>
      <c r="AX466" s="22" t="str">
        <f>IF(AND('[1]observations-276632'!W466&gt;'[1]Methods write-up'!$Q$16,'[1]observations-276632'!W466&lt;'[1]Methods write-up'!$R$16,'[1]observations-276632'!X466&gt;'[1]Methods write-up'!$S$16,'[1]observations-276632'!X466&lt;'[1]Methods write-up'!$T$16),"West and Central Africa","")</f>
        <v/>
      </c>
      <c r="AY466" s="22" t="str">
        <f>IF(AND('[1]observations-276632'!W466&gt;'[1]Methods write-up'!$Q$17,'[1]observations-276632'!W466&lt;'[1]Methods write-up'!$R$17,'[1]observations-276632'!X466&gt;'[1]Methods write-up'!$S$17,'[1]observations-276632'!X466&lt;'[1]Methods write-up'!$T$17),"Equatorial tropical forest","")</f>
        <v/>
      </c>
      <c r="AZ466" s="22" t="str">
        <f>IF(AND('[1]observations-276632'!W466&gt;'[1]Methods write-up'!$Q$18,'[1]observations-276632'!W466&lt;'[1]Methods write-up'!$R$18,'[1]observations-276632'!X466&gt;'[1]Methods write-up'!$S$18,'[1]observations-276632'!X466&lt;'[1]Methods write-up'!$T$18),"Somali peninsula","")</f>
        <v/>
      </c>
      <c r="BA466" s="22" t="str">
        <f>IF(AND('[1]observations-276632'!W466&gt;'[1]Methods write-up'!$Q$19,'[1]observations-276632'!W466&lt;'[1]Methods write-up'!$R$19,'[1]observations-276632'!X466&gt;'[1]Methods write-up'!$S$19,'[1]observations-276632'!X466&lt;'[1]Methods write-up'!$T$19),"East Africa","")</f>
        <v/>
      </c>
      <c r="BB466" s="22" t="str">
        <f>IF(AND('[1]observations-276632'!W466&gt;'[1]Methods write-up'!$Q$20,'[1]observations-276632'!W466&lt;'[1]Methods write-up'!$R$20,'[1]observations-276632'!X466&gt;'[1]Methods write-up'!$S$20,'[1]observations-276632'!X466&lt;'[1]Methods write-up'!$T$20),"Temperate seasonal","")</f>
        <v>Temperate seasonal</v>
      </c>
      <c r="BC466" s="22" t="str">
        <f>IF(AND('[1]observations-276632'!W466&gt;'[1]Methods write-up'!$Q$21,'[1]observations-276632'!W466&lt;'[1]Methods write-up'!$R$21,'[1]observations-276632'!X466&gt;'[1]Methods write-up'!$S$21,'[1]observations-276632'!X466&lt;'[1]Methods write-up'!$T$21),"Desert and high aridity","")</f>
        <v/>
      </c>
      <c r="BD466" s="23" t="str">
        <f t="shared" si="33"/>
        <v>Temperate seasonal</v>
      </c>
      <c r="BE466" s="24">
        <f t="shared" si="31"/>
        <v>26</v>
      </c>
      <c r="BF466" s="24">
        <f t="shared" si="32"/>
        <v>4</v>
      </c>
    </row>
    <row r="467" spans="1:58" ht="16.25" customHeight="1" x14ac:dyDescent="0.2">
      <c r="A467">
        <v>44709524</v>
      </c>
      <c r="B467" t="s">
        <v>3463</v>
      </c>
      <c r="C467" s="14">
        <v>43943</v>
      </c>
      <c r="E467" t="s">
        <v>1408</v>
      </c>
      <c r="F467">
        <v>2078561</v>
      </c>
      <c r="G467" t="s">
        <v>3464</v>
      </c>
      <c r="H467" t="s">
        <v>3465</v>
      </c>
      <c r="I467" t="s">
        <v>3466</v>
      </c>
      <c r="J467" t="s">
        <v>3467</v>
      </c>
      <c r="K467" t="s">
        <v>62</v>
      </c>
      <c r="L467" t="s">
        <v>98</v>
      </c>
      <c r="M467" t="s">
        <v>3468</v>
      </c>
      <c r="N467" t="s">
        <v>3469</v>
      </c>
      <c r="R467">
        <v>2</v>
      </c>
      <c r="S467">
        <v>0</v>
      </c>
      <c r="T467" t="b">
        <v>0</v>
      </c>
      <c r="V467" t="s">
        <v>3470</v>
      </c>
      <c r="W467" s="15">
        <v>-27.276256530000001</v>
      </c>
      <c r="X467" s="15">
        <v>28.500710009999999</v>
      </c>
      <c r="Y467">
        <v>80</v>
      </c>
      <c r="AC467">
        <v>80</v>
      </c>
      <c r="AF467" t="b">
        <v>0</v>
      </c>
      <c r="AI467" t="s">
        <v>71</v>
      </c>
      <c r="AJ467" t="s">
        <v>70</v>
      </c>
      <c r="AK467" t="s">
        <v>71</v>
      </c>
      <c r="AL467" t="s">
        <v>72</v>
      </c>
      <c r="AM467">
        <v>346053</v>
      </c>
      <c r="AO467" s="16" t="s">
        <v>73</v>
      </c>
      <c r="AP467" s="17" t="str">
        <f t="shared" si="30"/>
        <v>Off-nest female</v>
      </c>
      <c r="AX467" s="22" t="str">
        <f>IF(AND('[1]observations-276632'!W467&gt;'[1]Methods write-up'!$Q$16,'[1]observations-276632'!W467&lt;'[1]Methods write-up'!$R$16,'[1]observations-276632'!X467&gt;'[1]Methods write-up'!$S$16,'[1]observations-276632'!X467&lt;'[1]Methods write-up'!$T$16),"West and Central Africa","")</f>
        <v/>
      </c>
      <c r="AY467" s="22" t="str">
        <f>IF(AND('[1]observations-276632'!W467&gt;'[1]Methods write-up'!$Q$17,'[1]observations-276632'!W467&lt;'[1]Methods write-up'!$R$17,'[1]observations-276632'!X467&gt;'[1]Methods write-up'!$S$17,'[1]observations-276632'!X467&lt;'[1]Methods write-up'!$T$17),"Equatorial tropical forest","")</f>
        <v/>
      </c>
      <c r="AZ467" s="22" t="str">
        <f>IF(AND('[1]observations-276632'!W467&gt;'[1]Methods write-up'!$Q$18,'[1]observations-276632'!W467&lt;'[1]Methods write-up'!$R$18,'[1]observations-276632'!X467&gt;'[1]Methods write-up'!$S$18,'[1]observations-276632'!X467&lt;'[1]Methods write-up'!$T$18),"Somali peninsula","")</f>
        <v/>
      </c>
      <c r="BA467" s="22" t="str">
        <f>IF(AND('[1]observations-276632'!W467&gt;'[1]Methods write-up'!$Q$19,'[1]observations-276632'!W467&lt;'[1]Methods write-up'!$R$19,'[1]observations-276632'!X467&gt;'[1]Methods write-up'!$S$19,'[1]observations-276632'!X467&lt;'[1]Methods write-up'!$T$19),"East Africa","")</f>
        <v/>
      </c>
      <c r="BB467" s="22" t="str">
        <f>IF(AND('[1]observations-276632'!W467&gt;'[1]Methods write-up'!$Q$20,'[1]observations-276632'!W467&lt;'[1]Methods write-up'!$R$20,'[1]observations-276632'!X467&gt;'[1]Methods write-up'!$S$20,'[1]observations-276632'!X467&lt;'[1]Methods write-up'!$T$20),"Temperate seasonal","")</f>
        <v>Temperate seasonal</v>
      </c>
      <c r="BC467" s="22" t="str">
        <f>IF(AND('[1]observations-276632'!W467&gt;'[1]Methods write-up'!$Q$21,'[1]observations-276632'!W467&lt;'[1]Methods write-up'!$R$21,'[1]observations-276632'!X467&gt;'[1]Methods write-up'!$S$21,'[1]observations-276632'!X467&lt;'[1]Methods write-up'!$T$21),"Desert and high aridity","")</f>
        <v/>
      </c>
      <c r="BD467" s="23" t="str">
        <f t="shared" si="33"/>
        <v>Temperate seasonal</v>
      </c>
      <c r="BE467" s="24">
        <f t="shared" si="31"/>
        <v>22</v>
      </c>
      <c r="BF467" s="24">
        <f t="shared" si="32"/>
        <v>4</v>
      </c>
    </row>
    <row r="468" spans="1:58" ht="16.25" customHeight="1" x14ac:dyDescent="0.2">
      <c r="A468">
        <v>45090197</v>
      </c>
      <c r="B468" t="s">
        <v>3471</v>
      </c>
      <c r="C468" s="14">
        <v>43954</v>
      </c>
      <c r="D468" t="s">
        <v>3472</v>
      </c>
      <c r="E468" t="s">
        <v>84</v>
      </c>
      <c r="F468">
        <v>2641540</v>
      </c>
      <c r="G468" t="s">
        <v>3473</v>
      </c>
      <c r="H468" t="s">
        <v>3474</v>
      </c>
      <c r="I468" t="s">
        <v>3475</v>
      </c>
      <c r="J468" t="s">
        <v>3476</v>
      </c>
      <c r="K468" t="s">
        <v>62</v>
      </c>
      <c r="L468" t="s">
        <v>63</v>
      </c>
      <c r="M468" t="s">
        <v>3477</v>
      </c>
      <c r="N468" t="s">
        <v>3478</v>
      </c>
      <c r="R468">
        <v>2</v>
      </c>
      <c r="S468">
        <v>0</v>
      </c>
      <c r="T468" t="b">
        <v>0</v>
      </c>
      <c r="V468" t="s">
        <v>3479</v>
      </c>
      <c r="W468" s="15">
        <v>-2.486335446</v>
      </c>
      <c r="X468" s="15">
        <v>37.28328011</v>
      </c>
      <c r="Y468">
        <v>244</v>
      </c>
      <c r="AC468">
        <v>31436</v>
      </c>
      <c r="AD468" t="s">
        <v>839</v>
      </c>
      <c r="AF468" t="b">
        <v>1</v>
      </c>
      <c r="AI468" t="s">
        <v>71</v>
      </c>
      <c r="AJ468" t="s">
        <v>70</v>
      </c>
      <c r="AK468" t="s">
        <v>71</v>
      </c>
      <c r="AL468" t="s">
        <v>72</v>
      </c>
      <c r="AM468">
        <v>346053</v>
      </c>
      <c r="AO468" s="16" t="s">
        <v>140</v>
      </c>
      <c r="AP468" s="17" t="str">
        <f t="shared" si="30"/>
        <v>Post-emergence nest</v>
      </c>
      <c r="AQ468" s="18">
        <v>36</v>
      </c>
      <c r="AT468" s="19" t="s">
        <v>141</v>
      </c>
      <c r="AU468" s="20" t="s">
        <v>104</v>
      </c>
      <c r="AX468" s="22" t="str">
        <f>IF(AND('[1]observations-276632'!W468&gt;'[1]Methods write-up'!$Q$16,'[1]observations-276632'!W468&lt;'[1]Methods write-up'!$R$16,'[1]observations-276632'!X468&gt;'[1]Methods write-up'!$S$16,'[1]observations-276632'!X468&lt;'[1]Methods write-up'!$T$16),"West and Central Africa","")</f>
        <v/>
      </c>
      <c r="AY468" s="22" t="str">
        <f>IF(AND('[1]observations-276632'!W468&gt;'[1]Methods write-up'!$Q$17,'[1]observations-276632'!W468&lt;'[1]Methods write-up'!$R$17,'[1]observations-276632'!X468&gt;'[1]Methods write-up'!$S$17,'[1]observations-276632'!X468&lt;'[1]Methods write-up'!$T$17),"Equatorial tropical forest","")</f>
        <v/>
      </c>
      <c r="AZ468" s="22" t="str">
        <f>IF(AND('[1]observations-276632'!W468&gt;'[1]Methods write-up'!$Q$18,'[1]observations-276632'!W468&lt;'[1]Methods write-up'!$R$18,'[1]observations-276632'!X468&gt;'[1]Methods write-up'!$S$18,'[1]observations-276632'!X468&lt;'[1]Methods write-up'!$T$18),"Somali peninsula","")</f>
        <v/>
      </c>
      <c r="BA468" s="22" t="str">
        <f>IF(AND('[1]observations-276632'!W468&gt;'[1]Methods write-up'!$Q$19,'[1]observations-276632'!W468&lt;'[1]Methods write-up'!$R$19,'[1]observations-276632'!X468&gt;'[1]Methods write-up'!$S$19,'[1]observations-276632'!X468&lt;'[1]Methods write-up'!$T$19),"East Africa","")</f>
        <v>East Africa</v>
      </c>
      <c r="BB468" s="22" t="str">
        <f>IF(AND('[1]observations-276632'!W468&gt;'[1]Methods write-up'!$Q$20,'[1]observations-276632'!W468&lt;'[1]Methods write-up'!$R$20,'[1]observations-276632'!X468&gt;'[1]Methods write-up'!$S$20,'[1]observations-276632'!X468&lt;'[1]Methods write-up'!$T$20),"Temperate seasonal","")</f>
        <v/>
      </c>
      <c r="BC468" s="22" t="str">
        <f>IF(AND('[1]observations-276632'!W468&gt;'[1]Methods write-up'!$Q$21,'[1]observations-276632'!W468&lt;'[1]Methods write-up'!$R$21,'[1]observations-276632'!X468&gt;'[1]Methods write-up'!$S$21,'[1]observations-276632'!X468&lt;'[1]Methods write-up'!$T$21),"Desert and high aridity","")</f>
        <v/>
      </c>
      <c r="BD468" s="23" t="str">
        <f t="shared" si="33"/>
        <v>East Africa</v>
      </c>
      <c r="BE468" s="24">
        <f t="shared" si="31"/>
        <v>3</v>
      </c>
      <c r="BF468" s="24">
        <f t="shared" si="32"/>
        <v>5</v>
      </c>
    </row>
    <row r="469" spans="1:58" ht="16.25" customHeight="1" x14ac:dyDescent="0.2">
      <c r="A469">
        <v>45183220</v>
      </c>
      <c r="B469" t="s">
        <v>3480</v>
      </c>
      <c r="C469" s="14">
        <v>43958</v>
      </c>
      <c r="D469" t="s">
        <v>3481</v>
      </c>
      <c r="E469" t="s">
        <v>57</v>
      </c>
      <c r="F469">
        <v>2498450</v>
      </c>
      <c r="G469" t="s">
        <v>2851</v>
      </c>
      <c r="H469" t="s">
        <v>2852</v>
      </c>
      <c r="I469" t="s">
        <v>3482</v>
      </c>
      <c r="J469" t="s">
        <v>3483</v>
      </c>
      <c r="K469" t="s">
        <v>62</v>
      </c>
      <c r="M469" t="s">
        <v>3484</v>
      </c>
      <c r="N469" t="s">
        <v>3485</v>
      </c>
      <c r="R469">
        <v>2</v>
      </c>
      <c r="S469">
        <v>0</v>
      </c>
      <c r="T469" t="b">
        <v>0</v>
      </c>
      <c r="V469" t="s">
        <v>3486</v>
      </c>
      <c r="W469" s="15">
        <v>-29.801171499999999</v>
      </c>
      <c r="X469" s="15">
        <v>30.853323140000001</v>
      </c>
      <c r="Y469">
        <v>57</v>
      </c>
      <c r="AC469">
        <v>57</v>
      </c>
      <c r="AF469" t="b">
        <v>0</v>
      </c>
      <c r="AI469" t="s">
        <v>71</v>
      </c>
      <c r="AJ469" t="s">
        <v>70</v>
      </c>
      <c r="AK469" t="s">
        <v>71</v>
      </c>
      <c r="AL469" t="s">
        <v>72</v>
      </c>
      <c r="AM469">
        <v>346053</v>
      </c>
      <c r="AO469" s="16" t="s">
        <v>73</v>
      </c>
      <c r="AP469" s="17" t="str">
        <f t="shared" si="30"/>
        <v>Off-nest female</v>
      </c>
      <c r="AX469" s="22" t="str">
        <f>IF(AND('[1]observations-276632'!W469&gt;'[1]Methods write-up'!$Q$16,'[1]observations-276632'!W469&lt;'[1]Methods write-up'!$R$16,'[1]observations-276632'!X469&gt;'[1]Methods write-up'!$S$16,'[1]observations-276632'!X469&lt;'[1]Methods write-up'!$T$16),"West and Central Africa","")</f>
        <v/>
      </c>
      <c r="AY469" s="22" t="str">
        <f>IF(AND('[1]observations-276632'!W469&gt;'[1]Methods write-up'!$Q$17,'[1]observations-276632'!W469&lt;'[1]Methods write-up'!$R$17,'[1]observations-276632'!X469&gt;'[1]Methods write-up'!$S$17,'[1]observations-276632'!X469&lt;'[1]Methods write-up'!$T$17),"Equatorial tropical forest","")</f>
        <v/>
      </c>
      <c r="AZ469" s="22" t="str">
        <f>IF(AND('[1]observations-276632'!W469&gt;'[1]Methods write-up'!$Q$18,'[1]observations-276632'!W469&lt;'[1]Methods write-up'!$R$18,'[1]observations-276632'!X469&gt;'[1]Methods write-up'!$S$18,'[1]observations-276632'!X469&lt;'[1]Methods write-up'!$T$18),"Somali peninsula","")</f>
        <v/>
      </c>
      <c r="BA469" s="22" t="str">
        <f>IF(AND('[1]observations-276632'!W469&gt;'[1]Methods write-up'!$Q$19,'[1]observations-276632'!W469&lt;'[1]Methods write-up'!$R$19,'[1]observations-276632'!X469&gt;'[1]Methods write-up'!$S$19,'[1]observations-276632'!X469&lt;'[1]Methods write-up'!$T$19),"East Africa","")</f>
        <v/>
      </c>
      <c r="BB469" s="22" t="str">
        <f>IF(AND('[1]observations-276632'!W469&gt;'[1]Methods write-up'!$Q$20,'[1]observations-276632'!W469&lt;'[1]Methods write-up'!$R$20,'[1]observations-276632'!X469&gt;'[1]Methods write-up'!$S$20,'[1]observations-276632'!X469&lt;'[1]Methods write-up'!$T$20),"Temperate seasonal","")</f>
        <v>Temperate seasonal</v>
      </c>
      <c r="BC469" s="22" t="str">
        <f>IF(AND('[1]observations-276632'!W469&gt;'[1]Methods write-up'!$Q$21,'[1]observations-276632'!W469&lt;'[1]Methods write-up'!$R$21,'[1]observations-276632'!X469&gt;'[1]Methods write-up'!$S$21,'[1]observations-276632'!X469&lt;'[1]Methods write-up'!$T$21),"Desert and high aridity","")</f>
        <v/>
      </c>
      <c r="BD469" s="23" t="str">
        <f t="shared" si="33"/>
        <v>Temperate seasonal</v>
      </c>
      <c r="BE469" s="24">
        <f t="shared" si="31"/>
        <v>7</v>
      </c>
      <c r="BF469" s="24">
        <f t="shared" si="32"/>
        <v>5</v>
      </c>
    </row>
    <row r="470" spans="1:58" ht="16.25" customHeight="1" x14ac:dyDescent="0.2">
      <c r="A470">
        <v>45250139</v>
      </c>
      <c r="B470" t="s">
        <v>3487</v>
      </c>
      <c r="C470" s="14">
        <v>43950</v>
      </c>
      <c r="D470" t="s">
        <v>3488</v>
      </c>
      <c r="E470" t="s">
        <v>113</v>
      </c>
      <c r="F470">
        <v>2840821</v>
      </c>
      <c r="G470" t="s">
        <v>3489</v>
      </c>
      <c r="H470" t="s">
        <v>3490</v>
      </c>
      <c r="I470" t="s">
        <v>3491</v>
      </c>
      <c r="J470" t="s">
        <v>3492</v>
      </c>
      <c r="K470" t="s">
        <v>62</v>
      </c>
      <c r="L470" t="s">
        <v>63</v>
      </c>
      <c r="M470" t="s">
        <v>3493</v>
      </c>
      <c r="N470" t="s">
        <v>3494</v>
      </c>
      <c r="R470">
        <v>2</v>
      </c>
      <c r="S470">
        <v>0</v>
      </c>
      <c r="T470" t="b">
        <v>0</v>
      </c>
      <c r="V470" t="s">
        <v>3495</v>
      </c>
      <c r="W470" s="15">
        <v>-29.80118633</v>
      </c>
      <c r="X470" s="15">
        <v>30.782404379999999</v>
      </c>
      <c r="Y470">
        <v>122</v>
      </c>
      <c r="AC470">
        <v>122</v>
      </c>
      <c r="AF470" t="b">
        <v>0</v>
      </c>
      <c r="AI470" t="s">
        <v>71</v>
      </c>
      <c r="AJ470" t="s">
        <v>70</v>
      </c>
      <c r="AK470" t="s">
        <v>71</v>
      </c>
      <c r="AL470" t="s">
        <v>72</v>
      </c>
      <c r="AM470">
        <v>346053</v>
      </c>
      <c r="AO470" s="16" t="s">
        <v>73</v>
      </c>
      <c r="AP470" s="17" t="str">
        <f t="shared" si="30"/>
        <v>Off-nest female</v>
      </c>
      <c r="AX470" s="22" t="str">
        <f>IF(AND('[1]observations-276632'!W470&gt;'[1]Methods write-up'!$Q$16,'[1]observations-276632'!W470&lt;'[1]Methods write-up'!$R$16,'[1]observations-276632'!X470&gt;'[1]Methods write-up'!$S$16,'[1]observations-276632'!X470&lt;'[1]Methods write-up'!$T$16),"West and Central Africa","")</f>
        <v/>
      </c>
      <c r="AY470" s="22" t="str">
        <f>IF(AND('[1]observations-276632'!W470&gt;'[1]Methods write-up'!$Q$17,'[1]observations-276632'!W470&lt;'[1]Methods write-up'!$R$17,'[1]observations-276632'!X470&gt;'[1]Methods write-up'!$S$17,'[1]observations-276632'!X470&lt;'[1]Methods write-up'!$T$17),"Equatorial tropical forest","")</f>
        <v/>
      </c>
      <c r="AZ470" s="22" t="str">
        <f>IF(AND('[1]observations-276632'!W470&gt;'[1]Methods write-up'!$Q$18,'[1]observations-276632'!W470&lt;'[1]Methods write-up'!$R$18,'[1]observations-276632'!X470&gt;'[1]Methods write-up'!$S$18,'[1]observations-276632'!X470&lt;'[1]Methods write-up'!$T$18),"Somali peninsula","")</f>
        <v/>
      </c>
      <c r="BA470" s="22" t="str">
        <f>IF(AND('[1]observations-276632'!W470&gt;'[1]Methods write-up'!$Q$19,'[1]observations-276632'!W470&lt;'[1]Methods write-up'!$R$19,'[1]observations-276632'!X470&gt;'[1]Methods write-up'!$S$19,'[1]observations-276632'!X470&lt;'[1]Methods write-up'!$T$19),"East Africa","")</f>
        <v/>
      </c>
      <c r="BB470" s="22" t="str">
        <f>IF(AND('[1]observations-276632'!W470&gt;'[1]Methods write-up'!$Q$20,'[1]observations-276632'!W470&lt;'[1]Methods write-up'!$R$20,'[1]observations-276632'!X470&gt;'[1]Methods write-up'!$S$20,'[1]observations-276632'!X470&lt;'[1]Methods write-up'!$T$20),"Temperate seasonal","")</f>
        <v>Temperate seasonal</v>
      </c>
      <c r="BC470" s="22" t="str">
        <f>IF(AND('[1]observations-276632'!W470&gt;'[1]Methods write-up'!$Q$21,'[1]observations-276632'!W470&lt;'[1]Methods write-up'!$R$21,'[1]observations-276632'!X470&gt;'[1]Methods write-up'!$S$21,'[1]observations-276632'!X470&lt;'[1]Methods write-up'!$T$21),"Desert and high aridity","")</f>
        <v/>
      </c>
      <c r="BD470" s="23" t="str">
        <f t="shared" si="33"/>
        <v>Temperate seasonal</v>
      </c>
      <c r="BE470" s="24">
        <f t="shared" si="31"/>
        <v>29</v>
      </c>
      <c r="BF470" s="24">
        <f t="shared" si="32"/>
        <v>4</v>
      </c>
    </row>
    <row r="471" spans="1:58" ht="16.25" customHeight="1" x14ac:dyDescent="0.2">
      <c r="A471">
        <v>45270202</v>
      </c>
      <c r="B471" t="s">
        <v>3496</v>
      </c>
      <c r="C471" s="14">
        <v>43959</v>
      </c>
      <c r="D471" t="s">
        <v>3497</v>
      </c>
      <c r="E471" t="s">
        <v>1408</v>
      </c>
      <c r="F471">
        <v>2663130</v>
      </c>
      <c r="G471" t="s">
        <v>3498</v>
      </c>
      <c r="I471" t="s">
        <v>3499</v>
      </c>
      <c r="J471" t="s">
        <v>3500</v>
      </c>
      <c r="K471" t="s">
        <v>62</v>
      </c>
      <c r="L471" t="s">
        <v>63</v>
      </c>
      <c r="M471" t="s">
        <v>3501</v>
      </c>
      <c r="N471" t="s">
        <v>3502</v>
      </c>
      <c r="R471">
        <v>3</v>
      </c>
      <c r="S471">
        <v>0</v>
      </c>
      <c r="T471" t="b">
        <v>0</v>
      </c>
      <c r="U471">
        <v>333</v>
      </c>
      <c r="V471" t="s">
        <v>3503</v>
      </c>
      <c r="W471" s="15">
        <v>4.5527168820000004</v>
      </c>
      <c r="X471" s="15">
        <v>-7.0316528910000002</v>
      </c>
      <c r="AF471" t="b">
        <v>0</v>
      </c>
      <c r="AI471" t="s">
        <v>70</v>
      </c>
      <c r="AJ471" t="s">
        <v>70</v>
      </c>
      <c r="AK471" t="s">
        <v>71</v>
      </c>
      <c r="AL471" t="s">
        <v>72</v>
      </c>
      <c r="AM471">
        <v>346053</v>
      </c>
      <c r="AO471" s="16" t="s">
        <v>73</v>
      </c>
      <c r="AP471" s="17" t="str">
        <f t="shared" si="30"/>
        <v>Off-nest female</v>
      </c>
      <c r="AX471" s="22" t="str">
        <f>IF(AND('[1]observations-276632'!W471&gt;'[1]Methods write-up'!$Q$16,'[1]observations-276632'!W471&lt;'[1]Methods write-up'!$R$16,'[1]observations-276632'!X471&gt;'[1]Methods write-up'!$S$16,'[1]observations-276632'!X471&lt;'[1]Methods write-up'!$T$16),"West and Central Africa","")</f>
        <v>West and Central Africa</v>
      </c>
      <c r="AY471" s="22" t="str">
        <f>IF(AND('[1]observations-276632'!W471&gt;'[1]Methods write-up'!$Q$17,'[1]observations-276632'!W471&lt;'[1]Methods write-up'!$R$17,'[1]observations-276632'!X471&gt;'[1]Methods write-up'!$S$17,'[1]observations-276632'!X471&lt;'[1]Methods write-up'!$T$17),"Equatorial tropical forest","")</f>
        <v/>
      </c>
      <c r="AZ471" s="22" t="str">
        <f>IF(AND('[1]observations-276632'!W471&gt;'[1]Methods write-up'!$Q$18,'[1]observations-276632'!W471&lt;'[1]Methods write-up'!$R$18,'[1]observations-276632'!X471&gt;'[1]Methods write-up'!$S$18,'[1]observations-276632'!X471&lt;'[1]Methods write-up'!$T$18),"Somali peninsula","")</f>
        <v/>
      </c>
      <c r="BA471" s="22" t="str">
        <f>IF(AND('[1]observations-276632'!W471&gt;'[1]Methods write-up'!$Q$19,'[1]observations-276632'!W471&lt;'[1]Methods write-up'!$R$19,'[1]observations-276632'!X471&gt;'[1]Methods write-up'!$S$19,'[1]observations-276632'!X471&lt;'[1]Methods write-up'!$T$19),"East Africa","")</f>
        <v/>
      </c>
      <c r="BB471" s="22" t="str">
        <f>IF(AND('[1]observations-276632'!W471&gt;'[1]Methods write-up'!$Q$20,'[1]observations-276632'!W471&lt;'[1]Methods write-up'!$R$20,'[1]observations-276632'!X471&gt;'[1]Methods write-up'!$S$20,'[1]observations-276632'!X471&lt;'[1]Methods write-up'!$T$20),"Temperate seasonal","")</f>
        <v/>
      </c>
      <c r="BC471" s="22" t="str">
        <f>IF(AND('[1]observations-276632'!W471&gt;'[1]Methods write-up'!$Q$21,'[1]observations-276632'!W471&lt;'[1]Methods write-up'!$R$21,'[1]observations-276632'!X471&gt;'[1]Methods write-up'!$S$21,'[1]observations-276632'!X471&lt;'[1]Methods write-up'!$T$21),"Desert and high aridity","")</f>
        <v/>
      </c>
      <c r="BD471" s="23" t="str">
        <f t="shared" si="33"/>
        <v>West and Central Africa</v>
      </c>
      <c r="BE471" s="24">
        <f t="shared" si="31"/>
        <v>8</v>
      </c>
      <c r="BF471" s="24">
        <f t="shared" si="32"/>
        <v>5</v>
      </c>
    </row>
    <row r="472" spans="1:58" ht="16.25" customHeight="1" x14ac:dyDescent="0.2">
      <c r="A472">
        <v>45377373</v>
      </c>
      <c r="B472" t="s">
        <v>3504</v>
      </c>
      <c r="C472" s="14">
        <v>43953</v>
      </c>
      <c r="D472" t="s">
        <v>3505</v>
      </c>
      <c r="E472" t="s">
        <v>57</v>
      </c>
      <c r="F472">
        <v>703114</v>
      </c>
      <c r="G472" t="s">
        <v>2136</v>
      </c>
      <c r="H472" t="s">
        <v>2137</v>
      </c>
      <c r="I472" t="s">
        <v>3506</v>
      </c>
      <c r="J472" t="s">
        <v>3507</v>
      </c>
      <c r="K472" t="s">
        <v>62</v>
      </c>
      <c r="L472" t="s">
        <v>98</v>
      </c>
      <c r="M472" t="s">
        <v>3508</v>
      </c>
      <c r="N472" t="s">
        <v>3509</v>
      </c>
      <c r="R472">
        <v>2</v>
      </c>
      <c r="S472">
        <v>0</v>
      </c>
      <c r="T472" t="b">
        <v>0</v>
      </c>
      <c r="V472" t="s">
        <v>3321</v>
      </c>
      <c r="W472" s="15">
        <v>-29.55715528</v>
      </c>
      <c r="X472" s="15">
        <v>30.36202175</v>
      </c>
      <c r="Y472">
        <v>95</v>
      </c>
      <c r="AC472">
        <v>95</v>
      </c>
      <c r="AF472" t="b">
        <v>0</v>
      </c>
      <c r="AI472" t="s">
        <v>71</v>
      </c>
      <c r="AJ472" t="s">
        <v>70</v>
      </c>
      <c r="AK472" t="s">
        <v>71</v>
      </c>
      <c r="AL472" t="s">
        <v>72</v>
      </c>
      <c r="AM472">
        <v>346053</v>
      </c>
      <c r="AO472" s="16" t="s">
        <v>73</v>
      </c>
      <c r="AP472" s="17" t="str">
        <f t="shared" si="30"/>
        <v>Off-nest female</v>
      </c>
      <c r="AX472" s="22" t="str">
        <f>IF(AND('[1]observations-276632'!W472&gt;'[1]Methods write-up'!$Q$16,'[1]observations-276632'!W472&lt;'[1]Methods write-up'!$R$16,'[1]observations-276632'!X472&gt;'[1]Methods write-up'!$S$16,'[1]observations-276632'!X472&lt;'[1]Methods write-up'!$T$16),"West and Central Africa","")</f>
        <v/>
      </c>
      <c r="AY472" s="22" t="str">
        <f>IF(AND('[1]observations-276632'!W472&gt;'[1]Methods write-up'!$Q$17,'[1]observations-276632'!W472&lt;'[1]Methods write-up'!$R$17,'[1]observations-276632'!X472&gt;'[1]Methods write-up'!$S$17,'[1]observations-276632'!X472&lt;'[1]Methods write-up'!$T$17),"Equatorial tropical forest","")</f>
        <v/>
      </c>
      <c r="AZ472" s="22" t="str">
        <f>IF(AND('[1]observations-276632'!W472&gt;'[1]Methods write-up'!$Q$18,'[1]observations-276632'!W472&lt;'[1]Methods write-up'!$R$18,'[1]observations-276632'!X472&gt;'[1]Methods write-up'!$S$18,'[1]observations-276632'!X472&lt;'[1]Methods write-up'!$T$18),"Somali peninsula","")</f>
        <v/>
      </c>
      <c r="BA472" s="22" t="str">
        <f>IF(AND('[1]observations-276632'!W472&gt;'[1]Methods write-up'!$Q$19,'[1]observations-276632'!W472&lt;'[1]Methods write-up'!$R$19,'[1]observations-276632'!X472&gt;'[1]Methods write-up'!$S$19,'[1]observations-276632'!X472&lt;'[1]Methods write-up'!$T$19),"East Africa","")</f>
        <v/>
      </c>
      <c r="BB472" s="22" t="str">
        <f>IF(AND('[1]observations-276632'!W472&gt;'[1]Methods write-up'!$Q$20,'[1]observations-276632'!W472&lt;'[1]Methods write-up'!$R$20,'[1]observations-276632'!X472&gt;'[1]Methods write-up'!$S$20,'[1]observations-276632'!X472&lt;'[1]Methods write-up'!$T$20),"Temperate seasonal","")</f>
        <v>Temperate seasonal</v>
      </c>
      <c r="BC472" s="22" t="str">
        <f>IF(AND('[1]observations-276632'!W472&gt;'[1]Methods write-up'!$Q$21,'[1]observations-276632'!W472&lt;'[1]Methods write-up'!$R$21,'[1]observations-276632'!X472&gt;'[1]Methods write-up'!$S$21,'[1]observations-276632'!X472&lt;'[1]Methods write-up'!$T$21),"Desert and high aridity","")</f>
        <v/>
      </c>
      <c r="BD472" s="23" t="str">
        <f t="shared" si="33"/>
        <v>Temperate seasonal</v>
      </c>
      <c r="BE472" s="24">
        <f t="shared" si="31"/>
        <v>2</v>
      </c>
      <c r="BF472" s="24">
        <f t="shared" si="32"/>
        <v>5</v>
      </c>
    </row>
    <row r="473" spans="1:58" ht="16.25" customHeight="1" x14ac:dyDescent="0.2">
      <c r="A473">
        <v>45378568</v>
      </c>
      <c r="B473" t="s">
        <v>3510</v>
      </c>
      <c r="C473" s="14">
        <v>43953</v>
      </c>
      <c r="D473" t="s">
        <v>3511</v>
      </c>
      <c r="E473" t="s">
        <v>57</v>
      </c>
      <c r="F473">
        <v>703114</v>
      </c>
      <c r="G473" t="s">
        <v>2136</v>
      </c>
      <c r="H473" t="s">
        <v>2137</v>
      </c>
      <c r="I473" t="s">
        <v>3512</v>
      </c>
      <c r="J473" t="s">
        <v>3513</v>
      </c>
      <c r="K473" t="s">
        <v>62</v>
      </c>
      <c r="L473" t="s">
        <v>98</v>
      </c>
      <c r="M473" t="s">
        <v>3514</v>
      </c>
      <c r="N473" t="s">
        <v>3515</v>
      </c>
      <c r="R473">
        <v>2</v>
      </c>
      <c r="S473">
        <v>0</v>
      </c>
      <c r="T473" t="b">
        <v>0</v>
      </c>
      <c r="V473" t="s">
        <v>3321</v>
      </c>
      <c r="W473" s="15">
        <v>-29.55715528</v>
      </c>
      <c r="X473" s="15">
        <v>30.36202175</v>
      </c>
      <c r="Y473">
        <v>95</v>
      </c>
      <c r="AC473">
        <v>95</v>
      </c>
      <c r="AF473" t="b">
        <v>0</v>
      </c>
      <c r="AI473" t="s">
        <v>71</v>
      </c>
      <c r="AJ473" t="s">
        <v>70</v>
      </c>
      <c r="AK473" t="s">
        <v>71</v>
      </c>
      <c r="AL473" t="s">
        <v>72</v>
      </c>
      <c r="AM473">
        <v>346053</v>
      </c>
      <c r="AO473" s="16" t="s">
        <v>73</v>
      </c>
      <c r="AP473" s="17" t="str">
        <f t="shared" si="30"/>
        <v>Off-nest female</v>
      </c>
      <c r="AX473" s="22" t="str">
        <f>IF(AND('[1]observations-276632'!W473&gt;'[1]Methods write-up'!$Q$16,'[1]observations-276632'!W473&lt;'[1]Methods write-up'!$R$16,'[1]observations-276632'!X473&gt;'[1]Methods write-up'!$S$16,'[1]observations-276632'!X473&lt;'[1]Methods write-up'!$T$16),"West and Central Africa","")</f>
        <v/>
      </c>
      <c r="AY473" s="22" t="str">
        <f>IF(AND('[1]observations-276632'!W473&gt;'[1]Methods write-up'!$Q$17,'[1]observations-276632'!W473&lt;'[1]Methods write-up'!$R$17,'[1]observations-276632'!X473&gt;'[1]Methods write-up'!$S$17,'[1]observations-276632'!X473&lt;'[1]Methods write-up'!$T$17),"Equatorial tropical forest","")</f>
        <v/>
      </c>
      <c r="AZ473" s="22" t="str">
        <f>IF(AND('[1]observations-276632'!W473&gt;'[1]Methods write-up'!$Q$18,'[1]observations-276632'!W473&lt;'[1]Methods write-up'!$R$18,'[1]observations-276632'!X473&gt;'[1]Methods write-up'!$S$18,'[1]observations-276632'!X473&lt;'[1]Methods write-up'!$T$18),"Somali peninsula","")</f>
        <v/>
      </c>
      <c r="BA473" s="22" t="str">
        <f>IF(AND('[1]observations-276632'!W473&gt;'[1]Methods write-up'!$Q$19,'[1]observations-276632'!W473&lt;'[1]Methods write-up'!$R$19,'[1]observations-276632'!X473&gt;'[1]Methods write-up'!$S$19,'[1]observations-276632'!X473&lt;'[1]Methods write-up'!$T$19),"East Africa","")</f>
        <v/>
      </c>
      <c r="BB473" s="22" t="str">
        <f>IF(AND('[1]observations-276632'!W473&gt;'[1]Methods write-up'!$Q$20,'[1]observations-276632'!W473&lt;'[1]Methods write-up'!$R$20,'[1]observations-276632'!X473&gt;'[1]Methods write-up'!$S$20,'[1]observations-276632'!X473&lt;'[1]Methods write-up'!$T$20),"Temperate seasonal","")</f>
        <v>Temperate seasonal</v>
      </c>
      <c r="BC473" s="22" t="str">
        <f>IF(AND('[1]observations-276632'!W473&gt;'[1]Methods write-up'!$Q$21,'[1]observations-276632'!W473&lt;'[1]Methods write-up'!$R$21,'[1]observations-276632'!X473&gt;'[1]Methods write-up'!$S$21,'[1]observations-276632'!X473&lt;'[1]Methods write-up'!$T$21),"Desert and high aridity","")</f>
        <v/>
      </c>
      <c r="BD473" s="23" t="str">
        <f t="shared" si="33"/>
        <v>Temperate seasonal</v>
      </c>
      <c r="BE473" s="24">
        <f t="shared" si="31"/>
        <v>2</v>
      </c>
      <c r="BF473" s="24">
        <f t="shared" si="32"/>
        <v>5</v>
      </c>
    </row>
    <row r="474" spans="1:58" ht="16.25" customHeight="1" x14ac:dyDescent="0.2">
      <c r="A474">
        <v>45396122</v>
      </c>
      <c r="B474" t="s">
        <v>3516</v>
      </c>
      <c r="C474" s="14">
        <v>43953</v>
      </c>
      <c r="D474" t="s">
        <v>3517</v>
      </c>
      <c r="E474" t="s">
        <v>84</v>
      </c>
      <c r="F474">
        <v>152365</v>
      </c>
      <c r="G474" t="s">
        <v>3518</v>
      </c>
      <c r="H474" t="s">
        <v>3519</v>
      </c>
      <c r="I474" t="s">
        <v>3520</v>
      </c>
      <c r="J474" t="s">
        <v>3521</v>
      </c>
      <c r="K474" t="s">
        <v>62</v>
      </c>
      <c r="M474" t="s">
        <v>3522</v>
      </c>
      <c r="N474" t="s">
        <v>3523</v>
      </c>
      <c r="R474">
        <v>1</v>
      </c>
      <c r="S474">
        <v>0</v>
      </c>
      <c r="T474" t="b">
        <v>0</v>
      </c>
      <c r="V474" t="s">
        <v>3524</v>
      </c>
      <c r="W474" s="15">
        <v>-3.3780822000000001</v>
      </c>
      <c r="X474" s="15">
        <v>39.988859699999999</v>
      </c>
      <c r="Y474">
        <v>344</v>
      </c>
      <c r="AC474">
        <v>344</v>
      </c>
      <c r="AF474" t="b">
        <v>0</v>
      </c>
      <c r="AI474" t="s">
        <v>71</v>
      </c>
      <c r="AJ474" t="s">
        <v>70</v>
      </c>
      <c r="AK474" t="s">
        <v>71</v>
      </c>
      <c r="AL474" t="s">
        <v>72</v>
      </c>
      <c r="AM474">
        <v>346053</v>
      </c>
      <c r="AO474" s="16" t="s">
        <v>73</v>
      </c>
      <c r="AP474" s="17" t="str">
        <f t="shared" si="30"/>
        <v>Off-nest female</v>
      </c>
      <c r="AX474" s="22" t="str">
        <f>IF(AND('[1]observations-276632'!W474&gt;'[1]Methods write-up'!$Q$16,'[1]observations-276632'!W474&lt;'[1]Methods write-up'!$R$16,'[1]observations-276632'!X474&gt;'[1]Methods write-up'!$S$16,'[1]observations-276632'!X474&lt;'[1]Methods write-up'!$T$16),"West and Central Africa","")</f>
        <v/>
      </c>
      <c r="AY474" s="22" t="str">
        <f>IF(AND('[1]observations-276632'!W474&gt;'[1]Methods write-up'!$Q$17,'[1]observations-276632'!W474&lt;'[1]Methods write-up'!$R$17,'[1]observations-276632'!X474&gt;'[1]Methods write-up'!$S$17,'[1]observations-276632'!X474&lt;'[1]Methods write-up'!$T$17),"Equatorial tropical forest","")</f>
        <v/>
      </c>
      <c r="AZ474" s="22" t="str">
        <f>IF(AND('[1]observations-276632'!W474&gt;'[1]Methods write-up'!$Q$18,'[1]observations-276632'!W474&lt;'[1]Methods write-up'!$R$18,'[1]observations-276632'!X474&gt;'[1]Methods write-up'!$S$18,'[1]observations-276632'!X474&lt;'[1]Methods write-up'!$T$18),"Somali peninsula","")</f>
        <v/>
      </c>
      <c r="BA474" s="22" t="str">
        <f>IF(AND('[1]observations-276632'!W474&gt;'[1]Methods write-up'!$Q$19,'[1]observations-276632'!W474&lt;'[1]Methods write-up'!$R$19,'[1]observations-276632'!X474&gt;'[1]Methods write-up'!$S$19,'[1]observations-276632'!X474&lt;'[1]Methods write-up'!$T$19),"East Africa","")</f>
        <v>East Africa</v>
      </c>
      <c r="BB474" s="22" t="str">
        <f>IF(AND('[1]observations-276632'!W474&gt;'[1]Methods write-up'!$Q$20,'[1]observations-276632'!W474&lt;'[1]Methods write-up'!$R$20,'[1]observations-276632'!X474&gt;'[1]Methods write-up'!$S$20,'[1]observations-276632'!X474&lt;'[1]Methods write-up'!$T$20),"Temperate seasonal","")</f>
        <v/>
      </c>
      <c r="BC474" s="22" t="str">
        <f>IF(AND('[1]observations-276632'!W474&gt;'[1]Methods write-up'!$Q$21,'[1]observations-276632'!W474&lt;'[1]Methods write-up'!$R$21,'[1]observations-276632'!X474&gt;'[1]Methods write-up'!$S$21,'[1]observations-276632'!X474&lt;'[1]Methods write-up'!$T$21),"Desert and high aridity","")</f>
        <v/>
      </c>
      <c r="BD474" s="23" t="str">
        <f t="shared" si="33"/>
        <v>East Africa</v>
      </c>
      <c r="BE474" s="24">
        <f t="shared" si="31"/>
        <v>2</v>
      </c>
      <c r="BF474" s="24">
        <f t="shared" si="32"/>
        <v>5</v>
      </c>
    </row>
    <row r="475" spans="1:58" ht="16.25" customHeight="1" x14ac:dyDescent="0.2">
      <c r="A475">
        <v>45668553</v>
      </c>
      <c r="B475" t="s">
        <v>3525</v>
      </c>
      <c r="C475" s="14">
        <v>43963</v>
      </c>
      <c r="D475" t="s">
        <v>3526</v>
      </c>
      <c r="E475" t="s">
        <v>113</v>
      </c>
      <c r="F475">
        <v>2936812</v>
      </c>
      <c r="G475" t="s">
        <v>3527</v>
      </c>
      <c r="H475" t="s">
        <v>3528</v>
      </c>
      <c r="I475" t="s">
        <v>3529</v>
      </c>
      <c r="J475" t="s">
        <v>3530</v>
      </c>
      <c r="K475" t="s">
        <v>157</v>
      </c>
      <c r="M475" t="s">
        <v>3531</v>
      </c>
      <c r="N475" t="s">
        <v>3532</v>
      </c>
      <c r="R475">
        <v>2</v>
      </c>
      <c r="S475">
        <v>0</v>
      </c>
      <c r="T475" t="b">
        <v>0</v>
      </c>
      <c r="U475">
        <v>2</v>
      </c>
      <c r="V475" t="s">
        <v>3533</v>
      </c>
      <c r="W475" s="15">
        <v>-24.52075318</v>
      </c>
      <c r="X475" s="15">
        <v>25.939481499999999</v>
      </c>
      <c r="Y475">
        <v>204</v>
      </c>
      <c r="AC475">
        <v>30069</v>
      </c>
      <c r="AD475" t="s">
        <v>839</v>
      </c>
      <c r="AF475" t="b">
        <v>1</v>
      </c>
      <c r="AG475" t="s">
        <v>350</v>
      </c>
      <c r="AH475" t="s">
        <v>350</v>
      </c>
      <c r="AI475" t="s">
        <v>756</v>
      </c>
      <c r="AJ475" t="s">
        <v>756</v>
      </c>
      <c r="AL475" t="s">
        <v>72</v>
      </c>
      <c r="AM475">
        <v>652800</v>
      </c>
      <c r="AO475" s="16" t="s">
        <v>73</v>
      </c>
      <c r="AP475" s="17" t="str">
        <f t="shared" si="30"/>
        <v>Off-nest female</v>
      </c>
      <c r="AX475" s="22" t="str">
        <f>IF(AND('[1]observations-276632'!W475&gt;'[1]Methods write-up'!$Q$16,'[1]observations-276632'!W475&lt;'[1]Methods write-up'!$R$16,'[1]observations-276632'!X475&gt;'[1]Methods write-up'!$S$16,'[1]observations-276632'!X475&lt;'[1]Methods write-up'!$T$16),"West and Central Africa","")</f>
        <v/>
      </c>
      <c r="AY475" s="22" t="str">
        <f>IF(AND('[1]observations-276632'!W475&gt;'[1]Methods write-up'!$Q$17,'[1]observations-276632'!W475&lt;'[1]Methods write-up'!$R$17,'[1]observations-276632'!X475&gt;'[1]Methods write-up'!$S$17,'[1]observations-276632'!X475&lt;'[1]Methods write-up'!$T$17),"Equatorial tropical forest","")</f>
        <v/>
      </c>
      <c r="AZ475" s="22" t="str">
        <f>IF(AND('[1]observations-276632'!W475&gt;'[1]Methods write-up'!$Q$18,'[1]observations-276632'!W475&lt;'[1]Methods write-up'!$R$18,'[1]observations-276632'!X475&gt;'[1]Methods write-up'!$S$18,'[1]observations-276632'!X475&lt;'[1]Methods write-up'!$T$18),"Somali peninsula","")</f>
        <v/>
      </c>
      <c r="BA475" s="22" t="str">
        <f>IF(AND('[1]observations-276632'!W475&gt;'[1]Methods write-up'!$Q$19,'[1]observations-276632'!W475&lt;'[1]Methods write-up'!$R$19,'[1]observations-276632'!X475&gt;'[1]Methods write-up'!$S$19,'[1]observations-276632'!X475&lt;'[1]Methods write-up'!$T$19),"East Africa","")</f>
        <v/>
      </c>
      <c r="BB475" s="22" t="str">
        <f>IF(AND('[1]observations-276632'!W475&gt;'[1]Methods write-up'!$Q$20,'[1]observations-276632'!W475&lt;'[1]Methods write-up'!$R$20,'[1]observations-276632'!X475&gt;'[1]Methods write-up'!$S$20,'[1]observations-276632'!X475&lt;'[1]Methods write-up'!$T$20),"Temperate seasonal","")</f>
        <v/>
      </c>
      <c r="BC475" s="22" t="str">
        <f>IF(AND('[1]observations-276632'!W475&gt;'[1]Methods write-up'!$Q$21,'[1]observations-276632'!W475&lt;'[1]Methods write-up'!$R$21,'[1]observations-276632'!X475&gt;'[1]Methods write-up'!$S$21,'[1]observations-276632'!X475&lt;'[1]Methods write-up'!$T$21),"Desert and high aridity","")</f>
        <v/>
      </c>
      <c r="BD475" s="23" t="str">
        <f t="shared" si="33"/>
        <v/>
      </c>
      <c r="BE475" s="24">
        <f t="shared" si="31"/>
        <v>12</v>
      </c>
      <c r="BF475" s="24">
        <f t="shared" si="32"/>
        <v>5</v>
      </c>
    </row>
    <row r="476" spans="1:58" ht="16.25" customHeight="1" x14ac:dyDescent="0.2">
      <c r="A476">
        <v>45670715</v>
      </c>
      <c r="B476" t="s">
        <v>3534</v>
      </c>
      <c r="C476" s="14">
        <v>43963</v>
      </c>
      <c r="D476" t="s">
        <v>3535</v>
      </c>
      <c r="E476" t="s">
        <v>113</v>
      </c>
      <c r="F476">
        <v>67590</v>
      </c>
      <c r="G476" t="s">
        <v>711</v>
      </c>
      <c r="H476" t="s">
        <v>712</v>
      </c>
      <c r="I476" t="s">
        <v>3536</v>
      </c>
      <c r="J476" t="s">
        <v>3537</v>
      </c>
      <c r="K476" t="s">
        <v>157</v>
      </c>
      <c r="L476" t="s">
        <v>63</v>
      </c>
      <c r="M476" t="s">
        <v>3538</v>
      </c>
      <c r="N476" t="s">
        <v>3539</v>
      </c>
      <c r="Q476" t="s">
        <v>3540</v>
      </c>
      <c r="R476">
        <v>4</v>
      </c>
      <c r="S476">
        <v>0</v>
      </c>
      <c r="T476" t="b">
        <v>0</v>
      </c>
      <c r="V476" t="s">
        <v>3541</v>
      </c>
      <c r="W476" s="15">
        <v>-24.404820000000001</v>
      </c>
      <c r="X476" s="15">
        <v>30.814256669999999</v>
      </c>
      <c r="AF476" t="b">
        <v>0</v>
      </c>
      <c r="AI476" t="s">
        <v>71</v>
      </c>
      <c r="AJ476" t="s">
        <v>70</v>
      </c>
      <c r="AK476" t="s">
        <v>71</v>
      </c>
      <c r="AL476" t="s">
        <v>72</v>
      </c>
      <c r="AM476">
        <v>346053</v>
      </c>
      <c r="AO476" s="16" t="s">
        <v>818</v>
      </c>
      <c r="AP476" s="17" t="str">
        <f t="shared" si="30"/>
        <v>Abandoned post-emergence nest</v>
      </c>
      <c r="AX476" s="22" t="str">
        <f>IF(AND('[1]observations-276632'!W476&gt;'[1]Methods write-up'!$Q$16,'[1]observations-276632'!W476&lt;'[1]Methods write-up'!$R$16,'[1]observations-276632'!X476&gt;'[1]Methods write-up'!$S$16,'[1]observations-276632'!X476&lt;'[1]Methods write-up'!$T$16),"West and Central Africa","")</f>
        <v/>
      </c>
      <c r="AY476" s="22" t="str">
        <f>IF(AND('[1]observations-276632'!W476&gt;'[1]Methods write-up'!$Q$17,'[1]observations-276632'!W476&lt;'[1]Methods write-up'!$R$17,'[1]observations-276632'!X476&gt;'[1]Methods write-up'!$S$17,'[1]observations-276632'!X476&lt;'[1]Methods write-up'!$T$17),"Equatorial tropical forest","")</f>
        <v/>
      </c>
      <c r="AZ476" s="22" t="str">
        <f>IF(AND('[1]observations-276632'!W476&gt;'[1]Methods write-up'!$Q$18,'[1]observations-276632'!W476&lt;'[1]Methods write-up'!$R$18,'[1]observations-276632'!X476&gt;'[1]Methods write-up'!$S$18,'[1]observations-276632'!X476&lt;'[1]Methods write-up'!$T$18),"Somali peninsula","")</f>
        <v/>
      </c>
      <c r="BA476" s="22" t="str">
        <f>IF(AND('[1]observations-276632'!W476&gt;'[1]Methods write-up'!$Q$19,'[1]observations-276632'!W476&lt;'[1]Methods write-up'!$R$19,'[1]observations-276632'!X476&gt;'[1]Methods write-up'!$S$19,'[1]observations-276632'!X476&lt;'[1]Methods write-up'!$T$19),"East Africa","")</f>
        <v/>
      </c>
      <c r="BB476" s="22" t="str">
        <f>IF(AND('[1]observations-276632'!W476&gt;'[1]Methods write-up'!$Q$20,'[1]observations-276632'!W476&lt;'[1]Methods write-up'!$R$20,'[1]observations-276632'!X476&gt;'[1]Methods write-up'!$S$20,'[1]observations-276632'!X476&lt;'[1]Methods write-up'!$T$20),"Temperate seasonal","")</f>
        <v/>
      </c>
      <c r="BC476" s="22" t="str">
        <f>IF(AND('[1]observations-276632'!W476&gt;'[1]Methods write-up'!$Q$21,'[1]observations-276632'!W476&lt;'[1]Methods write-up'!$R$21,'[1]observations-276632'!X476&gt;'[1]Methods write-up'!$S$21,'[1]observations-276632'!X476&lt;'[1]Methods write-up'!$T$21),"Desert and high aridity","")</f>
        <v/>
      </c>
      <c r="BD476" s="23" t="str">
        <f t="shared" si="33"/>
        <v/>
      </c>
      <c r="BE476" s="24">
        <f t="shared" si="31"/>
        <v>12</v>
      </c>
      <c r="BF476" s="24">
        <f t="shared" si="32"/>
        <v>5</v>
      </c>
    </row>
    <row r="477" spans="1:58" ht="16.25" customHeight="1" x14ac:dyDescent="0.2">
      <c r="A477">
        <v>45681251</v>
      </c>
      <c r="B477" t="s">
        <v>3542</v>
      </c>
      <c r="C477" s="14">
        <v>42051</v>
      </c>
      <c r="D477" t="s">
        <v>3543</v>
      </c>
      <c r="E477" t="s">
        <v>3544</v>
      </c>
      <c r="F477">
        <v>2950494</v>
      </c>
      <c r="G477" t="s">
        <v>3545</v>
      </c>
      <c r="H477" t="s">
        <v>3546</v>
      </c>
      <c r="I477" t="s">
        <v>3547</v>
      </c>
      <c r="J477" t="s">
        <v>3548</v>
      </c>
      <c r="K477" t="s">
        <v>62</v>
      </c>
      <c r="M477" t="s">
        <v>3549</v>
      </c>
      <c r="N477" t="s">
        <v>3550</v>
      </c>
      <c r="R477">
        <v>3</v>
      </c>
      <c r="S477">
        <v>0</v>
      </c>
      <c r="T477" t="b">
        <v>0</v>
      </c>
      <c r="V477" t="s">
        <v>3551</v>
      </c>
      <c r="W477" s="15">
        <v>-2.3559E-2</v>
      </c>
      <c r="X477" s="15">
        <v>37.906193000000002</v>
      </c>
      <c r="Y477">
        <v>716650</v>
      </c>
      <c r="AC477">
        <v>716650</v>
      </c>
      <c r="AF477" t="b">
        <v>0</v>
      </c>
      <c r="AI477" t="s">
        <v>70</v>
      </c>
      <c r="AJ477" t="s">
        <v>70</v>
      </c>
      <c r="AK477" t="s">
        <v>71</v>
      </c>
      <c r="AL477" t="s">
        <v>72</v>
      </c>
      <c r="AM477">
        <v>346053</v>
      </c>
      <c r="AO477" s="16" t="s">
        <v>140</v>
      </c>
      <c r="AP477" s="17" t="str">
        <f t="shared" si="30"/>
        <v>Post-emergence nest</v>
      </c>
      <c r="AQ477" s="18">
        <v>12</v>
      </c>
      <c r="AT477" s="19" t="s">
        <v>141</v>
      </c>
      <c r="AU477" s="20" t="s">
        <v>104</v>
      </c>
      <c r="AX477" s="22" t="str">
        <f>IF(AND('[1]observations-276632'!W477&gt;'[1]Methods write-up'!$Q$16,'[1]observations-276632'!W477&lt;'[1]Methods write-up'!$R$16,'[1]observations-276632'!X477&gt;'[1]Methods write-up'!$S$16,'[1]observations-276632'!X477&lt;'[1]Methods write-up'!$T$16),"West and Central Africa","")</f>
        <v/>
      </c>
      <c r="AY477" s="22" t="str">
        <f>IF(AND('[1]observations-276632'!W477&gt;'[1]Methods write-up'!$Q$17,'[1]observations-276632'!W477&lt;'[1]Methods write-up'!$R$17,'[1]observations-276632'!X477&gt;'[1]Methods write-up'!$S$17,'[1]observations-276632'!X477&lt;'[1]Methods write-up'!$T$17),"Equatorial tropical forest","")</f>
        <v/>
      </c>
      <c r="AZ477" s="22" t="str">
        <f>IF(AND('[1]observations-276632'!W477&gt;'[1]Methods write-up'!$Q$18,'[1]observations-276632'!W477&lt;'[1]Methods write-up'!$R$18,'[1]observations-276632'!X477&gt;'[1]Methods write-up'!$S$18,'[1]observations-276632'!X477&lt;'[1]Methods write-up'!$T$18),"Somali peninsula","")</f>
        <v/>
      </c>
      <c r="BA477" s="22" t="str">
        <f>IF(AND('[1]observations-276632'!W477&gt;'[1]Methods write-up'!$Q$19,'[1]observations-276632'!W477&lt;'[1]Methods write-up'!$R$19,'[1]observations-276632'!X477&gt;'[1]Methods write-up'!$S$19,'[1]observations-276632'!X477&lt;'[1]Methods write-up'!$T$19),"East Africa","")</f>
        <v>East Africa</v>
      </c>
      <c r="BB477" s="22" t="str">
        <f>IF(AND('[1]observations-276632'!W477&gt;'[1]Methods write-up'!$Q$20,'[1]observations-276632'!W477&lt;'[1]Methods write-up'!$R$20,'[1]observations-276632'!X477&gt;'[1]Methods write-up'!$S$20,'[1]observations-276632'!X477&lt;'[1]Methods write-up'!$T$20),"Temperate seasonal","")</f>
        <v/>
      </c>
      <c r="BC477" s="22" t="str">
        <f>IF(AND('[1]observations-276632'!W477&gt;'[1]Methods write-up'!$Q$21,'[1]observations-276632'!W477&lt;'[1]Methods write-up'!$R$21,'[1]observations-276632'!X477&gt;'[1]Methods write-up'!$S$21,'[1]observations-276632'!X477&lt;'[1]Methods write-up'!$T$21),"Desert and high aridity","")</f>
        <v/>
      </c>
      <c r="BD477" s="23" t="str">
        <f t="shared" si="33"/>
        <v>East Africa</v>
      </c>
      <c r="BE477" s="24">
        <f t="shared" si="31"/>
        <v>16</v>
      </c>
      <c r="BF477" s="24">
        <f t="shared" si="32"/>
        <v>2</v>
      </c>
    </row>
    <row r="478" spans="1:58" ht="16.25" customHeight="1" x14ac:dyDescent="0.2">
      <c r="A478">
        <v>45846530</v>
      </c>
      <c r="B478" t="s">
        <v>3552</v>
      </c>
      <c r="C478" s="14">
        <v>43964</v>
      </c>
      <c r="D478" t="s">
        <v>3553</v>
      </c>
      <c r="E478" t="s">
        <v>113</v>
      </c>
      <c r="F478">
        <v>662724</v>
      </c>
      <c r="G478" t="s">
        <v>903</v>
      </c>
      <c r="H478" t="s">
        <v>904</v>
      </c>
      <c r="I478" t="s">
        <v>3554</v>
      </c>
      <c r="J478" t="s">
        <v>3555</v>
      </c>
      <c r="K478" t="s">
        <v>62</v>
      </c>
      <c r="L478" t="s">
        <v>63</v>
      </c>
      <c r="M478" t="s">
        <v>3556</v>
      </c>
      <c r="N478" t="s">
        <v>3557</v>
      </c>
      <c r="R478">
        <v>4</v>
      </c>
      <c r="S478">
        <v>0</v>
      </c>
      <c r="T478" t="b">
        <v>0</v>
      </c>
      <c r="V478" t="s">
        <v>1146</v>
      </c>
      <c r="W478" s="15">
        <v>-30.301219580000001</v>
      </c>
      <c r="X478" s="15">
        <v>30.742574940000001</v>
      </c>
      <c r="Y478">
        <v>2</v>
      </c>
      <c r="AC478">
        <v>2</v>
      </c>
      <c r="AF478" t="b">
        <v>0</v>
      </c>
      <c r="AI478" t="s">
        <v>71</v>
      </c>
      <c r="AJ478" t="s">
        <v>70</v>
      </c>
      <c r="AK478" t="s">
        <v>71</v>
      </c>
      <c r="AL478" t="s">
        <v>72</v>
      </c>
      <c r="AM478">
        <v>346053</v>
      </c>
      <c r="AO478" s="16" t="s">
        <v>73</v>
      </c>
      <c r="AP478" s="17" t="str">
        <f t="shared" si="30"/>
        <v>Off-nest female</v>
      </c>
      <c r="AX478" s="22" t="str">
        <f>IF(AND('[1]observations-276632'!W478&gt;'[1]Methods write-up'!$Q$16,'[1]observations-276632'!W478&lt;'[1]Methods write-up'!$R$16,'[1]observations-276632'!X478&gt;'[1]Methods write-up'!$S$16,'[1]observations-276632'!X478&lt;'[1]Methods write-up'!$T$16),"West and Central Africa","")</f>
        <v/>
      </c>
      <c r="AY478" s="22" t="str">
        <f>IF(AND('[1]observations-276632'!W478&gt;'[1]Methods write-up'!$Q$17,'[1]observations-276632'!W478&lt;'[1]Methods write-up'!$R$17,'[1]observations-276632'!X478&gt;'[1]Methods write-up'!$S$17,'[1]observations-276632'!X478&lt;'[1]Methods write-up'!$T$17),"Equatorial tropical forest","")</f>
        <v/>
      </c>
      <c r="AZ478" s="22" t="str">
        <f>IF(AND('[1]observations-276632'!W478&gt;'[1]Methods write-up'!$Q$18,'[1]observations-276632'!W478&lt;'[1]Methods write-up'!$R$18,'[1]observations-276632'!X478&gt;'[1]Methods write-up'!$S$18,'[1]observations-276632'!X478&lt;'[1]Methods write-up'!$T$18),"Somali peninsula","")</f>
        <v/>
      </c>
      <c r="BA478" s="22" t="str">
        <f>IF(AND('[1]observations-276632'!W478&gt;'[1]Methods write-up'!$Q$19,'[1]observations-276632'!W478&lt;'[1]Methods write-up'!$R$19,'[1]observations-276632'!X478&gt;'[1]Methods write-up'!$S$19,'[1]observations-276632'!X478&lt;'[1]Methods write-up'!$T$19),"East Africa","")</f>
        <v/>
      </c>
      <c r="BB478" s="22" t="str">
        <f>IF(AND('[1]observations-276632'!W478&gt;'[1]Methods write-up'!$Q$20,'[1]observations-276632'!W478&lt;'[1]Methods write-up'!$R$20,'[1]observations-276632'!X478&gt;'[1]Methods write-up'!$S$20,'[1]observations-276632'!X478&lt;'[1]Methods write-up'!$T$20),"Temperate seasonal","")</f>
        <v>Temperate seasonal</v>
      </c>
      <c r="BC478" s="22" t="str">
        <f>IF(AND('[1]observations-276632'!W478&gt;'[1]Methods write-up'!$Q$21,'[1]observations-276632'!W478&lt;'[1]Methods write-up'!$R$21,'[1]observations-276632'!X478&gt;'[1]Methods write-up'!$S$21,'[1]observations-276632'!X478&lt;'[1]Methods write-up'!$T$21),"Desert and high aridity","")</f>
        <v/>
      </c>
      <c r="BD478" s="23" t="str">
        <f t="shared" si="33"/>
        <v>Temperate seasonal</v>
      </c>
      <c r="BE478" s="24">
        <f t="shared" si="31"/>
        <v>13</v>
      </c>
      <c r="BF478" s="24">
        <f t="shared" si="32"/>
        <v>5</v>
      </c>
    </row>
    <row r="479" spans="1:58" ht="16.25" customHeight="1" x14ac:dyDescent="0.2">
      <c r="A479">
        <v>45857952</v>
      </c>
      <c r="B479" t="s">
        <v>3558</v>
      </c>
      <c r="C479" s="14">
        <v>43429</v>
      </c>
      <c r="D479" t="s">
        <v>3559</v>
      </c>
      <c r="E479" t="s">
        <v>93</v>
      </c>
      <c r="F479">
        <v>746144</v>
      </c>
      <c r="G479" t="s">
        <v>1599</v>
      </c>
      <c r="H479" t="s">
        <v>1600</v>
      </c>
      <c r="I479" t="s">
        <v>3560</v>
      </c>
      <c r="J479" t="s">
        <v>3561</v>
      </c>
      <c r="K479" t="s">
        <v>62</v>
      </c>
      <c r="L479" t="s">
        <v>63</v>
      </c>
      <c r="M479" t="s">
        <v>3562</v>
      </c>
      <c r="N479" t="s">
        <v>3563</v>
      </c>
      <c r="R479">
        <v>3</v>
      </c>
      <c r="S479">
        <v>0</v>
      </c>
      <c r="T479" t="b">
        <v>0</v>
      </c>
      <c r="V479" t="s">
        <v>3564</v>
      </c>
      <c r="W479" s="15">
        <v>-22.594631100000001</v>
      </c>
      <c r="X479" s="15">
        <v>17.084187979999999</v>
      </c>
      <c r="Y479">
        <v>2</v>
      </c>
      <c r="AC479">
        <v>2</v>
      </c>
      <c r="AF479" t="b">
        <v>0</v>
      </c>
      <c r="AI479" t="s">
        <v>71</v>
      </c>
      <c r="AJ479" t="s">
        <v>70</v>
      </c>
      <c r="AK479" t="s">
        <v>71</v>
      </c>
      <c r="AL479" t="s">
        <v>72</v>
      </c>
      <c r="AM479">
        <v>346053</v>
      </c>
      <c r="AO479" s="16" t="s">
        <v>442</v>
      </c>
      <c r="AP479" s="17" t="str">
        <f t="shared" si="30"/>
        <v>Dead female</v>
      </c>
      <c r="AX479" s="22" t="str">
        <f>IF(AND('[1]observations-276632'!W479&gt;'[1]Methods write-up'!$Q$16,'[1]observations-276632'!W479&lt;'[1]Methods write-up'!$R$16,'[1]observations-276632'!X479&gt;'[1]Methods write-up'!$S$16,'[1]observations-276632'!X479&lt;'[1]Methods write-up'!$T$16),"West and Central Africa","")</f>
        <v/>
      </c>
      <c r="AY479" s="22" t="str">
        <f>IF(AND('[1]observations-276632'!W479&gt;'[1]Methods write-up'!$Q$17,'[1]observations-276632'!W479&lt;'[1]Methods write-up'!$R$17,'[1]observations-276632'!X479&gt;'[1]Methods write-up'!$S$17,'[1]observations-276632'!X479&lt;'[1]Methods write-up'!$T$17),"Equatorial tropical forest","")</f>
        <v/>
      </c>
      <c r="AZ479" s="22" t="str">
        <f>IF(AND('[1]observations-276632'!W479&gt;'[1]Methods write-up'!$Q$18,'[1]observations-276632'!W479&lt;'[1]Methods write-up'!$R$18,'[1]observations-276632'!X479&gt;'[1]Methods write-up'!$S$18,'[1]observations-276632'!X479&lt;'[1]Methods write-up'!$T$18),"Somali peninsula","")</f>
        <v/>
      </c>
      <c r="BA479" s="22" t="str">
        <f>IF(AND('[1]observations-276632'!W479&gt;'[1]Methods write-up'!$Q$19,'[1]observations-276632'!W479&lt;'[1]Methods write-up'!$R$19,'[1]observations-276632'!X479&gt;'[1]Methods write-up'!$S$19,'[1]observations-276632'!X479&lt;'[1]Methods write-up'!$T$19),"East Africa","")</f>
        <v/>
      </c>
      <c r="BB479" s="22" t="str">
        <f>IF(AND('[1]observations-276632'!W479&gt;'[1]Methods write-up'!$Q$20,'[1]observations-276632'!W479&lt;'[1]Methods write-up'!$R$20,'[1]observations-276632'!X479&gt;'[1]Methods write-up'!$S$20,'[1]observations-276632'!X479&lt;'[1]Methods write-up'!$T$20),"Temperate seasonal","")</f>
        <v/>
      </c>
      <c r="BC479" s="22" t="str">
        <f>IF(AND('[1]observations-276632'!W479&gt;'[1]Methods write-up'!$Q$21,'[1]observations-276632'!W479&lt;'[1]Methods write-up'!$R$21,'[1]observations-276632'!X479&gt;'[1]Methods write-up'!$S$21,'[1]observations-276632'!X479&lt;'[1]Methods write-up'!$T$21),"Desert and high aridity","")</f>
        <v>Desert and high aridity</v>
      </c>
      <c r="BD479" s="23" t="str">
        <f t="shared" si="33"/>
        <v>Desert and high aridity</v>
      </c>
      <c r="BE479" s="24">
        <f t="shared" si="31"/>
        <v>25</v>
      </c>
      <c r="BF479" s="24">
        <f t="shared" si="32"/>
        <v>11</v>
      </c>
    </row>
    <row r="480" spans="1:58" ht="16.25" customHeight="1" x14ac:dyDescent="0.2">
      <c r="A480">
        <v>45887565</v>
      </c>
      <c r="B480" t="s">
        <v>3565</v>
      </c>
      <c r="C480" s="14">
        <v>43965</v>
      </c>
      <c r="D480" t="s">
        <v>3566</v>
      </c>
      <c r="E480" t="s">
        <v>113</v>
      </c>
      <c r="F480">
        <v>2675197</v>
      </c>
      <c r="G480" t="s">
        <v>3567</v>
      </c>
      <c r="H480" t="s">
        <v>3568</v>
      </c>
      <c r="I480" t="s">
        <v>3569</v>
      </c>
      <c r="J480" t="s">
        <v>3570</v>
      </c>
      <c r="K480" t="s">
        <v>62</v>
      </c>
      <c r="L480" t="s">
        <v>63</v>
      </c>
      <c r="M480" t="s">
        <v>3571</v>
      </c>
      <c r="N480" t="s">
        <v>3572</v>
      </c>
      <c r="R480">
        <v>4</v>
      </c>
      <c r="S480">
        <v>0</v>
      </c>
      <c r="T480" t="b">
        <v>0</v>
      </c>
      <c r="V480" t="s">
        <v>3573</v>
      </c>
      <c r="W480" s="15">
        <v>-17.831638030000001</v>
      </c>
      <c r="X480" s="15">
        <v>31.15022943</v>
      </c>
      <c r="Y480">
        <v>804</v>
      </c>
      <c r="AC480">
        <v>804</v>
      </c>
      <c r="AF480" t="b">
        <v>0</v>
      </c>
      <c r="AI480" t="s">
        <v>71</v>
      </c>
      <c r="AJ480" t="s">
        <v>70</v>
      </c>
      <c r="AK480" t="s">
        <v>71</v>
      </c>
      <c r="AL480" t="s">
        <v>72</v>
      </c>
      <c r="AM480">
        <v>346053</v>
      </c>
      <c r="AO480" s="16" t="s">
        <v>73</v>
      </c>
      <c r="AP480" s="17" t="str">
        <f t="shared" si="30"/>
        <v>Off-nest female</v>
      </c>
      <c r="AX480" s="22" t="str">
        <f>IF(AND('[1]observations-276632'!W480&gt;'[1]Methods write-up'!$Q$16,'[1]observations-276632'!W480&lt;'[1]Methods write-up'!$R$16,'[1]observations-276632'!X480&gt;'[1]Methods write-up'!$S$16,'[1]observations-276632'!X480&lt;'[1]Methods write-up'!$T$16),"West and Central Africa","")</f>
        <v/>
      </c>
      <c r="AY480" s="22" t="str">
        <f>IF(AND('[1]observations-276632'!W480&gt;'[1]Methods write-up'!$Q$17,'[1]observations-276632'!W480&lt;'[1]Methods write-up'!$R$17,'[1]observations-276632'!X480&gt;'[1]Methods write-up'!$S$17,'[1]observations-276632'!X480&lt;'[1]Methods write-up'!$T$17),"Equatorial tropical forest","")</f>
        <v/>
      </c>
      <c r="AZ480" s="22" t="str">
        <f>IF(AND('[1]observations-276632'!W480&gt;'[1]Methods write-up'!$Q$18,'[1]observations-276632'!W480&lt;'[1]Methods write-up'!$R$18,'[1]observations-276632'!X480&gt;'[1]Methods write-up'!$S$18,'[1]observations-276632'!X480&lt;'[1]Methods write-up'!$T$18),"Somali peninsula","")</f>
        <v/>
      </c>
      <c r="BA480" s="22" t="str">
        <f>IF(AND('[1]observations-276632'!W480&gt;'[1]Methods write-up'!$Q$19,'[1]observations-276632'!W480&lt;'[1]Methods write-up'!$R$19,'[1]observations-276632'!X480&gt;'[1]Methods write-up'!$S$19,'[1]observations-276632'!X480&lt;'[1]Methods write-up'!$T$19),"East Africa","")</f>
        <v/>
      </c>
      <c r="BB480" s="22" t="str">
        <f>IF(AND('[1]observations-276632'!W480&gt;'[1]Methods write-up'!$Q$20,'[1]observations-276632'!W480&lt;'[1]Methods write-up'!$R$20,'[1]observations-276632'!X480&gt;'[1]Methods write-up'!$S$20,'[1]observations-276632'!X480&lt;'[1]Methods write-up'!$T$20),"Temperate seasonal","")</f>
        <v/>
      </c>
      <c r="BC480" s="22" t="str">
        <f>IF(AND('[1]observations-276632'!W480&gt;'[1]Methods write-up'!$Q$21,'[1]observations-276632'!W480&lt;'[1]Methods write-up'!$R$21,'[1]observations-276632'!X480&gt;'[1]Methods write-up'!$S$21,'[1]observations-276632'!X480&lt;'[1]Methods write-up'!$T$21),"Desert and high aridity","")</f>
        <v/>
      </c>
      <c r="BD480" s="23" t="str">
        <f t="shared" si="33"/>
        <v/>
      </c>
      <c r="BE480" s="24">
        <f t="shared" si="31"/>
        <v>14</v>
      </c>
      <c r="BF480" s="24">
        <f t="shared" si="32"/>
        <v>5</v>
      </c>
    </row>
    <row r="481" spans="1:58" ht="16.25" customHeight="1" x14ac:dyDescent="0.2">
      <c r="A481">
        <v>46186646</v>
      </c>
      <c r="B481" t="s">
        <v>3574</v>
      </c>
      <c r="C481" s="14">
        <v>43958</v>
      </c>
      <c r="D481" t="s">
        <v>3575</v>
      </c>
      <c r="E481" t="s">
        <v>57</v>
      </c>
      <c r="F481">
        <v>678008</v>
      </c>
      <c r="G481" t="s">
        <v>2315</v>
      </c>
      <c r="I481" t="s">
        <v>3576</v>
      </c>
      <c r="J481" t="s">
        <v>3577</v>
      </c>
      <c r="K481" t="s">
        <v>62</v>
      </c>
      <c r="L481" t="s">
        <v>63</v>
      </c>
      <c r="M481" t="s">
        <v>3578</v>
      </c>
      <c r="N481" t="s">
        <v>3579</v>
      </c>
      <c r="R481">
        <v>1</v>
      </c>
      <c r="S481">
        <v>0</v>
      </c>
      <c r="T481" t="b">
        <v>0</v>
      </c>
      <c r="V481" t="s">
        <v>2320</v>
      </c>
      <c r="W481" s="15">
        <v>-15.369739490000001</v>
      </c>
      <c r="X481" s="15">
        <v>28.315969930000001</v>
      </c>
      <c r="Y481">
        <v>15</v>
      </c>
      <c r="AC481">
        <v>15</v>
      </c>
      <c r="AF481" t="b">
        <v>0</v>
      </c>
      <c r="AI481" t="s">
        <v>71</v>
      </c>
      <c r="AJ481" t="s">
        <v>70</v>
      </c>
      <c r="AK481" t="s">
        <v>71</v>
      </c>
      <c r="AL481" t="s">
        <v>72</v>
      </c>
      <c r="AM481">
        <v>346053</v>
      </c>
      <c r="AO481" s="16" t="s">
        <v>73</v>
      </c>
      <c r="AP481" s="17" t="str">
        <f t="shared" si="30"/>
        <v>Off-nest female</v>
      </c>
      <c r="AX481" s="22" t="str">
        <f>IF(AND('[1]observations-276632'!W481&gt;'[1]Methods write-up'!$Q$16,'[1]observations-276632'!W481&lt;'[1]Methods write-up'!$R$16,'[1]observations-276632'!X481&gt;'[1]Methods write-up'!$S$16,'[1]observations-276632'!X481&lt;'[1]Methods write-up'!$T$16),"West and Central Africa","")</f>
        <v>West and Central Africa</v>
      </c>
      <c r="AY481" s="22" t="str">
        <f>IF(AND('[1]observations-276632'!W481&gt;'[1]Methods write-up'!$Q$17,'[1]observations-276632'!W481&lt;'[1]Methods write-up'!$R$17,'[1]observations-276632'!X481&gt;'[1]Methods write-up'!$S$17,'[1]observations-276632'!X481&lt;'[1]Methods write-up'!$T$17),"Equatorial tropical forest","")</f>
        <v/>
      </c>
      <c r="AZ481" s="22" t="str">
        <f>IF(AND('[1]observations-276632'!W481&gt;'[1]Methods write-up'!$Q$18,'[1]observations-276632'!W481&lt;'[1]Methods write-up'!$R$18,'[1]observations-276632'!X481&gt;'[1]Methods write-up'!$S$18,'[1]observations-276632'!X481&lt;'[1]Methods write-up'!$T$18),"Somali peninsula","")</f>
        <v/>
      </c>
      <c r="BA481" s="22" t="str">
        <f>IF(AND('[1]observations-276632'!W481&gt;'[1]Methods write-up'!$Q$19,'[1]observations-276632'!W481&lt;'[1]Methods write-up'!$R$19,'[1]observations-276632'!X481&gt;'[1]Methods write-up'!$S$19,'[1]observations-276632'!X481&lt;'[1]Methods write-up'!$T$19),"East Africa","")</f>
        <v/>
      </c>
      <c r="BB481" s="22" t="str">
        <f>IF(AND('[1]observations-276632'!W481&gt;'[1]Methods write-up'!$Q$20,'[1]observations-276632'!W481&lt;'[1]Methods write-up'!$R$20,'[1]observations-276632'!X481&gt;'[1]Methods write-up'!$S$20,'[1]observations-276632'!X481&lt;'[1]Methods write-up'!$T$20),"Temperate seasonal","")</f>
        <v/>
      </c>
      <c r="BC481" s="22" t="str">
        <f>IF(AND('[1]observations-276632'!W481&gt;'[1]Methods write-up'!$Q$21,'[1]observations-276632'!W481&lt;'[1]Methods write-up'!$R$21,'[1]observations-276632'!X481&gt;'[1]Methods write-up'!$S$21,'[1]observations-276632'!X481&lt;'[1]Methods write-up'!$T$21),"Desert and high aridity","")</f>
        <v/>
      </c>
      <c r="BD481" s="23" t="str">
        <f t="shared" si="33"/>
        <v>West and Central Africa</v>
      </c>
      <c r="BE481" s="24">
        <f t="shared" si="31"/>
        <v>7</v>
      </c>
      <c r="BF481" s="24">
        <f t="shared" si="32"/>
        <v>5</v>
      </c>
    </row>
    <row r="482" spans="1:58" ht="16.25" customHeight="1" x14ac:dyDescent="0.2">
      <c r="A482">
        <v>46200982</v>
      </c>
      <c r="B482" s="25">
        <v>43940.365972222222</v>
      </c>
      <c r="C482" s="14">
        <v>43940</v>
      </c>
      <c r="D482" t="s">
        <v>3580</v>
      </c>
      <c r="E482" t="s">
        <v>113</v>
      </c>
      <c r="F482">
        <v>552380</v>
      </c>
      <c r="G482" t="s">
        <v>1948</v>
      </c>
      <c r="H482" t="s">
        <v>1949</v>
      </c>
      <c r="I482" t="s">
        <v>3581</v>
      </c>
      <c r="J482" t="s">
        <v>3582</v>
      </c>
      <c r="K482" t="s">
        <v>62</v>
      </c>
      <c r="L482" t="s">
        <v>98</v>
      </c>
      <c r="M482" t="s">
        <v>3583</v>
      </c>
      <c r="N482" t="s">
        <v>3584</v>
      </c>
      <c r="R482">
        <v>3</v>
      </c>
      <c r="S482">
        <v>0</v>
      </c>
      <c r="T482" t="b">
        <v>0</v>
      </c>
      <c r="U482">
        <v>179</v>
      </c>
      <c r="V482" t="s">
        <v>1954</v>
      </c>
      <c r="W482" s="15">
        <v>-33.75</v>
      </c>
      <c r="X482" s="15">
        <v>26.529355559999999</v>
      </c>
      <c r="Y482">
        <v>10</v>
      </c>
      <c r="AC482">
        <v>10</v>
      </c>
      <c r="AF482" t="b">
        <v>0</v>
      </c>
      <c r="AI482" t="s">
        <v>71</v>
      </c>
      <c r="AJ482" t="s">
        <v>70</v>
      </c>
      <c r="AK482" t="s">
        <v>71</v>
      </c>
      <c r="AL482" t="s">
        <v>72</v>
      </c>
      <c r="AM482">
        <v>346053</v>
      </c>
      <c r="AO482" s="16" t="s">
        <v>73</v>
      </c>
      <c r="AP482" s="17" t="str">
        <f t="shared" si="30"/>
        <v>Off-nest female</v>
      </c>
      <c r="AX482" s="22" t="str">
        <f>IF(AND('[1]observations-276632'!W482&gt;'[1]Methods write-up'!$Q$16,'[1]observations-276632'!W482&lt;'[1]Methods write-up'!$R$16,'[1]observations-276632'!X482&gt;'[1]Methods write-up'!$S$16,'[1]observations-276632'!X482&lt;'[1]Methods write-up'!$T$16),"West and Central Africa","")</f>
        <v/>
      </c>
      <c r="AY482" s="22" t="str">
        <f>IF(AND('[1]observations-276632'!W482&gt;'[1]Methods write-up'!$Q$17,'[1]observations-276632'!W482&lt;'[1]Methods write-up'!$R$17,'[1]observations-276632'!X482&gt;'[1]Methods write-up'!$S$17,'[1]observations-276632'!X482&lt;'[1]Methods write-up'!$T$17),"Equatorial tropical forest","")</f>
        <v/>
      </c>
      <c r="AZ482" s="22" t="str">
        <f>IF(AND('[1]observations-276632'!W482&gt;'[1]Methods write-up'!$Q$18,'[1]observations-276632'!W482&lt;'[1]Methods write-up'!$R$18,'[1]observations-276632'!X482&gt;'[1]Methods write-up'!$S$18,'[1]observations-276632'!X482&lt;'[1]Methods write-up'!$T$18),"Somali peninsula","")</f>
        <v/>
      </c>
      <c r="BA482" s="22" t="str">
        <f>IF(AND('[1]observations-276632'!W482&gt;'[1]Methods write-up'!$Q$19,'[1]observations-276632'!W482&lt;'[1]Methods write-up'!$R$19,'[1]observations-276632'!X482&gt;'[1]Methods write-up'!$S$19,'[1]observations-276632'!X482&lt;'[1]Methods write-up'!$T$19),"East Africa","")</f>
        <v/>
      </c>
      <c r="BB482" s="22" t="str">
        <f>IF(AND('[1]observations-276632'!W482&gt;'[1]Methods write-up'!$Q$20,'[1]observations-276632'!W482&lt;'[1]Methods write-up'!$R$20,'[1]observations-276632'!X482&gt;'[1]Methods write-up'!$S$20,'[1]observations-276632'!X482&lt;'[1]Methods write-up'!$T$20),"Temperate seasonal","")</f>
        <v/>
      </c>
      <c r="BC482" s="22" t="str">
        <f>IF(AND('[1]observations-276632'!W482&gt;'[1]Methods write-up'!$Q$21,'[1]observations-276632'!W482&lt;'[1]Methods write-up'!$R$21,'[1]observations-276632'!X482&gt;'[1]Methods write-up'!$S$21,'[1]observations-276632'!X482&lt;'[1]Methods write-up'!$T$21),"Desert and high aridity","")</f>
        <v/>
      </c>
      <c r="BD482" s="23" t="str">
        <f t="shared" si="33"/>
        <v/>
      </c>
      <c r="BE482" s="24">
        <f t="shared" si="31"/>
        <v>19</v>
      </c>
      <c r="BF482" s="24">
        <f t="shared" si="32"/>
        <v>4</v>
      </c>
    </row>
    <row r="483" spans="1:58" ht="16.25" customHeight="1" x14ac:dyDescent="0.2">
      <c r="A483">
        <v>46466430</v>
      </c>
      <c r="B483" t="s">
        <v>3585</v>
      </c>
      <c r="C483" s="14">
        <v>43970</v>
      </c>
      <c r="D483" t="s">
        <v>3586</v>
      </c>
      <c r="E483" t="s">
        <v>113</v>
      </c>
      <c r="F483">
        <v>818087</v>
      </c>
      <c r="G483" t="s">
        <v>1553</v>
      </c>
      <c r="H483" t="s">
        <v>1554</v>
      </c>
      <c r="I483" t="s">
        <v>3587</v>
      </c>
      <c r="J483" t="s">
        <v>3588</v>
      </c>
      <c r="K483" t="s">
        <v>62</v>
      </c>
      <c r="M483" t="s">
        <v>3589</v>
      </c>
      <c r="N483" t="s">
        <v>3590</v>
      </c>
      <c r="R483">
        <v>1</v>
      </c>
      <c r="S483">
        <v>0</v>
      </c>
      <c r="T483" t="b">
        <v>0</v>
      </c>
      <c r="U483">
        <v>3</v>
      </c>
      <c r="V483" t="s">
        <v>3591</v>
      </c>
      <c r="W483" s="15">
        <v>-12.179593580000001</v>
      </c>
      <c r="X483" s="15">
        <v>26.46214865</v>
      </c>
      <c r="Y483">
        <v>80534</v>
      </c>
      <c r="AC483">
        <v>80534</v>
      </c>
      <c r="AF483" t="b">
        <v>0</v>
      </c>
      <c r="AI483" t="s">
        <v>71</v>
      </c>
      <c r="AJ483" t="s">
        <v>70</v>
      </c>
      <c r="AK483" t="s">
        <v>71</v>
      </c>
      <c r="AL483" t="s">
        <v>72</v>
      </c>
      <c r="AM483">
        <v>346053</v>
      </c>
      <c r="AO483" s="16" t="s">
        <v>73</v>
      </c>
      <c r="AP483" s="17" t="str">
        <f t="shared" si="30"/>
        <v>Off-nest female</v>
      </c>
      <c r="AX483" s="22" t="str">
        <f>IF(AND('[1]observations-276632'!W483&gt;'[1]Methods write-up'!$Q$16,'[1]observations-276632'!W483&lt;'[1]Methods write-up'!$R$16,'[1]observations-276632'!X483&gt;'[1]Methods write-up'!$S$16,'[1]observations-276632'!X483&lt;'[1]Methods write-up'!$T$16),"West and Central Africa","")</f>
        <v>West and Central Africa</v>
      </c>
      <c r="AY483" s="22" t="str">
        <f>IF(AND('[1]observations-276632'!W483&gt;'[1]Methods write-up'!$Q$17,'[1]observations-276632'!W483&lt;'[1]Methods write-up'!$R$17,'[1]observations-276632'!X483&gt;'[1]Methods write-up'!$S$17,'[1]observations-276632'!X483&lt;'[1]Methods write-up'!$T$17),"Equatorial tropical forest","")</f>
        <v/>
      </c>
      <c r="AZ483" s="22" t="str">
        <f>IF(AND('[1]observations-276632'!W483&gt;'[1]Methods write-up'!$Q$18,'[1]observations-276632'!W483&lt;'[1]Methods write-up'!$R$18,'[1]observations-276632'!X483&gt;'[1]Methods write-up'!$S$18,'[1]observations-276632'!X483&lt;'[1]Methods write-up'!$T$18),"Somali peninsula","")</f>
        <v/>
      </c>
      <c r="BA483" s="22" t="str">
        <f>IF(AND('[1]observations-276632'!W483&gt;'[1]Methods write-up'!$Q$19,'[1]observations-276632'!W483&lt;'[1]Methods write-up'!$R$19,'[1]observations-276632'!X483&gt;'[1]Methods write-up'!$S$19,'[1]observations-276632'!X483&lt;'[1]Methods write-up'!$T$19),"East Africa","")</f>
        <v/>
      </c>
      <c r="BB483" s="22" t="str">
        <f>IF(AND('[1]observations-276632'!W483&gt;'[1]Methods write-up'!$Q$20,'[1]observations-276632'!W483&lt;'[1]Methods write-up'!$R$20,'[1]observations-276632'!X483&gt;'[1]Methods write-up'!$S$20,'[1]observations-276632'!X483&lt;'[1]Methods write-up'!$T$20),"Temperate seasonal","")</f>
        <v/>
      </c>
      <c r="BC483" s="22" t="str">
        <f>IF(AND('[1]observations-276632'!W483&gt;'[1]Methods write-up'!$Q$21,'[1]observations-276632'!W483&lt;'[1]Methods write-up'!$R$21,'[1]observations-276632'!X483&gt;'[1]Methods write-up'!$S$21,'[1]observations-276632'!X483&lt;'[1]Methods write-up'!$T$21),"Desert and high aridity","")</f>
        <v/>
      </c>
      <c r="BD483" s="23" t="str">
        <f t="shared" si="33"/>
        <v>West and Central Africa</v>
      </c>
      <c r="BE483" s="24">
        <f t="shared" si="31"/>
        <v>19</v>
      </c>
      <c r="BF483" s="24">
        <f t="shared" si="32"/>
        <v>5</v>
      </c>
    </row>
    <row r="484" spans="1:58" ht="16.25" customHeight="1" x14ac:dyDescent="0.2">
      <c r="A484">
        <v>46511452</v>
      </c>
      <c r="B484" t="s">
        <v>3516</v>
      </c>
      <c r="C484" s="14">
        <v>43953</v>
      </c>
      <c r="D484" t="s">
        <v>3517</v>
      </c>
      <c r="E484" t="s">
        <v>84</v>
      </c>
      <c r="F484">
        <v>152365</v>
      </c>
      <c r="G484" t="s">
        <v>3518</v>
      </c>
      <c r="H484" t="s">
        <v>3519</v>
      </c>
      <c r="I484" t="s">
        <v>3592</v>
      </c>
      <c r="J484" t="s">
        <v>3593</v>
      </c>
      <c r="K484" t="s">
        <v>62</v>
      </c>
      <c r="M484" t="s">
        <v>3594</v>
      </c>
      <c r="N484" t="s">
        <v>3595</v>
      </c>
      <c r="R484">
        <v>2</v>
      </c>
      <c r="S484">
        <v>0</v>
      </c>
      <c r="T484" t="b">
        <v>0</v>
      </c>
      <c r="V484" t="s">
        <v>3524</v>
      </c>
      <c r="W484" s="15">
        <v>-3.3780822000000001</v>
      </c>
      <c r="X484" s="15">
        <v>39.988859699999999</v>
      </c>
      <c r="Y484">
        <v>344</v>
      </c>
      <c r="AC484">
        <v>344</v>
      </c>
      <c r="AF484" t="b">
        <v>0</v>
      </c>
      <c r="AI484" t="s">
        <v>71</v>
      </c>
      <c r="AJ484" t="s">
        <v>70</v>
      </c>
      <c r="AK484" t="s">
        <v>71</v>
      </c>
      <c r="AL484" t="s">
        <v>72</v>
      </c>
      <c r="AM484">
        <v>346053</v>
      </c>
      <c r="AO484" s="16" t="s">
        <v>73</v>
      </c>
      <c r="AP484" s="17" t="str">
        <f t="shared" si="30"/>
        <v>Off-nest female</v>
      </c>
      <c r="AX484" s="22" t="str">
        <f>IF(AND('[1]observations-276632'!W484&gt;'[1]Methods write-up'!$Q$16,'[1]observations-276632'!W484&lt;'[1]Methods write-up'!$R$16,'[1]observations-276632'!X484&gt;'[1]Methods write-up'!$S$16,'[1]observations-276632'!X484&lt;'[1]Methods write-up'!$T$16),"West and Central Africa","")</f>
        <v/>
      </c>
      <c r="AY484" s="22" t="str">
        <f>IF(AND('[1]observations-276632'!W484&gt;'[1]Methods write-up'!$Q$17,'[1]observations-276632'!W484&lt;'[1]Methods write-up'!$R$17,'[1]observations-276632'!X484&gt;'[1]Methods write-up'!$S$17,'[1]observations-276632'!X484&lt;'[1]Methods write-up'!$T$17),"Equatorial tropical forest","")</f>
        <v/>
      </c>
      <c r="AZ484" s="22" t="str">
        <f>IF(AND('[1]observations-276632'!W484&gt;'[1]Methods write-up'!$Q$18,'[1]observations-276632'!W484&lt;'[1]Methods write-up'!$R$18,'[1]observations-276632'!X484&gt;'[1]Methods write-up'!$S$18,'[1]observations-276632'!X484&lt;'[1]Methods write-up'!$T$18),"Somali peninsula","")</f>
        <v/>
      </c>
      <c r="BA484" s="22" t="str">
        <f>IF(AND('[1]observations-276632'!W484&gt;'[1]Methods write-up'!$Q$19,'[1]observations-276632'!W484&lt;'[1]Methods write-up'!$R$19,'[1]observations-276632'!X484&gt;'[1]Methods write-up'!$S$19,'[1]observations-276632'!X484&lt;'[1]Methods write-up'!$T$19),"East Africa","")</f>
        <v>East Africa</v>
      </c>
      <c r="BB484" s="22" t="str">
        <f>IF(AND('[1]observations-276632'!W484&gt;'[1]Methods write-up'!$Q$20,'[1]observations-276632'!W484&lt;'[1]Methods write-up'!$R$20,'[1]observations-276632'!X484&gt;'[1]Methods write-up'!$S$20,'[1]observations-276632'!X484&lt;'[1]Methods write-up'!$T$20),"Temperate seasonal","")</f>
        <v/>
      </c>
      <c r="BC484" s="22" t="str">
        <f>IF(AND('[1]observations-276632'!W484&gt;'[1]Methods write-up'!$Q$21,'[1]observations-276632'!W484&lt;'[1]Methods write-up'!$R$21,'[1]observations-276632'!X484&gt;'[1]Methods write-up'!$S$21,'[1]observations-276632'!X484&lt;'[1]Methods write-up'!$T$21),"Desert and high aridity","")</f>
        <v/>
      </c>
      <c r="BD484" s="23" t="str">
        <f t="shared" si="33"/>
        <v>East Africa</v>
      </c>
      <c r="BE484" s="24">
        <f t="shared" si="31"/>
        <v>2</v>
      </c>
      <c r="BF484" s="24">
        <f t="shared" si="32"/>
        <v>5</v>
      </c>
    </row>
    <row r="485" spans="1:58" ht="16.25" customHeight="1" x14ac:dyDescent="0.2">
      <c r="A485">
        <v>46834013</v>
      </c>
      <c r="B485" t="s">
        <v>3596</v>
      </c>
      <c r="C485" s="14">
        <v>43190</v>
      </c>
      <c r="D485" t="s">
        <v>3597</v>
      </c>
      <c r="E485" t="s">
        <v>201</v>
      </c>
      <c r="F485">
        <v>1148194</v>
      </c>
      <c r="G485" t="s">
        <v>3598</v>
      </c>
      <c r="I485" t="s">
        <v>3599</v>
      </c>
      <c r="J485" t="s">
        <v>3600</v>
      </c>
      <c r="K485" t="s">
        <v>62</v>
      </c>
      <c r="M485" t="s">
        <v>3601</v>
      </c>
      <c r="N485" t="s">
        <v>3602</v>
      </c>
      <c r="R485">
        <v>1</v>
      </c>
      <c r="S485">
        <v>0</v>
      </c>
      <c r="T485" t="b">
        <v>0</v>
      </c>
      <c r="V485" t="s">
        <v>3603</v>
      </c>
      <c r="W485" s="15">
        <v>-8.7595644129999997</v>
      </c>
      <c r="X485" s="15">
        <v>31.11497013</v>
      </c>
      <c r="Y485">
        <v>76</v>
      </c>
      <c r="AC485">
        <v>76</v>
      </c>
      <c r="AF485" t="b">
        <v>0</v>
      </c>
      <c r="AI485" t="s">
        <v>71</v>
      </c>
      <c r="AJ485" t="s">
        <v>70</v>
      </c>
      <c r="AK485" t="s">
        <v>71</v>
      </c>
      <c r="AL485" t="s">
        <v>72</v>
      </c>
      <c r="AM485">
        <v>346053</v>
      </c>
      <c r="AO485" s="16" t="s">
        <v>110</v>
      </c>
      <c r="AP485" s="17" t="str">
        <f t="shared" si="30"/>
        <v>Nest (foundress)</v>
      </c>
      <c r="AQ485" s="18">
        <v>1</v>
      </c>
      <c r="AT485" s="19" t="s">
        <v>104</v>
      </c>
      <c r="AX485" s="22" t="str">
        <f>IF(AND('[1]observations-276632'!W485&gt;'[1]Methods write-up'!$Q$16,'[1]observations-276632'!W485&lt;'[1]Methods write-up'!$R$16,'[1]observations-276632'!X485&gt;'[1]Methods write-up'!$S$16,'[1]observations-276632'!X485&lt;'[1]Methods write-up'!$T$16),"West and Central Africa","")</f>
        <v/>
      </c>
      <c r="AY485" s="22" t="str">
        <f>IF(AND('[1]observations-276632'!W485&gt;'[1]Methods write-up'!$Q$17,'[1]observations-276632'!W485&lt;'[1]Methods write-up'!$R$17,'[1]observations-276632'!X485&gt;'[1]Methods write-up'!$S$17,'[1]observations-276632'!X485&lt;'[1]Methods write-up'!$T$17),"Equatorial tropical forest","")</f>
        <v/>
      </c>
      <c r="AZ485" s="22" t="str">
        <f>IF(AND('[1]observations-276632'!W485&gt;'[1]Methods write-up'!$Q$18,'[1]observations-276632'!W485&lt;'[1]Methods write-up'!$R$18,'[1]observations-276632'!X485&gt;'[1]Methods write-up'!$S$18,'[1]observations-276632'!X485&lt;'[1]Methods write-up'!$T$18),"Somali peninsula","")</f>
        <v/>
      </c>
      <c r="BA485" s="22" t="str">
        <f>IF(AND('[1]observations-276632'!W485&gt;'[1]Methods write-up'!$Q$19,'[1]observations-276632'!W485&lt;'[1]Methods write-up'!$R$19,'[1]observations-276632'!X485&gt;'[1]Methods write-up'!$S$19,'[1]observations-276632'!X485&lt;'[1]Methods write-up'!$T$19),"East Africa","")</f>
        <v/>
      </c>
      <c r="BB485" s="22" t="str">
        <f>IF(AND('[1]observations-276632'!W485&gt;'[1]Methods write-up'!$Q$20,'[1]observations-276632'!W485&lt;'[1]Methods write-up'!$R$20,'[1]observations-276632'!X485&gt;'[1]Methods write-up'!$S$20,'[1]observations-276632'!X485&lt;'[1]Methods write-up'!$T$20),"Temperate seasonal","")</f>
        <v/>
      </c>
      <c r="BC485" s="22" t="str">
        <f>IF(AND('[1]observations-276632'!W485&gt;'[1]Methods write-up'!$Q$21,'[1]observations-276632'!W485&lt;'[1]Methods write-up'!$R$21,'[1]observations-276632'!X485&gt;'[1]Methods write-up'!$S$21,'[1]observations-276632'!X485&lt;'[1]Methods write-up'!$T$21),"Desert and high aridity","")</f>
        <v/>
      </c>
      <c r="BD485" s="23" t="str">
        <f t="shared" si="33"/>
        <v/>
      </c>
      <c r="BE485" s="24">
        <f t="shared" si="31"/>
        <v>31</v>
      </c>
      <c r="BF485" s="24">
        <f t="shared" si="32"/>
        <v>3</v>
      </c>
    </row>
    <row r="486" spans="1:58" ht="16.25" customHeight="1" x14ac:dyDescent="0.2">
      <c r="A486">
        <v>46943098</v>
      </c>
      <c r="B486" t="s">
        <v>3604</v>
      </c>
      <c r="C486" s="14">
        <v>43967</v>
      </c>
      <c r="D486" t="s">
        <v>3605</v>
      </c>
      <c r="E486" t="s">
        <v>113</v>
      </c>
      <c r="F486">
        <v>121603</v>
      </c>
      <c r="G486" t="s">
        <v>1286</v>
      </c>
      <c r="I486" t="s">
        <v>3606</v>
      </c>
      <c r="J486" t="s">
        <v>3607</v>
      </c>
      <c r="K486" t="s">
        <v>62</v>
      </c>
      <c r="L486" t="s">
        <v>63</v>
      </c>
      <c r="M486" t="s">
        <v>3608</v>
      </c>
      <c r="N486" t="s">
        <v>3609</v>
      </c>
      <c r="R486">
        <v>2</v>
      </c>
      <c r="S486">
        <v>0</v>
      </c>
      <c r="T486" t="b">
        <v>0</v>
      </c>
      <c r="V486" t="s">
        <v>3610</v>
      </c>
      <c r="W486" s="15">
        <v>-12.799614350000001</v>
      </c>
      <c r="X486" s="15">
        <v>34.186599940000001</v>
      </c>
      <c r="Y486">
        <v>140</v>
      </c>
      <c r="AC486">
        <v>140</v>
      </c>
      <c r="AF486" t="b">
        <v>0</v>
      </c>
      <c r="AI486" t="s">
        <v>71</v>
      </c>
      <c r="AJ486" t="s">
        <v>70</v>
      </c>
      <c r="AK486" t="s">
        <v>71</v>
      </c>
      <c r="AL486" t="s">
        <v>72</v>
      </c>
      <c r="AM486">
        <v>346053</v>
      </c>
      <c r="AO486" s="16" t="s">
        <v>73</v>
      </c>
      <c r="AP486" s="17" t="str">
        <f t="shared" si="30"/>
        <v>Off-nest female</v>
      </c>
      <c r="AX486" s="22" t="str">
        <f>IF(AND('[1]observations-276632'!W486&gt;'[1]Methods write-up'!$Q$16,'[1]observations-276632'!W486&lt;'[1]Methods write-up'!$R$16,'[1]observations-276632'!X486&gt;'[1]Methods write-up'!$S$16,'[1]observations-276632'!X486&lt;'[1]Methods write-up'!$T$16),"West and Central Africa","")</f>
        <v/>
      </c>
      <c r="AY486" s="22" t="str">
        <f>IF(AND('[1]observations-276632'!W486&gt;'[1]Methods write-up'!$Q$17,'[1]observations-276632'!W486&lt;'[1]Methods write-up'!$R$17,'[1]observations-276632'!X486&gt;'[1]Methods write-up'!$S$17,'[1]observations-276632'!X486&lt;'[1]Methods write-up'!$T$17),"Equatorial tropical forest","")</f>
        <v/>
      </c>
      <c r="AZ486" s="22" t="str">
        <f>IF(AND('[1]observations-276632'!W486&gt;'[1]Methods write-up'!$Q$18,'[1]observations-276632'!W486&lt;'[1]Methods write-up'!$R$18,'[1]observations-276632'!X486&gt;'[1]Methods write-up'!$S$18,'[1]observations-276632'!X486&lt;'[1]Methods write-up'!$T$18),"Somali peninsula","")</f>
        <v/>
      </c>
      <c r="BA486" s="22" t="str">
        <f>IF(AND('[1]observations-276632'!W486&gt;'[1]Methods write-up'!$Q$19,'[1]observations-276632'!W486&lt;'[1]Methods write-up'!$R$19,'[1]observations-276632'!X486&gt;'[1]Methods write-up'!$S$19,'[1]observations-276632'!X486&lt;'[1]Methods write-up'!$T$19),"East Africa","")</f>
        <v/>
      </c>
      <c r="BB486" s="22" t="str">
        <f>IF(AND('[1]observations-276632'!W486&gt;'[1]Methods write-up'!$Q$20,'[1]observations-276632'!W486&lt;'[1]Methods write-up'!$R$20,'[1]observations-276632'!X486&gt;'[1]Methods write-up'!$S$20,'[1]observations-276632'!X486&lt;'[1]Methods write-up'!$T$20),"Temperate seasonal","")</f>
        <v/>
      </c>
      <c r="BC486" s="22" t="str">
        <f>IF(AND('[1]observations-276632'!W486&gt;'[1]Methods write-up'!$Q$21,'[1]observations-276632'!W486&lt;'[1]Methods write-up'!$R$21,'[1]observations-276632'!X486&gt;'[1]Methods write-up'!$S$21,'[1]observations-276632'!X486&lt;'[1]Methods write-up'!$T$21),"Desert and high aridity","")</f>
        <v/>
      </c>
      <c r="BD486" s="23" t="str">
        <f t="shared" si="33"/>
        <v/>
      </c>
      <c r="BE486" s="24">
        <f t="shared" si="31"/>
        <v>16</v>
      </c>
      <c r="BF486" s="24">
        <f t="shared" si="32"/>
        <v>5</v>
      </c>
    </row>
    <row r="487" spans="1:58" ht="16.25" customHeight="1" x14ac:dyDescent="0.2">
      <c r="A487">
        <v>47284698</v>
      </c>
      <c r="B487" t="s">
        <v>3611</v>
      </c>
      <c r="C487" s="14">
        <v>43976</v>
      </c>
      <c r="D487" t="s">
        <v>3612</v>
      </c>
      <c r="E487" t="s">
        <v>113</v>
      </c>
      <c r="F487">
        <v>1590036</v>
      </c>
      <c r="G487" t="s">
        <v>2228</v>
      </c>
      <c r="I487" t="s">
        <v>3613</v>
      </c>
      <c r="J487" t="s">
        <v>3614</v>
      </c>
      <c r="K487" t="s">
        <v>62</v>
      </c>
      <c r="L487" t="s">
        <v>63</v>
      </c>
      <c r="M487" t="s">
        <v>3615</v>
      </c>
      <c r="N487" t="s">
        <v>3616</v>
      </c>
      <c r="R487">
        <v>2</v>
      </c>
      <c r="S487">
        <v>0</v>
      </c>
      <c r="T487" t="b">
        <v>0</v>
      </c>
      <c r="V487" t="s">
        <v>2233</v>
      </c>
      <c r="W487" s="15">
        <v>-15.78316517</v>
      </c>
      <c r="X487" s="15">
        <v>34.996262250000001</v>
      </c>
      <c r="Y487">
        <v>93</v>
      </c>
      <c r="AC487">
        <v>93</v>
      </c>
      <c r="AF487" t="b">
        <v>0</v>
      </c>
      <c r="AI487" t="s">
        <v>71</v>
      </c>
      <c r="AJ487" t="s">
        <v>70</v>
      </c>
      <c r="AK487" t="s">
        <v>71</v>
      </c>
      <c r="AL487" t="s">
        <v>72</v>
      </c>
      <c r="AM487">
        <v>346053</v>
      </c>
      <c r="AO487" s="16" t="s">
        <v>73</v>
      </c>
      <c r="AP487" s="17" t="str">
        <f t="shared" ref="AP487:AP522" si="34">IF(COUNTIF(AO487,"*foundress*"),"Nest (foundress)",AO487)</f>
        <v>Off-nest female</v>
      </c>
      <c r="AX487" s="22" t="str">
        <f>IF(AND('[1]observations-276632'!W487&gt;'[1]Methods write-up'!$Q$16,'[1]observations-276632'!W487&lt;'[1]Methods write-up'!$R$16,'[1]observations-276632'!X487&gt;'[1]Methods write-up'!$S$16,'[1]observations-276632'!X487&lt;'[1]Methods write-up'!$T$16),"West and Central Africa","")</f>
        <v/>
      </c>
      <c r="AY487" s="22" t="str">
        <f>IF(AND('[1]observations-276632'!W487&gt;'[1]Methods write-up'!$Q$17,'[1]observations-276632'!W487&lt;'[1]Methods write-up'!$R$17,'[1]observations-276632'!X487&gt;'[1]Methods write-up'!$S$17,'[1]observations-276632'!X487&lt;'[1]Methods write-up'!$T$17),"Equatorial tropical forest","")</f>
        <v/>
      </c>
      <c r="AZ487" s="22" t="str">
        <f>IF(AND('[1]observations-276632'!W487&gt;'[1]Methods write-up'!$Q$18,'[1]observations-276632'!W487&lt;'[1]Methods write-up'!$R$18,'[1]observations-276632'!X487&gt;'[1]Methods write-up'!$S$18,'[1]observations-276632'!X487&lt;'[1]Methods write-up'!$T$18),"Somali peninsula","")</f>
        <v/>
      </c>
      <c r="BA487" s="22" t="str">
        <f>IF(AND('[1]observations-276632'!W487&gt;'[1]Methods write-up'!$Q$19,'[1]observations-276632'!W487&lt;'[1]Methods write-up'!$R$19,'[1]observations-276632'!X487&gt;'[1]Methods write-up'!$S$19,'[1]observations-276632'!X487&lt;'[1]Methods write-up'!$T$19),"East Africa","")</f>
        <v/>
      </c>
      <c r="BB487" s="22" t="str">
        <f>IF(AND('[1]observations-276632'!W487&gt;'[1]Methods write-up'!$Q$20,'[1]observations-276632'!W487&lt;'[1]Methods write-up'!$R$20,'[1]observations-276632'!X487&gt;'[1]Methods write-up'!$S$20,'[1]observations-276632'!X487&lt;'[1]Methods write-up'!$T$20),"Temperate seasonal","")</f>
        <v/>
      </c>
      <c r="BC487" s="22" t="str">
        <f>IF(AND('[1]observations-276632'!W487&gt;'[1]Methods write-up'!$Q$21,'[1]observations-276632'!W487&lt;'[1]Methods write-up'!$R$21,'[1]observations-276632'!X487&gt;'[1]Methods write-up'!$S$21,'[1]observations-276632'!X487&lt;'[1]Methods write-up'!$T$21),"Desert and high aridity","")</f>
        <v/>
      </c>
      <c r="BD487" s="23" t="str">
        <f t="shared" si="33"/>
        <v/>
      </c>
      <c r="BE487" s="24">
        <f t="shared" si="31"/>
        <v>25</v>
      </c>
      <c r="BF487" s="24">
        <f t="shared" si="32"/>
        <v>5</v>
      </c>
    </row>
    <row r="488" spans="1:58" ht="16.25" customHeight="1" x14ac:dyDescent="0.2">
      <c r="A488">
        <v>47431069</v>
      </c>
      <c r="B488" t="s">
        <v>3617</v>
      </c>
      <c r="C488" s="14">
        <v>41390</v>
      </c>
      <c r="D488" t="s">
        <v>3618</v>
      </c>
      <c r="E488" t="s">
        <v>243</v>
      </c>
      <c r="F488">
        <v>1420311</v>
      </c>
      <c r="G488" t="s">
        <v>3619</v>
      </c>
      <c r="H488" t="s">
        <v>3620</v>
      </c>
      <c r="I488" t="s">
        <v>3621</v>
      </c>
      <c r="J488" t="s">
        <v>3622</v>
      </c>
      <c r="K488" t="s">
        <v>62</v>
      </c>
      <c r="L488" t="s">
        <v>63</v>
      </c>
      <c r="M488" t="s">
        <v>3623</v>
      </c>
      <c r="N488" t="s">
        <v>3624</v>
      </c>
      <c r="R488">
        <v>0</v>
      </c>
      <c r="S488">
        <v>0</v>
      </c>
      <c r="T488" t="b">
        <v>0</v>
      </c>
      <c r="V488" t="s">
        <v>3625</v>
      </c>
      <c r="W488" s="15">
        <v>-24.28593167</v>
      </c>
      <c r="X488" s="15">
        <v>28.09985167</v>
      </c>
      <c r="Y488">
        <v>20</v>
      </c>
      <c r="AC488">
        <v>20</v>
      </c>
      <c r="AF488" t="b">
        <v>0</v>
      </c>
      <c r="AI488" t="s">
        <v>102</v>
      </c>
      <c r="AJ488" t="s">
        <v>102</v>
      </c>
      <c r="AL488" t="s">
        <v>72</v>
      </c>
      <c r="AM488">
        <v>1070939</v>
      </c>
      <c r="AO488" s="16" t="s">
        <v>73</v>
      </c>
      <c r="AP488" s="17" t="str">
        <f t="shared" si="34"/>
        <v>Off-nest female</v>
      </c>
      <c r="AX488" s="22" t="str">
        <f>IF(AND('[1]observations-276632'!W488&gt;'[1]Methods write-up'!$Q$16,'[1]observations-276632'!W488&lt;'[1]Methods write-up'!$R$16,'[1]observations-276632'!X488&gt;'[1]Methods write-up'!$S$16,'[1]observations-276632'!X488&lt;'[1]Methods write-up'!$T$16),"West and Central Africa","")</f>
        <v/>
      </c>
      <c r="AY488" s="22" t="str">
        <f>IF(AND('[1]observations-276632'!W488&gt;'[1]Methods write-up'!$Q$17,'[1]observations-276632'!W488&lt;'[1]Methods write-up'!$R$17,'[1]observations-276632'!X488&gt;'[1]Methods write-up'!$S$17,'[1]observations-276632'!X488&lt;'[1]Methods write-up'!$T$17),"Equatorial tropical forest","")</f>
        <v/>
      </c>
      <c r="AZ488" s="22" t="str">
        <f>IF(AND('[1]observations-276632'!W488&gt;'[1]Methods write-up'!$Q$18,'[1]observations-276632'!W488&lt;'[1]Methods write-up'!$R$18,'[1]observations-276632'!X488&gt;'[1]Methods write-up'!$S$18,'[1]observations-276632'!X488&lt;'[1]Methods write-up'!$T$18),"Somali peninsula","")</f>
        <v/>
      </c>
      <c r="BA488" s="22" t="str">
        <f>IF(AND('[1]observations-276632'!W488&gt;'[1]Methods write-up'!$Q$19,'[1]observations-276632'!W488&lt;'[1]Methods write-up'!$R$19,'[1]observations-276632'!X488&gt;'[1]Methods write-up'!$S$19,'[1]observations-276632'!X488&lt;'[1]Methods write-up'!$T$19),"East Africa","")</f>
        <v/>
      </c>
      <c r="BB488" s="22" t="str">
        <f>IF(AND('[1]observations-276632'!W488&gt;'[1]Methods write-up'!$Q$20,'[1]observations-276632'!W488&lt;'[1]Methods write-up'!$R$20,'[1]observations-276632'!X488&gt;'[1]Methods write-up'!$S$20,'[1]observations-276632'!X488&lt;'[1]Methods write-up'!$T$20),"Temperate seasonal","")</f>
        <v/>
      </c>
      <c r="BC488" s="22" t="str">
        <f>IF(AND('[1]observations-276632'!W488&gt;'[1]Methods write-up'!$Q$21,'[1]observations-276632'!W488&lt;'[1]Methods write-up'!$R$21,'[1]observations-276632'!X488&gt;'[1]Methods write-up'!$S$21,'[1]observations-276632'!X488&lt;'[1]Methods write-up'!$T$21),"Desert and high aridity","")</f>
        <v/>
      </c>
      <c r="BD488" s="23" t="str">
        <f t="shared" si="33"/>
        <v/>
      </c>
      <c r="BE488" s="24">
        <f t="shared" si="31"/>
        <v>26</v>
      </c>
      <c r="BF488" s="24">
        <f t="shared" si="32"/>
        <v>4</v>
      </c>
    </row>
    <row r="489" spans="1:58" ht="16.25" customHeight="1" x14ac:dyDescent="0.2">
      <c r="A489">
        <v>47431290</v>
      </c>
      <c r="B489" t="s">
        <v>3626</v>
      </c>
      <c r="C489" s="14">
        <v>41391</v>
      </c>
      <c r="D489" t="s">
        <v>3627</v>
      </c>
      <c r="E489" t="s">
        <v>243</v>
      </c>
      <c r="F489">
        <v>1420311</v>
      </c>
      <c r="G489" t="s">
        <v>3619</v>
      </c>
      <c r="H489" t="s">
        <v>3620</v>
      </c>
      <c r="I489" t="s">
        <v>3628</v>
      </c>
      <c r="J489" t="s">
        <v>3629</v>
      </c>
      <c r="K489" t="s">
        <v>157</v>
      </c>
      <c r="L489" t="s">
        <v>63</v>
      </c>
      <c r="M489" t="s">
        <v>3630</v>
      </c>
      <c r="N489" t="s">
        <v>3631</v>
      </c>
      <c r="R489">
        <v>2</v>
      </c>
      <c r="S489">
        <v>0</v>
      </c>
      <c r="T489" t="b">
        <v>0</v>
      </c>
      <c r="V489" t="s">
        <v>3625</v>
      </c>
      <c r="W489" s="15">
        <v>-24.28546</v>
      </c>
      <c r="X489" s="15">
        <v>28.096953330000002</v>
      </c>
      <c r="Y489">
        <v>20</v>
      </c>
      <c r="AC489">
        <v>20</v>
      </c>
      <c r="AF489" t="b">
        <v>0</v>
      </c>
      <c r="AI489" t="s">
        <v>102</v>
      </c>
      <c r="AJ489" t="s">
        <v>102</v>
      </c>
      <c r="AL489" t="s">
        <v>72</v>
      </c>
      <c r="AM489">
        <v>1070939</v>
      </c>
      <c r="AO489" s="16" t="s">
        <v>73</v>
      </c>
      <c r="AP489" s="17" t="str">
        <f t="shared" si="34"/>
        <v>Off-nest female</v>
      </c>
      <c r="AX489" s="22" t="str">
        <f>IF(AND('[1]observations-276632'!W489&gt;'[1]Methods write-up'!$Q$16,'[1]observations-276632'!W489&lt;'[1]Methods write-up'!$R$16,'[1]observations-276632'!X489&gt;'[1]Methods write-up'!$S$16,'[1]observations-276632'!X489&lt;'[1]Methods write-up'!$T$16),"West and Central Africa","")</f>
        <v/>
      </c>
      <c r="AY489" s="22" t="str">
        <f>IF(AND('[1]observations-276632'!W489&gt;'[1]Methods write-up'!$Q$17,'[1]observations-276632'!W489&lt;'[1]Methods write-up'!$R$17,'[1]observations-276632'!X489&gt;'[1]Methods write-up'!$S$17,'[1]observations-276632'!X489&lt;'[1]Methods write-up'!$T$17),"Equatorial tropical forest","")</f>
        <v/>
      </c>
      <c r="AZ489" s="22" t="str">
        <f>IF(AND('[1]observations-276632'!W489&gt;'[1]Methods write-up'!$Q$18,'[1]observations-276632'!W489&lt;'[1]Methods write-up'!$R$18,'[1]observations-276632'!X489&gt;'[1]Methods write-up'!$S$18,'[1]observations-276632'!X489&lt;'[1]Methods write-up'!$T$18),"Somali peninsula","")</f>
        <v/>
      </c>
      <c r="BA489" s="22" t="str">
        <f>IF(AND('[1]observations-276632'!W489&gt;'[1]Methods write-up'!$Q$19,'[1]observations-276632'!W489&lt;'[1]Methods write-up'!$R$19,'[1]observations-276632'!X489&gt;'[1]Methods write-up'!$S$19,'[1]observations-276632'!X489&lt;'[1]Methods write-up'!$T$19),"East Africa","")</f>
        <v/>
      </c>
      <c r="BB489" s="22" t="str">
        <f>IF(AND('[1]observations-276632'!W489&gt;'[1]Methods write-up'!$Q$20,'[1]observations-276632'!W489&lt;'[1]Methods write-up'!$R$20,'[1]observations-276632'!X489&gt;'[1]Methods write-up'!$S$20,'[1]observations-276632'!X489&lt;'[1]Methods write-up'!$T$20),"Temperate seasonal","")</f>
        <v/>
      </c>
      <c r="BC489" s="22" t="str">
        <f>IF(AND('[1]observations-276632'!W489&gt;'[1]Methods write-up'!$Q$21,'[1]observations-276632'!W489&lt;'[1]Methods write-up'!$R$21,'[1]observations-276632'!X489&gt;'[1]Methods write-up'!$S$21,'[1]observations-276632'!X489&lt;'[1]Methods write-up'!$T$21),"Desert and high aridity","")</f>
        <v/>
      </c>
      <c r="BD489" s="23" t="str">
        <f t="shared" si="33"/>
        <v/>
      </c>
      <c r="BE489" s="24">
        <f t="shared" si="31"/>
        <v>27</v>
      </c>
      <c r="BF489" s="24">
        <f t="shared" si="32"/>
        <v>4</v>
      </c>
    </row>
    <row r="490" spans="1:58" ht="16.25" customHeight="1" x14ac:dyDescent="0.2">
      <c r="A490">
        <v>47431365</v>
      </c>
      <c r="B490" t="s">
        <v>3632</v>
      </c>
      <c r="C490" s="14">
        <v>42387</v>
      </c>
      <c r="D490" t="s">
        <v>3633</v>
      </c>
      <c r="E490" t="s">
        <v>243</v>
      </c>
      <c r="F490">
        <v>1420311</v>
      </c>
      <c r="G490" t="s">
        <v>3619</v>
      </c>
      <c r="H490" t="s">
        <v>3620</v>
      </c>
      <c r="I490" t="s">
        <v>3634</v>
      </c>
      <c r="J490" t="s">
        <v>3635</v>
      </c>
      <c r="K490" t="s">
        <v>62</v>
      </c>
      <c r="L490" t="s">
        <v>63</v>
      </c>
      <c r="M490" t="s">
        <v>3636</v>
      </c>
      <c r="N490" t="s">
        <v>3637</v>
      </c>
      <c r="R490">
        <v>0</v>
      </c>
      <c r="S490">
        <v>0</v>
      </c>
      <c r="T490" t="b">
        <v>0</v>
      </c>
      <c r="V490" t="s">
        <v>3638</v>
      </c>
      <c r="W490" s="15">
        <v>9.0304983300000004</v>
      </c>
      <c r="X490" s="15">
        <v>38.75440167</v>
      </c>
      <c r="Y490">
        <v>20</v>
      </c>
      <c r="AC490">
        <v>20</v>
      </c>
      <c r="AF490" t="b">
        <v>0</v>
      </c>
      <c r="AI490" t="s">
        <v>102</v>
      </c>
      <c r="AJ490" t="s">
        <v>102</v>
      </c>
      <c r="AL490" t="s">
        <v>72</v>
      </c>
      <c r="AM490">
        <v>1070939</v>
      </c>
      <c r="AO490" s="16" t="s">
        <v>73</v>
      </c>
      <c r="AP490" s="17" t="str">
        <f t="shared" si="34"/>
        <v>Off-nest female</v>
      </c>
      <c r="AX490" s="22" t="str">
        <f>IF(AND('[1]observations-276632'!W490&gt;'[1]Methods write-up'!$Q$16,'[1]observations-276632'!W490&lt;'[1]Methods write-up'!$R$16,'[1]observations-276632'!X490&gt;'[1]Methods write-up'!$S$16,'[1]observations-276632'!X490&lt;'[1]Methods write-up'!$T$16),"West and Central Africa","")</f>
        <v/>
      </c>
      <c r="AY490" s="22" t="str">
        <f>IF(AND('[1]observations-276632'!W490&gt;'[1]Methods write-up'!$Q$17,'[1]observations-276632'!W490&lt;'[1]Methods write-up'!$R$17,'[1]observations-276632'!X490&gt;'[1]Methods write-up'!$S$17,'[1]observations-276632'!X490&lt;'[1]Methods write-up'!$T$17),"Equatorial tropical forest","")</f>
        <v/>
      </c>
      <c r="AZ490" s="22" t="str">
        <f>IF(AND('[1]observations-276632'!W490&gt;'[1]Methods write-up'!$Q$18,'[1]observations-276632'!W490&lt;'[1]Methods write-up'!$R$18,'[1]observations-276632'!X490&gt;'[1]Methods write-up'!$S$18,'[1]observations-276632'!X490&lt;'[1]Methods write-up'!$T$18),"Somali peninsula","")</f>
        <v>Somali peninsula</v>
      </c>
      <c r="BA490" s="22" t="str">
        <f>IF(AND('[1]observations-276632'!W490&gt;'[1]Methods write-up'!$Q$19,'[1]observations-276632'!W490&lt;'[1]Methods write-up'!$R$19,'[1]observations-276632'!X490&gt;'[1]Methods write-up'!$S$19,'[1]observations-276632'!X490&lt;'[1]Methods write-up'!$T$19),"East Africa","")</f>
        <v/>
      </c>
      <c r="BB490" s="22" t="str">
        <f>IF(AND('[1]observations-276632'!W490&gt;'[1]Methods write-up'!$Q$20,'[1]observations-276632'!W490&lt;'[1]Methods write-up'!$R$20,'[1]observations-276632'!X490&gt;'[1]Methods write-up'!$S$20,'[1]observations-276632'!X490&lt;'[1]Methods write-up'!$T$20),"Temperate seasonal","")</f>
        <v/>
      </c>
      <c r="BC490" s="22" t="str">
        <f>IF(AND('[1]observations-276632'!W490&gt;'[1]Methods write-up'!$Q$21,'[1]observations-276632'!W490&lt;'[1]Methods write-up'!$R$21,'[1]observations-276632'!X490&gt;'[1]Methods write-up'!$S$21,'[1]observations-276632'!X490&lt;'[1]Methods write-up'!$T$21),"Desert and high aridity","")</f>
        <v/>
      </c>
      <c r="BD490" s="23" t="str">
        <f t="shared" si="33"/>
        <v>Somali peninsula</v>
      </c>
      <c r="BE490" s="24">
        <f t="shared" si="31"/>
        <v>18</v>
      </c>
      <c r="BF490" s="24">
        <f t="shared" si="32"/>
        <v>1</v>
      </c>
    </row>
    <row r="491" spans="1:58" ht="16.25" customHeight="1" x14ac:dyDescent="0.2">
      <c r="A491">
        <v>47526568</v>
      </c>
      <c r="B491" t="s">
        <v>3639</v>
      </c>
      <c r="C491" s="14">
        <v>43968</v>
      </c>
      <c r="D491" t="s">
        <v>3640</v>
      </c>
      <c r="E491" t="s">
        <v>57</v>
      </c>
      <c r="F491">
        <v>703114</v>
      </c>
      <c r="G491" t="s">
        <v>2136</v>
      </c>
      <c r="H491" t="s">
        <v>2137</v>
      </c>
      <c r="I491" t="s">
        <v>3641</v>
      </c>
      <c r="J491" t="s">
        <v>3642</v>
      </c>
      <c r="K491" t="s">
        <v>62</v>
      </c>
      <c r="L491" t="s">
        <v>98</v>
      </c>
      <c r="M491" t="s">
        <v>3643</v>
      </c>
      <c r="N491" t="s">
        <v>3644</v>
      </c>
      <c r="R491">
        <v>3</v>
      </c>
      <c r="S491">
        <v>0</v>
      </c>
      <c r="T491" t="b">
        <v>0</v>
      </c>
      <c r="V491" t="s">
        <v>3321</v>
      </c>
      <c r="W491" s="15">
        <v>-29.55715528</v>
      </c>
      <c r="X491" s="15">
        <v>30.36202175</v>
      </c>
      <c r="Y491">
        <v>95</v>
      </c>
      <c r="AC491">
        <v>95</v>
      </c>
      <c r="AF491" t="b">
        <v>0</v>
      </c>
      <c r="AI491" t="s">
        <v>71</v>
      </c>
      <c r="AJ491" t="s">
        <v>70</v>
      </c>
      <c r="AK491" t="s">
        <v>71</v>
      </c>
      <c r="AL491" t="s">
        <v>72</v>
      </c>
      <c r="AM491">
        <v>346053</v>
      </c>
      <c r="AO491" s="16" t="s">
        <v>73</v>
      </c>
      <c r="AP491" s="17" t="str">
        <f t="shared" si="34"/>
        <v>Off-nest female</v>
      </c>
      <c r="AX491" s="22" t="str">
        <f>IF(AND('[1]observations-276632'!W491&gt;'[1]Methods write-up'!$Q$16,'[1]observations-276632'!W491&lt;'[1]Methods write-up'!$R$16,'[1]observations-276632'!X491&gt;'[1]Methods write-up'!$S$16,'[1]observations-276632'!X491&lt;'[1]Methods write-up'!$T$16),"West and Central Africa","")</f>
        <v/>
      </c>
      <c r="AY491" s="22" t="str">
        <f>IF(AND('[1]observations-276632'!W491&gt;'[1]Methods write-up'!$Q$17,'[1]observations-276632'!W491&lt;'[1]Methods write-up'!$R$17,'[1]observations-276632'!X491&gt;'[1]Methods write-up'!$S$17,'[1]observations-276632'!X491&lt;'[1]Methods write-up'!$T$17),"Equatorial tropical forest","")</f>
        <v/>
      </c>
      <c r="AZ491" s="22" t="str">
        <f>IF(AND('[1]observations-276632'!W491&gt;'[1]Methods write-up'!$Q$18,'[1]observations-276632'!W491&lt;'[1]Methods write-up'!$R$18,'[1]observations-276632'!X491&gt;'[1]Methods write-up'!$S$18,'[1]observations-276632'!X491&lt;'[1]Methods write-up'!$T$18),"Somali peninsula","")</f>
        <v/>
      </c>
      <c r="BA491" s="22" t="str">
        <f>IF(AND('[1]observations-276632'!W491&gt;'[1]Methods write-up'!$Q$19,'[1]observations-276632'!W491&lt;'[1]Methods write-up'!$R$19,'[1]observations-276632'!X491&gt;'[1]Methods write-up'!$S$19,'[1]observations-276632'!X491&lt;'[1]Methods write-up'!$T$19),"East Africa","")</f>
        <v/>
      </c>
      <c r="BB491" s="22" t="str">
        <f>IF(AND('[1]observations-276632'!W491&gt;'[1]Methods write-up'!$Q$20,'[1]observations-276632'!W491&lt;'[1]Methods write-up'!$R$20,'[1]observations-276632'!X491&gt;'[1]Methods write-up'!$S$20,'[1]observations-276632'!X491&lt;'[1]Methods write-up'!$T$20),"Temperate seasonal","")</f>
        <v>Temperate seasonal</v>
      </c>
      <c r="BC491" s="22" t="str">
        <f>IF(AND('[1]observations-276632'!W491&gt;'[1]Methods write-up'!$Q$21,'[1]observations-276632'!W491&lt;'[1]Methods write-up'!$R$21,'[1]observations-276632'!X491&gt;'[1]Methods write-up'!$S$21,'[1]observations-276632'!X491&lt;'[1]Methods write-up'!$T$21),"Desert and high aridity","")</f>
        <v/>
      </c>
      <c r="BD491" s="23" t="str">
        <f t="shared" si="33"/>
        <v>Temperate seasonal</v>
      </c>
      <c r="BE491" s="24">
        <f t="shared" si="31"/>
        <v>17</v>
      </c>
      <c r="BF491" s="24">
        <f t="shared" si="32"/>
        <v>5</v>
      </c>
    </row>
    <row r="492" spans="1:58" ht="16.25" customHeight="1" x14ac:dyDescent="0.2">
      <c r="A492">
        <v>47616183</v>
      </c>
      <c r="B492" t="s">
        <v>3645</v>
      </c>
      <c r="C492" s="14">
        <v>37211</v>
      </c>
      <c r="D492" t="s">
        <v>3646</v>
      </c>
      <c r="E492" t="s">
        <v>243</v>
      </c>
      <c r="F492">
        <v>1420311</v>
      </c>
      <c r="G492" t="s">
        <v>3619</v>
      </c>
      <c r="H492" t="s">
        <v>3620</v>
      </c>
      <c r="I492" t="s">
        <v>3647</v>
      </c>
      <c r="J492" t="s">
        <v>3648</v>
      </c>
      <c r="K492" t="s">
        <v>157</v>
      </c>
      <c r="L492" t="s">
        <v>63</v>
      </c>
      <c r="M492" t="s">
        <v>3649</v>
      </c>
      <c r="N492" t="s">
        <v>3650</v>
      </c>
      <c r="R492">
        <v>4</v>
      </c>
      <c r="S492">
        <v>0</v>
      </c>
      <c r="T492" t="b">
        <v>0</v>
      </c>
      <c r="V492" t="s">
        <v>3651</v>
      </c>
      <c r="W492" s="15">
        <v>-19.592711779999998</v>
      </c>
      <c r="X492" s="15">
        <v>17.93367701</v>
      </c>
      <c r="Y492">
        <v>500</v>
      </c>
      <c r="AC492">
        <v>500</v>
      </c>
      <c r="AF492" t="b">
        <v>0</v>
      </c>
      <c r="AI492" t="s">
        <v>756</v>
      </c>
      <c r="AJ492" t="s">
        <v>756</v>
      </c>
      <c r="AL492" t="s">
        <v>72</v>
      </c>
      <c r="AM492">
        <v>652800</v>
      </c>
      <c r="AO492" s="16" t="s">
        <v>73</v>
      </c>
      <c r="AP492" s="17" t="str">
        <f t="shared" si="34"/>
        <v>Off-nest female</v>
      </c>
      <c r="AX492" s="22" t="str">
        <f>IF(AND('[1]observations-276632'!W492&gt;'[1]Methods write-up'!$Q$16,'[1]observations-276632'!W492&lt;'[1]Methods write-up'!$R$16,'[1]observations-276632'!X492&gt;'[1]Methods write-up'!$S$16,'[1]observations-276632'!X492&lt;'[1]Methods write-up'!$T$16),"West and Central Africa","")</f>
        <v>West and Central Africa</v>
      </c>
      <c r="AY492" s="22" t="str">
        <f>IF(AND('[1]observations-276632'!W492&gt;'[1]Methods write-up'!$Q$17,'[1]observations-276632'!W492&lt;'[1]Methods write-up'!$R$17,'[1]observations-276632'!X492&gt;'[1]Methods write-up'!$S$17,'[1]observations-276632'!X492&lt;'[1]Methods write-up'!$T$17),"Equatorial tropical forest","")</f>
        <v/>
      </c>
      <c r="AZ492" s="22" t="str">
        <f>IF(AND('[1]observations-276632'!W492&gt;'[1]Methods write-up'!$Q$18,'[1]observations-276632'!W492&lt;'[1]Methods write-up'!$R$18,'[1]observations-276632'!X492&gt;'[1]Methods write-up'!$S$18,'[1]observations-276632'!X492&lt;'[1]Methods write-up'!$T$18),"Somali peninsula","")</f>
        <v/>
      </c>
      <c r="BA492" s="22" t="str">
        <f>IF(AND('[1]observations-276632'!W492&gt;'[1]Methods write-up'!$Q$19,'[1]observations-276632'!W492&lt;'[1]Methods write-up'!$R$19,'[1]observations-276632'!X492&gt;'[1]Methods write-up'!$S$19,'[1]observations-276632'!X492&lt;'[1]Methods write-up'!$T$19),"East Africa","")</f>
        <v/>
      </c>
      <c r="BB492" s="22" t="str">
        <f>IF(AND('[1]observations-276632'!W492&gt;'[1]Methods write-up'!$Q$20,'[1]observations-276632'!W492&lt;'[1]Methods write-up'!$R$20,'[1]observations-276632'!X492&gt;'[1]Methods write-up'!$S$20,'[1]observations-276632'!X492&lt;'[1]Methods write-up'!$T$20),"Temperate seasonal","")</f>
        <v/>
      </c>
      <c r="BC492" s="22" t="str">
        <f>IF(AND('[1]observations-276632'!W492&gt;'[1]Methods write-up'!$Q$21,'[1]observations-276632'!W492&lt;'[1]Methods write-up'!$R$21,'[1]observations-276632'!X492&gt;'[1]Methods write-up'!$S$21,'[1]observations-276632'!X492&lt;'[1]Methods write-up'!$T$21),"Desert and high aridity","")</f>
        <v>Desert and high aridity</v>
      </c>
      <c r="BD492" s="23" t="str">
        <f t="shared" si="33"/>
        <v>West and Central AfricaDesert and high aridity</v>
      </c>
      <c r="BE492" s="24">
        <f t="shared" si="31"/>
        <v>16</v>
      </c>
      <c r="BF492" s="24">
        <f t="shared" si="32"/>
        <v>11</v>
      </c>
    </row>
    <row r="493" spans="1:58" ht="16.25" customHeight="1" x14ac:dyDescent="0.2">
      <c r="A493">
        <v>47822840</v>
      </c>
      <c r="B493" s="13">
        <v>43980</v>
      </c>
      <c r="C493" s="14">
        <v>43980</v>
      </c>
      <c r="E493" t="s">
        <v>113</v>
      </c>
      <c r="F493">
        <v>1181156</v>
      </c>
      <c r="G493" t="s">
        <v>3652</v>
      </c>
      <c r="H493" t="s">
        <v>3653</v>
      </c>
      <c r="I493" t="s">
        <v>3654</v>
      </c>
      <c r="J493" t="s">
        <v>3655</v>
      </c>
      <c r="K493" t="s">
        <v>62</v>
      </c>
      <c r="L493" t="s">
        <v>63</v>
      </c>
      <c r="M493" t="s">
        <v>3656</v>
      </c>
      <c r="N493" t="s">
        <v>3657</v>
      </c>
      <c r="R493">
        <v>3</v>
      </c>
      <c r="S493">
        <v>0</v>
      </c>
      <c r="T493" t="b">
        <v>0</v>
      </c>
      <c r="U493">
        <v>2</v>
      </c>
      <c r="V493" t="s">
        <v>3658</v>
      </c>
      <c r="W493" s="15">
        <v>-24.527210159999999</v>
      </c>
      <c r="X493" s="15">
        <v>30.696192379999999</v>
      </c>
      <c r="Y493">
        <v>8415</v>
      </c>
      <c r="AC493">
        <v>8415</v>
      </c>
      <c r="AF493" t="b">
        <v>0</v>
      </c>
      <c r="AG493" t="s">
        <v>350</v>
      </c>
      <c r="AH493" t="s">
        <v>350</v>
      </c>
      <c r="AI493" t="s">
        <v>71</v>
      </c>
      <c r="AJ493" t="s">
        <v>70</v>
      </c>
      <c r="AK493" t="s">
        <v>71</v>
      </c>
      <c r="AL493" t="s">
        <v>72</v>
      </c>
      <c r="AM493">
        <v>346053</v>
      </c>
      <c r="AO493" s="16" t="s">
        <v>73</v>
      </c>
      <c r="AP493" s="17" t="str">
        <f t="shared" si="34"/>
        <v>Off-nest female</v>
      </c>
      <c r="AX493" s="22" t="str">
        <f>IF(AND('[1]observations-276632'!W493&gt;'[1]Methods write-up'!$Q$16,'[1]observations-276632'!W493&lt;'[1]Methods write-up'!$R$16,'[1]observations-276632'!X493&gt;'[1]Methods write-up'!$S$16,'[1]observations-276632'!X493&lt;'[1]Methods write-up'!$T$16),"West and Central Africa","")</f>
        <v/>
      </c>
      <c r="AY493" s="22" t="str">
        <f>IF(AND('[1]observations-276632'!W493&gt;'[1]Methods write-up'!$Q$17,'[1]observations-276632'!W493&lt;'[1]Methods write-up'!$R$17,'[1]observations-276632'!X493&gt;'[1]Methods write-up'!$S$17,'[1]observations-276632'!X493&lt;'[1]Methods write-up'!$T$17),"Equatorial tropical forest","")</f>
        <v/>
      </c>
      <c r="AZ493" s="22" t="str">
        <f>IF(AND('[1]observations-276632'!W493&gt;'[1]Methods write-up'!$Q$18,'[1]observations-276632'!W493&lt;'[1]Methods write-up'!$R$18,'[1]observations-276632'!X493&gt;'[1]Methods write-up'!$S$18,'[1]observations-276632'!X493&lt;'[1]Methods write-up'!$T$18),"Somali peninsula","")</f>
        <v/>
      </c>
      <c r="BA493" s="22" t="str">
        <f>IF(AND('[1]observations-276632'!W493&gt;'[1]Methods write-up'!$Q$19,'[1]observations-276632'!W493&lt;'[1]Methods write-up'!$R$19,'[1]observations-276632'!X493&gt;'[1]Methods write-up'!$S$19,'[1]observations-276632'!X493&lt;'[1]Methods write-up'!$T$19),"East Africa","")</f>
        <v/>
      </c>
      <c r="BB493" s="22" t="str">
        <f>IF(AND('[1]observations-276632'!W493&gt;'[1]Methods write-up'!$Q$20,'[1]observations-276632'!W493&lt;'[1]Methods write-up'!$R$20,'[1]observations-276632'!X493&gt;'[1]Methods write-up'!$S$20,'[1]observations-276632'!X493&lt;'[1]Methods write-up'!$T$20),"Temperate seasonal","")</f>
        <v/>
      </c>
      <c r="BC493" s="22" t="str">
        <f>IF(AND('[1]observations-276632'!W493&gt;'[1]Methods write-up'!$Q$21,'[1]observations-276632'!W493&lt;'[1]Methods write-up'!$R$21,'[1]observations-276632'!X493&gt;'[1]Methods write-up'!$S$21,'[1]observations-276632'!X493&lt;'[1]Methods write-up'!$T$21),"Desert and high aridity","")</f>
        <v/>
      </c>
      <c r="BD493" s="23" t="str">
        <f t="shared" si="33"/>
        <v/>
      </c>
      <c r="BE493" s="24">
        <f t="shared" si="31"/>
        <v>29</v>
      </c>
      <c r="BF493" s="24">
        <f t="shared" si="32"/>
        <v>5</v>
      </c>
    </row>
    <row r="494" spans="1:58" ht="16.25" customHeight="1" x14ac:dyDescent="0.2">
      <c r="A494">
        <v>47884530</v>
      </c>
      <c r="B494" t="s">
        <v>3659</v>
      </c>
      <c r="C494" s="14">
        <v>43974</v>
      </c>
      <c r="D494" t="s">
        <v>3660</v>
      </c>
      <c r="E494" t="s">
        <v>113</v>
      </c>
      <c r="F494">
        <v>3059498</v>
      </c>
      <c r="G494" t="s">
        <v>3661</v>
      </c>
      <c r="I494" t="s">
        <v>3662</v>
      </c>
      <c r="J494" t="s">
        <v>3663</v>
      </c>
      <c r="K494" t="s">
        <v>62</v>
      </c>
      <c r="L494" t="s">
        <v>63</v>
      </c>
      <c r="M494" t="s">
        <v>3664</v>
      </c>
      <c r="N494" t="s">
        <v>3665</v>
      </c>
      <c r="R494">
        <v>4</v>
      </c>
      <c r="S494">
        <v>0</v>
      </c>
      <c r="T494" t="b">
        <v>0</v>
      </c>
      <c r="V494" t="s">
        <v>3666</v>
      </c>
      <c r="W494" s="15">
        <v>-25.972281649999999</v>
      </c>
      <c r="X494" s="15">
        <v>28.041510339999999</v>
      </c>
      <c r="Y494">
        <v>4</v>
      </c>
      <c r="AC494">
        <v>4</v>
      </c>
      <c r="AF494" t="b">
        <v>0</v>
      </c>
      <c r="AI494" t="s">
        <v>71</v>
      </c>
      <c r="AJ494" t="s">
        <v>70</v>
      </c>
      <c r="AK494" t="s">
        <v>71</v>
      </c>
      <c r="AL494" t="s">
        <v>72</v>
      </c>
      <c r="AM494">
        <v>346053</v>
      </c>
      <c r="AO494" s="16" t="s">
        <v>73</v>
      </c>
      <c r="AP494" s="17" t="str">
        <f t="shared" si="34"/>
        <v>Off-nest female</v>
      </c>
      <c r="AX494" s="22" t="str">
        <f>IF(AND('[1]observations-276632'!W494&gt;'[1]Methods write-up'!$Q$16,'[1]observations-276632'!W494&lt;'[1]Methods write-up'!$R$16,'[1]observations-276632'!X494&gt;'[1]Methods write-up'!$S$16,'[1]observations-276632'!X494&lt;'[1]Methods write-up'!$T$16),"West and Central Africa","")</f>
        <v/>
      </c>
      <c r="AY494" s="22" t="str">
        <f>IF(AND('[1]observations-276632'!W494&gt;'[1]Methods write-up'!$Q$17,'[1]observations-276632'!W494&lt;'[1]Methods write-up'!$R$17,'[1]observations-276632'!X494&gt;'[1]Methods write-up'!$S$17,'[1]observations-276632'!X494&lt;'[1]Methods write-up'!$T$17),"Equatorial tropical forest","")</f>
        <v/>
      </c>
      <c r="AZ494" s="22" t="str">
        <f>IF(AND('[1]observations-276632'!W494&gt;'[1]Methods write-up'!$Q$18,'[1]observations-276632'!W494&lt;'[1]Methods write-up'!$R$18,'[1]observations-276632'!X494&gt;'[1]Methods write-up'!$S$18,'[1]observations-276632'!X494&lt;'[1]Methods write-up'!$T$18),"Somali peninsula","")</f>
        <v/>
      </c>
      <c r="BA494" s="22" t="str">
        <f>IF(AND('[1]observations-276632'!W494&gt;'[1]Methods write-up'!$Q$19,'[1]observations-276632'!W494&lt;'[1]Methods write-up'!$R$19,'[1]observations-276632'!X494&gt;'[1]Methods write-up'!$S$19,'[1]observations-276632'!X494&lt;'[1]Methods write-up'!$T$19),"East Africa","")</f>
        <v/>
      </c>
      <c r="BB494" s="22" t="str">
        <f>IF(AND('[1]observations-276632'!W494&gt;'[1]Methods write-up'!$Q$20,'[1]observations-276632'!W494&lt;'[1]Methods write-up'!$R$20,'[1]observations-276632'!X494&gt;'[1]Methods write-up'!$S$20,'[1]observations-276632'!X494&lt;'[1]Methods write-up'!$T$20),"Temperate seasonal","")</f>
        <v>Temperate seasonal</v>
      </c>
      <c r="BC494" s="22" t="str">
        <f>IF(AND('[1]observations-276632'!W494&gt;'[1]Methods write-up'!$Q$21,'[1]observations-276632'!W494&lt;'[1]Methods write-up'!$R$21,'[1]observations-276632'!X494&gt;'[1]Methods write-up'!$S$21,'[1]observations-276632'!X494&lt;'[1]Methods write-up'!$T$21),"Desert and high aridity","")</f>
        <v/>
      </c>
      <c r="BD494" s="23" t="str">
        <f t="shared" si="33"/>
        <v>Temperate seasonal</v>
      </c>
      <c r="BE494" s="24">
        <f t="shared" si="31"/>
        <v>23</v>
      </c>
      <c r="BF494" s="24">
        <f t="shared" si="32"/>
        <v>5</v>
      </c>
    </row>
    <row r="495" spans="1:58" ht="16.25" customHeight="1" x14ac:dyDescent="0.2">
      <c r="A495">
        <v>48317068</v>
      </c>
      <c r="B495" t="s">
        <v>3667</v>
      </c>
      <c r="C495" s="14">
        <v>43657</v>
      </c>
      <c r="D495" t="s">
        <v>3668</v>
      </c>
      <c r="E495" t="s">
        <v>113</v>
      </c>
      <c r="F495">
        <v>1575116</v>
      </c>
      <c r="G495" t="s">
        <v>3669</v>
      </c>
      <c r="H495" t="s">
        <v>3670</v>
      </c>
      <c r="I495" t="s">
        <v>3671</v>
      </c>
      <c r="J495" t="s">
        <v>3672</v>
      </c>
      <c r="K495" t="s">
        <v>62</v>
      </c>
      <c r="L495" t="s">
        <v>63</v>
      </c>
      <c r="M495" t="s">
        <v>3673</v>
      </c>
      <c r="N495" t="s">
        <v>3674</v>
      </c>
      <c r="R495">
        <v>2</v>
      </c>
      <c r="S495">
        <v>0</v>
      </c>
      <c r="T495" t="b">
        <v>0</v>
      </c>
      <c r="V495" t="s">
        <v>3675</v>
      </c>
      <c r="W495" s="15">
        <v>-0.41778865100000001</v>
      </c>
      <c r="X495" s="15">
        <v>35.310316540000002</v>
      </c>
      <c r="Y495">
        <v>977</v>
      </c>
      <c r="AC495">
        <v>977</v>
      </c>
      <c r="AF495" t="b">
        <v>0</v>
      </c>
      <c r="AI495" t="s">
        <v>71</v>
      </c>
      <c r="AJ495" t="s">
        <v>70</v>
      </c>
      <c r="AK495" t="s">
        <v>71</v>
      </c>
      <c r="AL495" t="s">
        <v>72</v>
      </c>
      <c r="AM495">
        <v>346053</v>
      </c>
      <c r="AO495" s="16" t="s">
        <v>73</v>
      </c>
      <c r="AP495" s="17" t="str">
        <f t="shared" si="34"/>
        <v>Off-nest female</v>
      </c>
      <c r="AX495" s="22" t="str">
        <f>IF(AND('[1]observations-276632'!W495&gt;'[1]Methods write-up'!$Q$16,'[1]observations-276632'!W495&lt;'[1]Methods write-up'!$R$16,'[1]observations-276632'!X495&gt;'[1]Methods write-up'!$S$16,'[1]observations-276632'!X495&lt;'[1]Methods write-up'!$T$16),"West and Central Africa","")</f>
        <v/>
      </c>
      <c r="AY495" s="22" t="str">
        <f>IF(AND('[1]observations-276632'!W495&gt;'[1]Methods write-up'!$Q$17,'[1]observations-276632'!W495&lt;'[1]Methods write-up'!$R$17,'[1]observations-276632'!X495&gt;'[1]Methods write-up'!$S$17,'[1]observations-276632'!X495&lt;'[1]Methods write-up'!$T$17),"Equatorial tropical forest","")</f>
        <v/>
      </c>
      <c r="AZ495" s="22" t="str">
        <f>IF(AND('[1]observations-276632'!W495&gt;'[1]Methods write-up'!$Q$18,'[1]observations-276632'!W495&lt;'[1]Methods write-up'!$R$18,'[1]observations-276632'!X495&gt;'[1]Methods write-up'!$S$18,'[1]observations-276632'!X495&lt;'[1]Methods write-up'!$T$18),"Somali peninsula","")</f>
        <v/>
      </c>
      <c r="BA495" s="22" t="str">
        <f>IF(AND('[1]observations-276632'!W495&gt;'[1]Methods write-up'!$Q$19,'[1]observations-276632'!W495&lt;'[1]Methods write-up'!$R$19,'[1]observations-276632'!X495&gt;'[1]Methods write-up'!$S$19,'[1]observations-276632'!X495&lt;'[1]Methods write-up'!$T$19),"East Africa","")</f>
        <v>East Africa</v>
      </c>
      <c r="BB495" s="22" t="str">
        <f>IF(AND('[1]observations-276632'!W495&gt;'[1]Methods write-up'!$Q$20,'[1]observations-276632'!W495&lt;'[1]Methods write-up'!$R$20,'[1]observations-276632'!X495&gt;'[1]Methods write-up'!$S$20,'[1]observations-276632'!X495&lt;'[1]Methods write-up'!$T$20),"Temperate seasonal","")</f>
        <v/>
      </c>
      <c r="BC495" s="22" t="str">
        <f>IF(AND('[1]observations-276632'!W495&gt;'[1]Methods write-up'!$Q$21,'[1]observations-276632'!W495&lt;'[1]Methods write-up'!$R$21,'[1]observations-276632'!X495&gt;'[1]Methods write-up'!$S$21,'[1]observations-276632'!X495&lt;'[1]Methods write-up'!$T$21),"Desert and high aridity","")</f>
        <v/>
      </c>
      <c r="BD495" s="23" t="str">
        <f t="shared" si="33"/>
        <v>East Africa</v>
      </c>
      <c r="BE495" s="24">
        <f t="shared" si="31"/>
        <v>11</v>
      </c>
      <c r="BF495" s="24">
        <f t="shared" si="32"/>
        <v>7</v>
      </c>
    </row>
    <row r="496" spans="1:58" ht="16.25" customHeight="1" x14ac:dyDescent="0.2">
      <c r="A496">
        <v>48329176</v>
      </c>
      <c r="B496" t="s">
        <v>3676</v>
      </c>
      <c r="C496" s="14">
        <v>43979</v>
      </c>
      <c r="D496" t="s">
        <v>3677</v>
      </c>
      <c r="E496" t="s">
        <v>57</v>
      </c>
      <c r="F496">
        <v>703114</v>
      </c>
      <c r="G496" t="s">
        <v>2136</v>
      </c>
      <c r="H496" t="s">
        <v>2137</v>
      </c>
      <c r="I496" t="s">
        <v>3678</v>
      </c>
      <c r="J496" t="s">
        <v>3679</v>
      </c>
      <c r="K496" t="s">
        <v>62</v>
      </c>
      <c r="L496" t="s">
        <v>98</v>
      </c>
      <c r="M496" t="s">
        <v>3680</v>
      </c>
      <c r="N496" t="s">
        <v>3681</v>
      </c>
      <c r="R496">
        <v>3</v>
      </c>
      <c r="S496">
        <v>0</v>
      </c>
      <c r="T496" t="b">
        <v>0</v>
      </c>
      <c r="V496" t="s">
        <v>3321</v>
      </c>
      <c r="W496" s="15">
        <v>-29.55715528</v>
      </c>
      <c r="X496" s="15">
        <v>30.36202175</v>
      </c>
      <c r="Y496">
        <v>95</v>
      </c>
      <c r="AC496">
        <v>95</v>
      </c>
      <c r="AF496" t="b">
        <v>0</v>
      </c>
      <c r="AI496" t="s">
        <v>71</v>
      </c>
      <c r="AJ496" t="s">
        <v>70</v>
      </c>
      <c r="AK496" t="s">
        <v>71</v>
      </c>
      <c r="AL496" t="s">
        <v>72</v>
      </c>
      <c r="AM496">
        <v>346053</v>
      </c>
      <c r="AO496" s="16" t="s">
        <v>73</v>
      </c>
      <c r="AP496" s="17" t="str">
        <f t="shared" si="34"/>
        <v>Off-nest female</v>
      </c>
      <c r="AX496" s="22" t="str">
        <f>IF(AND('[1]observations-276632'!W496&gt;'[1]Methods write-up'!$Q$16,'[1]observations-276632'!W496&lt;'[1]Methods write-up'!$R$16,'[1]observations-276632'!X496&gt;'[1]Methods write-up'!$S$16,'[1]observations-276632'!X496&lt;'[1]Methods write-up'!$T$16),"West and Central Africa","")</f>
        <v/>
      </c>
      <c r="AY496" s="22" t="str">
        <f>IF(AND('[1]observations-276632'!W496&gt;'[1]Methods write-up'!$Q$17,'[1]observations-276632'!W496&lt;'[1]Methods write-up'!$R$17,'[1]observations-276632'!X496&gt;'[1]Methods write-up'!$S$17,'[1]observations-276632'!X496&lt;'[1]Methods write-up'!$T$17),"Equatorial tropical forest","")</f>
        <v/>
      </c>
      <c r="AZ496" s="22" t="str">
        <f>IF(AND('[1]observations-276632'!W496&gt;'[1]Methods write-up'!$Q$18,'[1]observations-276632'!W496&lt;'[1]Methods write-up'!$R$18,'[1]observations-276632'!X496&gt;'[1]Methods write-up'!$S$18,'[1]observations-276632'!X496&lt;'[1]Methods write-up'!$T$18),"Somali peninsula","")</f>
        <v/>
      </c>
      <c r="BA496" s="22" t="str">
        <f>IF(AND('[1]observations-276632'!W496&gt;'[1]Methods write-up'!$Q$19,'[1]observations-276632'!W496&lt;'[1]Methods write-up'!$R$19,'[1]observations-276632'!X496&gt;'[1]Methods write-up'!$S$19,'[1]observations-276632'!X496&lt;'[1]Methods write-up'!$T$19),"East Africa","")</f>
        <v/>
      </c>
      <c r="BB496" s="22" t="str">
        <f>IF(AND('[1]observations-276632'!W496&gt;'[1]Methods write-up'!$Q$20,'[1]observations-276632'!W496&lt;'[1]Methods write-up'!$R$20,'[1]observations-276632'!X496&gt;'[1]Methods write-up'!$S$20,'[1]observations-276632'!X496&lt;'[1]Methods write-up'!$T$20),"Temperate seasonal","")</f>
        <v>Temperate seasonal</v>
      </c>
      <c r="BC496" s="22" t="str">
        <f>IF(AND('[1]observations-276632'!W496&gt;'[1]Methods write-up'!$Q$21,'[1]observations-276632'!W496&lt;'[1]Methods write-up'!$R$21,'[1]observations-276632'!X496&gt;'[1]Methods write-up'!$S$21,'[1]observations-276632'!X496&lt;'[1]Methods write-up'!$T$21),"Desert and high aridity","")</f>
        <v/>
      </c>
      <c r="BD496" s="23" t="str">
        <f t="shared" si="33"/>
        <v>Temperate seasonal</v>
      </c>
      <c r="BE496" s="24">
        <f t="shared" si="31"/>
        <v>28</v>
      </c>
      <c r="BF496" s="24">
        <f t="shared" si="32"/>
        <v>5</v>
      </c>
    </row>
    <row r="497" spans="1:58" ht="16.25" customHeight="1" x14ac:dyDescent="0.2">
      <c r="A497">
        <v>48450413</v>
      </c>
      <c r="B497" t="s">
        <v>3682</v>
      </c>
      <c r="C497" s="14">
        <v>43986</v>
      </c>
      <c r="D497" t="s">
        <v>3683</v>
      </c>
      <c r="E497" t="s">
        <v>113</v>
      </c>
      <c r="F497">
        <v>50393</v>
      </c>
      <c r="G497" t="s">
        <v>194</v>
      </c>
      <c r="I497" t="s">
        <v>3684</v>
      </c>
      <c r="J497" t="s">
        <v>3685</v>
      </c>
      <c r="K497" t="s">
        <v>62</v>
      </c>
      <c r="L497" t="s">
        <v>63</v>
      </c>
      <c r="M497" t="s">
        <v>3686</v>
      </c>
      <c r="N497" t="s">
        <v>3687</v>
      </c>
      <c r="R497">
        <v>2</v>
      </c>
      <c r="S497">
        <v>0</v>
      </c>
      <c r="T497" t="b">
        <v>0</v>
      </c>
      <c r="U497">
        <v>3</v>
      </c>
      <c r="V497" t="s">
        <v>2364</v>
      </c>
      <c r="W497" s="15">
        <v>3.7526799999999998</v>
      </c>
      <c r="X497" s="15">
        <v>29.52393</v>
      </c>
      <c r="Y497">
        <v>165</v>
      </c>
      <c r="AC497">
        <v>165</v>
      </c>
      <c r="AF497" t="b">
        <v>0</v>
      </c>
      <c r="AI497" t="s">
        <v>71</v>
      </c>
      <c r="AJ497" t="s">
        <v>70</v>
      </c>
      <c r="AK497" t="s">
        <v>71</v>
      </c>
      <c r="AL497" t="s">
        <v>72</v>
      </c>
      <c r="AM497">
        <v>346053</v>
      </c>
      <c r="AO497" s="16" t="s">
        <v>73</v>
      </c>
      <c r="AP497" s="17" t="str">
        <f t="shared" si="34"/>
        <v>Off-nest female</v>
      </c>
      <c r="AX497" s="22" t="str">
        <f>IF(AND('[1]observations-276632'!W497&gt;'[1]Methods write-up'!$Q$16,'[1]observations-276632'!W497&lt;'[1]Methods write-up'!$R$16,'[1]observations-276632'!X497&gt;'[1]Methods write-up'!$S$16,'[1]observations-276632'!X497&lt;'[1]Methods write-up'!$T$16),"West and Central Africa","")</f>
        <v>West and Central Africa</v>
      </c>
      <c r="AY497" s="22" t="str">
        <f>IF(AND('[1]observations-276632'!W497&gt;'[1]Methods write-up'!$Q$17,'[1]observations-276632'!W497&lt;'[1]Methods write-up'!$R$17,'[1]observations-276632'!X497&gt;'[1]Methods write-up'!$S$17,'[1]observations-276632'!X497&lt;'[1]Methods write-up'!$T$17),"Equatorial tropical forest","")</f>
        <v/>
      </c>
      <c r="AZ497" s="22" t="str">
        <f>IF(AND('[1]observations-276632'!W497&gt;'[1]Methods write-up'!$Q$18,'[1]observations-276632'!W497&lt;'[1]Methods write-up'!$R$18,'[1]observations-276632'!X497&gt;'[1]Methods write-up'!$S$18,'[1]observations-276632'!X497&lt;'[1]Methods write-up'!$T$18),"Somali peninsula","")</f>
        <v/>
      </c>
      <c r="BA497" s="22" t="str">
        <f>IF(AND('[1]observations-276632'!W497&gt;'[1]Methods write-up'!$Q$19,'[1]observations-276632'!W497&lt;'[1]Methods write-up'!$R$19,'[1]observations-276632'!X497&gt;'[1]Methods write-up'!$S$19,'[1]observations-276632'!X497&lt;'[1]Methods write-up'!$T$19),"East Africa","")</f>
        <v/>
      </c>
      <c r="BB497" s="22" t="str">
        <f>IF(AND('[1]observations-276632'!W497&gt;'[1]Methods write-up'!$Q$20,'[1]observations-276632'!W497&lt;'[1]Methods write-up'!$R$20,'[1]observations-276632'!X497&gt;'[1]Methods write-up'!$S$20,'[1]observations-276632'!X497&lt;'[1]Methods write-up'!$T$20),"Temperate seasonal","")</f>
        <v/>
      </c>
      <c r="BC497" s="22" t="str">
        <f>IF(AND('[1]observations-276632'!W497&gt;'[1]Methods write-up'!$Q$21,'[1]observations-276632'!W497&lt;'[1]Methods write-up'!$R$21,'[1]observations-276632'!X497&gt;'[1]Methods write-up'!$S$21,'[1]observations-276632'!X497&lt;'[1]Methods write-up'!$T$21),"Desert and high aridity","")</f>
        <v/>
      </c>
      <c r="BD497" s="23" t="str">
        <f t="shared" si="33"/>
        <v>West and Central Africa</v>
      </c>
      <c r="BE497" s="24">
        <f t="shared" si="31"/>
        <v>4</v>
      </c>
      <c r="BF497" s="24">
        <f t="shared" si="32"/>
        <v>6</v>
      </c>
    </row>
    <row r="498" spans="1:58" ht="16.25" customHeight="1" x14ac:dyDescent="0.2">
      <c r="A498">
        <v>48452888</v>
      </c>
      <c r="B498" t="s">
        <v>3688</v>
      </c>
      <c r="C498" s="14">
        <v>39916</v>
      </c>
      <c r="D498" t="s">
        <v>3689</v>
      </c>
      <c r="E498" t="s">
        <v>113</v>
      </c>
      <c r="F498">
        <v>2512887</v>
      </c>
      <c r="G498" t="s">
        <v>3690</v>
      </c>
      <c r="H498" t="s">
        <v>3691</v>
      </c>
      <c r="I498" t="s">
        <v>3692</v>
      </c>
      <c r="J498" t="s">
        <v>3693</v>
      </c>
      <c r="K498" t="s">
        <v>157</v>
      </c>
      <c r="L498" t="s">
        <v>98</v>
      </c>
      <c r="M498" t="s">
        <v>3694</v>
      </c>
      <c r="N498" t="s">
        <v>3695</v>
      </c>
      <c r="R498">
        <v>2</v>
      </c>
      <c r="S498">
        <v>0</v>
      </c>
      <c r="T498" t="b">
        <v>0</v>
      </c>
      <c r="V498" t="s">
        <v>1755</v>
      </c>
      <c r="W498" s="15">
        <v>-22.902113069999999</v>
      </c>
      <c r="X498" s="15">
        <v>17.418490139999999</v>
      </c>
      <c r="Y498">
        <v>15</v>
      </c>
      <c r="AC498">
        <v>15</v>
      </c>
      <c r="AF498" t="b">
        <v>0</v>
      </c>
      <c r="AI498" t="s">
        <v>756</v>
      </c>
      <c r="AJ498" t="s">
        <v>756</v>
      </c>
      <c r="AL498" t="s">
        <v>72</v>
      </c>
      <c r="AM498">
        <v>652800</v>
      </c>
      <c r="AO498" s="16" t="s">
        <v>140</v>
      </c>
      <c r="AP498" s="17" t="str">
        <f t="shared" si="34"/>
        <v>Post-emergence nest</v>
      </c>
      <c r="AQ498" s="18">
        <v>38</v>
      </c>
      <c r="AV498" s="21" t="s">
        <v>3696</v>
      </c>
      <c r="AX498" s="22" t="str">
        <f>IF(AND('[1]observations-276632'!W498&gt;'[1]Methods write-up'!$Q$16,'[1]observations-276632'!W498&lt;'[1]Methods write-up'!$R$16,'[1]observations-276632'!X498&gt;'[1]Methods write-up'!$S$16,'[1]observations-276632'!X498&lt;'[1]Methods write-up'!$T$16),"West and Central Africa","")</f>
        <v/>
      </c>
      <c r="AY498" s="22" t="str">
        <f>IF(AND('[1]observations-276632'!W498&gt;'[1]Methods write-up'!$Q$17,'[1]observations-276632'!W498&lt;'[1]Methods write-up'!$R$17,'[1]observations-276632'!X498&gt;'[1]Methods write-up'!$S$17,'[1]observations-276632'!X498&lt;'[1]Methods write-up'!$T$17),"Equatorial tropical forest","")</f>
        <v/>
      </c>
      <c r="AZ498" s="22" t="str">
        <f>IF(AND('[1]observations-276632'!W498&gt;'[1]Methods write-up'!$Q$18,'[1]observations-276632'!W498&lt;'[1]Methods write-up'!$R$18,'[1]observations-276632'!X498&gt;'[1]Methods write-up'!$S$18,'[1]observations-276632'!X498&lt;'[1]Methods write-up'!$T$18),"Somali peninsula","")</f>
        <v/>
      </c>
      <c r="BA498" s="22" t="str">
        <f>IF(AND('[1]observations-276632'!W498&gt;'[1]Methods write-up'!$Q$19,'[1]observations-276632'!W498&lt;'[1]Methods write-up'!$R$19,'[1]observations-276632'!X498&gt;'[1]Methods write-up'!$S$19,'[1]observations-276632'!X498&lt;'[1]Methods write-up'!$T$19),"East Africa","")</f>
        <v/>
      </c>
      <c r="BB498" s="22" t="str">
        <f>IF(AND('[1]observations-276632'!W498&gt;'[1]Methods write-up'!$Q$20,'[1]observations-276632'!W498&lt;'[1]Methods write-up'!$R$20,'[1]observations-276632'!X498&gt;'[1]Methods write-up'!$S$20,'[1]observations-276632'!X498&lt;'[1]Methods write-up'!$T$20),"Temperate seasonal","")</f>
        <v/>
      </c>
      <c r="BC498" s="22" t="str">
        <f>IF(AND('[1]observations-276632'!W498&gt;'[1]Methods write-up'!$Q$21,'[1]observations-276632'!W498&lt;'[1]Methods write-up'!$R$21,'[1]observations-276632'!X498&gt;'[1]Methods write-up'!$S$21,'[1]observations-276632'!X498&lt;'[1]Methods write-up'!$T$21),"Desert and high aridity","")</f>
        <v>Desert and high aridity</v>
      </c>
      <c r="BD498" s="23" t="str">
        <f t="shared" si="33"/>
        <v>Desert and high aridity</v>
      </c>
      <c r="BE498" s="24">
        <f t="shared" si="31"/>
        <v>13</v>
      </c>
      <c r="BF498" s="24">
        <f t="shared" si="32"/>
        <v>4</v>
      </c>
    </row>
    <row r="499" spans="1:58" ht="16.25" customHeight="1" x14ac:dyDescent="0.2">
      <c r="A499">
        <v>48453657</v>
      </c>
      <c r="B499" t="s">
        <v>3697</v>
      </c>
      <c r="C499" s="14">
        <v>39922</v>
      </c>
      <c r="D499" t="s">
        <v>3698</v>
      </c>
      <c r="E499" t="s">
        <v>113</v>
      </c>
      <c r="F499">
        <v>2512887</v>
      </c>
      <c r="G499" t="s">
        <v>3690</v>
      </c>
      <c r="H499" t="s">
        <v>3691</v>
      </c>
      <c r="I499" t="s">
        <v>3699</v>
      </c>
      <c r="J499" t="s">
        <v>3700</v>
      </c>
      <c r="K499" t="s">
        <v>157</v>
      </c>
      <c r="L499" t="s">
        <v>98</v>
      </c>
      <c r="M499" t="s">
        <v>3701</v>
      </c>
      <c r="N499" t="s">
        <v>3702</v>
      </c>
      <c r="R499">
        <v>2</v>
      </c>
      <c r="S499">
        <v>0</v>
      </c>
      <c r="T499" t="b">
        <v>0</v>
      </c>
      <c r="V499" t="s">
        <v>3703</v>
      </c>
      <c r="W499" s="15">
        <v>-26.028636930000001</v>
      </c>
      <c r="X499" s="15">
        <v>16.262804920000001</v>
      </c>
      <c r="Y499">
        <v>61</v>
      </c>
      <c r="AC499">
        <v>61</v>
      </c>
      <c r="AF499" t="b">
        <v>0</v>
      </c>
      <c r="AI499" t="s">
        <v>756</v>
      </c>
      <c r="AJ499" t="s">
        <v>756</v>
      </c>
      <c r="AL499" t="s">
        <v>72</v>
      </c>
      <c r="AM499">
        <v>652800</v>
      </c>
      <c r="AO499" s="16" t="s">
        <v>140</v>
      </c>
      <c r="AP499" s="17" t="str">
        <f t="shared" si="34"/>
        <v>Post-emergence nest</v>
      </c>
      <c r="AQ499" s="18">
        <v>118</v>
      </c>
      <c r="AT499" s="19" t="s">
        <v>141</v>
      </c>
      <c r="AU499" s="20" t="s">
        <v>315</v>
      </c>
      <c r="AV499" s="21" t="s">
        <v>3704</v>
      </c>
      <c r="AX499" s="22" t="str">
        <f>IF(AND('[1]observations-276632'!W499&gt;'[1]Methods write-up'!$Q$16,'[1]observations-276632'!W499&lt;'[1]Methods write-up'!$R$16,'[1]observations-276632'!X499&gt;'[1]Methods write-up'!$S$16,'[1]observations-276632'!X499&lt;'[1]Methods write-up'!$T$16),"West and Central Africa","")</f>
        <v/>
      </c>
      <c r="AY499" s="22" t="str">
        <f>IF(AND('[1]observations-276632'!W499&gt;'[1]Methods write-up'!$Q$17,'[1]observations-276632'!W499&lt;'[1]Methods write-up'!$R$17,'[1]observations-276632'!X499&gt;'[1]Methods write-up'!$S$17,'[1]observations-276632'!X499&lt;'[1]Methods write-up'!$T$17),"Equatorial tropical forest","")</f>
        <v/>
      </c>
      <c r="AZ499" s="22" t="str">
        <f>IF(AND('[1]observations-276632'!W499&gt;'[1]Methods write-up'!$Q$18,'[1]observations-276632'!W499&lt;'[1]Methods write-up'!$R$18,'[1]observations-276632'!X499&gt;'[1]Methods write-up'!$S$18,'[1]observations-276632'!X499&lt;'[1]Methods write-up'!$T$18),"Somali peninsula","")</f>
        <v/>
      </c>
      <c r="BA499" s="22" t="str">
        <f>IF(AND('[1]observations-276632'!W499&gt;'[1]Methods write-up'!$Q$19,'[1]observations-276632'!W499&lt;'[1]Methods write-up'!$R$19,'[1]observations-276632'!X499&gt;'[1]Methods write-up'!$S$19,'[1]observations-276632'!X499&lt;'[1]Methods write-up'!$T$19),"East Africa","")</f>
        <v/>
      </c>
      <c r="BB499" s="22" t="str">
        <f>IF(AND('[1]observations-276632'!W499&gt;'[1]Methods write-up'!$Q$20,'[1]observations-276632'!W499&lt;'[1]Methods write-up'!$R$20,'[1]observations-276632'!X499&gt;'[1]Methods write-up'!$S$20,'[1]observations-276632'!X499&lt;'[1]Methods write-up'!$T$20),"Temperate seasonal","")</f>
        <v/>
      </c>
      <c r="BC499" s="22" t="str">
        <f>IF(AND('[1]observations-276632'!W499&gt;'[1]Methods write-up'!$Q$21,'[1]observations-276632'!W499&lt;'[1]Methods write-up'!$R$21,'[1]observations-276632'!X499&gt;'[1]Methods write-up'!$S$21,'[1]observations-276632'!X499&lt;'[1]Methods write-up'!$T$21),"Desert and high aridity","")</f>
        <v>Desert and high aridity</v>
      </c>
      <c r="BD499" s="23" t="str">
        <f t="shared" si="33"/>
        <v>Desert and high aridity</v>
      </c>
      <c r="BE499" s="24">
        <f t="shared" si="31"/>
        <v>19</v>
      </c>
      <c r="BF499" s="24">
        <f t="shared" si="32"/>
        <v>4</v>
      </c>
    </row>
    <row r="500" spans="1:58" ht="16.25" customHeight="1" x14ac:dyDescent="0.2">
      <c r="A500">
        <v>48522933</v>
      </c>
      <c r="B500" t="s">
        <v>3705</v>
      </c>
      <c r="C500" s="14">
        <v>43985</v>
      </c>
      <c r="D500" t="s">
        <v>3706</v>
      </c>
      <c r="E500" t="s">
        <v>113</v>
      </c>
      <c r="F500">
        <v>567473</v>
      </c>
      <c r="G500" t="s">
        <v>454</v>
      </c>
      <c r="H500" t="s">
        <v>455</v>
      </c>
      <c r="I500" t="s">
        <v>3707</v>
      </c>
      <c r="J500" t="s">
        <v>3708</v>
      </c>
      <c r="K500" t="s">
        <v>62</v>
      </c>
      <c r="L500" t="s">
        <v>63</v>
      </c>
      <c r="M500" t="s">
        <v>3709</v>
      </c>
      <c r="N500" t="s">
        <v>3710</v>
      </c>
      <c r="R500">
        <v>3</v>
      </c>
      <c r="S500">
        <v>0</v>
      </c>
      <c r="T500" t="b">
        <v>0</v>
      </c>
      <c r="V500" t="s">
        <v>3711</v>
      </c>
      <c r="W500" s="15">
        <v>-4.6578999999999997</v>
      </c>
      <c r="X500" s="15">
        <v>39.369999999999997</v>
      </c>
      <c r="Y500">
        <v>800</v>
      </c>
      <c r="AC500">
        <v>800</v>
      </c>
      <c r="AF500" t="b">
        <v>0</v>
      </c>
      <c r="AI500" t="s">
        <v>71</v>
      </c>
      <c r="AJ500" t="s">
        <v>70</v>
      </c>
      <c r="AK500" t="s">
        <v>71</v>
      </c>
      <c r="AL500" t="s">
        <v>72</v>
      </c>
      <c r="AM500">
        <v>346053</v>
      </c>
      <c r="AO500" s="16" t="s">
        <v>73</v>
      </c>
      <c r="AP500" s="17" t="str">
        <f t="shared" si="34"/>
        <v>Off-nest female</v>
      </c>
      <c r="AV500" s="21" t="s">
        <v>3712</v>
      </c>
      <c r="AX500" s="22" t="str">
        <f>IF(AND('[1]observations-276632'!W500&gt;'[1]Methods write-up'!$Q$16,'[1]observations-276632'!W500&lt;'[1]Methods write-up'!$R$16,'[1]observations-276632'!X500&gt;'[1]Methods write-up'!$S$16,'[1]observations-276632'!X500&lt;'[1]Methods write-up'!$T$16),"West and Central Africa","")</f>
        <v/>
      </c>
      <c r="AY500" s="22" t="str">
        <f>IF(AND('[1]observations-276632'!W500&gt;'[1]Methods write-up'!$Q$17,'[1]observations-276632'!W500&lt;'[1]Methods write-up'!$R$17,'[1]observations-276632'!X500&gt;'[1]Methods write-up'!$S$17,'[1]observations-276632'!X500&lt;'[1]Methods write-up'!$T$17),"Equatorial tropical forest","")</f>
        <v/>
      </c>
      <c r="AZ500" s="22" t="str">
        <f>IF(AND('[1]observations-276632'!W500&gt;'[1]Methods write-up'!$Q$18,'[1]observations-276632'!W500&lt;'[1]Methods write-up'!$R$18,'[1]observations-276632'!X500&gt;'[1]Methods write-up'!$S$18,'[1]observations-276632'!X500&lt;'[1]Methods write-up'!$T$18),"Somali peninsula","")</f>
        <v/>
      </c>
      <c r="BA500" s="22" t="str">
        <f>IF(AND('[1]observations-276632'!W500&gt;'[1]Methods write-up'!$Q$19,'[1]observations-276632'!W500&lt;'[1]Methods write-up'!$R$19,'[1]observations-276632'!X500&gt;'[1]Methods write-up'!$S$19,'[1]observations-276632'!X500&lt;'[1]Methods write-up'!$T$19),"East Africa","")</f>
        <v>East Africa</v>
      </c>
      <c r="BB500" s="22" t="str">
        <f>IF(AND('[1]observations-276632'!W500&gt;'[1]Methods write-up'!$Q$20,'[1]observations-276632'!W500&lt;'[1]Methods write-up'!$R$20,'[1]observations-276632'!X500&gt;'[1]Methods write-up'!$S$20,'[1]observations-276632'!X500&lt;'[1]Methods write-up'!$T$20),"Temperate seasonal","")</f>
        <v/>
      </c>
      <c r="BC500" s="22" t="str">
        <f>IF(AND('[1]observations-276632'!W500&gt;'[1]Methods write-up'!$Q$21,'[1]observations-276632'!W500&lt;'[1]Methods write-up'!$R$21,'[1]observations-276632'!X500&gt;'[1]Methods write-up'!$S$21,'[1]observations-276632'!X500&lt;'[1]Methods write-up'!$T$21),"Desert and high aridity","")</f>
        <v/>
      </c>
      <c r="BD500" s="23" t="str">
        <f t="shared" si="33"/>
        <v>East Africa</v>
      </c>
      <c r="BE500" s="24">
        <f t="shared" si="31"/>
        <v>3</v>
      </c>
      <c r="BF500" s="24">
        <f t="shared" si="32"/>
        <v>6</v>
      </c>
    </row>
    <row r="501" spans="1:58" ht="16.25" customHeight="1" x14ac:dyDescent="0.2">
      <c r="A501">
        <v>48751440</v>
      </c>
      <c r="B501" t="s">
        <v>3713</v>
      </c>
      <c r="C501" s="14">
        <v>43975</v>
      </c>
      <c r="D501" t="s">
        <v>3714</v>
      </c>
      <c r="E501" t="s">
        <v>57</v>
      </c>
      <c r="F501">
        <v>678008</v>
      </c>
      <c r="G501" t="s">
        <v>2315</v>
      </c>
      <c r="I501" t="s">
        <v>3715</v>
      </c>
      <c r="J501" t="s">
        <v>3716</v>
      </c>
      <c r="K501" t="s">
        <v>62</v>
      </c>
      <c r="L501" t="s">
        <v>63</v>
      </c>
      <c r="M501" t="s">
        <v>3717</v>
      </c>
      <c r="N501" t="s">
        <v>3718</v>
      </c>
      <c r="R501">
        <v>1</v>
      </c>
      <c r="S501">
        <v>0</v>
      </c>
      <c r="T501" t="b">
        <v>0</v>
      </c>
      <c r="V501" t="s">
        <v>2320</v>
      </c>
      <c r="W501" s="15">
        <v>-15.369635130000001</v>
      </c>
      <c r="X501" s="15">
        <v>28.316088860000001</v>
      </c>
      <c r="Y501">
        <v>15</v>
      </c>
      <c r="AC501">
        <v>15</v>
      </c>
      <c r="AF501" t="b">
        <v>0</v>
      </c>
      <c r="AI501" t="s">
        <v>71</v>
      </c>
      <c r="AJ501" t="s">
        <v>70</v>
      </c>
      <c r="AK501" t="s">
        <v>71</v>
      </c>
      <c r="AL501" t="s">
        <v>72</v>
      </c>
      <c r="AM501">
        <v>346053</v>
      </c>
      <c r="AO501" s="16" t="s">
        <v>150</v>
      </c>
      <c r="AP501" s="17" t="str">
        <f t="shared" si="34"/>
        <v>Male (off nest)</v>
      </c>
      <c r="AX501" s="22" t="str">
        <f>IF(AND('[1]observations-276632'!W501&gt;'[1]Methods write-up'!$Q$16,'[1]observations-276632'!W501&lt;'[1]Methods write-up'!$R$16,'[1]observations-276632'!X501&gt;'[1]Methods write-up'!$S$16,'[1]observations-276632'!X501&lt;'[1]Methods write-up'!$T$16),"West and Central Africa","")</f>
        <v>West and Central Africa</v>
      </c>
      <c r="AY501" s="22" t="str">
        <f>IF(AND('[1]observations-276632'!W501&gt;'[1]Methods write-up'!$Q$17,'[1]observations-276632'!W501&lt;'[1]Methods write-up'!$R$17,'[1]observations-276632'!X501&gt;'[1]Methods write-up'!$S$17,'[1]observations-276632'!X501&lt;'[1]Methods write-up'!$T$17),"Equatorial tropical forest","")</f>
        <v/>
      </c>
      <c r="AZ501" s="22" t="str">
        <f>IF(AND('[1]observations-276632'!W501&gt;'[1]Methods write-up'!$Q$18,'[1]observations-276632'!W501&lt;'[1]Methods write-up'!$R$18,'[1]observations-276632'!X501&gt;'[1]Methods write-up'!$S$18,'[1]observations-276632'!X501&lt;'[1]Methods write-up'!$T$18),"Somali peninsula","")</f>
        <v/>
      </c>
      <c r="BA501" s="22" t="str">
        <f>IF(AND('[1]observations-276632'!W501&gt;'[1]Methods write-up'!$Q$19,'[1]observations-276632'!W501&lt;'[1]Methods write-up'!$R$19,'[1]observations-276632'!X501&gt;'[1]Methods write-up'!$S$19,'[1]observations-276632'!X501&lt;'[1]Methods write-up'!$T$19),"East Africa","")</f>
        <v/>
      </c>
      <c r="BB501" s="22" t="str">
        <f>IF(AND('[1]observations-276632'!W501&gt;'[1]Methods write-up'!$Q$20,'[1]observations-276632'!W501&lt;'[1]Methods write-up'!$R$20,'[1]observations-276632'!X501&gt;'[1]Methods write-up'!$S$20,'[1]observations-276632'!X501&lt;'[1]Methods write-up'!$T$20),"Temperate seasonal","")</f>
        <v/>
      </c>
      <c r="BC501" s="22" t="str">
        <f>IF(AND('[1]observations-276632'!W501&gt;'[1]Methods write-up'!$Q$21,'[1]observations-276632'!W501&lt;'[1]Methods write-up'!$R$21,'[1]observations-276632'!X501&gt;'[1]Methods write-up'!$S$21,'[1]observations-276632'!X501&lt;'[1]Methods write-up'!$T$21),"Desert and high aridity","")</f>
        <v/>
      </c>
      <c r="BD501" s="23" t="str">
        <f t="shared" si="33"/>
        <v>West and Central Africa</v>
      </c>
      <c r="BE501" s="24">
        <f t="shared" si="31"/>
        <v>24</v>
      </c>
      <c r="BF501" s="24">
        <f t="shared" si="32"/>
        <v>5</v>
      </c>
    </row>
    <row r="502" spans="1:58" ht="16.25" customHeight="1" x14ac:dyDescent="0.2">
      <c r="A502">
        <v>48992475</v>
      </c>
      <c r="B502" t="s">
        <v>3719</v>
      </c>
      <c r="C502" s="14">
        <v>43984</v>
      </c>
      <c r="D502" t="s">
        <v>3720</v>
      </c>
      <c r="E502" t="s">
        <v>57</v>
      </c>
      <c r="F502">
        <v>678008</v>
      </c>
      <c r="G502" t="s">
        <v>2315</v>
      </c>
      <c r="I502" t="s">
        <v>3721</v>
      </c>
      <c r="J502" t="s">
        <v>3722</v>
      </c>
      <c r="K502" t="s">
        <v>62</v>
      </c>
      <c r="L502" t="s">
        <v>63</v>
      </c>
      <c r="M502" t="s">
        <v>3723</v>
      </c>
      <c r="N502" t="s">
        <v>3724</v>
      </c>
      <c r="R502">
        <v>1</v>
      </c>
      <c r="S502">
        <v>0</v>
      </c>
      <c r="T502" t="b">
        <v>0</v>
      </c>
      <c r="V502" t="s">
        <v>2320</v>
      </c>
      <c r="W502" s="15">
        <v>-15.369635369999999</v>
      </c>
      <c r="X502" s="15">
        <v>28.316042110000001</v>
      </c>
      <c r="Y502">
        <v>8</v>
      </c>
      <c r="AC502">
        <v>8</v>
      </c>
      <c r="AF502" t="b">
        <v>0</v>
      </c>
      <c r="AI502" t="s">
        <v>71</v>
      </c>
      <c r="AJ502" t="s">
        <v>70</v>
      </c>
      <c r="AK502" t="s">
        <v>71</v>
      </c>
      <c r="AL502" t="s">
        <v>72</v>
      </c>
      <c r="AM502">
        <v>346053</v>
      </c>
      <c r="AO502" s="16" t="s">
        <v>73</v>
      </c>
      <c r="AP502" s="17" t="str">
        <f t="shared" si="34"/>
        <v>Off-nest female</v>
      </c>
      <c r="AX502" s="22" t="str">
        <f>IF(AND('[1]observations-276632'!W502&gt;'[1]Methods write-up'!$Q$16,'[1]observations-276632'!W502&lt;'[1]Methods write-up'!$R$16,'[1]observations-276632'!X502&gt;'[1]Methods write-up'!$S$16,'[1]observations-276632'!X502&lt;'[1]Methods write-up'!$T$16),"West and Central Africa","")</f>
        <v>West and Central Africa</v>
      </c>
      <c r="AY502" s="22" t="str">
        <f>IF(AND('[1]observations-276632'!W502&gt;'[1]Methods write-up'!$Q$17,'[1]observations-276632'!W502&lt;'[1]Methods write-up'!$R$17,'[1]observations-276632'!X502&gt;'[1]Methods write-up'!$S$17,'[1]observations-276632'!X502&lt;'[1]Methods write-up'!$T$17),"Equatorial tropical forest","")</f>
        <v/>
      </c>
      <c r="AZ502" s="22" t="str">
        <f>IF(AND('[1]observations-276632'!W502&gt;'[1]Methods write-up'!$Q$18,'[1]observations-276632'!W502&lt;'[1]Methods write-up'!$R$18,'[1]observations-276632'!X502&gt;'[1]Methods write-up'!$S$18,'[1]observations-276632'!X502&lt;'[1]Methods write-up'!$T$18),"Somali peninsula","")</f>
        <v/>
      </c>
      <c r="BA502" s="22" t="str">
        <f>IF(AND('[1]observations-276632'!W502&gt;'[1]Methods write-up'!$Q$19,'[1]observations-276632'!W502&lt;'[1]Methods write-up'!$R$19,'[1]observations-276632'!X502&gt;'[1]Methods write-up'!$S$19,'[1]observations-276632'!X502&lt;'[1]Methods write-up'!$T$19),"East Africa","")</f>
        <v/>
      </c>
      <c r="BB502" s="22" t="str">
        <f>IF(AND('[1]observations-276632'!W502&gt;'[1]Methods write-up'!$Q$20,'[1]observations-276632'!W502&lt;'[1]Methods write-up'!$R$20,'[1]observations-276632'!X502&gt;'[1]Methods write-up'!$S$20,'[1]observations-276632'!X502&lt;'[1]Methods write-up'!$T$20),"Temperate seasonal","")</f>
        <v/>
      </c>
      <c r="BC502" s="22" t="str">
        <f>IF(AND('[1]observations-276632'!W502&gt;'[1]Methods write-up'!$Q$21,'[1]observations-276632'!W502&lt;'[1]Methods write-up'!$R$21,'[1]observations-276632'!X502&gt;'[1]Methods write-up'!$S$21,'[1]observations-276632'!X502&lt;'[1]Methods write-up'!$T$21),"Desert and high aridity","")</f>
        <v/>
      </c>
      <c r="BD502" s="23" t="str">
        <f t="shared" si="33"/>
        <v>West and Central Africa</v>
      </c>
      <c r="BE502" s="24">
        <f t="shared" si="31"/>
        <v>2</v>
      </c>
      <c r="BF502" s="24">
        <f t="shared" si="32"/>
        <v>6</v>
      </c>
    </row>
    <row r="503" spans="1:58" ht="16.25" customHeight="1" x14ac:dyDescent="0.2">
      <c r="A503">
        <v>49283595</v>
      </c>
      <c r="B503" t="s">
        <v>3725</v>
      </c>
      <c r="C503" s="14">
        <v>38488</v>
      </c>
      <c r="E503" t="s">
        <v>1408</v>
      </c>
      <c r="F503">
        <v>550714</v>
      </c>
      <c r="G503" t="s">
        <v>3726</v>
      </c>
      <c r="I503" t="s">
        <v>3727</v>
      </c>
      <c r="J503" t="s">
        <v>3728</v>
      </c>
      <c r="K503" t="s">
        <v>62</v>
      </c>
      <c r="M503" t="s">
        <v>3729</v>
      </c>
      <c r="N503" t="s">
        <v>3730</v>
      </c>
      <c r="R503">
        <v>2</v>
      </c>
      <c r="S503">
        <v>0</v>
      </c>
      <c r="T503" t="b">
        <v>0</v>
      </c>
      <c r="V503" t="s">
        <v>3731</v>
      </c>
      <c r="W503" s="15">
        <v>5.274095</v>
      </c>
      <c r="X503" s="15">
        <v>-2.6450770000000001</v>
      </c>
      <c r="Y503">
        <v>2111</v>
      </c>
      <c r="AC503">
        <v>2111</v>
      </c>
      <c r="AF503" t="b">
        <v>0</v>
      </c>
      <c r="AI503" t="s">
        <v>71</v>
      </c>
      <c r="AJ503" t="s">
        <v>70</v>
      </c>
      <c r="AK503" t="s">
        <v>71</v>
      </c>
      <c r="AL503" t="s">
        <v>72</v>
      </c>
      <c r="AM503">
        <v>346053</v>
      </c>
      <c r="AO503" s="16" t="s">
        <v>140</v>
      </c>
      <c r="AP503" s="17" t="str">
        <f t="shared" si="34"/>
        <v>Post-emergence nest</v>
      </c>
      <c r="AQ503" s="18">
        <v>1</v>
      </c>
      <c r="AT503" s="19" t="s">
        <v>141</v>
      </c>
      <c r="AU503" s="20" t="s">
        <v>104</v>
      </c>
      <c r="AX503" s="22" t="str">
        <f>IF(AND('[1]observations-276632'!W503&gt;'[1]Methods write-up'!$Q$16,'[1]observations-276632'!W503&lt;'[1]Methods write-up'!$R$16,'[1]observations-276632'!X503&gt;'[1]Methods write-up'!$S$16,'[1]observations-276632'!X503&lt;'[1]Methods write-up'!$T$16),"West and Central Africa","")</f>
        <v>West and Central Africa</v>
      </c>
      <c r="AY503" s="22" t="str">
        <f>IF(AND('[1]observations-276632'!W503&gt;'[1]Methods write-up'!$Q$17,'[1]observations-276632'!W503&lt;'[1]Methods write-up'!$R$17,'[1]observations-276632'!X503&gt;'[1]Methods write-up'!$S$17,'[1]observations-276632'!X503&lt;'[1]Methods write-up'!$T$17),"Equatorial tropical forest","")</f>
        <v/>
      </c>
      <c r="AZ503" s="22" t="str">
        <f>IF(AND('[1]observations-276632'!W503&gt;'[1]Methods write-up'!$Q$18,'[1]observations-276632'!W503&lt;'[1]Methods write-up'!$R$18,'[1]observations-276632'!X503&gt;'[1]Methods write-up'!$S$18,'[1]observations-276632'!X503&lt;'[1]Methods write-up'!$T$18),"Somali peninsula","")</f>
        <v/>
      </c>
      <c r="BA503" s="22" t="str">
        <f>IF(AND('[1]observations-276632'!W503&gt;'[1]Methods write-up'!$Q$19,'[1]observations-276632'!W503&lt;'[1]Methods write-up'!$R$19,'[1]observations-276632'!X503&gt;'[1]Methods write-up'!$S$19,'[1]observations-276632'!X503&lt;'[1]Methods write-up'!$T$19),"East Africa","")</f>
        <v/>
      </c>
      <c r="BB503" s="22" t="str">
        <f>IF(AND('[1]observations-276632'!W503&gt;'[1]Methods write-up'!$Q$20,'[1]observations-276632'!W503&lt;'[1]Methods write-up'!$R$20,'[1]observations-276632'!X503&gt;'[1]Methods write-up'!$S$20,'[1]observations-276632'!X503&lt;'[1]Methods write-up'!$T$20),"Temperate seasonal","")</f>
        <v/>
      </c>
      <c r="BC503" s="22" t="str">
        <f>IF(AND('[1]observations-276632'!W503&gt;'[1]Methods write-up'!$Q$21,'[1]observations-276632'!W503&lt;'[1]Methods write-up'!$R$21,'[1]observations-276632'!X503&gt;'[1]Methods write-up'!$S$21,'[1]observations-276632'!X503&lt;'[1]Methods write-up'!$T$21),"Desert and high aridity","")</f>
        <v/>
      </c>
      <c r="BD503" s="23" t="str">
        <f t="shared" si="33"/>
        <v>West and Central Africa</v>
      </c>
      <c r="BE503" s="24">
        <f t="shared" si="31"/>
        <v>16</v>
      </c>
      <c r="BF503" s="24">
        <f t="shared" si="32"/>
        <v>5</v>
      </c>
    </row>
    <row r="504" spans="1:58" ht="16.25" customHeight="1" x14ac:dyDescent="0.2">
      <c r="A504">
        <v>49322063</v>
      </c>
      <c r="B504" t="s">
        <v>3732</v>
      </c>
      <c r="C504" s="14">
        <v>39968</v>
      </c>
      <c r="E504" t="s">
        <v>1408</v>
      </c>
      <c r="F504">
        <v>550714</v>
      </c>
      <c r="G504" t="s">
        <v>3726</v>
      </c>
      <c r="I504" t="s">
        <v>3733</v>
      </c>
      <c r="J504" t="s">
        <v>3734</v>
      </c>
      <c r="K504" t="s">
        <v>62</v>
      </c>
      <c r="M504" t="s">
        <v>3735</v>
      </c>
      <c r="N504" t="s">
        <v>3736</v>
      </c>
      <c r="R504">
        <v>1</v>
      </c>
      <c r="S504">
        <v>0</v>
      </c>
      <c r="T504" t="b">
        <v>0</v>
      </c>
      <c r="V504" t="s">
        <v>3737</v>
      </c>
      <c r="W504" s="15">
        <v>9.7398605000000007</v>
      </c>
      <c r="X504" s="15">
        <v>-2.7829605000000002</v>
      </c>
      <c r="Y504">
        <v>17203</v>
      </c>
      <c r="AC504">
        <v>17203</v>
      </c>
      <c r="AF504" t="b">
        <v>0</v>
      </c>
      <c r="AI504" t="s">
        <v>102</v>
      </c>
      <c r="AJ504" t="s">
        <v>102</v>
      </c>
      <c r="AL504" t="s">
        <v>72</v>
      </c>
      <c r="AM504">
        <v>1070939</v>
      </c>
      <c r="AO504" s="16" t="s">
        <v>73</v>
      </c>
      <c r="AP504" s="17" t="str">
        <f t="shared" si="34"/>
        <v>Off-nest female</v>
      </c>
      <c r="AX504" s="22" t="str">
        <f>IF(AND('[1]observations-276632'!W504&gt;'[1]Methods write-up'!$Q$16,'[1]observations-276632'!W504&lt;'[1]Methods write-up'!$R$16,'[1]observations-276632'!X504&gt;'[1]Methods write-up'!$S$16,'[1]observations-276632'!X504&lt;'[1]Methods write-up'!$T$16),"West and Central Africa","")</f>
        <v>West and Central Africa</v>
      </c>
      <c r="AY504" s="22" t="str">
        <f>IF(AND('[1]observations-276632'!W504&gt;'[1]Methods write-up'!$Q$17,'[1]observations-276632'!W504&lt;'[1]Methods write-up'!$R$17,'[1]observations-276632'!X504&gt;'[1]Methods write-up'!$S$17,'[1]observations-276632'!X504&lt;'[1]Methods write-up'!$T$17),"Equatorial tropical forest","")</f>
        <v/>
      </c>
      <c r="AZ504" s="22" t="str">
        <f>IF(AND('[1]observations-276632'!W504&gt;'[1]Methods write-up'!$Q$18,'[1]observations-276632'!W504&lt;'[1]Methods write-up'!$R$18,'[1]observations-276632'!X504&gt;'[1]Methods write-up'!$S$18,'[1]observations-276632'!X504&lt;'[1]Methods write-up'!$T$18),"Somali peninsula","")</f>
        <v/>
      </c>
      <c r="BA504" s="22" t="str">
        <f>IF(AND('[1]observations-276632'!W504&gt;'[1]Methods write-up'!$Q$19,'[1]observations-276632'!W504&lt;'[1]Methods write-up'!$R$19,'[1]observations-276632'!X504&gt;'[1]Methods write-up'!$S$19,'[1]observations-276632'!X504&lt;'[1]Methods write-up'!$T$19),"East Africa","")</f>
        <v/>
      </c>
      <c r="BB504" s="22" t="str">
        <f>IF(AND('[1]observations-276632'!W504&gt;'[1]Methods write-up'!$Q$20,'[1]observations-276632'!W504&lt;'[1]Methods write-up'!$R$20,'[1]observations-276632'!X504&gt;'[1]Methods write-up'!$S$20,'[1]observations-276632'!X504&lt;'[1]Methods write-up'!$T$20),"Temperate seasonal","")</f>
        <v/>
      </c>
      <c r="BC504" s="22" t="str">
        <f>IF(AND('[1]observations-276632'!W504&gt;'[1]Methods write-up'!$Q$21,'[1]observations-276632'!W504&lt;'[1]Methods write-up'!$R$21,'[1]observations-276632'!X504&gt;'[1]Methods write-up'!$S$21,'[1]observations-276632'!X504&lt;'[1]Methods write-up'!$T$21),"Desert and high aridity","")</f>
        <v/>
      </c>
      <c r="BD504" s="23" t="str">
        <f t="shared" si="33"/>
        <v>West and Central Africa</v>
      </c>
      <c r="BE504" s="24">
        <f t="shared" si="31"/>
        <v>4</v>
      </c>
      <c r="BF504" s="24">
        <f t="shared" si="32"/>
        <v>6</v>
      </c>
    </row>
    <row r="505" spans="1:58" ht="16.25" customHeight="1" x14ac:dyDescent="0.2">
      <c r="A505">
        <v>49328451</v>
      </c>
      <c r="B505" t="s">
        <v>3738</v>
      </c>
      <c r="C505" s="14">
        <v>40517</v>
      </c>
      <c r="E505" t="s">
        <v>1408</v>
      </c>
      <c r="F505">
        <v>550714</v>
      </c>
      <c r="G505" t="s">
        <v>3726</v>
      </c>
      <c r="I505" t="s">
        <v>3739</v>
      </c>
      <c r="J505" t="s">
        <v>3740</v>
      </c>
      <c r="K505" t="s">
        <v>62</v>
      </c>
      <c r="M505" t="s">
        <v>3741</v>
      </c>
      <c r="N505" t="s">
        <v>3742</v>
      </c>
      <c r="R505">
        <v>2</v>
      </c>
      <c r="S505">
        <v>0</v>
      </c>
      <c r="T505" t="b">
        <v>0</v>
      </c>
      <c r="V505" t="s">
        <v>3743</v>
      </c>
      <c r="W505" s="15">
        <v>7.959746</v>
      </c>
      <c r="X505" s="15">
        <v>-9.5408410000000003</v>
      </c>
      <c r="Y505">
        <v>31379</v>
      </c>
      <c r="AC505">
        <v>31379</v>
      </c>
      <c r="AF505" t="b">
        <v>0</v>
      </c>
      <c r="AI505" t="s">
        <v>71</v>
      </c>
      <c r="AJ505" t="s">
        <v>70</v>
      </c>
      <c r="AK505" t="s">
        <v>71</v>
      </c>
      <c r="AL505" t="s">
        <v>72</v>
      </c>
      <c r="AM505">
        <v>346053</v>
      </c>
      <c r="AO505" s="16" t="s">
        <v>1574</v>
      </c>
      <c r="AP505" s="17" t="str">
        <f t="shared" si="34"/>
        <v>Nest (foundress)</v>
      </c>
      <c r="AQ505" s="18">
        <v>1</v>
      </c>
      <c r="AT505" s="19" t="s">
        <v>141</v>
      </c>
      <c r="AV505" s="21" t="s">
        <v>3744</v>
      </c>
      <c r="AX505" s="22" t="str">
        <f>IF(AND('[1]observations-276632'!W505&gt;'[1]Methods write-up'!$Q$16,'[1]observations-276632'!W505&lt;'[1]Methods write-up'!$R$16,'[1]observations-276632'!X505&gt;'[1]Methods write-up'!$S$16,'[1]observations-276632'!X505&lt;'[1]Methods write-up'!$T$16),"West and Central Africa","")</f>
        <v>West and Central Africa</v>
      </c>
      <c r="AY505" s="22" t="str">
        <f>IF(AND('[1]observations-276632'!W505&gt;'[1]Methods write-up'!$Q$17,'[1]observations-276632'!W505&lt;'[1]Methods write-up'!$R$17,'[1]observations-276632'!X505&gt;'[1]Methods write-up'!$S$17,'[1]observations-276632'!X505&lt;'[1]Methods write-up'!$T$17),"Equatorial tropical forest","")</f>
        <v/>
      </c>
      <c r="AZ505" s="22" t="str">
        <f>IF(AND('[1]observations-276632'!W505&gt;'[1]Methods write-up'!$Q$18,'[1]observations-276632'!W505&lt;'[1]Methods write-up'!$R$18,'[1]observations-276632'!X505&gt;'[1]Methods write-up'!$S$18,'[1]observations-276632'!X505&lt;'[1]Methods write-up'!$T$18),"Somali peninsula","")</f>
        <v/>
      </c>
      <c r="BA505" s="22" t="str">
        <f>IF(AND('[1]observations-276632'!W505&gt;'[1]Methods write-up'!$Q$19,'[1]observations-276632'!W505&lt;'[1]Methods write-up'!$R$19,'[1]observations-276632'!X505&gt;'[1]Methods write-up'!$S$19,'[1]observations-276632'!X505&lt;'[1]Methods write-up'!$T$19),"East Africa","")</f>
        <v/>
      </c>
      <c r="BB505" s="22" t="str">
        <f>IF(AND('[1]observations-276632'!W505&gt;'[1]Methods write-up'!$Q$20,'[1]observations-276632'!W505&lt;'[1]Methods write-up'!$R$20,'[1]observations-276632'!X505&gt;'[1]Methods write-up'!$S$20,'[1]observations-276632'!X505&lt;'[1]Methods write-up'!$T$20),"Temperate seasonal","")</f>
        <v/>
      </c>
      <c r="BC505" s="22" t="str">
        <f>IF(AND('[1]observations-276632'!W505&gt;'[1]Methods write-up'!$Q$21,'[1]observations-276632'!W505&lt;'[1]Methods write-up'!$R$21,'[1]observations-276632'!X505&gt;'[1]Methods write-up'!$S$21,'[1]observations-276632'!X505&lt;'[1]Methods write-up'!$T$21),"Desert and high aridity","")</f>
        <v/>
      </c>
      <c r="BD505" s="23" t="str">
        <f t="shared" si="33"/>
        <v>West and Central Africa</v>
      </c>
      <c r="BE505" s="24">
        <f t="shared" si="31"/>
        <v>5</v>
      </c>
      <c r="BF505" s="24">
        <f t="shared" si="32"/>
        <v>12</v>
      </c>
    </row>
    <row r="506" spans="1:58" ht="16.25" customHeight="1" x14ac:dyDescent="0.2">
      <c r="A506">
        <v>49328905</v>
      </c>
      <c r="B506" t="s">
        <v>3745</v>
      </c>
      <c r="C506" s="14">
        <v>40518</v>
      </c>
      <c r="E506" t="s">
        <v>1408</v>
      </c>
      <c r="F506">
        <v>550714</v>
      </c>
      <c r="G506" t="s">
        <v>3726</v>
      </c>
      <c r="I506" t="s">
        <v>3746</v>
      </c>
      <c r="J506" t="s">
        <v>3747</v>
      </c>
      <c r="K506" t="s">
        <v>62</v>
      </c>
      <c r="M506" t="s">
        <v>3748</v>
      </c>
      <c r="N506" t="s">
        <v>3749</v>
      </c>
      <c r="R506">
        <v>2</v>
      </c>
      <c r="S506">
        <v>0</v>
      </c>
      <c r="T506" t="b">
        <v>0</v>
      </c>
      <c r="V506" t="s">
        <v>3750</v>
      </c>
      <c r="W506" s="15">
        <v>7.9344899</v>
      </c>
      <c r="X506" s="15">
        <v>-9.6341350000000006</v>
      </c>
      <c r="Y506">
        <v>51581</v>
      </c>
      <c r="AC506">
        <v>51581</v>
      </c>
      <c r="AF506" t="b">
        <v>0</v>
      </c>
      <c r="AI506" t="s">
        <v>71</v>
      </c>
      <c r="AJ506" t="s">
        <v>70</v>
      </c>
      <c r="AK506" t="s">
        <v>71</v>
      </c>
      <c r="AL506" t="s">
        <v>72</v>
      </c>
      <c r="AM506">
        <v>346053</v>
      </c>
      <c r="AO506" s="16" t="s">
        <v>73</v>
      </c>
      <c r="AP506" s="17" t="str">
        <f t="shared" si="34"/>
        <v>Off-nest female</v>
      </c>
      <c r="AX506" s="22" t="str">
        <f>IF(AND('[1]observations-276632'!W506&gt;'[1]Methods write-up'!$Q$16,'[1]observations-276632'!W506&lt;'[1]Methods write-up'!$R$16,'[1]observations-276632'!X506&gt;'[1]Methods write-up'!$S$16,'[1]observations-276632'!X506&lt;'[1]Methods write-up'!$T$16),"West and Central Africa","")</f>
        <v>West and Central Africa</v>
      </c>
      <c r="AY506" s="22" t="str">
        <f>IF(AND('[1]observations-276632'!W506&gt;'[1]Methods write-up'!$Q$17,'[1]observations-276632'!W506&lt;'[1]Methods write-up'!$R$17,'[1]observations-276632'!X506&gt;'[1]Methods write-up'!$S$17,'[1]observations-276632'!X506&lt;'[1]Methods write-up'!$T$17),"Equatorial tropical forest","")</f>
        <v/>
      </c>
      <c r="AZ506" s="22" t="str">
        <f>IF(AND('[1]observations-276632'!W506&gt;'[1]Methods write-up'!$Q$18,'[1]observations-276632'!W506&lt;'[1]Methods write-up'!$R$18,'[1]observations-276632'!X506&gt;'[1]Methods write-up'!$S$18,'[1]observations-276632'!X506&lt;'[1]Methods write-up'!$T$18),"Somali peninsula","")</f>
        <v/>
      </c>
      <c r="BA506" s="22" t="str">
        <f>IF(AND('[1]observations-276632'!W506&gt;'[1]Methods write-up'!$Q$19,'[1]observations-276632'!W506&lt;'[1]Methods write-up'!$R$19,'[1]observations-276632'!X506&gt;'[1]Methods write-up'!$S$19,'[1]observations-276632'!X506&lt;'[1]Methods write-up'!$T$19),"East Africa","")</f>
        <v/>
      </c>
      <c r="BB506" s="22" t="str">
        <f>IF(AND('[1]observations-276632'!W506&gt;'[1]Methods write-up'!$Q$20,'[1]observations-276632'!W506&lt;'[1]Methods write-up'!$R$20,'[1]observations-276632'!X506&gt;'[1]Methods write-up'!$S$20,'[1]observations-276632'!X506&lt;'[1]Methods write-up'!$T$20),"Temperate seasonal","")</f>
        <v/>
      </c>
      <c r="BC506" s="22" t="str">
        <f>IF(AND('[1]observations-276632'!W506&gt;'[1]Methods write-up'!$Q$21,'[1]observations-276632'!W506&lt;'[1]Methods write-up'!$R$21,'[1]observations-276632'!X506&gt;'[1]Methods write-up'!$S$21,'[1]observations-276632'!X506&lt;'[1]Methods write-up'!$T$21),"Desert and high aridity","")</f>
        <v/>
      </c>
      <c r="BD506" s="23" t="str">
        <f t="shared" si="33"/>
        <v>West and Central Africa</v>
      </c>
      <c r="BE506" s="24">
        <f t="shared" si="31"/>
        <v>6</v>
      </c>
      <c r="BF506" s="24">
        <f t="shared" si="32"/>
        <v>12</v>
      </c>
    </row>
    <row r="507" spans="1:58" ht="16.25" customHeight="1" x14ac:dyDescent="0.2">
      <c r="A507">
        <v>49357121</v>
      </c>
      <c r="B507" t="s">
        <v>3751</v>
      </c>
      <c r="C507" s="14">
        <v>43994</v>
      </c>
      <c r="E507" t="s">
        <v>1408</v>
      </c>
      <c r="F507">
        <v>3165276</v>
      </c>
      <c r="G507" t="s">
        <v>3752</v>
      </c>
      <c r="H507" t="s">
        <v>3753</v>
      </c>
      <c r="I507" t="s">
        <v>3754</v>
      </c>
      <c r="J507" t="s">
        <v>3755</v>
      </c>
      <c r="K507" t="s">
        <v>157</v>
      </c>
      <c r="L507" t="s">
        <v>63</v>
      </c>
      <c r="M507" t="s">
        <v>3756</v>
      </c>
      <c r="N507" t="s">
        <v>3757</v>
      </c>
      <c r="R507">
        <v>1</v>
      </c>
      <c r="S507">
        <v>0</v>
      </c>
      <c r="T507" t="b">
        <v>0</v>
      </c>
      <c r="V507" t="s">
        <v>3758</v>
      </c>
      <c r="W507" s="15">
        <v>-7.0426150810000001</v>
      </c>
      <c r="X507" s="15">
        <v>37.286696450000001</v>
      </c>
      <c r="Y507">
        <v>122</v>
      </c>
      <c r="AC507">
        <v>122</v>
      </c>
      <c r="AF507" t="b">
        <v>0</v>
      </c>
      <c r="AI507" t="s">
        <v>161</v>
      </c>
      <c r="AJ507" t="s">
        <v>161</v>
      </c>
      <c r="AL507" t="s">
        <v>72</v>
      </c>
      <c r="AM507">
        <v>366867</v>
      </c>
      <c r="AO507" s="16" t="s">
        <v>140</v>
      </c>
      <c r="AP507" s="17" t="str">
        <f t="shared" si="34"/>
        <v>Post-emergence nest</v>
      </c>
      <c r="AQ507" s="18">
        <v>13</v>
      </c>
      <c r="AT507" s="19" t="s">
        <v>141</v>
      </c>
      <c r="AU507" s="20" t="s">
        <v>104</v>
      </c>
      <c r="AX507" s="22" t="str">
        <f>IF(AND('[1]observations-276632'!W507&gt;'[1]Methods write-up'!$Q$16,'[1]observations-276632'!W507&lt;'[1]Methods write-up'!$R$16,'[1]observations-276632'!X507&gt;'[1]Methods write-up'!$S$16,'[1]observations-276632'!X507&lt;'[1]Methods write-up'!$T$16),"West and Central Africa","")</f>
        <v/>
      </c>
      <c r="AY507" s="22" t="str">
        <f>IF(AND('[1]observations-276632'!W507&gt;'[1]Methods write-up'!$Q$17,'[1]observations-276632'!W507&lt;'[1]Methods write-up'!$R$17,'[1]observations-276632'!X507&gt;'[1]Methods write-up'!$S$17,'[1]observations-276632'!X507&lt;'[1]Methods write-up'!$T$17),"Equatorial tropical forest","")</f>
        <v/>
      </c>
      <c r="AZ507" s="22" t="str">
        <f>IF(AND('[1]observations-276632'!W507&gt;'[1]Methods write-up'!$Q$18,'[1]observations-276632'!W507&lt;'[1]Methods write-up'!$R$18,'[1]observations-276632'!X507&gt;'[1]Methods write-up'!$S$18,'[1]observations-276632'!X507&lt;'[1]Methods write-up'!$T$18),"Somali peninsula","")</f>
        <v/>
      </c>
      <c r="BA507" s="22" t="str">
        <f>IF(AND('[1]observations-276632'!W507&gt;'[1]Methods write-up'!$Q$19,'[1]observations-276632'!W507&lt;'[1]Methods write-up'!$R$19,'[1]observations-276632'!X507&gt;'[1]Methods write-up'!$S$19,'[1]observations-276632'!X507&lt;'[1]Methods write-up'!$T$19),"East Africa","")</f>
        <v>East Africa</v>
      </c>
      <c r="BB507" s="22" t="str">
        <f>IF(AND('[1]observations-276632'!W507&gt;'[1]Methods write-up'!$Q$20,'[1]observations-276632'!W507&lt;'[1]Methods write-up'!$R$20,'[1]observations-276632'!X507&gt;'[1]Methods write-up'!$S$20,'[1]observations-276632'!X507&lt;'[1]Methods write-up'!$T$20),"Temperate seasonal","")</f>
        <v/>
      </c>
      <c r="BC507" s="22" t="str">
        <f>IF(AND('[1]observations-276632'!W507&gt;'[1]Methods write-up'!$Q$21,'[1]observations-276632'!W507&lt;'[1]Methods write-up'!$R$21,'[1]observations-276632'!X507&gt;'[1]Methods write-up'!$S$21,'[1]observations-276632'!X507&lt;'[1]Methods write-up'!$T$21),"Desert and high aridity","")</f>
        <v/>
      </c>
      <c r="BD507" s="23" t="str">
        <f t="shared" si="33"/>
        <v>East Africa</v>
      </c>
      <c r="BE507" s="24">
        <f t="shared" si="31"/>
        <v>12</v>
      </c>
      <c r="BF507" s="24">
        <f t="shared" si="32"/>
        <v>6</v>
      </c>
    </row>
    <row r="508" spans="1:58" ht="16.25" customHeight="1" x14ac:dyDescent="0.2">
      <c r="A508">
        <v>49867353</v>
      </c>
      <c r="B508" t="s">
        <v>3759</v>
      </c>
      <c r="C508" s="14">
        <v>43998</v>
      </c>
      <c r="E508" t="s">
        <v>1408</v>
      </c>
      <c r="F508">
        <v>3165276</v>
      </c>
      <c r="G508" t="s">
        <v>3752</v>
      </c>
      <c r="H508" t="s">
        <v>3753</v>
      </c>
      <c r="I508" t="s">
        <v>3760</v>
      </c>
      <c r="J508" t="s">
        <v>3761</v>
      </c>
      <c r="K508" t="s">
        <v>62</v>
      </c>
      <c r="L508" t="s">
        <v>63</v>
      </c>
      <c r="M508" t="s">
        <v>3762</v>
      </c>
      <c r="N508" t="s">
        <v>3763</v>
      </c>
      <c r="R508">
        <v>2</v>
      </c>
      <c r="S508">
        <v>0</v>
      </c>
      <c r="T508" t="b">
        <v>0</v>
      </c>
      <c r="V508" t="s">
        <v>3758</v>
      </c>
      <c r="W508" s="15">
        <v>-6.9852589949999997</v>
      </c>
      <c r="X508" s="15">
        <v>37.299155149999997</v>
      </c>
      <c r="Y508">
        <v>1953</v>
      </c>
      <c r="AC508">
        <v>1953</v>
      </c>
      <c r="AF508" t="b">
        <v>0</v>
      </c>
      <c r="AI508" t="s">
        <v>71</v>
      </c>
      <c r="AJ508" t="s">
        <v>70</v>
      </c>
      <c r="AK508" t="s">
        <v>71</v>
      </c>
      <c r="AL508" t="s">
        <v>72</v>
      </c>
      <c r="AM508">
        <v>346053</v>
      </c>
      <c r="AO508" s="16" t="s">
        <v>110</v>
      </c>
      <c r="AP508" s="17" t="str">
        <f t="shared" si="34"/>
        <v>Nest (foundress)</v>
      </c>
      <c r="AQ508" s="18">
        <v>1</v>
      </c>
      <c r="AT508" s="19" t="s">
        <v>104</v>
      </c>
      <c r="AX508" s="22" t="str">
        <f>IF(AND('[1]observations-276632'!W508&gt;'[1]Methods write-up'!$Q$16,'[1]observations-276632'!W508&lt;'[1]Methods write-up'!$R$16,'[1]observations-276632'!X508&gt;'[1]Methods write-up'!$S$16,'[1]observations-276632'!X508&lt;'[1]Methods write-up'!$T$16),"West and Central Africa","")</f>
        <v/>
      </c>
      <c r="AY508" s="22" t="str">
        <f>IF(AND('[1]observations-276632'!W508&gt;'[1]Methods write-up'!$Q$17,'[1]observations-276632'!W508&lt;'[1]Methods write-up'!$R$17,'[1]observations-276632'!X508&gt;'[1]Methods write-up'!$S$17,'[1]observations-276632'!X508&lt;'[1]Methods write-up'!$T$17),"Equatorial tropical forest","")</f>
        <v/>
      </c>
      <c r="AZ508" s="22" t="str">
        <f>IF(AND('[1]observations-276632'!W508&gt;'[1]Methods write-up'!$Q$18,'[1]observations-276632'!W508&lt;'[1]Methods write-up'!$R$18,'[1]observations-276632'!X508&gt;'[1]Methods write-up'!$S$18,'[1]observations-276632'!X508&lt;'[1]Methods write-up'!$T$18),"Somali peninsula","")</f>
        <v/>
      </c>
      <c r="BA508" s="22" t="str">
        <f>IF(AND('[1]observations-276632'!W508&gt;'[1]Methods write-up'!$Q$19,'[1]observations-276632'!W508&lt;'[1]Methods write-up'!$R$19,'[1]observations-276632'!X508&gt;'[1]Methods write-up'!$S$19,'[1]observations-276632'!X508&lt;'[1]Methods write-up'!$T$19),"East Africa","")</f>
        <v>East Africa</v>
      </c>
      <c r="BB508" s="22" t="str">
        <f>IF(AND('[1]observations-276632'!W508&gt;'[1]Methods write-up'!$Q$20,'[1]observations-276632'!W508&lt;'[1]Methods write-up'!$R$20,'[1]observations-276632'!X508&gt;'[1]Methods write-up'!$S$20,'[1]observations-276632'!X508&lt;'[1]Methods write-up'!$T$20),"Temperate seasonal","")</f>
        <v/>
      </c>
      <c r="BC508" s="22" t="str">
        <f>IF(AND('[1]observations-276632'!W508&gt;'[1]Methods write-up'!$Q$21,'[1]observations-276632'!W508&lt;'[1]Methods write-up'!$R$21,'[1]observations-276632'!X508&gt;'[1]Methods write-up'!$S$21,'[1]observations-276632'!X508&lt;'[1]Methods write-up'!$T$21),"Desert and high aridity","")</f>
        <v/>
      </c>
      <c r="BD508" s="23" t="str">
        <f t="shared" si="33"/>
        <v>East Africa</v>
      </c>
      <c r="BE508" s="24">
        <f t="shared" si="31"/>
        <v>16</v>
      </c>
      <c r="BF508" s="24">
        <f t="shared" si="32"/>
        <v>6</v>
      </c>
    </row>
    <row r="509" spans="1:58" ht="16.25" customHeight="1" x14ac:dyDescent="0.2">
      <c r="A509">
        <v>49974103</v>
      </c>
      <c r="B509" t="s">
        <v>3764</v>
      </c>
      <c r="C509" s="14">
        <v>43995</v>
      </c>
      <c r="D509" t="s">
        <v>3765</v>
      </c>
      <c r="E509" t="s">
        <v>113</v>
      </c>
      <c r="F509">
        <v>121603</v>
      </c>
      <c r="G509" t="s">
        <v>1286</v>
      </c>
      <c r="I509" t="s">
        <v>3766</v>
      </c>
      <c r="J509" t="s">
        <v>3767</v>
      </c>
      <c r="K509" t="s">
        <v>62</v>
      </c>
      <c r="L509" t="s">
        <v>63</v>
      </c>
      <c r="M509" t="s">
        <v>3768</v>
      </c>
      <c r="N509" t="s">
        <v>3769</v>
      </c>
      <c r="R509">
        <v>2</v>
      </c>
      <c r="S509">
        <v>0</v>
      </c>
      <c r="T509" t="b">
        <v>0</v>
      </c>
      <c r="V509" t="s">
        <v>3770</v>
      </c>
      <c r="W509" s="15">
        <v>-12.83359441</v>
      </c>
      <c r="X509" s="15">
        <v>34.161906700000003</v>
      </c>
      <c r="Y509">
        <v>22</v>
      </c>
      <c r="AC509">
        <v>22</v>
      </c>
      <c r="AF509" t="b">
        <v>0</v>
      </c>
      <c r="AI509" t="s">
        <v>71</v>
      </c>
      <c r="AJ509" t="s">
        <v>70</v>
      </c>
      <c r="AK509" t="s">
        <v>71</v>
      </c>
      <c r="AL509" t="s">
        <v>72</v>
      </c>
      <c r="AM509">
        <v>346053</v>
      </c>
      <c r="AO509" s="16" t="s">
        <v>73</v>
      </c>
      <c r="AP509" s="17" t="str">
        <f t="shared" si="34"/>
        <v>Off-nest female</v>
      </c>
      <c r="AX509" s="22" t="str">
        <f>IF(AND('[1]observations-276632'!W509&gt;'[1]Methods write-up'!$Q$16,'[1]observations-276632'!W509&lt;'[1]Methods write-up'!$R$16,'[1]observations-276632'!X509&gt;'[1]Methods write-up'!$S$16,'[1]observations-276632'!X509&lt;'[1]Methods write-up'!$T$16),"West and Central Africa","")</f>
        <v/>
      </c>
      <c r="AY509" s="22" t="str">
        <f>IF(AND('[1]observations-276632'!W509&gt;'[1]Methods write-up'!$Q$17,'[1]observations-276632'!W509&lt;'[1]Methods write-up'!$R$17,'[1]observations-276632'!X509&gt;'[1]Methods write-up'!$S$17,'[1]observations-276632'!X509&lt;'[1]Methods write-up'!$T$17),"Equatorial tropical forest","")</f>
        <v/>
      </c>
      <c r="AZ509" s="22" t="str">
        <f>IF(AND('[1]observations-276632'!W509&gt;'[1]Methods write-up'!$Q$18,'[1]observations-276632'!W509&lt;'[1]Methods write-up'!$R$18,'[1]observations-276632'!X509&gt;'[1]Methods write-up'!$S$18,'[1]observations-276632'!X509&lt;'[1]Methods write-up'!$T$18),"Somali peninsula","")</f>
        <v/>
      </c>
      <c r="BA509" s="22" t="str">
        <f>IF(AND('[1]observations-276632'!W509&gt;'[1]Methods write-up'!$Q$19,'[1]observations-276632'!W509&lt;'[1]Methods write-up'!$R$19,'[1]observations-276632'!X509&gt;'[1]Methods write-up'!$S$19,'[1]observations-276632'!X509&lt;'[1]Methods write-up'!$T$19),"East Africa","")</f>
        <v/>
      </c>
      <c r="BB509" s="22" t="str">
        <f>IF(AND('[1]observations-276632'!W509&gt;'[1]Methods write-up'!$Q$20,'[1]observations-276632'!W509&lt;'[1]Methods write-up'!$R$20,'[1]observations-276632'!X509&gt;'[1]Methods write-up'!$S$20,'[1]observations-276632'!X509&lt;'[1]Methods write-up'!$T$20),"Temperate seasonal","")</f>
        <v/>
      </c>
      <c r="BC509" s="22" t="str">
        <f>IF(AND('[1]observations-276632'!W509&gt;'[1]Methods write-up'!$Q$21,'[1]observations-276632'!W509&lt;'[1]Methods write-up'!$R$21,'[1]observations-276632'!X509&gt;'[1]Methods write-up'!$S$21,'[1]observations-276632'!X509&lt;'[1]Methods write-up'!$T$21),"Desert and high aridity","")</f>
        <v/>
      </c>
      <c r="BD509" s="23" t="str">
        <f t="shared" si="33"/>
        <v/>
      </c>
      <c r="BE509" s="24">
        <f t="shared" si="31"/>
        <v>13</v>
      </c>
      <c r="BF509" s="24">
        <f t="shared" si="32"/>
        <v>6</v>
      </c>
    </row>
    <row r="510" spans="1:58" ht="16.25" customHeight="1" x14ac:dyDescent="0.2">
      <c r="A510">
        <v>50080516</v>
      </c>
      <c r="B510" t="s">
        <v>3771</v>
      </c>
      <c r="C510" s="14">
        <v>44000</v>
      </c>
      <c r="D510" t="s">
        <v>3772</v>
      </c>
      <c r="E510" t="s">
        <v>1408</v>
      </c>
      <c r="F510">
        <v>2521657</v>
      </c>
      <c r="G510" t="s">
        <v>3773</v>
      </c>
      <c r="H510" t="s">
        <v>3774</v>
      </c>
      <c r="I510" t="s">
        <v>3775</v>
      </c>
      <c r="J510" t="s">
        <v>3776</v>
      </c>
      <c r="K510" t="s">
        <v>62</v>
      </c>
      <c r="M510" t="s">
        <v>3777</v>
      </c>
      <c r="N510" t="s">
        <v>3778</v>
      </c>
      <c r="R510">
        <v>3</v>
      </c>
      <c r="S510">
        <v>0</v>
      </c>
      <c r="T510" t="b">
        <v>0</v>
      </c>
      <c r="U510">
        <v>333</v>
      </c>
      <c r="V510" t="s">
        <v>3779</v>
      </c>
      <c r="W510" s="15">
        <v>0.39477686299999998</v>
      </c>
      <c r="X510" s="15">
        <v>32.626985550000001</v>
      </c>
      <c r="Y510">
        <v>165</v>
      </c>
      <c r="AC510">
        <v>165</v>
      </c>
      <c r="AF510" t="b">
        <v>0</v>
      </c>
      <c r="AI510" t="s">
        <v>71</v>
      </c>
      <c r="AJ510" t="s">
        <v>70</v>
      </c>
      <c r="AK510" t="s">
        <v>71</v>
      </c>
      <c r="AL510" t="s">
        <v>72</v>
      </c>
      <c r="AM510">
        <v>346053</v>
      </c>
      <c r="AO510" s="16" t="s">
        <v>3780</v>
      </c>
      <c r="AP510" s="17" t="str">
        <f t="shared" si="34"/>
        <v>Dead nest with single female</v>
      </c>
      <c r="AX510" s="22" t="str">
        <f>IF(AND('[1]observations-276632'!W510&gt;'[1]Methods write-up'!$Q$16,'[1]observations-276632'!W510&lt;'[1]Methods write-up'!$R$16,'[1]observations-276632'!X510&gt;'[1]Methods write-up'!$S$16,'[1]observations-276632'!X510&lt;'[1]Methods write-up'!$T$16),"West and Central Africa","")</f>
        <v/>
      </c>
      <c r="AY510" s="22" t="str">
        <f>IF(AND('[1]observations-276632'!W510&gt;'[1]Methods write-up'!$Q$17,'[1]observations-276632'!W510&lt;'[1]Methods write-up'!$R$17,'[1]observations-276632'!X510&gt;'[1]Methods write-up'!$S$17,'[1]observations-276632'!X510&lt;'[1]Methods write-up'!$T$17),"Equatorial tropical forest","")</f>
        <v/>
      </c>
      <c r="AZ510" s="22" t="str">
        <f>IF(AND('[1]observations-276632'!W510&gt;'[1]Methods write-up'!$Q$18,'[1]observations-276632'!W510&lt;'[1]Methods write-up'!$R$18,'[1]observations-276632'!X510&gt;'[1]Methods write-up'!$S$18,'[1]observations-276632'!X510&lt;'[1]Methods write-up'!$T$18),"Somali peninsula","")</f>
        <v/>
      </c>
      <c r="BA510" s="22" t="str">
        <f>IF(AND('[1]observations-276632'!W510&gt;'[1]Methods write-up'!$Q$19,'[1]observations-276632'!W510&lt;'[1]Methods write-up'!$R$19,'[1]observations-276632'!X510&gt;'[1]Methods write-up'!$S$19,'[1]observations-276632'!X510&lt;'[1]Methods write-up'!$T$19),"East Africa","")</f>
        <v>East Africa</v>
      </c>
      <c r="BB510" s="22" t="str">
        <f>IF(AND('[1]observations-276632'!W510&gt;'[1]Methods write-up'!$Q$20,'[1]observations-276632'!W510&lt;'[1]Methods write-up'!$R$20,'[1]observations-276632'!X510&gt;'[1]Methods write-up'!$S$20,'[1]observations-276632'!X510&lt;'[1]Methods write-up'!$T$20),"Temperate seasonal","")</f>
        <v/>
      </c>
      <c r="BC510" s="22" t="str">
        <f>IF(AND('[1]observations-276632'!W510&gt;'[1]Methods write-up'!$Q$21,'[1]observations-276632'!W510&lt;'[1]Methods write-up'!$R$21,'[1]observations-276632'!X510&gt;'[1]Methods write-up'!$S$21,'[1]observations-276632'!X510&lt;'[1]Methods write-up'!$T$21),"Desert and high aridity","")</f>
        <v/>
      </c>
      <c r="BD510" s="23" t="str">
        <f t="shared" si="33"/>
        <v>East Africa</v>
      </c>
      <c r="BE510" s="24">
        <f t="shared" si="31"/>
        <v>18</v>
      </c>
      <c r="BF510" s="24">
        <f t="shared" si="32"/>
        <v>6</v>
      </c>
    </row>
    <row r="511" spans="1:58" ht="16.25" customHeight="1" x14ac:dyDescent="0.2">
      <c r="A511">
        <v>50387289</v>
      </c>
      <c r="B511" t="s">
        <v>3781</v>
      </c>
      <c r="C511" s="14">
        <v>42008</v>
      </c>
      <c r="D511" t="s">
        <v>3782</v>
      </c>
      <c r="E511" t="s">
        <v>463</v>
      </c>
      <c r="F511">
        <v>16389</v>
      </c>
      <c r="G511" t="s">
        <v>3783</v>
      </c>
      <c r="H511" t="s">
        <v>3784</v>
      </c>
      <c r="I511" t="s">
        <v>3785</v>
      </c>
      <c r="J511" t="s">
        <v>3786</v>
      </c>
      <c r="K511" t="s">
        <v>62</v>
      </c>
      <c r="L511" t="s">
        <v>63</v>
      </c>
      <c r="M511" t="s">
        <v>3787</v>
      </c>
      <c r="N511" t="s">
        <v>3788</v>
      </c>
      <c r="P511" t="s">
        <v>3789</v>
      </c>
      <c r="R511">
        <v>3</v>
      </c>
      <c r="S511">
        <v>0</v>
      </c>
      <c r="T511" t="b">
        <v>0</v>
      </c>
      <c r="V511" t="s">
        <v>3790</v>
      </c>
      <c r="W511" s="15">
        <v>-27.553159999999998</v>
      </c>
      <c r="X511" s="15">
        <v>32.672081669999997</v>
      </c>
      <c r="AF511" t="b">
        <v>0</v>
      </c>
      <c r="AI511" t="s">
        <v>71</v>
      </c>
      <c r="AJ511" t="s">
        <v>70</v>
      </c>
      <c r="AK511" t="s">
        <v>71</v>
      </c>
      <c r="AL511" t="s">
        <v>72</v>
      </c>
      <c r="AM511">
        <v>346053</v>
      </c>
      <c r="AO511" s="16" t="s">
        <v>110</v>
      </c>
      <c r="AP511" s="17" t="str">
        <f t="shared" si="34"/>
        <v>Nest (foundress)</v>
      </c>
      <c r="AQ511" s="18">
        <v>1</v>
      </c>
      <c r="AT511" s="19" t="s">
        <v>104</v>
      </c>
      <c r="AX511" s="22" t="str">
        <f>IF(AND('[1]observations-276632'!W511&gt;'[1]Methods write-up'!$Q$16,'[1]observations-276632'!W511&lt;'[1]Methods write-up'!$R$16,'[1]observations-276632'!X511&gt;'[1]Methods write-up'!$S$16,'[1]observations-276632'!X511&lt;'[1]Methods write-up'!$T$16),"West and Central Africa","")</f>
        <v/>
      </c>
      <c r="AY511" s="22" t="str">
        <f>IF(AND('[1]observations-276632'!W511&gt;'[1]Methods write-up'!$Q$17,'[1]observations-276632'!W511&lt;'[1]Methods write-up'!$R$17,'[1]observations-276632'!X511&gt;'[1]Methods write-up'!$S$17,'[1]observations-276632'!X511&lt;'[1]Methods write-up'!$T$17),"Equatorial tropical forest","")</f>
        <v/>
      </c>
      <c r="AZ511" s="22" t="str">
        <f>IF(AND('[1]observations-276632'!W511&gt;'[1]Methods write-up'!$Q$18,'[1]observations-276632'!W511&lt;'[1]Methods write-up'!$R$18,'[1]observations-276632'!X511&gt;'[1]Methods write-up'!$S$18,'[1]observations-276632'!X511&lt;'[1]Methods write-up'!$T$18),"Somali peninsula","")</f>
        <v/>
      </c>
      <c r="BA511" s="22" t="str">
        <f>IF(AND('[1]observations-276632'!W511&gt;'[1]Methods write-up'!$Q$19,'[1]observations-276632'!W511&lt;'[1]Methods write-up'!$R$19,'[1]observations-276632'!X511&gt;'[1]Methods write-up'!$S$19,'[1]observations-276632'!X511&lt;'[1]Methods write-up'!$T$19),"East Africa","")</f>
        <v/>
      </c>
      <c r="BB511" s="22" t="str">
        <f>IF(AND('[1]observations-276632'!W511&gt;'[1]Methods write-up'!$Q$20,'[1]observations-276632'!W511&lt;'[1]Methods write-up'!$R$20,'[1]observations-276632'!X511&gt;'[1]Methods write-up'!$S$20,'[1]observations-276632'!X511&lt;'[1]Methods write-up'!$T$20),"Temperate seasonal","")</f>
        <v>Temperate seasonal</v>
      </c>
      <c r="BC511" s="22" t="str">
        <f>IF(AND('[1]observations-276632'!W511&gt;'[1]Methods write-up'!$Q$21,'[1]observations-276632'!W511&lt;'[1]Methods write-up'!$R$21,'[1]observations-276632'!X511&gt;'[1]Methods write-up'!$S$21,'[1]observations-276632'!X511&lt;'[1]Methods write-up'!$T$21),"Desert and high aridity","")</f>
        <v/>
      </c>
      <c r="BD511" s="23" t="str">
        <f t="shared" si="33"/>
        <v>Temperate seasonal</v>
      </c>
      <c r="BE511" s="24">
        <f t="shared" si="31"/>
        <v>4</v>
      </c>
      <c r="BF511" s="24">
        <f t="shared" si="32"/>
        <v>1</v>
      </c>
    </row>
    <row r="512" spans="1:58" ht="16.25" customHeight="1" x14ac:dyDescent="0.2">
      <c r="A512">
        <v>50516373</v>
      </c>
      <c r="B512" t="s">
        <v>3791</v>
      </c>
      <c r="C512" s="14">
        <v>43408</v>
      </c>
      <c r="D512" t="s">
        <v>3792</v>
      </c>
      <c r="E512" t="s">
        <v>256</v>
      </c>
      <c r="F512">
        <v>219080</v>
      </c>
      <c r="G512" t="s">
        <v>3793</v>
      </c>
      <c r="H512" t="s">
        <v>3794</v>
      </c>
      <c r="I512" t="s">
        <v>3795</v>
      </c>
      <c r="J512" t="s">
        <v>3796</v>
      </c>
      <c r="K512" t="s">
        <v>62</v>
      </c>
      <c r="L512" t="s">
        <v>63</v>
      </c>
      <c r="M512" t="s">
        <v>3797</v>
      </c>
      <c r="N512" t="s">
        <v>3798</v>
      </c>
      <c r="R512">
        <v>3</v>
      </c>
      <c r="S512">
        <v>0</v>
      </c>
      <c r="T512" t="b">
        <v>0</v>
      </c>
      <c r="V512" t="s">
        <v>3037</v>
      </c>
      <c r="W512" s="15">
        <v>-3.200975965</v>
      </c>
      <c r="X512" s="15">
        <v>40.11800641</v>
      </c>
      <c r="Y512">
        <v>435</v>
      </c>
      <c r="AC512">
        <v>435</v>
      </c>
      <c r="AF512" t="b">
        <v>0</v>
      </c>
      <c r="AI512" t="s">
        <v>71</v>
      </c>
      <c r="AJ512" t="s">
        <v>70</v>
      </c>
      <c r="AK512" t="s">
        <v>71</v>
      </c>
      <c r="AL512" t="s">
        <v>72</v>
      </c>
      <c r="AM512">
        <v>346053</v>
      </c>
      <c r="AO512" s="16" t="s">
        <v>73</v>
      </c>
      <c r="AP512" s="17" t="str">
        <f t="shared" si="34"/>
        <v>Off-nest female</v>
      </c>
      <c r="AX512" s="22" t="str">
        <f>IF(AND('[1]observations-276632'!W512&gt;'[1]Methods write-up'!$Q$16,'[1]observations-276632'!W512&lt;'[1]Methods write-up'!$R$16,'[1]observations-276632'!X512&gt;'[1]Methods write-up'!$S$16,'[1]observations-276632'!X512&lt;'[1]Methods write-up'!$T$16),"West and Central Africa","")</f>
        <v/>
      </c>
      <c r="AY512" s="22" t="str">
        <f>IF(AND('[1]observations-276632'!W512&gt;'[1]Methods write-up'!$Q$17,'[1]observations-276632'!W512&lt;'[1]Methods write-up'!$R$17,'[1]observations-276632'!X512&gt;'[1]Methods write-up'!$S$17,'[1]observations-276632'!X512&lt;'[1]Methods write-up'!$T$17),"Equatorial tropical forest","")</f>
        <v/>
      </c>
      <c r="AZ512" s="22" t="str">
        <f>IF(AND('[1]observations-276632'!W512&gt;'[1]Methods write-up'!$Q$18,'[1]observations-276632'!W512&lt;'[1]Methods write-up'!$R$18,'[1]observations-276632'!X512&gt;'[1]Methods write-up'!$S$18,'[1]observations-276632'!X512&lt;'[1]Methods write-up'!$T$18),"Somali peninsula","")</f>
        <v/>
      </c>
      <c r="BA512" s="22" t="str">
        <f>IF(AND('[1]observations-276632'!W512&gt;'[1]Methods write-up'!$Q$19,'[1]observations-276632'!W512&lt;'[1]Methods write-up'!$R$19,'[1]observations-276632'!X512&gt;'[1]Methods write-up'!$S$19,'[1]observations-276632'!X512&lt;'[1]Methods write-up'!$T$19),"East Africa","")</f>
        <v>East Africa</v>
      </c>
      <c r="BB512" s="22" t="str">
        <f>IF(AND('[1]observations-276632'!W512&gt;'[1]Methods write-up'!$Q$20,'[1]observations-276632'!W512&lt;'[1]Methods write-up'!$R$20,'[1]observations-276632'!X512&gt;'[1]Methods write-up'!$S$20,'[1]observations-276632'!X512&lt;'[1]Methods write-up'!$T$20),"Temperate seasonal","")</f>
        <v/>
      </c>
      <c r="BC512" s="22" t="str">
        <f>IF(AND('[1]observations-276632'!W512&gt;'[1]Methods write-up'!$Q$21,'[1]observations-276632'!W512&lt;'[1]Methods write-up'!$R$21,'[1]observations-276632'!X512&gt;'[1]Methods write-up'!$S$21,'[1]observations-276632'!X512&lt;'[1]Methods write-up'!$T$21),"Desert and high aridity","")</f>
        <v/>
      </c>
      <c r="BD512" s="23" t="str">
        <f t="shared" si="33"/>
        <v>East Africa</v>
      </c>
      <c r="BE512" s="24">
        <f t="shared" si="31"/>
        <v>4</v>
      </c>
      <c r="BF512" s="24">
        <f t="shared" si="32"/>
        <v>11</v>
      </c>
    </row>
    <row r="513" spans="1:58" ht="16.25" customHeight="1" x14ac:dyDescent="0.2">
      <c r="A513">
        <v>50876616</v>
      </c>
      <c r="B513" t="s">
        <v>3799</v>
      </c>
      <c r="C513" s="14">
        <v>40696</v>
      </c>
      <c r="D513" t="s">
        <v>3800</v>
      </c>
      <c r="E513" t="s">
        <v>201</v>
      </c>
      <c r="F513">
        <v>430787</v>
      </c>
      <c r="G513" t="s">
        <v>3801</v>
      </c>
      <c r="H513" t="s">
        <v>3802</v>
      </c>
      <c r="I513" t="s">
        <v>3803</v>
      </c>
      <c r="J513" t="s">
        <v>3804</v>
      </c>
      <c r="K513" t="s">
        <v>62</v>
      </c>
      <c r="L513" t="s">
        <v>63</v>
      </c>
      <c r="M513" t="s">
        <v>3805</v>
      </c>
      <c r="N513" t="s">
        <v>3806</v>
      </c>
      <c r="R513">
        <v>1</v>
      </c>
      <c r="S513">
        <v>0</v>
      </c>
      <c r="T513" t="b">
        <v>0</v>
      </c>
      <c r="V513" t="s">
        <v>3807</v>
      </c>
      <c r="W513" s="15">
        <v>-1.2146551000000001</v>
      </c>
      <c r="X513" s="15">
        <v>35.165179799999997</v>
      </c>
      <c r="Y513">
        <v>212</v>
      </c>
      <c r="AC513">
        <v>212</v>
      </c>
      <c r="AF513" t="b">
        <v>0</v>
      </c>
      <c r="AI513" t="s">
        <v>71</v>
      </c>
      <c r="AJ513" t="s">
        <v>70</v>
      </c>
      <c r="AK513" t="s">
        <v>71</v>
      </c>
      <c r="AL513" t="s">
        <v>72</v>
      </c>
      <c r="AM513">
        <v>346053</v>
      </c>
      <c r="AO513" s="16" t="s">
        <v>110</v>
      </c>
      <c r="AP513" s="17" t="str">
        <f t="shared" si="34"/>
        <v>Nest (foundress)</v>
      </c>
      <c r="AQ513" s="18">
        <v>1</v>
      </c>
      <c r="AT513" s="19" t="s">
        <v>104</v>
      </c>
      <c r="AX513" s="22" t="str">
        <f>IF(AND('[1]observations-276632'!W513&gt;'[1]Methods write-up'!$Q$16,'[1]observations-276632'!W513&lt;'[1]Methods write-up'!$R$16,'[1]observations-276632'!X513&gt;'[1]Methods write-up'!$S$16,'[1]observations-276632'!X513&lt;'[1]Methods write-up'!$T$16),"West and Central Africa","")</f>
        <v/>
      </c>
      <c r="AY513" s="22" t="str">
        <f>IF(AND('[1]observations-276632'!W513&gt;'[1]Methods write-up'!$Q$17,'[1]observations-276632'!W513&lt;'[1]Methods write-up'!$R$17,'[1]observations-276632'!X513&gt;'[1]Methods write-up'!$S$17,'[1]observations-276632'!X513&lt;'[1]Methods write-up'!$T$17),"Equatorial tropical forest","")</f>
        <v/>
      </c>
      <c r="AZ513" s="22" t="str">
        <f>IF(AND('[1]observations-276632'!W513&gt;'[1]Methods write-up'!$Q$18,'[1]observations-276632'!W513&lt;'[1]Methods write-up'!$R$18,'[1]observations-276632'!X513&gt;'[1]Methods write-up'!$S$18,'[1]observations-276632'!X513&lt;'[1]Methods write-up'!$T$18),"Somali peninsula","")</f>
        <v/>
      </c>
      <c r="BA513" s="22" t="str">
        <f>IF(AND('[1]observations-276632'!W513&gt;'[1]Methods write-up'!$Q$19,'[1]observations-276632'!W513&lt;'[1]Methods write-up'!$R$19,'[1]observations-276632'!X513&gt;'[1]Methods write-up'!$S$19,'[1]observations-276632'!X513&lt;'[1]Methods write-up'!$T$19),"East Africa","")</f>
        <v>East Africa</v>
      </c>
      <c r="BB513" s="22" t="str">
        <f>IF(AND('[1]observations-276632'!W513&gt;'[1]Methods write-up'!$Q$20,'[1]observations-276632'!W513&lt;'[1]Methods write-up'!$R$20,'[1]observations-276632'!X513&gt;'[1]Methods write-up'!$S$20,'[1]observations-276632'!X513&lt;'[1]Methods write-up'!$T$20),"Temperate seasonal","")</f>
        <v/>
      </c>
      <c r="BC513" s="22" t="str">
        <f>IF(AND('[1]observations-276632'!W513&gt;'[1]Methods write-up'!$Q$21,'[1]observations-276632'!W513&lt;'[1]Methods write-up'!$R$21,'[1]observations-276632'!X513&gt;'[1]Methods write-up'!$S$21,'[1]observations-276632'!X513&lt;'[1]Methods write-up'!$T$21),"Desert and high aridity","")</f>
        <v/>
      </c>
      <c r="BD513" s="23" t="str">
        <f t="shared" si="33"/>
        <v>East Africa</v>
      </c>
      <c r="BE513" s="24">
        <f t="shared" si="31"/>
        <v>2</v>
      </c>
      <c r="BF513" s="24">
        <f t="shared" si="32"/>
        <v>6</v>
      </c>
    </row>
    <row r="514" spans="1:58" ht="16.25" customHeight="1" x14ac:dyDescent="0.2">
      <c r="A514">
        <v>51287038</v>
      </c>
      <c r="B514" s="25">
        <v>43264.601388888892</v>
      </c>
      <c r="C514" s="14">
        <v>43264</v>
      </c>
      <c r="D514" t="s">
        <v>3808</v>
      </c>
      <c r="E514" t="s">
        <v>811</v>
      </c>
      <c r="F514">
        <v>2851</v>
      </c>
      <c r="G514" t="s">
        <v>3809</v>
      </c>
      <c r="H514" t="s">
        <v>3810</v>
      </c>
      <c r="I514" t="s">
        <v>3811</v>
      </c>
      <c r="J514" t="s">
        <v>3812</v>
      </c>
      <c r="K514" t="s">
        <v>157</v>
      </c>
      <c r="L514" t="s">
        <v>127</v>
      </c>
      <c r="M514" t="s">
        <v>3813</v>
      </c>
      <c r="N514" t="s">
        <v>3814</v>
      </c>
      <c r="P514" t="s">
        <v>3815</v>
      </c>
      <c r="Q514" t="s">
        <v>3816</v>
      </c>
      <c r="R514">
        <v>1</v>
      </c>
      <c r="S514">
        <v>0</v>
      </c>
      <c r="T514" t="b">
        <v>0</v>
      </c>
      <c r="V514" t="s">
        <v>3817</v>
      </c>
      <c r="W514" s="15">
        <v>-17.4953</v>
      </c>
      <c r="X514" s="15">
        <v>24.325199999999999</v>
      </c>
      <c r="Y514">
        <v>50</v>
      </c>
      <c r="AC514">
        <v>50</v>
      </c>
      <c r="AF514" t="b">
        <v>0</v>
      </c>
      <c r="AI514" t="s">
        <v>102</v>
      </c>
      <c r="AJ514" t="s">
        <v>102</v>
      </c>
      <c r="AL514" t="s">
        <v>72</v>
      </c>
      <c r="AM514">
        <v>1070939</v>
      </c>
      <c r="AO514" s="16" t="s">
        <v>150</v>
      </c>
      <c r="AP514" s="17" t="str">
        <f t="shared" si="34"/>
        <v>Male (off nest)</v>
      </c>
      <c r="AX514" s="22" t="str">
        <f>IF(AND('[1]observations-276632'!W514&gt;'[1]Methods write-up'!$Q$16,'[1]observations-276632'!W514&lt;'[1]Methods write-up'!$R$16,'[1]observations-276632'!X514&gt;'[1]Methods write-up'!$S$16,'[1]observations-276632'!X514&lt;'[1]Methods write-up'!$T$16),"West and Central Africa","")</f>
        <v>West and Central Africa</v>
      </c>
      <c r="AY514" s="22" t="str">
        <f>IF(AND('[1]observations-276632'!W514&gt;'[1]Methods write-up'!$Q$17,'[1]observations-276632'!W514&lt;'[1]Methods write-up'!$R$17,'[1]observations-276632'!X514&gt;'[1]Methods write-up'!$S$17,'[1]observations-276632'!X514&lt;'[1]Methods write-up'!$T$17),"Equatorial tropical forest","")</f>
        <v/>
      </c>
      <c r="AZ514" s="22" t="str">
        <f>IF(AND('[1]observations-276632'!W514&gt;'[1]Methods write-up'!$Q$18,'[1]observations-276632'!W514&lt;'[1]Methods write-up'!$R$18,'[1]observations-276632'!X514&gt;'[1]Methods write-up'!$S$18,'[1]observations-276632'!X514&lt;'[1]Methods write-up'!$T$18),"Somali peninsula","")</f>
        <v/>
      </c>
      <c r="BA514" s="22" t="str">
        <f>IF(AND('[1]observations-276632'!W514&gt;'[1]Methods write-up'!$Q$19,'[1]observations-276632'!W514&lt;'[1]Methods write-up'!$R$19,'[1]observations-276632'!X514&gt;'[1]Methods write-up'!$S$19,'[1]observations-276632'!X514&lt;'[1]Methods write-up'!$T$19),"East Africa","")</f>
        <v/>
      </c>
      <c r="BB514" s="22" t="str">
        <f>IF(AND('[1]observations-276632'!W514&gt;'[1]Methods write-up'!$Q$20,'[1]observations-276632'!W514&lt;'[1]Methods write-up'!$R$20,'[1]observations-276632'!X514&gt;'[1]Methods write-up'!$S$20,'[1]observations-276632'!X514&lt;'[1]Methods write-up'!$T$20),"Temperate seasonal","")</f>
        <v/>
      </c>
      <c r="BC514" s="22" t="str">
        <f>IF(AND('[1]observations-276632'!W514&gt;'[1]Methods write-up'!$Q$21,'[1]observations-276632'!W514&lt;'[1]Methods write-up'!$R$21,'[1]observations-276632'!X514&gt;'[1]Methods write-up'!$S$21,'[1]observations-276632'!X514&lt;'[1]Methods write-up'!$T$21),"Desert and high aridity","")</f>
        <v/>
      </c>
      <c r="BD514" s="23" t="str">
        <f t="shared" si="33"/>
        <v>West and Central Africa</v>
      </c>
      <c r="BE514" s="24">
        <f t="shared" ref="BE514:BE577" si="35">DAY(C514)</f>
        <v>13</v>
      </c>
      <c r="BF514" s="24">
        <f t="shared" ref="BF514:BF577" si="36">MONTH(C514)</f>
        <v>6</v>
      </c>
    </row>
    <row r="515" spans="1:58" ht="16.25" customHeight="1" x14ac:dyDescent="0.2">
      <c r="A515">
        <v>51610176</v>
      </c>
      <c r="B515" t="s">
        <v>3818</v>
      </c>
      <c r="C515" s="14">
        <v>44013</v>
      </c>
      <c r="D515" t="s">
        <v>3819</v>
      </c>
      <c r="E515" t="s">
        <v>84</v>
      </c>
      <c r="F515">
        <v>2339390</v>
      </c>
      <c r="G515" t="s">
        <v>3820</v>
      </c>
      <c r="I515" t="s">
        <v>3821</v>
      </c>
      <c r="J515" t="s">
        <v>3822</v>
      </c>
      <c r="K515" t="s">
        <v>62</v>
      </c>
      <c r="L515" t="s">
        <v>63</v>
      </c>
      <c r="M515" t="s">
        <v>3823</v>
      </c>
      <c r="N515" t="s">
        <v>3824</v>
      </c>
      <c r="R515">
        <v>3</v>
      </c>
      <c r="S515">
        <v>0</v>
      </c>
      <c r="T515" t="b">
        <v>0</v>
      </c>
      <c r="V515" t="s">
        <v>3825</v>
      </c>
      <c r="W515" s="15">
        <v>-3.3756760880000001</v>
      </c>
      <c r="X515" s="15">
        <v>36.654607059999996</v>
      </c>
      <c r="Y515">
        <v>15</v>
      </c>
      <c r="AC515">
        <v>15</v>
      </c>
      <c r="AF515" t="b">
        <v>0</v>
      </c>
      <c r="AI515" t="s">
        <v>71</v>
      </c>
      <c r="AJ515" t="s">
        <v>70</v>
      </c>
      <c r="AK515" t="s">
        <v>71</v>
      </c>
      <c r="AL515" t="s">
        <v>72</v>
      </c>
      <c r="AM515">
        <v>346053</v>
      </c>
      <c r="AO515" s="16" t="s">
        <v>110</v>
      </c>
      <c r="AP515" s="17" t="str">
        <f t="shared" si="34"/>
        <v>Nest (foundress)</v>
      </c>
      <c r="AQ515" s="18">
        <v>2</v>
      </c>
      <c r="AT515" s="19" t="s">
        <v>104</v>
      </c>
      <c r="AX515" s="22" t="str">
        <f>IF(AND('[1]observations-276632'!W515&gt;'[1]Methods write-up'!$Q$16,'[1]observations-276632'!W515&lt;'[1]Methods write-up'!$R$16,'[1]observations-276632'!X515&gt;'[1]Methods write-up'!$S$16,'[1]observations-276632'!X515&lt;'[1]Methods write-up'!$T$16),"West and Central Africa","")</f>
        <v/>
      </c>
      <c r="AY515" s="22" t="str">
        <f>IF(AND('[1]observations-276632'!W515&gt;'[1]Methods write-up'!$Q$17,'[1]observations-276632'!W515&lt;'[1]Methods write-up'!$R$17,'[1]observations-276632'!X515&gt;'[1]Methods write-up'!$S$17,'[1]observations-276632'!X515&lt;'[1]Methods write-up'!$T$17),"Equatorial tropical forest","")</f>
        <v/>
      </c>
      <c r="AZ515" s="22" t="str">
        <f>IF(AND('[1]observations-276632'!W515&gt;'[1]Methods write-up'!$Q$18,'[1]observations-276632'!W515&lt;'[1]Methods write-up'!$R$18,'[1]observations-276632'!X515&gt;'[1]Methods write-up'!$S$18,'[1]observations-276632'!X515&lt;'[1]Methods write-up'!$T$18),"Somali peninsula","")</f>
        <v/>
      </c>
      <c r="BA515" s="22" t="str">
        <f>IF(AND('[1]observations-276632'!W515&gt;'[1]Methods write-up'!$Q$19,'[1]observations-276632'!W515&lt;'[1]Methods write-up'!$R$19,'[1]observations-276632'!X515&gt;'[1]Methods write-up'!$S$19,'[1]observations-276632'!X515&lt;'[1]Methods write-up'!$T$19),"East Africa","")</f>
        <v>East Africa</v>
      </c>
      <c r="BB515" s="22" t="str">
        <f>IF(AND('[1]observations-276632'!W515&gt;'[1]Methods write-up'!$Q$20,'[1]observations-276632'!W515&lt;'[1]Methods write-up'!$R$20,'[1]observations-276632'!X515&gt;'[1]Methods write-up'!$S$20,'[1]observations-276632'!X515&lt;'[1]Methods write-up'!$T$20),"Temperate seasonal","")</f>
        <v/>
      </c>
      <c r="BC515" s="22" t="str">
        <f>IF(AND('[1]observations-276632'!W515&gt;'[1]Methods write-up'!$Q$21,'[1]observations-276632'!W515&lt;'[1]Methods write-up'!$R$21,'[1]observations-276632'!X515&gt;'[1]Methods write-up'!$S$21,'[1]observations-276632'!X515&lt;'[1]Methods write-up'!$T$21),"Desert and high aridity","")</f>
        <v/>
      </c>
      <c r="BD515" s="23" t="str">
        <f t="shared" ref="BD515:BD578" si="37">AX515&amp;AY515&amp;AZ515&amp;BA515&amp;BB515&amp;BC515</f>
        <v>East Africa</v>
      </c>
      <c r="BE515" s="24">
        <f t="shared" si="35"/>
        <v>1</v>
      </c>
      <c r="BF515" s="24">
        <f t="shared" si="36"/>
        <v>7</v>
      </c>
    </row>
    <row r="516" spans="1:58" ht="16.25" customHeight="1" x14ac:dyDescent="0.2">
      <c r="A516">
        <v>51989638</v>
      </c>
      <c r="B516" t="s">
        <v>3826</v>
      </c>
      <c r="C516" s="14">
        <v>43993</v>
      </c>
      <c r="D516" t="s">
        <v>3827</v>
      </c>
      <c r="E516" t="s">
        <v>57</v>
      </c>
      <c r="F516">
        <v>678008</v>
      </c>
      <c r="G516" t="s">
        <v>2315</v>
      </c>
      <c r="I516" t="s">
        <v>3828</v>
      </c>
      <c r="J516" t="s">
        <v>3829</v>
      </c>
      <c r="K516" t="s">
        <v>62</v>
      </c>
      <c r="L516" t="s">
        <v>63</v>
      </c>
      <c r="M516" t="s">
        <v>3830</v>
      </c>
      <c r="N516" t="s">
        <v>3831</v>
      </c>
      <c r="R516">
        <v>1</v>
      </c>
      <c r="S516">
        <v>0</v>
      </c>
      <c r="T516" t="b">
        <v>0</v>
      </c>
      <c r="V516" t="s">
        <v>2320</v>
      </c>
      <c r="W516" s="15">
        <v>-15.37007053</v>
      </c>
      <c r="X516" s="15">
        <v>28.31550859</v>
      </c>
      <c r="Y516">
        <v>15</v>
      </c>
      <c r="AC516">
        <v>15</v>
      </c>
      <c r="AF516" t="b">
        <v>0</v>
      </c>
      <c r="AI516" t="s">
        <v>71</v>
      </c>
      <c r="AJ516" t="s">
        <v>70</v>
      </c>
      <c r="AK516" t="s">
        <v>71</v>
      </c>
      <c r="AL516" t="s">
        <v>72</v>
      </c>
      <c r="AM516">
        <v>346053</v>
      </c>
      <c r="AO516" s="16" t="s">
        <v>150</v>
      </c>
      <c r="AP516" s="17" t="str">
        <f t="shared" si="34"/>
        <v>Male (off nest)</v>
      </c>
      <c r="AX516" s="22" t="str">
        <f>IF(AND('[1]observations-276632'!W516&gt;'[1]Methods write-up'!$Q$16,'[1]observations-276632'!W516&lt;'[1]Methods write-up'!$R$16,'[1]observations-276632'!X516&gt;'[1]Methods write-up'!$S$16,'[1]observations-276632'!X516&lt;'[1]Methods write-up'!$T$16),"West and Central Africa","")</f>
        <v>West and Central Africa</v>
      </c>
      <c r="AY516" s="22" t="str">
        <f>IF(AND('[1]observations-276632'!W516&gt;'[1]Methods write-up'!$Q$17,'[1]observations-276632'!W516&lt;'[1]Methods write-up'!$R$17,'[1]observations-276632'!X516&gt;'[1]Methods write-up'!$S$17,'[1]observations-276632'!X516&lt;'[1]Methods write-up'!$T$17),"Equatorial tropical forest","")</f>
        <v/>
      </c>
      <c r="AZ516" s="22" t="str">
        <f>IF(AND('[1]observations-276632'!W516&gt;'[1]Methods write-up'!$Q$18,'[1]observations-276632'!W516&lt;'[1]Methods write-up'!$R$18,'[1]observations-276632'!X516&gt;'[1]Methods write-up'!$S$18,'[1]observations-276632'!X516&lt;'[1]Methods write-up'!$T$18),"Somali peninsula","")</f>
        <v/>
      </c>
      <c r="BA516" s="22" t="str">
        <f>IF(AND('[1]observations-276632'!W516&gt;'[1]Methods write-up'!$Q$19,'[1]observations-276632'!W516&lt;'[1]Methods write-up'!$R$19,'[1]observations-276632'!X516&gt;'[1]Methods write-up'!$S$19,'[1]observations-276632'!X516&lt;'[1]Methods write-up'!$T$19),"East Africa","")</f>
        <v/>
      </c>
      <c r="BB516" s="22" t="str">
        <f>IF(AND('[1]observations-276632'!W516&gt;'[1]Methods write-up'!$Q$20,'[1]observations-276632'!W516&lt;'[1]Methods write-up'!$R$20,'[1]observations-276632'!X516&gt;'[1]Methods write-up'!$S$20,'[1]observations-276632'!X516&lt;'[1]Methods write-up'!$T$20),"Temperate seasonal","")</f>
        <v/>
      </c>
      <c r="BC516" s="22" t="str">
        <f>IF(AND('[1]observations-276632'!W516&gt;'[1]Methods write-up'!$Q$21,'[1]observations-276632'!W516&lt;'[1]Methods write-up'!$R$21,'[1]observations-276632'!X516&gt;'[1]Methods write-up'!$S$21,'[1]observations-276632'!X516&lt;'[1]Methods write-up'!$T$21),"Desert and high aridity","")</f>
        <v/>
      </c>
      <c r="BD516" s="23" t="str">
        <f t="shared" si="37"/>
        <v>West and Central Africa</v>
      </c>
      <c r="BE516" s="24">
        <f t="shared" si="35"/>
        <v>11</v>
      </c>
      <c r="BF516" s="24">
        <f t="shared" si="36"/>
        <v>6</v>
      </c>
    </row>
    <row r="517" spans="1:58" ht="16.25" customHeight="1" x14ac:dyDescent="0.2">
      <c r="A517">
        <v>52012796</v>
      </c>
      <c r="B517" t="s">
        <v>3832</v>
      </c>
      <c r="C517" s="14">
        <v>44007</v>
      </c>
      <c r="D517" t="s">
        <v>3833</v>
      </c>
      <c r="E517" t="s">
        <v>403</v>
      </c>
      <c r="F517">
        <v>3223280</v>
      </c>
      <c r="G517" t="s">
        <v>3834</v>
      </c>
      <c r="H517" t="s">
        <v>3835</v>
      </c>
      <c r="I517" t="s">
        <v>3836</v>
      </c>
      <c r="J517" t="s">
        <v>3837</v>
      </c>
      <c r="K517" t="s">
        <v>62</v>
      </c>
      <c r="L517" t="s">
        <v>63</v>
      </c>
      <c r="M517" t="s">
        <v>3838</v>
      </c>
      <c r="N517" t="s">
        <v>3839</v>
      </c>
      <c r="R517">
        <v>2</v>
      </c>
      <c r="S517">
        <v>0</v>
      </c>
      <c r="T517" t="b">
        <v>0</v>
      </c>
      <c r="U517">
        <v>2</v>
      </c>
      <c r="V517" t="s">
        <v>3840</v>
      </c>
      <c r="W517" s="15">
        <v>-6.9196437389999996</v>
      </c>
      <c r="X517" s="15">
        <v>39.198174029999997</v>
      </c>
      <c r="Y517">
        <v>349</v>
      </c>
      <c r="AC517">
        <v>349</v>
      </c>
      <c r="AF517" t="b">
        <v>0</v>
      </c>
      <c r="AG517" t="s">
        <v>350</v>
      </c>
      <c r="AH517" t="s">
        <v>350</v>
      </c>
      <c r="AI517" t="s">
        <v>71</v>
      </c>
      <c r="AJ517" t="s">
        <v>70</v>
      </c>
      <c r="AK517" t="s">
        <v>71</v>
      </c>
      <c r="AL517" t="s">
        <v>72</v>
      </c>
      <c r="AM517">
        <v>346053</v>
      </c>
      <c r="AO517" s="16" t="s">
        <v>150</v>
      </c>
      <c r="AP517" s="17" t="str">
        <f t="shared" si="34"/>
        <v>Male (off nest)</v>
      </c>
      <c r="AX517" s="22" t="str">
        <f>IF(AND('[1]observations-276632'!W517&gt;'[1]Methods write-up'!$Q$16,'[1]observations-276632'!W517&lt;'[1]Methods write-up'!$R$16,'[1]observations-276632'!X517&gt;'[1]Methods write-up'!$S$16,'[1]observations-276632'!X517&lt;'[1]Methods write-up'!$T$16),"West and Central Africa","")</f>
        <v/>
      </c>
      <c r="AY517" s="22" t="str">
        <f>IF(AND('[1]observations-276632'!W517&gt;'[1]Methods write-up'!$Q$17,'[1]observations-276632'!W517&lt;'[1]Methods write-up'!$R$17,'[1]observations-276632'!X517&gt;'[1]Methods write-up'!$S$17,'[1]observations-276632'!X517&lt;'[1]Methods write-up'!$T$17),"Equatorial tropical forest","")</f>
        <v/>
      </c>
      <c r="AZ517" s="22" t="str">
        <f>IF(AND('[1]observations-276632'!W517&gt;'[1]Methods write-up'!$Q$18,'[1]observations-276632'!W517&lt;'[1]Methods write-up'!$R$18,'[1]observations-276632'!X517&gt;'[1]Methods write-up'!$S$18,'[1]observations-276632'!X517&lt;'[1]Methods write-up'!$T$18),"Somali peninsula","")</f>
        <v/>
      </c>
      <c r="BA517" s="22" t="str">
        <f>IF(AND('[1]observations-276632'!W517&gt;'[1]Methods write-up'!$Q$19,'[1]observations-276632'!W517&lt;'[1]Methods write-up'!$R$19,'[1]observations-276632'!X517&gt;'[1]Methods write-up'!$S$19,'[1]observations-276632'!X517&lt;'[1]Methods write-up'!$T$19),"East Africa","")</f>
        <v>East Africa</v>
      </c>
      <c r="BB517" s="22" t="str">
        <f>IF(AND('[1]observations-276632'!W517&gt;'[1]Methods write-up'!$Q$20,'[1]observations-276632'!W517&lt;'[1]Methods write-up'!$R$20,'[1]observations-276632'!X517&gt;'[1]Methods write-up'!$S$20,'[1]observations-276632'!X517&lt;'[1]Methods write-up'!$T$20),"Temperate seasonal","")</f>
        <v/>
      </c>
      <c r="BC517" s="22" t="str">
        <f>IF(AND('[1]observations-276632'!W517&gt;'[1]Methods write-up'!$Q$21,'[1]observations-276632'!W517&lt;'[1]Methods write-up'!$R$21,'[1]observations-276632'!X517&gt;'[1]Methods write-up'!$S$21,'[1]observations-276632'!X517&lt;'[1]Methods write-up'!$T$21),"Desert and high aridity","")</f>
        <v/>
      </c>
      <c r="BD517" s="23" t="str">
        <f t="shared" si="37"/>
        <v>East Africa</v>
      </c>
      <c r="BE517" s="24">
        <f t="shared" si="35"/>
        <v>25</v>
      </c>
      <c r="BF517" s="24">
        <f t="shared" si="36"/>
        <v>6</v>
      </c>
    </row>
    <row r="518" spans="1:58" ht="16.25" customHeight="1" x14ac:dyDescent="0.2">
      <c r="A518">
        <v>52014174</v>
      </c>
      <c r="B518" t="s">
        <v>3841</v>
      </c>
      <c r="C518" s="14">
        <v>38621</v>
      </c>
      <c r="D518" t="s">
        <v>3842</v>
      </c>
      <c r="E518" t="s">
        <v>2594</v>
      </c>
      <c r="F518">
        <v>9016</v>
      </c>
      <c r="G518" t="s">
        <v>3843</v>
      </c>
      <c r="H518" t="s">
        <v>3844</v>
      </c>
      <c r="I518" t="s">
        <v>3845</v>
      </c>
      <c r="J518" t="s">
        <v>3846</v>
      </c>
      <c r="K518" t="s">
        <v>62</v>
      </c>
      <c r="L518" t="s">
        <v>63</v>
      </c>
      <c r="M518" t="s">
        <v>3847</v>
      </c>
      <c r="N518" t="s">
        <v>3848</v>
      </c>
      <c r="R518">
        <v>2</v>
      </c>
      <c r="S518">
        <v>0</v>
      </c>
      <c r="T518" t="b">
        <v>0</v>
      </c>
      <c r="V518" t="s">
        <v>3849</v>
      </c>
      <c r="W518" s="15">
        <v>0.48396583100000001</v>
      </c>
      <c r="X518" s="15">
        <v>33.163713610000002</v>
      </c>
      <c r="Y518">
        <v>61</v>
      </c>
      <c r="AC518">
        <v>61</v>
      </c>
      <c r="AF518" t="b">
        <v>0</v>
      </c>
      <c r="AI518" t="s">
        <v>71</v>
      </c>
      <c r="AJ518" t="s">
        <v>70</v>
      </c>
      <c r="AK518" t="s">
        <v>71</v>
      </c>
      <c r="AL518" t="s">
        <v>72</v>
      </c>
      <c r="AM518">
        <v>346053</v>
      </c>
      <c r="AO518" s="16" t="s">
        <v>1356</v>
      </c>
      <c r="AP518" s="17" t="str">
        <f t="shared" si="34"/>
        <v>Nest (foundress)</v>
      </c>
      <c r="AQ518" s="18">
        <v>1</v>
      </c>
      <c r="AT518" s="19" t="s">
        <v>104</v>
      </c>
      <c r="AX518" s="22" t="str">
        <f>IF(AND('[1]observations-276632'!W518&gt;'[1]Methods write-up'!$Q$16,'[1]observations-276632'!W518&lt;'[1]Methods write-up'!$R$16,'[1]observations-276632'!X518&gt;'[1]Methods write-up'!$S$16,'[1]observations-276632'!X518&lt;'[1]Methods write-up'!$T$16),"West and Central Africa","")</f>
        <v/>
      </c>
      <c r="AY518" s="22" t="str">
        <f>IF(AND('[1]observations-276632'!W518&gt;'[1]Methods write-up'!$Q$17,'[1]observations-276632'!W518&lt;'[1]Methods write-up'!$R$17,'[1]observations-276632'!X518&gt;'[1]Methods write-up'!$S$17,'[1]observations-276632'!X518&lt;'[1]Methods write-up'!$T$17),"Equatorial tropical forest","")</f>
        <v/>
      </c>
      <c r="AZ518" s="22" t="str">
        <f>IF(AND('[1]observations-276632'!W518&gt;'[1]Methods write-up'!$Q$18,'[1]observations-276632'!W518&lt;'[1]Methods write-up'!$R$18,'[1]observations-276632'!X518&gt;'[1]Methods write-up'!$S$18,'[1]observations-276632'!X518&lt;'[1]Methods write-up'!$T$18),"Somali peninsula","")</f>
        <v/>
      </c>
      <c r="BA518" s="22" t="str">
        <f>IF(AND('[1]observations-276632'!W518&gt;'[1]Methods write-up'!$Q$19,'[1]observations-276632'!W518&lt;'[1]Methods write-up'!$R$19,'[1]observations-276632'!X518&gt;'[1]Methods write-up'!$S$19,'[1]observations-276632'!X518&lt;'[1]Methods write-up'!$T$19),"East Africa","")</f>
        <v>East Africa</v>
      </c>
      <c r="BB518" s="22" t="str">
        <f>IF(AND('[1]observations-276632'!W518&gt;'[1]Methods write-up'!$Q$20,'[1]observations-276632'!W518&lt;'[1]Methods write-up'!$R$20,'[1]observations-276632'!X518&gt;'[1]Methods write-up'!$S$20,'[1]observations-276632'!X518&lt;'[1]Methods write-up'!$T$20),"Temperate seasonal","")</f>
        <v/>
      </c>
      <c r="BC518" s="22" t="str">
        <f>IF(AND('[1]observations-276632'!W518&gt;'[1]Methods write-up'!$Q$21,'[1]observations-276632'!W518&lt;'[1]Methods write-up'!$R$21,'[1]observations-276632'!X518&gt;'[1]Methods write-up'!$S$21,'[1]observations-276632'!X518&lt;'[1]Methods write-up'!$T$21),"Desert and high aridity","")</f>
        <v/>
      </c>
      <c r="BD518" s="23" t="str">
        <f t="shared" si="37"/>
        <v>East Africa</v>
      </c>
      <c r="BE518" s="24">
        <f t="shared" si="35"/>
        <v>26</v>
      </c>
      <c r="BF518" s="24">
        <f t="shared" si="36"/>
        <v>9</v>
      </c>
    </row>
    <row r="519" spans="1:58" ht="16.25" customHeight="1" x14ac:dyDescent="0.2">
      <c r="A519">
        <v>52051575</v>
      </c>
      <c r="B519" t="s">
        <v>3850</v>
      </c>
      <c r="C519" s="14">
        <v>43931</v>
      </c>
      <c r="D519" t="s">
        <v>3851</v>
      </c>
      <c r="E519" t="s">
        <v>113</v>
      </c>
      <c r="F519">
        <v>3288324</v>
      </c>
      <c r="G519" t="s">
        <v>3852</v>
      </c>
      <c r="H519" t="s">
        <v>3853</v>
      </c>
      <c r="I519" t="s">
        <v>3854</v>
      </c>
      <c r="J519" t="s">
        <v>3855</v>
      </c>
      <c r="K519" t="s">
        <v>62</v>
      </c>
      <c r="M519" t="s">
        <v>3856</v>
      </c>
      <c r="N519" t="s">
        <v>3857</v>
      </c>
      <c r="R519">
        <v>1</v>
      </c>
      <c r="S519">
        <v>0</v>
      </c>
      <c r="T519" t="b">
        <v>0</v>
      </c>
      <c r="U519">
        <v>2</v>
      </c>
      <c r="V519" t="s">
        <v>3858</v>
      </c>
      <c r="W519" s="15">
        <v>-1.9440728329999999</v>
      </c>
      <c r="X519" s="15">
        <v>30.061885159999999</v>
      </c>
      <c r="Y519">
        <v>33657</v>
      </c>
      <c r="AC519">
        <v>33657</v>
      </c>
      <c r="AF519" t="b">
        <v>0</v>
      </c>
      <c r="AG519" t="s">
        <v>350</v>
      </c>
      <c r="AH519" t="s">
        <v>350</v>
      </c>
      <c r="AI519" t="s">
        <v>71</v>
      </c>
      <c r="AJ519" t="s">
        <v>70</v>
      </c>
      <c r="AK519" t="s">
        <v>71</v>
      </c>
      <c r="AL519" t="s">
        <v>72</v>
      </c>
      <c r="AM519">
        <v>346053</v>
      </c>
      <c r="AO519" s="16" t="s">
        <v>73</v>
      </c>
      <c r="AP519" s="17" t="str">
        <f t="shared" si="34"/>
        <v>Off-nest female</v>
      </c>
      <c r="AX519" s="22" t="str">
        <f>IF(AND('[1]observations-276632'!W519&gt;'[1]Methods write-up'!$Q$16,'[1]observations-276632'!W519&lt;'[1]Methods write-up'!$R$16,'[1]observations-276632'!X519&gt;'[1]Methods write-up'!$S$16,'[1]observations-276632'!X519&lt;'[1]Methods write-up'!$T$16),"West and Central Africa","")</f>
        <v>West and Central Africa</v>
      </c>
      <c r="AY519" s="22" t="str">
        <f>IF(AND('[1]observations-276632'!W519&gt;'[1]Methods write-up'!$Q$17,'[1]observations-276632'!W519&lt;'[1]Methods write-up'!$R$17,'[1]observations-276632'!X519&gt;'[1]Methods write-up'!$S$17,'[1]observations-276632'!X519&lt;'[1]Methods write-up'!$T$17),"Equatorial tropical forest","")</f>
        <v/>
      </c>
      <c r="AZ519" s="22" t="str">
        <f>IF(AND('[1]observations-276632'!W519&gt;'[1]Methods write-up'!$Q$18,'[1]observations-276632'!W519&lt;'[1]Methods write-up'!$R$18,'[1]observations-276632'!X519&gt;'[1]Methods write-up'!$S$18,'[1]observations-276632'!X519&lt;'[1]Methods write-up'!$T$18),"Somali peninsula","")</f>
        <v/>
      </c>
      <c r="BA519" s="22" t="str">
        <f>IF(AND('[1]observations-276632'!W519&gt;'[1]Methods write-up'!$Q$19,'[1]observations-276632'!W519&lt;'[1]Methods write-up'!$R$19,'[1]observations-276632'!X519&gt;'[1]Methods write-up'!$S$19,'[1]observations-276632'!X519&lt;'[1]Methods write-up'!$T$19),"East Africa","")</f>
        <v/>
      </c>
      <c r="BB519" s="22" t="str">
        <f>IF(AND('[1]observations-276632'!W519&gt;'[1]Methods write-up'!$Q$20,'[1]observations-276632'!W519&lt;'[1]Methods write-up'!$R$20,'[1]observations-276632'!X519&gt;'[1]Methods write-up'!$S$20,'[1]observations-276632'!X519&lt;'[1]Methods write-up'!$T$20),"Temperate seasonal","")</f>
        <v/>
      </c>
      <c r="BC519" s="22" t="str">
        <f>IF(AND('[1]observations-276632'!W519&gt;'[1]Methods write-up'!$Q$21,'[1]observations-276632'!W519&lt;'[1]Methods write-up'!$R$21,'[1]observations-276632'!X519&gt;'[1]Methods write-up'!$S$21,'[1]observations-276632'!X519&lt;'[1]Methods write-up'!$T$21),"Desert and high aridity","")</f>
        <v/>
      </c>
      <c r="BD519" s="23" t="str">
        <f t="shared" si="37"/>
        <v>West and Central Africa</v>
      </c>
      <c r="BE519" s="24">
        <f t="shared" si="35"/>
        <v>10</v>
      </c>
      <c r="BF519" s="24">
        <f t="shared" si="36"/>
        <v>4</v>
      </c>
    </row>
    <row r="520" spans="1:58" ht="16.25" customHeight="1" x14ac:dyDescent="0.2">
      <c r="A520">
        <v>52238035</v>
      </c>
      <c r="B520" t="s">
        <v>3859</v>
      </c>
      <c r="C520" s="14">
        <v>43975</v>
      </c>
      <c r="E520" t="s">
        <v>1408</v>
      </c>
      <c r="F520">
        <v>2649141</v>
      </c>
      <c r="G520" t="s">
        <v>3860</v>
      </c>
      <c r="I520" t="s">
        <v>3861</v>
      </c>
      <c r="J520" t="s">
        <v>3862</v>
      </c>
      <c r="K520" t="s">
        <v>62</v>
      </c>
      <c r="L520" t="s">
        <v>63</v>
      </c>
      <c r="M520" t="s">
        <v>3863</v>
      </c>
      <c r="N520" t="s">
        <v>3864</v>
      </c>
      <c r="P520" t="s">
        <v>3865</v>
      </c>
      <c r="R520">
        <v>1</v>
      </c>
      <c r="S520">
        <v>0</v>
      </c>
      <c r="T520" t="b">
        <v>0</v>
      </c>
      <c r="V520" t="s">
        <v>3866</v>
      </c>
      <c r="W520" s="15">
        <v>-13.92388613</v>
      </c>
      <c r="X520" s="15">
        <v>33.758649689999999</v>
      </c>
      <c r="Y520">
        <v>47</v>
      </c>
      <c r="AC520">
        <v>30994</v>
      </c>
      <c r="AD520" t="s">
        <v>839</v>
      </c>
      <c r="AF520" t="b">
        <v>1</v>
      </c>
      <c r="AI520" t="s">
        <v>71</v>
      </c>
      <c r="AJ520" t="s">
        <v>70</v>
      </c>
      <c r="AK520" t="s">
        <v>71</v>
      </c>
      <c r="AL520" t="s">
        <v>72</v>
      </c>
      <c r="AM520">
        <v>346053</v>
      </c>
      <c r="AO520" s="16" t="s">
        <v>73</v>
      </c>
      <c r="AP520" s="17" t="str">
        <f t="shared" si="34"/>
        <v>Off-nest female</v>
      </c>
      <c r="AX520" s="22" t="str">
        <f>IF(AND('[1]observations-276632'!W520&gt;'[1]Methods write-up'!$Q$16,'[1]observations-276632'!W520&lt;'[1]Methods write-up'!$R$16,'[1]observations-276632'!X520&gt;'[1]Methods write-up'!$S$16,'[1]observations-276632'!X520&lt;'[1]Methods write-up'!$T$16),"West and Central Africa","")</f>
        <v/>
      </c>
      <c r="AY520" s="22" t="str">
        <f>IF(AND('[1]observations-276632'!W520&gt;'[1]Methods write-up'!$Q$17,'[1]observations-276632'!W520&lt;'[1]Methods write-up'!$R$17,'[1]observations-276632'!X520&gt;'[1]Methods write-up'!$S$17,'[1]observations-276632'!X520&lt;'[1]Methods write-up'!$T$17),"Equatorial tropical forest","")</f>
        <v/>
      </c>
      <c r="AZ520" s="22" t="str">
        <f>IF(AND('[1]observations-276632'!W520&gt;'[1]Methods write-up'!$Q$18,'[1]observations-276632'!W520&lt;'[1]Methods write-up'!$R$18,'[1]observations-276632'!X520&gt;'[1]Methods write-up'!$S$18,'[1]observations-276632'!X520&lt;'[1]Methods write-up'!$T$18),"Somali peninsula","")</f>
        <v/>
      </c>
      <c r="BA520" s="22" t="str">
        <f>IF(AND('[1]observations-276632'!W520&gt;'[1]Methods write-up'!$Q$19,'[1]observations-276632'!W520&lt;'[1]Methods write-up'!$R$19,'[1]observations-276632'!X520&gt;'[1]Methods write-up'!$S$19,'[1]observations-276632'!X520&lt;'[1]Methods write-up'!$T$19),"East Africa","")</f>
        <v/>
      </c>
      <c r="BB520" s="22" t="str">
        <f>IF(AND('[1]observations-276632'!W520&gt;'[1]Methods write-up'!$Q$20,'[1]observations-276632'!W520&lt;'[1]Methods write-up'!$R$20,'[1]observations-276632'!X520&gt;'[1]Methods write-up'!$S$20,'[1]observations-276632'!X520&lt;'[1]Methods write-up'!$T$20),"Temperate seasonal","")</f>
        <v/>
      </c>
      <c r="BC520" s="22" t="str">
        <f>IF(AND('[1]observations-276632'!W520&gt;'[1]Methods write-up'!$Q$21,'[1]observations-276632'!W520&lt;'[1]Methods write-up'!$R$21,'[1]observations-276632'!X520&gt;'[1]Methods write-up'!$S$21,'[1]observations-276632'!X520&lt;'[1]Methods write-up'!$T$21),"Desert and high aridity","")</f>
        <v/>
      </c>
      <c r="BD520" s="23" t="str">
        <f t="shared" si="37"/>
        <v/>
      </c>
      <c r="BE520" s="24">
        <f t="shared" si="35"/>
        <v>24</v>
      </c>
      <c r="BF520" s="24">
        <f t="shared" si="36"/>
        <v>5</v>
      </c>
    </row>
    <row r="521" spans="1:58" ht="16.25" customHeight="1" x14ac:dyDescent="0.2">
      <c r="A521">
        <v>52330951</v>
      </c>
      <c r="B521" t="s">
        <v>3867</v>
      </c>
      <c r="C521" s="14">
        <v>43997</v>
      </c>
      <c r="D521" t="s">
        <v>3868</v>
      </c>
      <c r="E521" t="s">
        <v>57</v>
      </c>
      <c r="F521">
        <v>678008</v>
      </c>
      <c r="G521" t="s">
        <v>2315</v>
      </c>
      <c r="I521" t="s">
        <v>3869</v>
      </c>
      <c r="J521" t="s">
        <v>3870</v>
      </c>
      <c r="K521" t="s">
        <v>62</v>
      </c>
      <c r="L521" t="s">
        <v>63</v>
      </c>
      <c r="M521" t="s">
        <v>3871</v>
      </c>
      <c r="N521" t="s">
        <v>3872</v>
      </c>
      <c r="R521">
        <v>1</v>
      </c>
      <c r="S521">
        <v>0</v>
      </c>
      <c r="T521" t="b">
        <v>0</v>
      </c>
      <c r="V521" t="s">
        <v>2320</v>
      </c>
      <c r="W521" s="15">
        <v>-15.369810859999999</v>
      </c>
      <c r="X521" s="15">
        <v>28.31590263</v>
      </c>
      <c r="Y521">
        <v>8</v>
      </c>
      <c r="AC521">
        <v>8</v>
      </c>
      <c r="AF521" t="b">
        <v>0</v>
      </c>
      <c r="AI521" t="s">
        <v>71</v>
      </c>
      <c r="AJ521" t="s">
        <v>70</v>
      </c>
      <c r="AK521" t="s">
        <v>71</v>
      </c>
      <c r="AL521" t="s">
        <v>72</v>
      </c>
      <c r="AM521">
        <v>346053</v>
      </c>
      <c r="AO521" s="16" t="s">
        <v>150</v>
      </c>
      <c r="AP521" s="17" t="str">
        <f t="shared" si="34"/>
        <v>Male (off nest)</v>
      </c>
      <c r="AX521" s="22" t="str">
        <f>IF(AND('[1]observations-276632'!W521&gt;'[1]Methods write-up'!$Q$16,'[1]observations-276632'!W521&lt;'[1]Methods write-up'!$R$16,'[1]observations-276632'!X521&gt;'[1]Methods write-up'!$S$16,'[1]observations-276632'!X521&lt;'[1]Methods write-up'!$T$16),"West and Central Africa","")</f>
        <v>West and Central Africa</v>
      </c>
      <c r="AY521" s="22" t="str">
        <f>IF(AND('[1]observations-276632'!W521&gt;'[1]Methods write-up'!$Q$17,'[1]observations-276632'!W521&lt;'[1]Methods write-up'!$R$17,'[1]observations-276632'!X521&gt;'[1]Methods write-up'!$S$17,'[1]observations-276632'!X521&lt;'[1]Methods write-up'!$T$17),"Equatorial tropical forest","")</f>
        <v/>
      </c>
      <c r="AZ521" s="22" t="str">
        <f>IF(AND('[1]observations-276632'!W521&gt;'[1]Methods write-up'!$Q$18,'[1]observations-276632'!W521&lt;'[1]Methods write-up'!$R$18,'[1]observations-276632'!X521&gt;'[1]Methods write-up'!$S$18,'[1]observations-276632'!X521&lt;'[1]Methods write-up'!$T$18),"Somali peninsula","")</f>
        <v/>
      </c>
      <c r="BA521" s="22" t="str">
        <f>IF(AND('[1]observations-276632'!W521&gt;'[1]Methods write-up'!$Q$19,'[1]observations-276632'!W521&lt;'[1]Methods write-up'!$R$19,'[1]observations-276632'!X521&gt;'[1]Methods write-up'!$S$19,'[1]observations-276632'!X521&lt;'[1]Methods write-up'!$T$19),"East Africa","")</f>
        <v/>
      </c>
      <c r="BB521" s="22" t="str">
        <f>IF(AND('[1]observations-276632'!W521&gt;'[1]Methods write-up'!$Q$20,'[1]observations-276632'!W521&lt;'[1]Methods write-up'!$R$20,'[1]observations-276632'!X521&gt;'[1]Methods write-up'!$S$20,'[1]observations-276632'!X521&lt;'[1]Methods write-up'!$T$20),"Temperate seasonal","")</f>
        <v/>
      </c>
      <c r="BC521" s="22" t="str">
        <f>IF(AND('[1]observations-276632'!W521&gt;'[1]Methods write-up'!$Q$21,'[1]observations-276632'!W521&lt;'[1]Methods write-up'!$R$21,'[1]observations-276632'!X521&gt;'[1]Methods write-up'!$S$21,'[1]observations-276632'!X521&lt;'[1]Methods write-up'!$T$21),"Desert and high aridity","")</f>
        <v/>
      </c>
      <c r="BD521" s="23" t="str">
        <f t="shared" si="37"/>
        <v>West and Central Africa</v>
      </c>
      <c r="BE521" s="24">
        <f t="shared" si="35"/>
        <v>15</v>
      </c>
      <c r="BF521" s="24">
        <f t="shared" si="36"/>
        <v>6</v>
      </c>
    </row>
    <row r="522" spans="1:58" ht="16.25" customHeight="1" x14ac:dyDescent="0.2">
      <c r="A522">
        <v>52346107</v>
      </c>
      <c r="B522" t="s">
        <v>3873</v>
      </c>
      <c r="C522" s="14">
        <v>44019</v>
      </c>
      <c r="E522" t="s">
        <v>1408</v>
      </c>
      <c r="F522">
        <v>2232453</v>
      </c>
      <c r="G522" t="s">
        <v>3874</v>
      </c>
      <c r="H522" t="s">
        <v>3875</v>
      </c>
      <c r="I522" t="s">
        <v>3876</v>
      </c>
      <c r="J522" t="s">
        <v>3877</v>
      </c>
      <c r="K522" t="s">
        <v>62</v>
      </c>
      <c r="M522" t="s">
        <v>3878</v>
      </c>
      <c r="N522" t="s">
        <v>3879</v>
      </c>
      <c r="R522">
        <v>3</v>
      </c>
      <c r="S522">
        <v>0</v>
      </c>
      <c r="T522" t="b">
        <v>0</v>
      </c>
      <c r="V522" t="s">
        <v>3880</v>
      </c>
      <c r="W522" s="15">
        <v>-24.122023380000002</v>
      </c>
      <c r="X522" s="15">
        <v>30.183510729999998</v>
      </c>
      <c r="Y522">
        <v>15</v>
      </c>
      <c r="AC522">
        <v>15</v>
      </c>
      <c r="AF522" t="b">
        <v>0</v>
      </c>
      <c r="AI522" t="s">
        <v>71</v>
      </c>
      <c r="AJ522" t="s">
        <v>70</v>
      </c>
      <c r="AK522" t="s">
        <v>71</v>
      </c>
      <c r="AL522" t="s">
        <v>72</v>
      </c>
      <c r="AM522">
        <v>346053</v>
      </c>
      <c r="AO522" s="16" t="s">
        <v>150</v>
      </c>
      <c r="AP522" s="17" t="str">
        <f t="shared" si="34"/>
        <v>Male (off nest)</v>
      </c>
      <c r="AX522" s="22" t="str">
        <f>IF(AND('[1]observations-276632'!W522&gt;'[1]Methods write-up'!$Q$16,'[1]observations-276632'!W522&lt;'[1]Methods write-up'!$R$16,'[1]observations-276632'!X522&gt;'[1]Methods write-up'!$S$16,'[1]observations-276632'!X522&lt;'[1]Methods write-up'!$T$16),"West and Central Africa","")</f>
        <v/>
      </c>
      <c r="AY522" s="22" t="str">
        <f>IF(AND('[1]observations-276632'!W522&gt;'[1]Methods write-up'!$Q$17,'[1]observations-276632'!W522&lt;'[1]Methods write-up'!$R$17,'[1]observations-276632'!X522&gt;'[1]Methods write-up'!$S$17,'[1]observations-276632'!X522&lt;'[1]Methods write-up'!$T$17),"Equatorial tropical forest","")</f>
        <v/>
      </c>
      <c r="AZ522" s="22" t="str">
        <f>IF(AND('[1]observations-276632'!W522&gt;'[1]Methods write-up'!$Q$18,'[1]observations-276632'!W522&lt;'[1]Methods write-up'!$R$18,'[1]observations-276632'!X522&gt;'[1]Methods write-up'!$S$18,'[1]observations-276632'!X522&lt;'[1]Methods write-up'!$T$18),"Somali peninsula","")</f>
        <v/>
      </c>
      <c r="BA522" s="22" t="str">
        <f>IF(AND('[1]observations-276632'!W522&gt;'[1]Methods write-up'!$Q$19,'[1]observations-276632'!W522&lt;'[1]Methods write-up'!$R$19,'[1]observations-276632'!X522&gt;'[1]Methods write-up'!$S$19,'[1]observations-276632'!X522&lt;'[1]Methods write-up'!$T$19),"East Africa","")</f>
        <v/>
      </c>
      <c r="BB522" s="22" t="str">
        <f>IF(AND('[1]observations-276632'!W522&gt;'[1]Methods write-up'!$Q$20,'[1]observations-276632'!W522&lt;'[1]Methods write-up'!$R$20,'[1]observations-276632'!X522&gt;'[1]Methods write-up'!$S$20,'[1]observations-276632'!X522&lt;'[1]Methods write-up'!$T$20),"Temperate seasonal","")</f>
        <v/>
      </c>
      <c r="BC522" s="22" t="str">
        <f>IF(AND('[1]observations-276632'!W522&gt;'[1]Methods write-up'!$Q$21,'[1]observations-276632'!W522&lt;'[1]Methods write-up'!$R$21,'[1]observations-276632'!X522&gt;'[1]Methods write-up'!$S$21,'[1]observations-276632'!X522&lt;'[1]Methods write-up'!$T$21),"Desert and high aridity","")</f>
        <v/>
      </c>
      <c r="BD522" s="23" t="str">
        <f t="shared" si="37"/>
        <v/>
      </c>
      <c r="BE522" s="24">
        <f t="shared" si="35"/>
        <v>7</v>
      </c>
      <c r="BF522" s="24">
        <f t="shared" si="36"/>
        <v>7</v>
      </c>
    </row>
    <row r="523" spans="1:58" ht="16.25" customHeight="1" x14ac:dyDescent="0.2">
      <c r="A523">
        <v>52346108</v>
      </c>
      <c r="B523" t="s">
        <v>3881</v>
      </c>
      <c r="C523" s="14">
        <v>44019</v>
      </c>
      <c r="E523" t="s">
        <v>1408</v>
      </c>
      <c r="F523">
        <v>2232453</v>
      </c>
      <c r="G523" t="s">
        <v>3874</v>
      </c>
      <c r="H523" t="s">
        <v>3875</v>
      </c>
      <c r="I523" t="s">
        <v>3882</v>
      </c>
      <c r="J523" t="s">
        <v>3883</v>
      </c>
      <c r="K523" t="s">
        <v>62</v>
      </c>
      <c r="M523" t="s">
        <v>3884</v>
      </c>
      <c r="N523" t="s">
        <v>3885</v>
      </c>
      <c r="R523">
        <v>3</v>
      </c>
      <c r="S523">
        <v>0</v>
      </c>
      <c r="T523" t="b">
        <v>0</v>
      </c>
      <c r="V523" t="s">
        <v>3880</v>
      </c>
      <c r="W523" s="15">
        <v>-24.12231714</v>
      </c>
      <c r="X523" s="15">
        <v>30.18250222</v>
      </c>
      <c r="Y523">
        <v>15</v>
      </c>
      <c r="AC523">
        <v>15</v>
      </c>
      <c r="AF523" t="b">
        <v>0</v>
      </c>
      <c r="AI523" t="s">
        <v>71</v>
      </c>
      <c r="AJ523" t="s">
        <v>70</v>
      </c>
      <c r="AK523" t="s">
        <v>71</v>
      </c>
      <c r="AL523" t="s">
        <v>72</v>
      </c>
      <c r="AM523">
        <v>346053</v>
      </c>
      <c r="AO523" s="16" t="s">
        <v>3886</v>
      </c>
      <c r="AP523" s="16"/>
      <c r="AX523" s="22" t="str">
        <f>IF(AND('[1]observations-276632'!W523&gt;'[1]Methods write-up'!$Q$16,'[1]observations-276632'!W523&lt;'[1]Methods write-up'!$R$16,'[1]observations-276632'!X523&gt;'[1]Methods write-up'!$S$16,'[1]observations-276632'!X523&lt;'[1]Methods write-up'!$T$16),"West Africa","")</f>
        <v/>
      </c>
      <c r="AY523" s="22" t="str">
        <f>IF(AND('[1]observations-276632'!W523&gt;'[1]Methods write-up'!$Q$17,'[1]observations-276632'!W523&lt;'[1]Methods write-up'!$R$17,'[1]observations-276632'!X523&gt;'[1]Methods write-up'!$S$17,'[1]observations-276632'!X523&lt;'[1]Methods write-up'!$T$17),"Equatorial tropical forest","")</f>
        <v/>
      </c>
      <c r="AZ523" s="22" t="str">
        <f>IF(AND('[1]observations-276632'!W523&gt;'[1]Methods write-up'!$Q$18,'[1]observations-276632'!W523&lt;'[1]Methods write-up'!$R$18,'[1]observations-276632'!X523&gt;'[1]Methods write-up'!$S$18,'[1]observations-276632'!X523&lt;'[1]Methods write-up'!$T$18),"Somali peninsula","")</f>
        <v/>
      </c>
      <c r="BA523" s="22" t="str">
        <f>IF(AND('[1]observations-276632'!W523&gt;'[1]Methods write-up'!$Q$19,'[1]observations-276632'!W523&lt;'[1]Methods write-up'!$R$19,'[1]observations-276632'!X523&gt;'[1]Methods write-up'!$S$19,'[1]observations-276632'!X523&lt;'[1]Methods write-up'!$T$19),"East Africa","")</f>
        <v/>
      </c>
      <c r="BB523" s="22" t="str">
        <f>IF(AND('[1]observations-276632'!W523&gt;'[1]Methods write-up'!$Q$20,'[1]observations-276632'!W523&lt;'[1]Methods write-up'!$R$20,'[1]observations-276632'!X523&gt;'[1]Methods write-up'!$S$20,'[1]observations-276632'!X523&lt;'[1]Methods write-up'!$T$20),"Temperate seasonal","")</f>
        <v/>
      </c>
      <c r="BC523" s="22" t="str">
        <f>IF(AND('[1]observations-276632'!W523&gt;'[1]Methods write-up'!$Q$21,'[1]observations-276632'!W523&lt;'[1]Methods write-up'!$R$21,'[1]observations-276632'!X523&gt;'[1]Methods write-up'!$S$21,'[1]observations-276632'!X523&lt;'[1]Methods write-up'!$T$21),"Desert and high aridity","")</f>
        <v/>
      </c>
      <c r="BD523" s="23" t="str">
        <f t="shared" si="37"/>
        <v/>
      </c>
      <c r="BE523" s="24">
        <f t="shared" si="35"/>
        <v>7</v>
      </c>
      <c r="BF523" s="24">
        <f t="shared" si="36"/>
        <v>7</v>
      </c>
    </row>
    <row r="524" spans="1:58" ht="16.25" customHeight="1" x14ac:dyDescent="0.2">
      <c r="A524">
        <v>52346413</v>
      </c>
      <c r="B524" t="s">
        <v>3887</v>
      </c>
      <c r="C524" s="14">
        <v>44019</v>
      </c>
      <c r="D524" t="s">
        <v>3888</v>
      </c>
      <c r="E524" t="s">
        <v>1408</v>
      </c>
      <c r="F524">
        <v>2974405</v>
      </c>
      <c r="G524" t="s">
        <v>3889</v>
      </c>
      <c r="I524" t="s">
        <v>3890</v>
      </c>
      <c r="J524" t="s">
        <v>3891</v>
      </c>
      <c r="K524" t="s">
        <v>62</v>
      </c>
      <c r="L524" t="s">
        <v>63</v>
      </c>
      <c r="M524" t="s">
        <v>3892</v>
      </c>
      <c r="N524" t="s">
        <v>3893</v>
      </c>
      <c r="R524">
        <v>3</v>
      </c>
      <c r="S524">
        <v>0</v>
      </c>
      <c r="T524" t="b">
        <v>0</v>
      </c>
      <c r="V524" t="s">
        <v>3894</v>
      </c>
      <c r="W524" s="15">
        <v>-24.150478799999998</v>
      </c>
      <c r="X524" s="15">
        <v>30.20352097</v>
      </c>
      <c r="Y524">
        <v>5440</v>
      </c>
      <c r="AC524">
        <v>5440</v>
      </c>
      <c r="AF524" t="b">
        <v>0</v>
      </c>
      <c r="AI524" t="s">
        <v>70</v>
      </c>
      <c r="AJ524" t="s">
        <v>70</v>
      </c>
      <c r="AK524" t="s">
        <v>71</v>
      </c>
      <c r="AL524" t="s">
        <v>72</v>
      </c>
      <c r="AM524">
        <v>346053</v>
      </c>
      <c r="AO524" s="16" t="s">
        <v>73</v>
      </c>
      <c r="AP524" s="17" t="str">
        <f t="shared" ref="AP524:AP587" si="38">IF(COUNTIF(AO524,"*foundress*"),"Nest (foundress)",AO524)</f>
        <v>Off-nest female</v>
      </c>
      <c r="AX524" s="22" t="str">
        <f>IF(AND('[1]observations-276632'!W524&gt;'[1]Methods write-up'!$Q$16,'[1]observations-276632'!W524&lt;'[1]Methods write-up'!$R$16,'[1]observations-276632'!X524&gt;'[1]Methods write-up'!$S$16,'[1]observations-276632'!X524&lt;'[1]Methods write-up'!$T$16),"West and Central Africa","")</f>
        <v/>
      </c>
      <c r="AY524" s="22" t="str">
        <f>IF(AND('[1]observations-276632'!W524&gt;'[1]Methods write-up'!$Q$17,'[1]observations-276632'!W524&lt;'[1]Methods write-up'!$R$17,'[1]observations-276632'!X524&gt;'[1]Methods write-up'!$S$17,'[1]observations-276632'!X524&lt;'[1]Methods write-up'!$T$17),"Equatorial tropical forest","")</f>
        <v/>
      </c>
      <c r="AZ524" s="22" t="str">
        <f>IF(AND('[1]observations-276632'!W524&gt;'[1]Methods write-up'!$Q$18,'[1]observations-276632'!W524&lt;'[1]Methods write-up'!$R$18,'[1]observations-276632'!X524&gt;'[1]Methods write-up'!$S$18,'[1]observations-276632'!X524&lt;'[1]Methods write-up'!$T$18),"Somali peninsula","")</f>
        <v/>
      </c>
      <c r="BA524" s="22" t="str">
        <f>IF(AND('[1]observations-276632'!W524&gt;'[1]Methods write-up'!$Q$19,'[1]observations-276632'!W524&lt;'[1]Methods write-up'!$R$19,'[1]observations-276632'!X524&gt;'[1]Methods write-up'!$S$19,'[1]observations-276632'!X524&lt;'[1]Methods write-up'!$T$19),"East Africa","")</f>
        <v/>
      </c>
      <c r="BB524" s="22" t="str">
        <f>IF(AND('[1]observations-276632'!W524&gt;'[1]Methods write-up'!$Q$20,'[1]observations-276632'!W524&lt;'[1]Methods write-up'!$R$20,'[1]observations-276632'!X524&gt;'[1]Methods write-up'!$S$20,'[1]observations-276632'!X524&lt;'[1]Methods write-up'!$T$20),"Temperate seasonal","")</f>
        <v/>
      </c>
      <c r="BC524" s="22" t="str">
        <f>IF(AND('[1]observations-276632'!W524&gt;'[1]Methods write-up'!$Q$21,'[1]observations-276632'!W524&lt;'[1]Methods write-up'!$R$21,'[1]observations-276632'!X524&gt;'[1]Methods write-up'!$S$21,'[1]observations-276632'!X524&lt;'[1]Methods write-up'!$T$21),"Desert and high aridity","")</f>
        <v/>
      </c>
      <c r="BD524" s="23" t="str">
        <f t="shared" si="37"/>
        <v/>
      </c>
      <c r="BE524" s="24">
        <f t="shared" si="35"/>
        <v>7</v>
      </c>
      <c r="BF524" s="24">
        <f t="shared" si="36"/>
        <v>7</v>
      </c>
    </row>
    <row r="525" spans="1:58" ht="16.25" customHeight="1" x14ac:dyDescent="0.2">
      <c r="A525">
        <v>52386236</v>
      </c>
      <c r="B525" t="s">
        <v>3895</v>
      </c>
      <c r="C525" s="14">
        <v>44001</v>
      </c>
      <c r="D525" t="s">
        <v>3896</v>
      </c>
      <c r="E525" t="s">
        <v>57</v>
      </c>
      <c r="F525">
        <v>678008</v>
      </c>
      <c r="G525" t="s">
        <v>2315</v>
      </c>
      <c r="I525" t="s">
        <v>3897</v>
      </c>
      <c r="J525" t="s">
        <v>3898</v>
      </c>
      <c r="K525" t="s">
        <v>62</v>
      </c>
      <c r="L525" t="s">
        <v>63</v>
      </c>
      <c r="M525" t="s">
        <v>3899</v>
      </c>
      <c r="N525" t="s">
        <v>3900</v>
      </c>
      <c r="R525">
        <v>2</v>
      </c>
      <c r="S525">
        <v>0</v>
      </c>
      <c r="T525" t="b">
        <v>0</v>
      </c>
      <c r="V525" t="s">
        <v>2320</v>
      </c>
      <c r="W525" s="15">
        <v>-15.36985702</v>
      </c>
      <c r="X525" s="15">
        <v>28.315754519999999</v>
      </c>
      <c r="Y525">
        <v>46</v>
      </c>
      <c r="AC525">
        <v>46</v>
      </c>
      <c r="AF525" t="b">
        <v>0</v>
      </c>
      <c r="AI525" t="s">
        <v>71</v>
      </c>
      <c r="AJ525" t="s">
        <v>70</v>
      </c>
      <c r="AK525" t="s">
        <v>71</v>
      </c>
      <c r="AL525" t="s">
        <v>72</v>
      </c>
      <c r="AM525">
        <v>346053</v>
      </c>
      <c r="AO525" s="16" t="s">
        <v>73</v>
      </c>
      <c r="AP525" s="17" t="str">
        <f t="shared" si="38"/>
        <v>Off-nest female</v>
      </c>
      <c r="AX525" s="22" t="str">
        <f>IF(AND('[1]observations-276632'!W525&gt;'[1]Methods write-up'!$Q$16,'[1]observations-276632'!W525&lt;'[1]Methods write-up'!$R$16,'[1]observations-276632'!X525&gt;'[1]Methods write-up'!$S$16,'[1]observations-276632'!X525&lt;'[1]Methods write-up'!$T$16),"West and Central Africa","")</f>
        <v>West and Central Africa</v>
      </c>
      <c r="AY525" s="22" t="str">
        <f>IF(AND('[1]observations-276632'!W525&gt;'[1]Methods write-up'!$Q$17,'[1]observations-276632'!W525&lt;'[1]Methods write-up'!$R$17,'[1]observations-276632'!X525&gt;'[1]Methods write-up'!$S$17,'[1]observations-276632'!X525&lt;'[1]Methods write-up'!$T$17),"Equatorial tropical forest","")</f>
        <v/>
      </c>
      <c r="AZ525" s="22" t="str">
        <f>IF(AND('[1]observations-276632'!W525&gt;'[1]Methods write-up'!$Q$18,'[1]observations-276632'!W525&lt;'[1]Methods write-up'!$R$18,'[1]observations-276632'!X525&gt;'[1]Methods write-up'!$S$18,'[1]observations-276632'!X525&lt;'[1]Methods write-up'!$T$18),"Somali peninsula","")</f>
        <v/>
      </c>
      <c r="BA525" s="22" t="str">
        <f>IF(AND('[1]observations-276632'!W525&gt;'[1]Methods write-up'!$Q$19,'[1]observations-276632'!W525&lt;'[1]Methods write-up'!$R$19,'[1]observations-276632'!X525&gt;'[1]Methods write-up'!$S$19,'[1]observations-276632'!X525&lt;'[1]Methods write-up'!$T$19),"East Africa","")</f>
        <v/>
      </c>
      <c r="BB525" s="22" t="str">
        <f>IF(AND('[1]observations-276632'!W525&gt;'[1]Methods write-up'!$Q$20,'[1]observations-276632'!W525&lt;'[1]Methods write-up'!$R$20,'[1]observations-276632'!X525&gt;'[1]Methods write-up'!$S$20,'[1]observations-276632'!X525&lt;'[1]Methods write-up'!$T$20),"Temperate seasonal","")</f>
        <v/>
      </c>
      <c r="BC525" s="22" t="str">
        <f>IF(AND('[1]observations-276632'!W525&gt;'[1]Methods write-up'!$Q$21,'[1]observations-276632'!W525&lt;'[1]Methods write-up'!$R$21,'[1]observations-276632'!X525&gt;'[1]Methods write-up'!$S$21,'[1]observations-276632'!X525&lt;'[1]Methods write-up'!$T$21),"Desert and high aridity","")</f>
        <v/>
      </c>
      <c r="BD525" s="23" t="str">
        <f t="shared" si="37"/>
        <v>West and Central Africa</v>
      </c>
      <c r="BE525" s="24">
        <f t="shared" si="35"/>
        <v>19</v>
      </c>
      <c r="BF525" s="24">
        <f t="shared" si="36"/>
        <v>6</v>
      </c>
    </row>
    <row r="526" spans="1:58" ht="16.25" customHeight="1" x14ac:dyDescent="0.2">
      <c r="A526">
        <v>52656969</v>
      </c>
      <c r="B526" t="s">
        <v>3901</v>
      </c>
      <c r="C526" s="14">
        <v>42805</v>
      </c>
      <c r="D526" t="s">
        <v>3902</v>
      </c>
      <c r="E526" t="s">
        <v>113</v>
      </c>
      <c r="F526">
        <v>3151177</v>
      </c>
      <c r="G526" t="s">
        <v>3903</v>
      </c>
      <c r="H526" t="s">
        <v>3904</v>
      </c>
      <c r="I526" t="s">
        <v>3905</v>
      </c>
      <c r="J526" t="s">
        <v>3906</v>
      </c>
      <c r="K526" t="s">
        <v>62</v>
      </c>
      <c r="L526" t="s">
        <v>63</v>
      </c>
      <c r="M526" t="s">
        <v>3907</v>
      </c>
      <c r="N526" t="s">
        <v>3908</v>
      </c>
      <c r="R526">
        <v>1</v>
      </c>
      <c r="S526">
        <v>0</v>
      </c>
      <c r="T526" t="b">
        <v>0</v>
      </c>
      <c r="V526" t="s">
        <v>2928</v>
      </c>
      <c r="W526" s="15">
        <v>-30.27390475</v>
      </c>
      <c r="X526" s="15">
        <v>30.735115310000001</v>
      </c>
      <c r="Y526">
        <v>198</v>
      </c>
      <c r="AC526">
        <v>198</v>
      </c>
      <c r="AF526" t="b">
        <v>0</v>
      </c>
      <c r="AI526" t="s">
        <v>71</v>
      </c>
      <c r="AJ526" t="s">
        <v>70</v>
      </c>
      <c r="AK526" t="s">
        <v>71</v>
      </c>
      <c r="AL526" t="s">
        <v>72</v>
      </c>
      <c r="AM526">
        <v>346053</v>
      </c>
      <c r="AO526" s="16" t="s">
        <v>150</v>
      </c>
      <c r="AP526" s="17" t="str">
        <f t="shared" si="38"/>
        <v>Male (off nest)</v>
      </c>
      <c r="AX526" s="22" t="str">
        <f>IF(AND('[1]observations-276632'!W526&gt;'[1]Methods write-up'!$Q$16,'[1]observations-276632'!W526&lt;'[1]Methods write-up'!$R$16,'[1]observations-276632'!X526&gt;'[1]Methods write-up'!$S$16,'[1]observations-276632'!X526&lt;'[1]Methods write-up'!$T$16),"West and Central Africa","")</f>
        <v/>
      </c>
      <c r="AY526" s="22" t="str">
        <f>IF(AND('[1]observations-276632'!W526&gt;'[1]Methods write-up'!$Q$17,'[1]observations-276632'!W526&lt;'[1]Methods write-up'!$R$17,'[1]observations-276632'!X526&gt;'[1]Methods write-up'!$S$17,'[1]observations-276632'!X526&lt;'[1]Methods write-up'!$T$17),"Equatorial tropical forest","")</f>
        <v/>
      </c>
      <c r="AZ526" s="22" t="str">
        <f>IF(AND('[1]observations-276632'!W526&gt;'[1]Methods write-up'!$Q$18,'[1]observations-276632'!W526&lt;'[1]Methods write-up'!$R$18,'[1]observations-276632'!X526&gt;'[1]Methods write-up'!$S$18,'[1]observations-276632'!X526&lt;'[1]Methods write-up'!$T$18),"Somali peninsula","")</f>
        <v/>
      </c>
      <c r="BA526" s="22" t="str">
        <f>IF(AND('[1]observations-276632'!W526&gt;'[1]Methods write-up'!$Q$19,'[1]observations-276632'!W526&lt;'[1]Methods write-up'!$R$19,'[1]observations-276632'!X526&gt;'[1]Methods write-up'!$S$19,'[1]observations-276632'!X526&lt;'[1]Methods write-up'!$T$19),"East Africa","")</f>
        <v/>
      </c>
      <c r="BB526" s="22" t="str">
        <f>IF(AND('[1]observations-276632'!W526&gt;'[1]Methods write-up'!$Q$20,'[1]observations-276632'!W526&lt;'[1]Methods write-up'!$R$20,'[1]observations-276632'!X526&gt;'[1]Methods write-up'!$S$20,'[1]observations-276632'!X526&lt;'[1]Methods write-up'!$T$20),"Temperate seasonal","")</f>
        <v>Temperate seasonal</v>
      </c>
      <c r="BC526" s="22" t="str">
        <f>IF(AND('[1]observations-276632'!W526&gt;'[1]Methods write-up'!$Q$21,'[1]observations-276632'!W526&lt;'[1]Methods write-up'!$R$21,'[1]observations-276632'!X526&gt;'[1]Methods write-up'!$S$21,'[1]observations-276632'!X526&lt;'[1]Methods write-up'!$T$21),"Desert and high aridity","")</f>
        <v/>
      </c>
      <c r="BD526" s="23" t="str">
        <f t="shared" si="37"/>
        <v>Temperate seasonal</v>
      </c>
      <c r="BE526" s="24">
        <f t="shared" si="35"/>
        <v>11</v>
      </c>
      <c r="BF526" s="24">
        <f t="shared" si="36"/>
        <v>3</v>
      </c>
    </row>
    <row r="527" spans="1:58" ht="16.25" customHeight="1" x14ac:dyDescent="0.2">
      <c r="A527">
        <v>52657007</v>
      </c>
      <c r="B527" t="s">
        <v>3909</v>
      </c>
      <c r="C527" s="14">
        <v>42981</v>
      </c>
      <c r="D527" t="s">
        <v>3910</v>
      </c>
      <c r="E527" t="s">
        <v>113</v>
      </c>
      <c r="F527">
        <v>3151177</v>
      </c>
      <c r="G527" t="s">
        <v>3903</v>
      </c>
      <c r="H527" t="s">
        <v>3904</v>
      </c>
      <c r="I527" t="s">
        <v>3911</v>
      </c>
      <c r="J527" t="s">
        <v>3912</v>
      </c>
      <c r="K527" t="s">
        <v>62</v>
      </c>
      <c r="L527" t="s">
        <v>63</v>
      </c>
      <c r="M527" t="s">
        <v>3913</v>
      </c>
      <c r="N527" t="s">
        <v>3914</v>
      </c>
      <c r="R527">
        <v>4</v>
      </c>
      <c r="S527">
        <v>0</v>
      </c>
      <c r="T527" t="b">
        <v>0</v>
      </c>
      <c r="V527" t="s">
        <v>2928</v>
      </c>
      <c r="W527" s="15">
        <v>-30.27390475</v>
      </c>
      <c r="X527" s="15">
        <v>30.735115310000001</v>
      </c>
      <c r="Y527">
        <v>198</v>
      </c>
      <c r="AC527">
        <v>198</v>
      </c>
      <c r="AF527" t="b">
        <v>0</v>
      </c>
      <c r="AI527" t="s">
        <v>71</v>
      </c>
      <c r="AJ527" t="s">
        <v>70</v>
      </c>
      <c r="AK527" t="s">
        <v>71</v>
      </c>
      <c r="AL527" t="s">
        <v>72</v>
      </c>
      <c r="AM527">
        <v>346053</v>
      </c>
      <c r="AO527" s="16" t="s">
        <v>73</v>
      </c>
      <c r="AP527" s="17" t="str">
        <f t="shared" si="38"/>
        <v>Off-nest female</v>
      </c>
      <c r="AX527" s="22" t="str">
        <f>IF(AND('[1]observations-276632'!W527&gt;'[1]Methods write-up'!$Q$16,'[1]observations-276632'!W527&lt;'[1]Methods write-up'!$R$16,'[1]observations-276632'!X527&gt;'[1]Methods write-up'!$S$16,'[1]observations-276632'!X527&lt;'[1]Methods write-up'!$T$16),"West and Central Africa","")</f>
        <v/>
      </c>
      <c r="AY527" s="22" t="str">
        <f>IF(AND('[1]observations-276632'!W527&gt;'[1]Methods write-up'!$Q$17,'[1]observations-276632'!W527&lt;'[1]Methods write-up'!$R$17,'[1]observations-276632'!X527&gt;'[1]Methods write-up'!$S$17,'[1]observations-276632'!X527&lt;'[1]Methods write-up'!$T$17),"Equatorial tropical forest","")</f>
        <v/>
      </c>
      <c r="AZ527" s="22" t="str">
        <f>IF(AND('[1]observations-276632'!W527&gt;'[1]Methods write-up'!$Q$18,'[1]observations-276632'!W527&lt;'[1]Methods write-up'!$R$18,'[1]observations-276632'!X527&gt;'[1]Methods write-up'!$S$18,'[1]observations-276632'!X527&lt;'[1]Methods write-up'!$T$18),"Somali peninsula","")</f>
        <v/>
      </c>
      <c r="BA527" s="22" t="str">
        <f>IF(AND('[1]observations-276632'!W527&gt;'[1]Methods write-up'!$Q$19,'[1]observations-276632'!W527&lt;'[1]Methods write-up'!$R$19,'[1]observations-276632'!X527&gt;'[1]Methods write-up'!$S$19,'[1]observations-276632'!X527&lt;'[1]Methods write-up'!$T$19),"East Africa","")</f>
        <v/>
      </c>
      <c r="BB527" s="22" t="str">
        <f>IF(AND('[1]observations-276632'!W527&gt;'[1]Methods write-up'!$Q$20,'[1]observations-276632'!W527&lt;'[1]Methods write-up'!$R$20,'[1]observations-276632'!X527&gt;'[1]Methods write-up'!$S$20,'[1]observations-276632'!X527&lt;'[1]Methods write-up'!$T$20),"Temperate seasonal","")</f>
        <v>Temperate seasonal</v>
      </c>
      <c r="BC527" s="22" t="str">
        <f>IF(AND('[1]observations-276632'!W527&gt;'[1]Methods write-up'!$Q$21,'[1]observations-276632'!W527&lt;'[1]Methods write-up'!$R$21,'[1]observations-276632'!X527&gt;'[1]Methods write-up'!$S$21,'[1]observations-276632'!X527&lt;'[1]Methods write-up'!$T$21),"Desert and high aridity","")</f>
        <v/>
      </c>
      <c r="BD527" s="23" t="str">
        <f t="shared" si="37"/>
        <v>Temperate seasonal</v>
      </c>
      <c r="BE527" s="24">
        <f t="shared" si="35"/>
        <v>3</v>
      </c>
      <c r="BF527" s="24">
        <f t="shared" si="36"/>
        <v>9</v>
      </c>
    </row>
    <row r="528" spans="1:58" ht="16.25" customHeight="1" x14ac:dyDescent="0.2">
      <c r="A528">
        <v>52657029</v>
      </c>
      <c r="B528" t="s">
        <v>3915</v>
      </c>
      <c r="C528" s="14">
        <v>42981</v>
      </c>
      <c r="D528" t="s">
        <v>3916</v>
      </c>
      <c r="E528" t="s">
        <v>113</v>
      </c>
      <c r="F528">
        <v>3151177</v>
      </c>
      <c r="G528" t="s">
        <v>3903</v>
      </c>
      <c r="H528" t="s">
        <v>3904</v>
      </c>
      <c r="I528" t="s">
        <v>3917</v>
      </c>
      <c r="J528" t="s">
        <v>3918</v>
      </c>
      <c r="K528" t="s">
        <v>62</v>
      </c>
      <c r="L528" t="s">
        <v>63</v>
      </c>
      <c r="M528" t="s">
        <v>3919</v>
      </c>
      <c r="N528" t="s">
        <v>3920</v>
      </c>
      <c r="R528">
        <v>2</v>
      </c>
      <c r="S528">
        <v>0</v>
      </c>
      <c r="T528" t="b">
        <v>0</v>
      </c>
      <c r="V528" t="s">
        <v>2928</v>
      </c>
      <c r="W528" s="15">
        <v>-30.27390475</v>
      </c>
      <c r="X528" s="15">
        <v>30.735115310000001</v>
      </c>
      <c r="Y528">
        <v>198</v>
      </c>
      <c r="AC528">
        <v>198</v>
      </c>
      <c r="AF528" t="b">
        <v>0</v>
      </c>
      <c r="AI528" t="s">
        <v>71</v>
      </c>
      <c r="AJ528" t="s">
        <v>70</v>
      </c>
      <c r="AK528" t="s">
        <v>71</v>
      </c>
      <c r="AL528" t="s">
        <v>72</v>
      </c>
      <c r="AM528">
        <v>346053</v>
      </c>
      <c r="AO528" s="16" t="s">
        <v>73</v>
      </c>
      <c r="AP528" s="17" t="str">
        <f t="shared" si="38"/>
        <v>Off-nest female</v>
      </c>
      <c r="AX528" s="22" t="str">
        <f>IF(AND('[1]observations-276632'!W528&gt;'[1]Methods write-up'!$Q$16,'[1]observations-276632'!W528&lt;'[1]Methods write-up'!$R$16,'[1]observations-276632'!X528&gt;'[1]Methods write-up'!$S$16,'[1]observations-276632'!X528&lt;'[1]Methods write-up'!$T$16),"West and Central Africa","")</f>
        <v/>
      </c>
      <c r="AY528" s="22" t="str">
        <f>IF(AND('[1]observations-276632'!W528&gt;'[1]Methods write-up'!$Q$17,'[1]observations-276632'!W528&lt;'[1]Methods write-up'!$R$17,'[1]observations-276632'!X528&gt;'[1]Methods write-up'!$S$17,'[1]observations-276632'!X528&lt;'[1]Methods write-up'!$T$17),"Equatorial tropical forest","")</f>
        <v/>
      </c>
      <c r="AZ528" s="22" t="str">
        <f>IF(AND('[1]observations-276632'!W528&gt;'[1]Methods write-up'!$Q$18,'[1]observations-276632'!W528&lt;'[1]Methods write-up'!$R$18,'[1]observations-276632'!X528&gt;'[1]Methods write-up'!$S$18,'[1]observations-276632'!X528&lt;'[1]Methods write-up'!$T$18),"Somali peninsula","")</f>
        <v/>
      </c>
      <c r="BA528" s="22" t="str">
        <f>IF(AND('[1]observations-276632'!W528&gt;'[1]Methods write-up'!$Q$19,'[1]observations-276632'!W528&lt;'[1]Methods write-up'!$R$19,'[1]observations-276632'!X528&gt;'[1]Methods write-up'!$S$19,'[1]observations-276632'!X528&lt;'[1]Methods write-up'!$T$19),"East Africa","")</f>
        <v/>
      </c>
      <c r="BB528" s="22" t="str">
        <f>IF(AND('[1]observations-276632'!W528&gt;'[1]Methods write-up'!$Q$20,'[1]observations-276632'!W528&lt;'[1]Methods write-up'!$R$20,'[1]observations-276632'!X528&gt;'[1]Methods write-up'!$S$20,'[1]observations-276632'!X528&lt;'[1]Methods write-up'!$T$20),"Temperate seasonal","")</f>
        <v>Temperate seasonal</v>
      </c>
      <c r="BC528" s="22" t="str">
        <f>IF(AND('[1]observations-276632'!W528&gt;'[1]Methods write-up'!$Q$21,'[1]observations-276632'!W528&lt;'[1]Methods write-up'!$R$21,'[1]observations-276632'!X528&gt;'[1]Methods write-up'!$S$21,'[1]observations-276632'!X528&lt;'[1]Methods write-up'!$T$21),"Desert and high aridity","")</f>
        <v/>
      </c>
      <c r="BD528" s="23" t="str">
        <f t="shared" si="37"/>
        <v>Temperate seasonal</v>
      </c>
      <c r="BE528" s="24">
        <f t="shared" si="35"/>
        <v>3</v>
      </c>
      <c r="BF528" s="24">
        <f t="shared" si="36"/>
        <v>9</v>
      </c>
    </row>
    <row r="529" spans="1:58" ht="16.25" customHeight="1" x14ac:dyDescent="0.2">
      <c r="A529">
        <v>52657030</v>
      </c>
      <c r="B529" s="13">
        <v>43958</v>
      </c>
      <c r="C529" s="14">
        <v>43958</v>
      </c>
      <c r="E529" t="s">
        <v>113</v>
      </c>
      <c r="F529">
        <v>3151177</v>
      </c>
      <c r="G529" t="s">
        <v>3903</v>
      </c>
      <c r="H529" t="s">
        <v>3904</v>
      </c>
      <c r="I529" t="s">
        <v>3917</v>
      </c>
      <c r="J529" t="s">
        <v>3921</v>
      </c>
      <c r="K529" t="s">
        <v>62</v>
      </c>
      <c r="L529" t="s">
        <v>63</v>
      </c>
      <c r="M529" t="s">
        <v>3922</v>
      </c>
      <c r="N529" t="s">
        <v>3923</v>
      </c>
      <c r="R529">
        <v>2</v>
      </c>
      <c r="S529">
        <v>0</v>
      </c>
      <c r="T529" t="b">
        <v>0</v>
      </c>
      <c r="V529" t="s">
        <v>2928</v>
      </c>
      <c r="W529" s="15">
        <v>-30.27390475</v>
      </c>
      <c r="X529" s="15">
        <v>30.735115310000001</v>
      </c>
      <c r="Y529">
        <v>198</v>
      </c>
      <c r="AC529">
        <v>198</v>
      </c>
      <c r="AF529" t="b">
        <v>0</v>
      </c>
      <c r="AI529" t="s">
        <v>71</v>
      </c>
      <c r="AJ529" t="s">
        <v>70</v>
      </c>
      <c r="AK529" t="s">
        <v>71</v>
      </c>
      <c r="AL529" t="s">
        <v>72</v>
      </c>
      <c r="AM529">
        <v>346053</v>
      </c>
      <c r="AO529" s="16" t="s">
        <v>150</v>
      </c>
      <c r="AP529" s="17" t="str">
        <f t="shared" si="38"/>
        <v>Male (off nest)</v>
      </c>
      <c r="AX529" s="22" t="str">
        <f>IF(AND('[1]observations-276632'!W529&gt;'[1]Methods write-up'!$Q$16,'[1]observations-276632'!W529&lt;'[1]Methods write-up'!$R$16,'[1]observations-276632'!X529&gt;'[1]Methods write-up'!$S$16,'[1]observations-276632'!X529&lt;'[1]Methods write-up'!$T$16),"West and Central Africa","")</f>
        <v/>
      </c>
      <c r="AY529" s="22" t="str">
        <f>IF(AND('[1]observations-276632'!W529&gt;'[1]Methods write-up'!$Q$17,'[1]observations-276632'!W529&lt;'[1]Methods write-up'!$R$17,'[1]observations-276632'!X529&gt;'[1]Methods write-up'!$S$17,'[1]observations-276632'!X529&lt;'[1]Methods write-up'!$T$17),"Equatorial tropical forest","")</f>
        <v/>
      </c>
      <c r="AZ529" s="22" t="str">
        <f>IF(AND('[1]observations-276632'!W529&gt;'[1]Methods write-up'!$Q$18,'[1]observations-276632'!W529&lt;'[1]Methods write-up'!$R$18,'[1]observations-276632'!X529&gt;'[1]Methods write-up'!$S$18,'[1]observations-276632'!X529&lt;'[1]Methods write-up'!$T$18),"Somali peninsula","")</f>
        <v/>
      </c>
      <c r="BA529" s="22" t="str">
        <f>IF(AND('[1]observations-276632'!W529&gt;'[1]Methods write-up'!$Q$19,'[1]observations-276632'!W529&lt;'[1]Methods write-up'!$R$19,'[1]observations-276632'!X529&gt;'[1]Methods write-up'!$S$19,'[1]observations-276632'!X529&lt;'[1]Methods write-up'!$T$19),"East Africa","")</f>
        <v/>
      </c>
      <c r="BB529" s="22" t="str">
        <f>IF(AND('[1]observations-276632'!W529&gt;'[1]Methods write-up'!$Q$20,'[1]observations-276632'!W529&lt;'[1]Methods write-up'!$R$20,'[1]observations-276632'!X529&gt;'[1]Methods write-up'!$S$20,'[1]observations-276632'!X529&lt;'[1]Methods write-up'!$T$20),"Temperate seasonal","")</f>
        <v>Temperate seasonal</v>
      </c>
      <c r="BC529" s="22" t="str">
        <f>IF(AND('[1]observations-276632'!W529&gt;'[1]Methods write-up'!$Q$21,'[1]observations-276632'!W529&lt;'[1]Methods write-up'!$R$21,'[1]observations-276632'!X529&gt;'[1]Methods write-up'!$S$21,'[1]observations-276632'!X529&lt;'[1]Methods write-up'!$T$21),"Desert and high aridity","")</f>
        <v/>
      </c>
      <c r="BD529" s="23" t="str">
        <f t="shared" si="37"/>
        <v>Temperate seasonal</v>
      </c>
      <c r="BE529" s="24">
        <f t="shared" si="35"/>
        <v>7</v>
      </c>
      <c r="BF529" s="24">
        <f t="shared" si="36"/>
        <v>5</v>
      </c>
    </row>
    <row r="530" spans="1:58" ht="16.25" customHeight="1" x14ac:dyDescent="0.2">
      <c r="A530">
        <v>52764219</v>
      </c>
      <c r="B530" t="s">
        <v>3924</v>
      </c>
      <c r="C530" s="14">
        <v>44011</v>
      </c>
      <c r="D530" t="s">
        <v>3925</v>
      </c>
      <c r="E530" t="s">
        <v>57</v>
      </c>
      <c r="F530">
        <v>678008</v>
      </c>
      <c r="G530" t="s">
        <v>2315</v>
      </c>
      <c r="I530" t="s">
        <v>3926</v>
      </c>
      <c r="J530" t="s">
        <v>3927</v>
      </c>
      <c r="K530" t="s">
        <v>62</v>
      </c>
      <c r="L530" t="s">
        <v>63</v>
      </c>
      <c r="M530" t="s">
        <v>3928</v>
      </c>
      <c r="N530" t="s">
        <v>3929</v>
      </c>
      <c r="R530">
        <v>1</v>
      </c>
      <c r="S530">
        <v>0</v>
      </c>
      <c r="T530" t="b">
        <v>0</v>
      </c>
      <c r="V530" t="s">
        <v>2320</v>
      </c>
      <c r="W530" s="15">
        <v>-15.36985702</v>
      </c>
      <c r="X530" s="15">
        <v>28.315754519999999</v>
      </c>
      <c r="Y530">
        <v>46</v>
      </c>
      <c r="AC530">
        <v>46</v>
      </c>
      <c r="AF530" t="b">
        <v>0</v>
      </c>
      <c r="AI530" t="s">
        <v>71</v>
      </c>
      <c r="AJ530" t="s">
        <v>70</v>
      </c>
      <c r="AK530" t="s">
        <v>71</v>
      </c>
      <c r="AL530" t="s">
        <v>72</v>
      </c>
      <c r="AM530">
        <v>346053</v>
      </c>
      <c r="AO530" s="16" t="s">
        <v>150</v>
      </c>
      <c r="AP530" s="17" t="str">
        <f t="shared" si="38"/>
        <v>Male (off nest)</v>
      </c>
      <c r="AX530" s="22" t="str">
        <f>IF(AND('[1]observations-276632'!W530&gt;'[1]Methods write-up'!$Q$16,'[1]observations-276632'!W530&lt;'[1]Methods write-up'!$R$16,'[1]observations-276632'!X530&gt;'[1]Methods write-up'!$S$16,'[1]observations-276632'!X530&lt;'[1]Methods write-up'!$T$16),"West and Central Africa","")</f>
        <v>West and Central Africa</v>
      </c>
      <c r="AY530" s="22" t="str">
        <f>IF(AND('[1]observations-276632'!W530&gt;'[1]Methods write-up'!$Q$17,'[1]observations-276632'!W530&lt;'[1]Methods write-up'!$R$17,'[1]observations-276632'!X530&gt;'[1]Methods write-up'!$S$17,'[1]observations-276632'!X530&lt;'[1]Methods write-up'!$T$17),"Equatorial tropical forest","")</f>
        <v/>
      </c>
      <c r="AZ530" s="22" t="str">
        <f>IF(AND('[1]observations-276632'!W530&gt;'[1]Methods write-up'!$Q$18,'[1]observations-276632'!W530&lt;'[1]Methods write-up'!$R$18,'[1]observations-276632'!X530&gt;'[1]Methods write-up'!$S$18,'[1]observations-276632'!X530&lt;'[1]Methods write-up'!$T$18),"Somali peninsula","")</f>
        <v/>
      </c>
      <c r="BA530" s="22" t="str">
        <f>IF(AND('[1]observations-276632'!W530&gt;'[1]Methods write-up'!$Q$19,'[1]observations-276632'!W530&lt;'[1]Methods write-up'!$R$19,'[1]observations-276632'!X530&gt;'[1]Methods write-up'!$S$19,'[1]observations-276632'!X530&lt;'[1]Methods write-up'!$T$19),"East Africa","")</f>
        <v/>
      </c>
      <c r="BB530" s="22" t="str">
        <f>IF(AND('[1]observations-276632'!W530&gt;'[1]Methods write-up'!$Q$20,'[1]observations-276632'!W530&lt;'[1]Methods write-up'!$R$20,'[1]observations-276632'!X530&gt;'[1]Methods write-up'!$S$20,'[1]observations-276632'!X530&lt;'[1]Methods write-up'!$T$20),"Temperate seasonal","")</f>
        <v/>
      </c>
      <c r="BC530" s="22" t="str">
        <f>IF(AND('[1]observations-276632'!W530&gt;'[1]Methods write-up'!$Q$21,'[1]observations-276632'!W530&lt;'[1]Methods write-up'!$R$21,'[1]observations-276632'!X530&gt;'[1]Methods write-up'!$S$21,'[1]observations-276632'!X530&lt;'[1]Methods write-up'!$T$21),"Desert and high aridity","")</f>
        <v/>
      </c>
      <c r="BD530" s="23" t="str">
        <f t="shared" si="37"/>
        <v>West and Central Africa</v>
      </c>
      <c r="BE530" s="24">
        <f t="shared" si="35"/>
        <v>29</v>
      </c>
      <c r="BF530" s="24">
        <f t="shared" si="36"/>
        <v>6</v>
      </c>
    </row>
    <row r="531" spans="1:58" ht="16.25" customHeight="1" x14ac:dyDescent="0.2">
      <c r="A531">
        <v>52777829</v>
      </c>
      <c r="B531" t="s">
        <v>3930</v>
      </c>
      <c r="C531" s="14">
        <v>43976</v>
      </c>
      <c r="D531" t="s">
        <v>3931</v>
      </c>
      <c r="E531" t="s">
        <v>113</v>
      </c>
      <c r="F531">
        <v>2562650</v>
      </c>
      <c r="G531" t="s">
        <v>3016</v>
      </c>
      <c r="H531" t="s">
        <v>3017</v>
      </c>
      <c r="I531" t="s">
        <v>3932</v>
      </c>
      <c r="J531" t="s">
        <v>3933</v>
      </c>
      <c r="K531" t="s">
        <v>62</v>
      </c>
      <c r="M531" t="s">
        <v>3934</v>
      </c>
      <c r="N531" t="s">
        <v>3935</v>
      </c>
      <c r="R531">
        <v>2</v>
      </c>
      <c r="S531">
        <v>0</v>
      </c>
      <c r="T531" t="b">
        <v>0</v>
      </c>
      <c r="U531">
        <v>3</v>
      </c>
      <c r="V531" t="s">
        <v>3022</v>
      </c>
      <c r="W531" s="15">
        <v>-3.66623667</v>
      </c>
      <c r="X531" s="15">
        <v>29.98207167</v>
      </c>
      <c r="Y531">
        <v>31</v>
      </c>
      <c r="AC531">
        <v>31</v>
      </c>
      <c r="AF531" t="b">
        <v>0</v>
      </c>
      <c r="AI531" t="s">
        <v>71</v>
      </c>
      <c r="AJ531" t="s">
        <v>70</v>
      </c>
      <c r="AK531" t="s">
        <v>71</v>
      </c>
      <c r="AL531" t="s">
        <v>72</v>
      </c>
      <c r="AM531">
        <v>346053</v>
      </c>
      <c r="AO531" s="16" t="s">
        <v>73</v>
      </c>
      <c r="AP531" s="17" t="str">
        <f t="shared" si="38"/>
        <v>Off-nest female</v>
      </c>
      <c r="AX531" s="22" t="str">
        <f>IF(AND('[1]observations-276632'!W531&gt;'[1]Methods write-up'!$Q$16,'[1]observations-276632'!W531&lt;'[1]Methods write-up'!$R$16,'[1]observations-276632'!X531&gt;'[1]Methods write-up'!$S$16,'[1]observations-276632'!X531&lt;'[1]Methods write-up'!$T$16),"West and Central Africa","")</f>
        <v>West and Central Africa</v>
      </c>
      <c r="AY531" s="22" t="str">
        <f>IF(AND('[1]observations-276632'!W531&gt;'[1]Methods write-up'!$Q$17,'[1]observations-276632'!W531&lt;'[1]Methods write-up'!$R$17,'[1]observations-276632'!X531&gt;'[1]Methods write-up'!$S$17,'[1]observations-276632'!X531&lt;'[1]Methods write-up'!$T$17),"Equatorial tropical forest","")</f>
        <v/>
      </c>
      <c r="AZ531" s="22" t="str">
        <f>IF(AND('[1]observations-276632'!W531&gt;'[1]Methods write-up'!$Q$18,'[1]observations-276632'!W531&lt;'[1]Methods write-up'!$R$18,'[1]observations-276632'!X531&gt;'[1]Methods write-up'!$S$18,'[1]observations-276632'!X531&lt;'[1]Methods write-up'!$T$18),"Somali peninsula","")</f>
        <v/>
      </c>
      <c r="BA531" s="22" t="str">
        <f>IF(AND('[1]observations-276632'!W531&gt;'[1]Methods write-up'!$Q$19,'[1]observations-276632'!W531&lt;'[1]Methods write-up'!$R$19,'[1]observations-276632'!X531&gt;'[1]Methods write-up'!$S$19,'[1]observations-276632'!X531&lt;'[1]Methods write-up'!$T$19),"East Africa","")</f>
        <v/>
      </c>
      <c r="BB531" s="22" t="str">
        <f>IF(AND('[1]observations-276632'!W531&gt;'[1]Methods write-up'!$Q$20,'[1]observations-276632'!W531&lt;'[1]Methods write-up'!$R$20,'[1]observations-276632'!X531&gt;'[1]Methods write-up'!$S$20,'[1]observations-276632'!X531&lt;'[1]Methods write-up'!$T$20),"Temperate seasonal","")</f>
        <v/>
      </c>
      <c r="BC531" s="22" t="str">
        <f>IF(AND('[1]observations-276632'!W531&gt;'[1]Methods write-up'!$Q$21,'[1]observations-276632'!W531&lt;'[1]Methods write-up'!$R$21,'[1]observations-276632'!X531&gt;'[1]Methods write-up'!$S$21,'[1]observations-276632'!X531&lt;'[1]Methods write-up'!$T$21),"Desert and high aridity","")</f>
        <v/>
      </c>
      <c r="BD531" s="23" t="str">
        <f t="shared" si="37"/>
        <v>West and Central Africa</v>
      </c>
      <c r="BE531" s="24">
        <f t="shared" si="35"/>
        <v>25</v>
      </c>
      <c r="BF531" s="24">
        <f t="shared" si="36"/>
        <v>5</v>
      </c>
    </row>
    <row r="532" spans="1:58" ht="16.25" customHeight="1" x14ac:dyDescent="0.2">
      <c r="A532">
        <v>52830835</v>
      </c>
      <c r="B532" t="s">
        <v>3936</v>
      </c>
      <c r="C532" s="14">
        <v>44024</v>
      </c>
      <c r="D532" t="s">
        <v>3937</v>
      </c>
      <c r="E532" t="s">
        <v>84</v>
      </c>
      <c r="F532">
        <v>2491</v>
      </c>
      <c r="G532" t="s">
        <v>1693</v>
      </c>
      <c r="H532" t="s">
        <v>1694</v>
      </c>
      <c r="I532" t="s">
        <v>3938</v>
      </c>
      <c r="J532" t="s">
        <v>3939</v>
      </c>
      <c r="K532" t="s">
        <v>62</v>
      </c>
      <c r="M532" t="s">
        <v>3940</v>
      </c>
      <c r="N532" t="s">
        <v>3941</v>
      </c>
      <c r="R532">
        <v>2</v>
      </c>
      <c r="S532">
        <v>0</v>
      </c>
      <c r="T532" t="b">
        <v>0</v>
      </c>
      <c r="U532">
        <v>3</v>
      </c>
      <c r="V532" t="s">
        <v>3942</v>
      </c>
      <c r="W532" s="15">
        <v>-1.3235750740000001</v>
      </c>
      <c r="X532" s="15">
        <v>36.688441750000003</v>
      </c>
      <c r="Y532">
        <v>65</v>
      </c>
      <c r="AC532">
        <v>65</v>
      </c>
      <c r="AF532" t="b">
        <v>0</v>
      </c>
      <c r="AI532" t="s">
        <v>71</v>
      </c>
      <c r="AJ532" t="s">
        <v>70</v>
      </c>
      <c r="AK532" t="s">
        <v>71</v>
      </c>
      <c r="AL532" t="s">
        <v>72</v>
      </c>
      <c r="AM532">
        <v>346053</v>
      </c>
      <c r="AO532" s="16" t="s">
        <v>442</v>
      </c>
      <c r="AP532" s="17" t="str">
        <f t="shared" si="38"/>
        <v>Dead female</v>
      </c>
      <c r="AX532" s="22" t="str">
        <f>IF(AND('[1]observations-276632'!W532&gt;'[1]Methods write-up'!$Q$16,'[1]observations-276632'!W532&lt;'[1]Methods write-up'!$R$16,'[1]observations-276632'!X532&gt;'[1]Methods write-up'!$S$16,'[1]observations-276632'!X532&lt;'[1]Methods write-up'!$T$16),"West and Central Africa","")</f>
        <v/>
      </c>
      <c r="AY532" s="22" t="str">
        <f>IF(AND('[1]observations-276632'!W532&gt;'[1]Methods write-up'!$Q$17,'[1]observations-276632'!W532&lt;'[1]Methods write-up'!$R$17,'[1]observations-276632'!X532&gt;'[1]Methods write-up'!$S$17,'[1]observations-276632'!X532&lt;'[1]Methods write-up'!$T$17),"Equatorial tropical forest","")</f>
        <v/>
      </c>
      <c r="AZ532" s="22" t="str">
        <f>IF(AND('[1]observations-276632'!W532&gt;'[1]Methods write-up'!$Q$18,'[1]observations-276632'!W532&lt;'[1]Methods write-up'!$R$18,'[1]observations-276632'!X532&gt;'[1]Methods write-up'!$S$18,'[1]observations-276632'!X532&lt;'[1]Methods write-up'!$T$18),"Somali peninsula","")</f>
        <v/>
      </c>
      <c r="BA532" s="22" t="str">
        <f>IF(AND('[1]observations-276632'!W532&gt;'[1]Methods write-up'!$Q$19,'[1]observations-276632'!W532&lt;'[1]Methods write-up'!$R$19,'[1]observations-276632'!X532&gt;'[1]Methods write-up'!$S$19,'[1]observations-276632'!X532&lt;'[1]Methods write-up'!$T$19),"East Africa","")</f>
        <v>East Africa</v>
      </c>
      <c r="BB532" s="22" t="str">
        <f>IF(AND('[1]observations-276632'!W532&gt;'[1]Methods write-up'!$Q$20,'[1]observations-276632'!W532&lt;'[1]Methods write-up'!$R$20,'[1]observations-276632'!X532&gt;'[1]Methods write-up'!$S$20,'[1]observations-276632'!X532&lt;'[1]Methods write-up'!$T$20),"Temperate seasonal","")</f>
        <v/>
      </c>
      <c r="BC532" s="22" t="str">
        <f>IF(AND('[1]observations-276632'!W532&gt;'[1]Methods write-up'!$Q$21,'[1]observations-276632'!W532&lt;'[1]Methods write-up'!$R$21,'[1]observations-276632'!X532&gt;'[1]Methods write-up'!$S$21,'[1]observations-276632'!X532&lt;'[1]Methods write-up'!$T$21),"Desert and high aridity","")</f>
        <v/>
      </c>
      <c r="BD532" s="23" t="str">
        <f t="shared" si="37"/>
        <v>East Africa</v>
      </c>
      <c r="BE532" s="24">
        <f t="shared" si="35"/>
        <v>12</v>
      </c>
      <c r="BF532" s="24">
        <f t="shared" si="36"/>
        <v>7</v>
      </c>
    </row>
    <row r="533" spans="1:58" ht="16.25" customHeight="1" x14ac:dyDescent="0.2">
      <c r="A533">
        <v>53706254</v>
      </c>
      <c r="B533" t="s">
        <v>3943</v>
      </c>
      <c r="C533" s="14">
        <v>44032</v>
      </c>
      <c r="D533" t="s">
        <v>3944</v>
      </c>
      <c r="E533" t="s">
        <v>113</v>
      </c>
      <c r="F533">
        <v>1653038</v>
      </c>
      <c r="G533" t="s">
        <v>2035</v>
      </c>
      <c r="H533" t="s">
        <v>2036</v>
      </c>
      <c r="I533" t="s">
        <v>3945</v>
      </c>
      <c r="J533" t="s">
        <v>3946</v>
      </c>
      <c r="K533" t="s">
        <v>157</v>
      </c>
      <c r="L533" t="s">
        <v>63</v>
      </c>
      <c r="M533" t="s">
        <v>3947</v>
      </c>
      <c r="N533" t="s">
        <v>3948</v>
      </c>
      <c r="R533">
        <v>2</v>
      </c>
      <c r="S533">
        <v>0</v>
      </c>
      <c r="T533" t="b">
        <v>0</v>
      </c>
      <c r="U533">
        <v>2</v>
      </c>
      <c r="V533" t="s">
        <v>3533</v>
      </c>
      <c r="W533" s="15">
        <v>-22.301371169999999</v>
      </c>
      <c r="X533" s="15">
        <v>24.684866110000002</v>
      </c>
      <c r="Y533">
        <v>1077016</v>
      </c>
      <c r="AC533">
        <v>1077016</v>
      </c>
      <c r="AF533" t="b">
        <v>0</v>
      </c>
      <c r="AG533" t="s">
        <v>350</v>
      </c>
      <c r="AH533" t="s">
        <v>350</v>
      </c>
      <c r="AI533" t="s">
        <v>71</v>
      </c>
      <c r="AJ533" t="s">
        <v>70</v>
      </c>
      <c r="AK533" t="s">
        <v>71</v>
      </c>
      <c r="AL533" t="s">
        <v>72</v>
      </c>
      <c r="AM533">
        <v>346053</v>
      </c>
      <c r="AO533" s="16" t="s">
        <v>818</v>
      </c>
      <c r="AP533" s="17" t="str">
        <f t="shared" si="38"/>
        <v>Abandoned post-emergence nest</v>
      </c>
      <c r="AX533" s="22" t="str">
        <f>IF(AND('[1]observations-276632'!W533&gt;'[1]Methods write-up'!$Q$16,'[1]observations-276632'!W533&lt;'[1]Methods write-up'!$R$16,'[1]observations-276632'!X533&gt;'[1]Methods write-up'!$S$16,'[1]observations-276632'!X533&lt;'[1]Methods write-up'!$T$16),"West and Central Africa","")</f>
        <v/>
      </c>
      <c r="AY533" s="22" t="str">
        <f>IF(AND('[1]observations-276632'!W533&gt;'[1]Methods write-up'!$Q$17,'[1]observations-276632'!W533&lt;'[1]Methods write-up'!$R$17,'[1]observations-276632'!X533&gt;'[1]Methods write-up'!$S$17,'[1]observations-276632'!X533&lt;'[1]Methods write-up'!$T$17),"Equatorial tropical forest","")</f>
        <v/>
      </c>
      <c r="AZ533" s="22" t="str">
        <f>IF(AND('[1]observations-276632'!W533&gt;'[1]Methods write-up'!$Q$18,'[1]observations-276632'!W533&lt;'[1]Methods write-up'!$R$18,'[1]observations-276632'!X533&gt;'[1]Methods write-up'!$S$18,'[1]observations-276632'!X533&lt;'[1]Methods write-up'!$T$18),"Somali peninsula","")</f>
        <v/>
      </c>
      <c r="BA533" s="22" t="str">
        <f>IF(AND('[1]observations-276632'!W533&gt;'[1]Methods write-up'!$Q$19,'[1]observations-276632'!W533&lt;'[1]Methods write-up'!$R$19,'[1]observations-276632'!X533&gt;'[1]Methods write-up'!$S$19,'[1]observations-276632'!X533&lt;'[1]Methods write-up'!$T$19),"East Africa","")</f>
        <v/>
      </c>
      <c r="BB533" s="22" t="str">
        <f>IF(AND('[1]observations-276632'!W533&gt;'[1]Methods write-up'!$Q$20,'[1]observations-276632'!W533&lt;'[1]Methods write-up'!$R$20,'[1]observations-276632'!X533&gt;'[1]Methods write-up'!$S$20,'[1]observations-276632'!X533&lt;'[1]Methods write-up'!$T$20),"Temperate seasonal","")</f>
        <v/>
      </c>
      <c r="BC533" s="22" t="str">
        <f>IF(AND('[1]observations-276632'!W533&gt;'[1]Methods write-up'!$Q$21,'[1]observations-276632'!W533&lt;'[1]Methods write-up'!$R$21,'[1]observations-276632'!X533&gt;'[1]Methods write-up'!$S$21,'[1]observations-276632'!X533&lt;'[1]Methods write-up'!$T$21),"Desert and high aridity","")</f>
        <v/>
      </c>
      <c r="BD533" s="23" t="str">
        <f t="shared" si="37"/>
        <v/>
      </c>
      <c r="BE533" s="24">
        <f t="shared" si="35"/>
        <v>20</v>
      </c>
      <c r="BF533" s="24">
        <f t="shared" si="36"/>
        <v>7</v>
      </c>
    </row>
    <row r="534" spans="1:58" ht="16.25" customHeight="1" x14ac:dyDescent="0.2">
      <c r="A534">
        <v>53706315</v>
      </c>
      <c r="B534" t="s">
        <v>3949</v>
      </c>
      <c r="C534" s="14">
        <v>44032</v>
      </c>
      <c r="D534" t="s">
        <v>3950</v>
      </c>
      <c r="E534" t="s">
        <v>113</v>
      </c>
      <c r="F534">
        <v>1653038</v>
      </c>
      <c r="G534" t="s">
        <v>2035</v>
      </c>
      <c r="H534" t="s">
        <v>2036</v>
      </c>
      <c r="I534" t="s">
        <v>3951</v>
      </c>
      <c r="J534" t="s">
        <v>3952</v>
      </c>
      <c r="K534" t="s">
        <v>157</v>
      </c>
      <c r="L534" t="s">
        <v>63</v>
      </c>
      <c r="M534" t="s">
        <v>3953</v>
      </c>
      <c r="N534" t="s">
        <v>3954</v>
      </c>
      <c r="R534">
        <v>2</v>
      </c>
      <c r="S534">
        <v>0</v>
      </c>
      <c r="T534" t="b">
        <v>0</v>
      </c>
      <c r="U534">
        <v>2</v>
      </c>
      <c r="V534" t="s">
        <v>3533</v>
      </c>
      <c r="W534" s="15">
        <v>-22.301371169999999</v>
      </c>
      <c r="X534" s="15">
        <v>24.684866110000002</v>
      </c>
      <c r="Y534">
        <v>1077016</v>
      </c>
      <c r="AC534">
        <v>1077016</v>
      </c>
      <c r="AF534" t="b">
        <v>0</v>
      </c>
      <c r="AG534" t="s">
        <v>350</v>
      </c>
      <c r="AH534" t="s">
        <v>350</v>
      </c>
      <c r="AI534" t="s">
        <v>71</v>
      </c>
      <c r="AJ534" t="s">
        <v>70</v>
      </c>
      <c r="AK534" t="s">
        <v>71</v>
      </c>
      <c r="AL534" t="s">
        <v>72</v>
      </c>
      <c r="AM534">
        <v>346053</v>
      </c>
      <c r="AO534" s="16" t="s">
        <v>818</v>
      </c>
      <c r="AP534" s="17" t="str">
        <f t="shared" si="38"/>
        <v>Abandoned post-emergence nest</v>
      </c>
      <c r="AX534" s="22" t="str">
        <f>IF(AND('[1]observations-276632'!W534&gt;'[1]Methods write-up'!$Q$16,'[1]observations-276632'!W534&lt;'[1]Methods write-up'!$R$16,'[1]observations-276632'!X534&gt;'[1]Methods write-up'!$S$16,'[1]observations-276632'!X534&lt;'[1]Methods write-up'!$T$16),"West and Central Africa","")</f>
        <v/>
      </c>
      <c r="AY534" s="22" t="str">
        <f>IF(AND('[1]observations-276632'!W534&gt;'[1]Methods write-up'!$Q$17,'[1]observations-276632'!W534&lt;'[1]Methods write-up'!$R$17,'[1]observations-276632'!X534&gt;'[1]Methods write-up'!$S$17,'[1]observations-276632'!X534&lt;'[1]Methods write-up'!$T$17),"Equatorial tropical forest","")</f>
        <v/>
      </c>
      <c r="AZ534" s="22" t="str">
        <f>IF(AND('[1]observations-276632'!W534&gt;'[1]Methods write-up'!$Q$18,'[1]observations-276632'!W534&lt;'[1]Methods write-up'!$R$18,'[1]observations-276632'!X534&gt;'[1]Methods write-up'!$S$18,'[1]observations-276632'!X534&lt;'[1]Methods write-up'!$T$18),"Somali peninsula","")</f>
        <v/>
      </c>
      <c r="BA534" s="22" t="str">
        <f>IF(AND('[1]observations-276632'!W534&gt;'[1]Methods write-up'!$Q$19,'[1]observations-276632'!W534&lt;'[1]Methods write-up'!$R$19,'[1]observations-276632'!X534&gt;'[1]Methods write-up'!$S$19,'[1]observations-276632'!X534&lt;'[1]Methods write-up'!$T$19),"East Africa","")</f>
        <v/>
      </c>
      <c r="BB534" s="22" t="str">
        <f>IF(AND('[1]observations-276632'!W534&gt;'[1]Methods write-up'!$Q$20,'[1]observations-276632'!W534&lt;'[1]Methods write-up'!$R$20,'[1]observations-276632'!X534&gt;'[1]Methods write-up'!$S$20,'[1]observations-276632'!X534&lt;'[1]Methods write-up'!$T$20),"Temperate seasonal","")</f>
        <v/>
      </c>
      <c r="BC534" s="22" t="str">
        <f>IF(AND('[1]observations-276632'!W534&gt;'[1]Methods write-up'!$Q$21,'[1]observations-276632'!W534&lt;'[1]Methods write-up'!$R$21,'[1]observations-276632'!X534&gt;'[1]Methods write-up'!$S$21,'[1]observations-276632'!X534&lt;'[1]Methods write-up'!$T$21),"Desert and high aridity","")</f>
        <v/>
      </c>
      <c r="BD534" s="23" t="str">
        <f t="shared" si="37"/>
        <v/>
      </c>
      <c r="BE534" s="24">
        <f t="shared" si="35"/>
        <v>20</v>
      </c>
      <c r="BF534" s="24">
        <f t="shared" si="36"/>
        <v>7</v>
      </c>
    </row>
    <row r="535" spans="1:58" ht="16.25" customHeight="1" x14ac:dyDescent="0.2">
      <c r="A535">
        <v>53818861</v>
      </c>
      <c r="B535" t="s">
        <v>3955</v>
      </c>
      <c r="C535" s="14">
        <v>44032</v>
      </c>
      <c r="D535" t="s">
        <v>3956</v>
      </c>
      <c r="E535" t="s">
        <v>113</v>
      </c>
      <c r="F535">
        <v>679321</v>
      </c>
      <c r="G535" t="s">
        <v>478</v>
      </c>
      <c r="H535" t="s">
        <v>479</v>
      </c>
      <c r="I535" t="s">
        <v>3957</v>
      </c>
      <c r="J535" t="s">
        <v>3958</v>
      </c>
      <c r="K535" t="s">
        <v>62</v>
      </c>
      <c r="L535" t="s">
        <v>63</v>
      </c>
      <c r="M535" t="s">
        <v>3959</v>
      </c>
      <c r="N535" t="s">
        <v>3960</v>
      </c>
      <c r="R535">
        <v>2</v>
      </c>
      <c r="S535">
        <v>0</v>
      </c>
      <c r="T535" t="b">
        <v>0</v>
      </c>
      <c r="V535" t="s">
        <v>1522</v>
      </c>
      <c r="W535" s="15">
        <v>-28.109440630000002</v>
      </c>
      <c r="X535" s="15">
        <v>32.098987430000001</v>
      </c>
      <c r="Y535">
        <v>100</v>
      </c>
      <c r="AC535">
        <v>100</v>
      </c>
      <c r="AF535" t="b">
        <v>0</v>
      </c>
      <c r="AI535" t="s">
        <v>71</v>
      </c>
      <c r="AJ535" t="s">
        <v>70</v>
      </c>
      <c r="AK535" t="s">
        <v>71</v>
      </c>
      <c r="AL535" t="s">
        <v>72</v>
      </c>
      <c r="AM535">
        <v>346053</v>
      </c>
      <c r="AO535" s="16" t="s">
        <v>73</v>
      </c>
      <c r="AP535" s="17" t="str">
        <f t="shared" si="38"/>
        <v>Off-nest female</v>
      </c>
      <c r="AX535" s="22" t="str">
        <f>IF(AND('[1]observations-276632'!W535&gt;'[1]Methods write-up'!$Q$16,'[1]observations-276632'!W535&lt;'[1]Methods write-up'!$R$16,'[1]observations-276632'!X535&gt;'[1]Methods write-up'!$S$16,'[1]observations-276632'!X535&lt;'[1]Methods write-up'!$T$16),"West and Central Africa","")</f>
        <v/>
      </c>
      <c r="AY535" s="22" t="str">
        <f>IF(AND('[1]observations-276632'!W535&gt;'[1]Methods write-up'!$Q$17,'[1]observations-276632'!W535&lt;'[1]Methods write-up'!$R$17,'[1]observations-276632'!X535&gt;'[1]Methods write-up'!$S$17,'[1]observations-276632'!X535&lt;'[1]Methods write-up'!$T$17),"Equatorial tropical forest","")</f>
        <v/>
      </c>
      <c r="AZ535" s="22" t="str">
        <f>IF(AND('[1]observations-276632'!W535&gt;'[1]Methods write-up'!$Q$18,'[1]observations-276632'!W535&lt;'[1]Methods write-up'!$R$18,'[1]observations-276632'!X535&gt;'[1]Methods write-up'!$S$18,'[1]observations-276632'!X535&lt;'[1]Methods write-up'!$T$18),"Somali peninsula","")</f>
        <v/>
      </c>
      <c r="BA535" s="22" t="str">
        <f>IF(AND('[1]observations-276632'!W535&gt;'[1]Methods write-up'!$Q$19,'[1]observations-276632'!W535&lt;'[1]Methods write-up'!$R$19,'[1]observations-276632'!X535&gt;'[1]Methods write-up'!$S$19,'[1]observations-276632'!X535&lt;'[1]Methods write-up'!$T$19),"East Africa","")</f>
        <v/>
      </c>
      <c r="BB535" s="22" t="str">
        <f>IF(AND('[1]observations-276632'!W535&gt;'[1]Methods write-up'!$Q$20,'[1]observations-276632'!W535&lt;'[1]Methods write-up'!$R$20,'[1]observations-276632'!X535&gt;'[1]Methods write-up'!$S$20,'[1]observations-276632'!X535&lt;'[1]Methods write-up'!$T$20),"Temperate seasonal","")</f>
        <v>Temperate seasonal</v>
      </c>
      <c r="BC535" s="22" t="str">
        <f>IF(AND('[1]observations-276632'!W535&gt;'[1]Methods write-up'!$Q$21,'[1]observations-276632'!W535&lt;'[1]Methods write-up'!$R$21,'[1]observations-276632'!X535&gt;'[1]Methods write-up'!$S$21,'[1]observations-276632'!X535&lt;'[1]Methods write-up'!$T$21),"Desert and high aridity","")</f>
        <v/>
      </c>
      <c r="BD535" s="23" t="str">
        <f t="shared" si="37"/>
        <v>Temperate seasonal</v>
      </c>
      <c r="BE535" s="24">
        <f t="shared" si="35"/>
        <v>20</v>
      </c>
      <c r="BF535" s="24">
        <f t="shared" si="36"/>
        <v>7</v>
      </c>
    </row>
    <row r="536" spans="1:58" ht="16.25" customHeight="1" x14ac:dyDescent="0.2">
      <c r="A536">
        <v>54371782</v>
      </c>
      <c r="B536" t="s">
        <v>3961</v>
      </c>
      <c r="C536" s="14">
        <v>43983</v>
      </c>
      <c r="D536" t="s">
        <v>3962</v>
      </c>
      <c r="E536" t="s">
        <v>113</v>
      </c>
      <c r="F536">
        <v>2282330</v>
      </c>
      <c r="G536" t="s">
        <v>3173</v>
      </c>
      <c r="I536" t="s">
        <v>3963</v>
      </c>
      <c r="J536" t="s">
        <v>3964</v>
      </c>
      <c r="K536" t="s">
        <v>62</v>
      </c>
      <c r="L536" t="s">
        <v>63</v>
      </c>
      <c r="M536" t="s">
        <v>3965</v>
      </c>
      <c r="N536" t="s">
        <v>3966</v>
      </c>
      <c r="P536" t="s">
        <v>3178</v>
      </c>
      <c r="R536">
        <v>2</v>
      </c>
      <c r="S536">
        <v>0</v>
      </c>
      <c r="T536" t="b">
        <v>0</v>
      </c>
      <c r="V536" t="s">
        <v>3179</v>
      </c>
      <c r="W536" s="15">
        <v>-26.10428302</v>
      </c>
      <c r="X536" s="15">
        <v>27.833716540000001</v>
      </c>
      <c r="Y536">
        <v>6</v>
      </c>
      <c r="AC536">
        <v>6</v>
      </c>
      <c r="AF536" t="b">
        <v>0</v>
      </c>
      <c r="AI536" t="s">
        <v>71</v>
      </c>
      <c r="AJ536" t="s">
        <v>70</v>
      </c>
      <c r="AK536" t="s">
        <v>71</v>
      </c>
      <c r="AL536" t="s">
        <v>72</v>
      </c>
      <c r="AM536">
        <v>346053</v>
      </c>
      <c r="AO536" s="16" t="s">
        <v>73</v>
      </c>
      <c r="AP536" s="17" t="str">
        <f t="shared" si="38"/>
        <v>Off-nest female</v>
      </c>
      <c r="AX536" s="22" t="str">
        <f>IF(AND('[1]observations-276632'!W536&gt;'[1]Methods write-up'!$Q$16,'[1]observations-276632'!W536&lt;'[1]Methods write-up'!$R$16,'[1]observations-276632'!X536&gt;'[1]Methods write-up'!$S$16,'[1]observations-276632'!X536&lt;'[1]Methods write-up'!$T$16),"West and Central Africa","")</f>
        <v/>
      </c>
      <c r="AY536" s="22" t="str">
        <f>IF(AND('[1]observations-276632'!W536&gt;'[1]Methods write-up'!$Q$17,'[1]observations-276632'!W536&lt;'[1]Methods write-up'!$R$17,'[1]observations-276632'!X536&gt;'[1]Methods write-up'!$S$17,'[1]observations-276632'!X536&lt;'[1]Methods write-up'!$T$17),"Equatorial tropical forest","")</f>
        <v/>
      </c>
      <c r="AZ536" s="22" t="str">
        <f>IF(AND('[1]observations-276632'!W536&gt;'[1]Methods write-up'!$Q$18,'[1]observations-276632'!W536&lt;'[1]Methods write-up'!$R$18,'[1]observations-276632'!X536&gt;'[1]Methods write-up'!$S$18,'[1]observations-276632'!X536&lt;'[1]Methods write-up'!$T$18),"Somali peninsula","")</f>
        <v/>
      </c>
      <c r="BA536" s="22" t="str">
        <f>IF(AND('[1]observations-276632'!W536&gt;'[1]Methods write-up'!$Q$19,'[1]observations-276632'!W536&lt;'[1]Methods write-up'!$R$19,'[1]observations-276632'!X536&gt;'[1]Methods write-up'!$S$19,'[1]observations-276632'!X536&lt;'[1]Methods write-up'!$T$19),"East Africa","")</f>
        <v/>
      </c>
      <c r="BB536" s="22" t="str">
        <f>IF(AND('[1]observations-276632'!W536&gt;'[1]Methods write-up'!$Q$20,'[1]observations-276632'!W536&lt;'[1]Methods write-up'!$R$20,'[1]observations-276632'!X536&gt;'[1]Methods write-up'!$S$20,'[1]observations-276632'!X536&lt;'[1]Methods write-up'!$T$20),"Temperate seasonal","")</f>
        <v>Temperate seasonal</v>
      </c>
      <c r="BC536" s="22" t="str">
        <f>IF(AND('[1]observations-276632'!W536&gt;'[1]Methods write-up'!$Q$21,'[1]observations-276632'!W536&lt;'[1]Methods write-up'!$R$21,'[1]observations-276632'!X536&gt;'[1]Methods write-up'!$S$21,'[1]observations-276632'!X536&lt;'[1]Methods write-up'!$T$21),"Desert and high aridity","")</f>
        <v/>
      </c>
      <c r="BD536" s="23" t="str">
        <f t="shared" si="37"/>
        <v>Temperate seasonal</v>
      </c>
      <c r="BE536" s="24">
        <f t="shared" si="35"/>
        <v>1</v>
      </c>
      <c r="BF536" s="24">
        <f t="shared" si="36"/>
        <v>6</v>
      </c>
    </row>
    <row r="537" spans="1:58" ht="16.25" customHeight="1" x14ac:dyDescent="0.2">
      <c r="A537">
        <v>54391608</v>
      </c>
      <c r="B537" t="s">
        <v>3967</v>
      </c>
      <c r="C537" s="14">
        <v>44034</v>
      </c>
      <c r="D537" t="s">
        <v>3968</v>
      </c>
      <c r="E537" t="s">
        <v>113</v>
      </c>
      <c r="F537">
        <v>741598</v>
      </c>
      <c r="G537" t="s">
        <v>1642</v>
      </c>
      <c r="H537" t="s">
        <v>1643</v>
      </c>
      <c r="I537" t="s">
        <v>3969</v>
      </c>
      <c r="J537" t="s">
        <v>3970</v>
      </c>
      <c r="K537" t="s">
        <v>62</v>
      </c>
      <c r="L537" t="s">
        <v>373</v>
      </c>
      <c r="M537" t="s">
        <v>3971</v>
      </c>
      <c r="N537" t="s">
        <v>3972</v>
      </c>
      <c r="R537">
        <v>2</v>
      </c>
      <c r="S537">
        <v>0</v>
      </c>
      <c r="T537" t="b">
        <v>0</v>
      </c>
      <c r="V537" t="s">
        <v>1648</v>
      </c>
      <c r="W537" s="15">
        <v>-32.992067499999997</v>
      </c>
      <c r="X537" s="15">
        <v>27.93795888</v>
      </c>
      <c r="Y537">
        <v>10</v>
      </c>
      <c r="AC537">
        <v>10</v>
      </c>
      <c r="AF537" t="b">
        <v>0</v>
      </c>
      <c r="AI537" t="s">
        <v>71</v>
      </c>
      <c r="AJ537" t="s">
        <v>70</v>
      </c>
      <c r="AK537" t="s">
        <v>71</v>
      </c>
      <c r="AL537" t="s">
        <v>72</v>
      </c>
      <c r="AM537">
        <v>346053</v>
      </c>
      <c r="AO537" s="16" t="s">
        <v>442</v>
      </c>
      <c r="AP537" s="17" t="str">
        <f t="shared" si="38"/>
        <v>Dead female</v>
      </c>
      <c r="AX537" s="22" t="str">
        <f>IF(AND('[1]observations-276632'!W537&gt;'[1]Methods write-up'!$Q$16,'[1]observations-276632'!W537&lt;'[1]Methods write-up'!$R$16,'[1]observations-276632'!X537&gt;'[1]Methods write-up'!$S$16,'[1]observations-276632'!X537&lt;'[1]Methods write-up'!$T$16),"West and Central Africa","")</f>
        <v/>
      </c>
      <c r="AY537" s="22" t="str">
        <f>IF(AND('[1]observations-276632'!W537&gt;'[1]Methods write-up'!$Q$17,'[1]observations-276632'!W537&lt;'[1]Methods write-up'!$R$17,'[1]observations-276632'!X537&gt;'[1]Methods write-up'!$S$17,'[1]observations-276632'!X537&lt;'[1]Methods write-up'!$T$17),"Equatorial tropical forest","")</f>
        <v/>
      </c>
      <c r="AZ537" s="22" t="str">
        <f>IF(AND('[1]observations-276632'!W537&gt;'[1]Methods write-up'!$Q$18,'[1]observations-276632'!W537&lt;'[1]Methods write-up'!$R$18,'[1]observations-276632'!X537&gt;'[1]Methods write-up'!$S$18,'[1]observations-276632'!X537&lt;'[1]Methods write-up'!$T$18),"Somali peninsula","")</f>
        <v/>
      </c>
      <c r="BA537" s="22" t="str">
        <f>IF(AND('[1]observations-276632'!W537&gt;'[1]Methods write-up'!$Q$19,'[1]observations-276632'!W537&lt;'[1]Methods write-up'!$R$19,'[1]observations-276632'!X537&gt;'[1]Methods write-up'!$S$19,'[1]observations-276632'!X537&lt;'[1]Methods write-up'!$T$19),"East Africa","")</f>
        <v/>
      </c>
      <c r="BB537" s="22" t="str">
        <f>IF(AND('[1]observations-276632'!W537&gt;'[1]Methods write-up'!$Q$20,'[1]observations-276632'!W537&lt;'[1]Methods write-up'!$R$20,'[1]observations-276632'!X537&gt;'[1]Methods write-up'!$S$20,'[1]observations-276632'!X537&lt;'[1]Methods write-up'!$T$20),"Temperate seasonal","")</f>
        <v>Temperate seasonal</v>
      </c>
      <c r="BC537" s="22" t="str">
        <f>IF(AND('[1]observations-276632'!W537&gt;'[1]Methods write-up'!$Q$21,'[1]observations-276632'!W537&lt;'[1]Methods write-up'!$R$21,'[1]observations-276632'!X537&gt;'[1]Methods write-up'!$S$21,'[1]observations-276632'!X537&lt;'[1]Methods write-up'!$T$21),"Desert and high aridity","")</f>
        <v/>
      </c>
      <c r="BD537" s="23" t="str">
        <f t="shared" si="37"/>
        <v>Temperate seasonal</v>
      </c>
      <c r="BE537" s="24">
        <f t="shared" si="35"/>
        <v>22</v>
      </c>
      <c r="BF537" s="24">
        <f t="shared" si="36"/>
        <v>7</v>
      </c>
    </row>
    <row r="538" spans="1:58" ht="16.25" customHeight="1" x14ac:dyDescent="0.2">
      <c r="A538">
        <v>54945218</v>
      </c>
      <c r="B538" t="s">
        <v>3973</v>
      </c>
      <c r="C538" s="14">
        <v>44015</v>
      </c>
      <c r="E538" t="s">
        <v>1408</v>
      </c>
      <c r="F538">
        <v>1075220</v>
      </c>
      <c r="G538" t="s">
        <v>3974</v>
      </c>
      <c r="I538" t="s">
        <v>3975</v>
      </c>
      <c r="J538" t="s">
        <v>3976</v>
      </c>
      <c r="K538" t="s">
        <v>62</v>
      </c>
      <c r="M538" t="s">
        <v>3977</v>
      </c>
      <c r="N538" t="s">
        <v>3978</v>
      </c>
      <c r="R538">
        <v>2</v>
      </c>
      <c r="S538">
        <v>0</v>
      </c>
      <c r="T538" t="b">
        <v>0</v>
      </c>
      <c r="V538" t="s">
        <v>3979</v>
      </c>
      <c r="W538" s="15">
        <v>-1.5001041369999999</v>
      </c>
      <c r="X538" s="15">
        <v>29.630768280000002</v>
      </c>
      <c r="Y538">
        <v>113</v>
      </c>
      <c r="AC538">
        <v>113</v>
      </c>
      <c r="AF538" t="b">
        <v>0</v>
      </c>
      <c r="AI538" t="s">
        <v>71</v>
      </c>
      <c r="AJ538" t="s">
        <v>70</v>
      </c>
      <c r="AK538" t="s">
        <v>71</v>
      </c>
      <c r="AL538" t="s">
        <v>72</v>
      </c>
      <c r="AM538">
        <v>346053</v>
      </c>
      <c r="AO538" s="16" t="s">
        <v>140</v>
      </c>
      <c r="AP538" s="17" t="str">
        <f t="shared" si="38"/>
        <v>Post-emergence nest</v>
      </c>
      <c r="AQ538" s="18">
        <v>1</v>
      </c>
      <c r="AT538" s="19" t="s">
        <v>141</v>
      </c>
      <c r="AU538" s="20" t="s">
        <v>104</v>
      </c>
      <c r="AX538" s="22" t="str">
        <f>IF(AND('[1]observations-276632'!W538&gt;'[1]Methods write-up'!$Q$16,'[1]observations-276632'!W538&lt;'[1]Methods write-up'!$R$16,'[1]observations-276632'!X538&gt;'[1]Methods write-up'!$S$16,'[1]observations-276632'!X538&lt;'[1]Methods write-up'!$T$16),"West and Central Africa","")</f>
        <v>West and Central Africa</v>
      </c>
      <c r="AY538" s="22" t="str">
        <f>IF(AND('[1]observations-276632'!W538&gt;'[1]Methods write-up'!$Q$17,'[1]observations-276632'!W538&lt;'[1]Methods write-up'!$R$17,'[1]observations-276632'!X538&gt;'[1]Methods write-up'!$S$17,'[1]observations-276632'!X538&lt;'[1]Methods write-up'!$T$17),"Equatorial tropical forest","")</f>
        <v/>
      </c>
      <c r="AZ538" s="22" t="str">
        <f>IF(AND('[1]observations-276632'!W538&gt;'[1]Methods write-up'!$Q$18,'[1]observations-276632'!W538&lt;'[1]Methods write-up'!$R$18,'[1]observations-276632'!X538&gt;'[1]Methods write-up'!$S$18,'[1]observations-276632'!X538&lt;'[1]Methods write-up'!$T$18),"Somali peninsula","")</f>
        <v/>
      </c>
      <c r="BA538" s="22" t="str">
        <f>IF(AND('[1]observations-276632'!W538&gt;'[1]Methods write-up'!$Q$19,'[1]observations-276632'!W538&lt;'[1]Methods write-up'!$R$19,'[1]observations-276632'!X538&gt;'[1]Methods write-up'!$S$19,'[1]observations-276632'!X538&lt;'[1]Methods write-up'!$T$19),"East Africa","")</f>
        <v/>
      </c>
      <c r="BB538" s="22" t="str">
        <f>IF(AND('[1]observations-276632'!W538&gt;'[1]Methods write-up'!$Q$20,'[1]observations-276632'!W538&lt;'[1]Methods write-up'!$R$20,'[1]observations-276632'!X538&gt;'[1]Methods write-up'!$S$20,'[1]observations-276632'!X538&lt;'[1]Methods write-up'!$T$20),"Temperate seasonal","")</f>
        <v/>
      </c>
      <c r="BC538" s="22" t="str">
        <f>IF(AND('[1]observations-276632'!W538&gt;'[1]Methods write-up'!$Q$21,'[1]observations-276632'!W538&lt;'[1]Methods write-up'!$R$21,'[1]observations-276632'!X538&gt;'[1]Methods write-up'!$S$21,'[1]observations-276632'!X538&lt;'[1]Methods write-up'!$T$21),"Desert and high aridity","")</f>
        <v/>
      </c>
      <c r="BD538" s="23" t="str">
        <f t="shared" si="37"/>
        <v>West and Central Africa</v>
      </c>
      <c r="BE538" s="24">
        <f t="shared" si="35"/>
        <v>3</v>
      </c>
      <c r="BF538" s="24">
        <f t="shared" si="36"/>
        <v>7</v>
      </c>
    </row>
    <row r="539" spans="1:58" ht="16.25" customHeight="1" x14ac:dyDescent="0.2">
      <c r="A539">
        <v>55164199</v>
      </c>
      <c r="B539" t="s">
        <v>3980</v>
      </c>
      <c r="C539" s="14">
        <v>44045</v>
      </c>
      <c r="D539" t="s">
        <v>3981</v>
      </c>
      <c r="E539" t="s">
        <v>84</v>
      </c>
      <c r="F539">
        <v>2339390</v>
      </c>
      <c r="G539" t="s">
        <v>3820</v>
      </c>
      <c r="I539" t="s">
        <v>3982</v>
      </c>
      <c r="J539" t="s">
        <v>3983</v>
      </c>
      <c r="K539" t="s">
        <v>62</v>
      </c>
      <c r="L539" t="s">
        <v>63</v>
      </c>
      <c r="M539" t="s">
        <v>3984</v>
      </c>
      <c r="N539" t="s">
        <v>3985</v>
      </c>
      <c r="R539">
        <v>1</v>
      </c>
      <c r="S539">
        <v>0</v>
      </c>
      <c r="T539" t="b">
        <v>0</v>
      </c>
      <c r="V539" t="s">
        <v>3986</v>
      </c>
      <c r="W539" s="15">
        <v>-6.266667</v>
      </c>
      <c r="X539" s="15">
        <v>29.933332</v>
      </c>
      <c r="Y539">
        <v>211</v>
      </c>
      <c r="AC539">
        <v>211</v>
      </c>
      <c r="AF539" t="b">
        <v>0</v>
      </c>
      <c r="AI539" t="s">
        <v>71</v>
      </c>
      <c r="AJ539" t="s">
        <v>70</v>
      </c>
      <c r="AK539" t="s">
        <v>71</v>
      </c>
      <c r="AL539" t="s">
        <v>72</v>
      </c>
      <c r="AM539">
        <v>346053</v>
      </c>
      <c r="AO539" s="16" t="s">
        <v>140</v>
      </c>
      <c r="AP539" s="17" t="str">
        <f t="shared" si="38"/>
        <v>Post-emergence nest</v>
      </c>
      <c r="AQ539" s="18">
        <v>4</v>
      </c>
      <c r="AT539" s="19" t="s">
        <v>141</v>
      </c>
      <c r="AU539" s="20" t="s">
        <v>104</v>
      </c>
      <c r="AX539" s="22" t="str">
        <f>IF(AND('[1]observations-276632'!W539&gt;'[1]Methods write-up'!$Q$16,'[1]observations-276632'!W539&lt;'[1]Methods write-up'!$R$16,'[1]observations-276632'!X539&gt;'[1]Methods write-up'!$S$16,'[1]observations-276632'!X539&lt;'[1]Methods write-up'!$T$16),"West and Central Africa","")</f>
        <v>West and Central Africa</v>
      </c>
      <c r="AY539" s="22" t="str">
        <f>IF(AND('[1]observations-276632'!W539&gt;'[1]Methods write-up'!$Q$17,'[1]observations-276632'!W539&lt;'[1]Methods write-up'!$R$17,'[1]observations-276632'!X539&gt;'[1]Methods write-up'!$S$17,'[1]observations-276632'!X539&lt;'[1]Methods write-up'!$T$17),"Equatorial tropical forest","")</f>
        <v/>
      </c>
      <c r="AZ539" s="22" t="str">
        <f>IF(AND('[1]observations-276632'!W539&gt;'[1]Methods write-up'!$Q$18,'[1]observations-276632'!W539&lt;'[1]Methods write-up'!$R$18,'[1]observations-276632'!X539&gt;'[1]Methods write-up'!$S$18,'[1]observations-276632'!X539&lt;'[1]Methods write-up'!$T$18),"Somali peninsula","")</f>
        <v/>
      </c>
      <c r="BA539" s="22" t="str">
        <f>IF(AND('[1]observations-276632'!W539&gt;'[1]Methods write-up'!$Q$19,'[1]observations-276632'!W539&lt;'[1]Methods write-up'!$R$19,'[1]observations-276632'!X539&gt;'[1]Methods write-up'!$S$19,'[1]observations-276632'!X539&lt;'[1]Methods write-up'!$T$19),"East Africa","")</f>
        <v/>
      </c>
      <c r="BB539" s="22" t="str">
        <f>IF(AND('[1]observations-276632'!W539&gt;'[1]Methods write-up'!$Q$20,'[1]observations-276632'!W539&lt;'[1]Methods write-up'!$R$20,'[1]observations-276632'!X539&gt;'[1]Methods write-up'!$S$20,'[1]observations-276632'!X539&lt;'[1]Methods write-up'!$T$20),"Temperate seasonal","")</f>
        <v/>
      </c>
      <c r="BC539" s="22" t="str">
        <f>IF(AND('[1]observations-276632'!W539&gt;'[1]Methods write-up'!$Q$21,'[1]observations-276632'!W539&lt;'[1]Methods write-up'!$R$21,'[1]observations-276632'!X539&gt;'[1]Methods write-up'!$S$21,'[1]observations-276632'!X539&lt;'[1]Methods write-up'!$T$21),"Desert and high aridity","")</f>
        <v/>
      </c>
      <c r="BD539" s="23" t="str">
        <f t="shared" si="37"/>
        <v>West and Central Africa</v>
      </c>
      <c r="BE539" s="24">
        <f t="shared" si="35"/>
        <v>2</v>
      </c>
      <c r="BF539" s="24">
        <f t="shared" si="36"/>
        <v>8</v>
      </c>
    </row>
    <row r="540" spans="1:58" ht="16.25" customHeight="1" x14ac:dyDescent="0.2">
      <c r="A540">
        <v>55246302</v>
      </c>
      <c r="B540" t="s">
        <v>3987</v>
      </c>
      <c r="C540" s="14">
        <v>44046</v>
      </c>
      <c r="D540" t="s">
        <v>3988</v>
      </c>
      <c r="E540" t="s">
        <v>113</v>
      </c>
      <c r="F540">
        <v>1476026</v>
      </c>
      <c r="G540" t="s">
        <v>3989</v>
      </c>
      <c r="H540" t="s">
        <v>3990</v>
      </c>
      <c r="I540" t="s">
        <v>3991</v>
      </c>
      <c r="J540" t="s">
        <v>3992</v>
      </c>
      <c r="K540" t="s">
        <v>62</v>
      </c>
      <c r="L540" t="s">
        <v>373</v>
      </c>
      <c r="M540" t="s">
        <v>3993</v>
      </c>
      <c r="N540" t="s">
        <v>3994</v>
      </c>
      <c r="R540">
        <v>1</v>
      </c>
      <c r="S540">
        <v>0</v>
      </c>
      <c r="T540" t="b">
        <v>0</v>
      </c>
      <c r="U540">
        <v>2</v>
      </c>
      <c r="V540" t="s">
        <v>3995</v>
      </c>
      <c r="W540" s="15">
        <v>-18.127614229999999</v>
      </c>
      <c r="X540" s="15">
        <v>30.182287339999998</v>
      </c>
      <c r="Y540">
        <v>5</v>
      </c>
      <c r="AC540">
        <v>5</v>
      </c>
      <c r="AF540" t="b">
        <v>0</v>
      </c>
      <c r="AI540" t="s">
        <v>71</v>
      </c>
      <c r="AJ540" t="s">
        <v>70</v>
      </c>
      <c r="AK540" t="s">
        <v>71</v>
      </c>
      <c r="AL540" t="s">
        <v>72</v>
      </c>
      <c r="AM540">
        <v>346053</v>
      </c>
      <c r="AO540" s="16" t="s">
        <v>73</v>
      </c>
      <c r="AP540" s="17" t="str">
        <f t="shared" si="38"/>
        <v>Off-nest female</v>
      </c>
      <c r="AX540" s="22" t="str">
        <f>IF(AND('[1]observations-276632'!W540&gt;'[1]Methods write-up'!$Q$16,'[1]observations-276632'!W540&lt;'[1]Methods write-up'!$R$16,'[1]observations-276632'!X540&gt;'[1]Methods write-up'!$S$16,'[1]observations-276632'!X540&lt;'[1]Methods write-up'!$T$16),"West and Central Africa","")</f>
        <v>West and Central Africa</v>
      </c>
      <c r="AY540" s="22" t="str">
        <f>IF(AND('[1]observations-276632'!W540&gt;'[1]Methods write-up'!$Q$17,'[1]observations-276632'!W540&lt;'[1]Methods write-up'!$R$17,'[1]observations-276632'!X540&gt;'[1]Methods write-up'!$S$17,'[1]observations-276632'!X540&lt;'[1]Methods write-up'!$T$17),"Equatorial tropical forest","")</f>
        <v/>
      </c>
      <c r="AZ540" s="22" t="str">
        <f>IF(AND('[1]observations-276632'!W540&gt;'[1]Methods write-up'!$Q$18,'[1]observations-276632'!W540&lt;'[1]Methods write-up'!$R$18,'[1]observations-276632'!X540&gt;'[1]Methods write-up'!$S$18,'[1]observations-276632'!X540&lt;'[1]Methods write-up'!$T$18),"Somali peninsula","")</f>
        <v/>
      </c>
      <c r="BA540" s="22" t="str">
        <f>IF(AND('[1]observations-276632'!W540&gt;'[1]Methods write-up'!$Q$19,'[1]observations-276632'!W540&lt;'[1]Methods write-up'!$R$19,'[1]observations-276632'!X540&gt;'[1]Methods write-up'!$S$19,'[1]observations-276632'!X540&lt;'[1]Methods write-up'!$T$19),"East Africa","")</f>
        <v/>
      </c>
      <c r="BB540" s="22" t="str">
        <f>IF(AND('[1]observations-276632'!W540&gt;'[1]Methods write-up'!$Q$20,'[1]observations-276632'!W540&lt;'[1]Methods write-up'!$R$20,'[1]observations-276632'!X540&gt;'[1]Methods write-up'!$S$20,'[1]observations-276632'!X540&lt;'[1]Methods write-up'!$T$20),"Temperate seasonal","")</f>
        <v/>
      </c>
      <c r="BC540" s="22" t="str">
        <f>IF(AND('[1]observations-276632'!W540&gt;'[1]Methods write-up'!$Q$21,'[1]observations-276632'!W540&lt;'[1]Methods write-up'!$R$21,'[1]observations-276632'!X540&gt;'[1]Methods write-up'!$S$21,'[1]observations-276632'!X540&lt;'[1]Methods write-up'!$T$21),"Desert and high aridity","")</f>
        <v/>
      </c>
      <c r="BD540" s="23" t="str">
        <f t="shared" si="37"/>
        <v>West and Central Africa</v>
      </c>
      <c r="BE540" s="24">
        <f t="shared" si="35"/>
        <v>3</v>
      </c>
      <c r="BF540" s="24">
        <f t="shared" si="36"/>
        <v>8</v>
      </c>
    </row>
    <row r="541" spans="1:58" ht="16.25" customHeight="1" x14ac:dyDescent="0.2">
      <c r="A541">
        <v>55251627</v>
      </c>
      <c r="B541" t="s">
        <v>3996</v>
      </c>
      <c r="C541" s="14">
        <v>44046</v>
      </c>
      <c r="D541" t="s">
        <v>3997</v>
      </c>
      <c r="E541" t="s">
        <v>113</v>
      </c>
      <c r="F541">
        <v>1759775</v>
      </c>
      <c r="G541" t="s">
        <v>3998</v>
      </c>
      <c r="H541" t="s">
        <v>3999</v>
      </c>
      <c r="I541" t="s">
        <v>4000</v>
      </c>
      <c r="J541" t="s">
        <v>4001</v>
      </c>
      <c r="K541" t="s">
        <v>62</v>
      </c>
      <c r="L541" t="s">
        <v>63</v>
      </c>
      <c r="M541" t="s">
        <v>4002</v>
      </c>
      <c r="N541" t="s">
        <v>4003</v>
      </c>
      <c r="Q541" t="s">
        <v>4004</v>
      </c>
      <c r="R541">
        <v>1</v>
      </c>
      <c r="S541">
        <v>0</v>
      </c>
      <c r="T541" t="b">
        <v>0</v>
      </c>
      <c r="U541">
        <v>2</v>
      </c>
      <c r="V541" t="s">
        <v>4005</v>
      </c>
      <c r="W541" s="15">
        <v>-20.252458699999998</v>
      </c>
      <c r="X541" s="15">
        <v>28.780930860000002</v>
      </c>
      <c r="Y541">
        <v>698</v>
      </c>
      <c r="AC541">
        <v>698</v>
      </c>
      <c r="AF541" t="b">
        <v>0</v>
      </c>
      <c r="AG541" t="s">
        <v>350</v>
      </c>
      <c r="AH541" t="s">
        <v>350</v>
      </c>
      <c r="AI541" t="s">
        <v>4006</v>
      </c>
      <c r="AJ541" t="s">
        <v>70</v>
      </c>
      <c r="AK541" t="s">
        <v>71</v>
      </c>
      <c r="AL541" t="s">
        <v>72</v>
      </c>
      <c r="AM541">
        <v>346053</v>
      </c>
      <c r="AO541" s="16" t="s">
        <v>1356</v>
      </c>
      <c r="AP541" s="17" t="str">
        <f t="shared" si="38"/>
        <v>Nest (foundress)</v>
      </c>
      <c r="AQ541" s="18">
        <v>1</v>
      </c>
      <c r="AT541" s="19" t="s">
        <v>104</v>
      </c>
      <c r="AX541" s="22" t="str">
        <f>IF(AND('[1]observations-276632'!W541&gt;'[1]Methods write-up'!$Q$16,'[1]observations-276632'!W541&lt;'[1]Methods write-up'!$R$16,'[1]observations-276632'!X541&gt;'[1]Methods write-up'!$S$16,'[1]observations-276632'!X541&lt;'[1]Methods write-up'!$T$16),"West and Central Africa","")</f>
        <v/>
      </c>
      <c r="AY541" s="22" t="str">
        <f>IF(AND('[1]observations-276632'!W541&gt;'[1]Methods write-up'!$Q$17,'[1]observations-276632'!W541&lt;'[1]Methods write-up'!$R$17,'[1]observations-276632'!X541&gt;'[1]Methods write-up'!$S$17,'[1]observations-276632'!X541&lt;'[1]Methods write-up'!$T$17),"Equatorial tropical forest","")</f>
        <v/>
      </c>
      <c r="AZ541" s="22" t="str">
        <f>IF(AND('[1]observations-276632'!W541&gt;'[1]Methods write-up'!$Q$18,'[1]observations-276632'!W541&lt;'[1]Methods write-up'!$R$18,'[1]observations-276632'!X541&gt;'[1]Methods write-up'!$S$18,'[1]observations-276632'!X541&lt;'[1]Methods write-up'!$T$18),"Somali peninsula","")</f>
        <v/>
      </c>
      <c r="BA541" s="22" t="str">
        <f>IF(AND('[1]observations-276632'!W541&gt;'[1]Methods write-up'!$Q$19,'[1]observations-276632'!W541&lt;'[1]Methods write-up'!$R$19,'[1]observations-276632'!X541&gt;'[1]Methods write-up'!$S$19,'[1]observations-276632'!X541&lt;'[1]Methods write-up'!$T$19),"East Africa","")</f>
        <v/>
      </c>
      <c r="BB541" s="22" t="str">
        <f>IF(AND('[1]observations-276632'!W541&gt;'[1]Methods write-up'!$Q$20,'[1]observations-276632'!W541&lt;'[1]Methods write-up'!$R$20,'[1]observations-276632'!X541&gt;'[1]Methods write-up'!$S$20,'[1]observations-276632'!X541&lt;'[1]Methods write-up'!$T$20),"Temperate seasonal","")</f>
        <v/>
      </c>
      <c r="BC541" s="22" t="str">
        <f>IF(AND('[1]observations-276632'!W541&gt;'[1]Methods write-up'!$Q$21,'[1]observations-276632'!W541&lt;'[1]Methods write-up'!$R$21,'[1]observations-276632'!X541&gt;'[1]Methods write-up'!$S$21,'[1]observations-276632'!X541&lt;'[1]Methods write-up'!$T$21),"Desert and high aridity","")</f>
        <v/>
      </c>
      <c r="BD541" s="23" t="str">
        <f t="shared" si="37"/>
        <v/>
      </c>
      <c r="BE541" s="24">
        <f t="shared" si="35"/>
        <v>3</v>
      </c>
      <c r="BF541" s="24">
        <f t="shared" si="36"/>
        <v>8</v>
      </c>
    </row>
    <row r="542" spans="1:58" ht="16.25" customHeight="1" x14ac:dyDescent="0.2">
      <c r="A542">
        <v>55469153</v>
      </c>
      <c r="B542" t="s">
        <v>4007</v>
      </c>
      <c r="C542" s="14">
        <v>44048</v>
      </c>
      <c r="D542" t="s">
        <v>4008</v>
      </c>
      <c r="E542" t="s">
        <v>113</v>
      </c>
      <c r="F542">
        <v>2629943</v>
      </c>
      <c r="G542" t="s">
        <v>4009</v>
      </c>
      <c r="H542" t="s">
        <v>4010</v>
      </c>
      <c r="I542" t="s">
        <v>4011</v>
      </c>
      <c r="J542" t="s">
        <v>4012</v>
      </c>
      <c r="K542" t="s">
        <v>62</v>
      </c>
      <c r="L542" t="s">
        <v>63</v>
      </c>
      <c r="M542" t="s">
        <v>4013</v>
      </c>
      <c r="N542" t="s">
        <v>4014</v>
      </c>
      <c r="R542">
        <v>3</v>
      </c>
      <c r="S542">
        <v>0</v>
      </c>
      <c r="T542" t="b">
        <v>0</v>
      </c>
      <c r="U542">
        <v>2</v>
      </c>
      <c r="V542" t="s">
        <v>4015</v>
      </c>
      <c r="W542" s="15">
        <v>-18.252695920000001</v>
      </c>
      <c r="X542" s="15">
        <v>32.01101895</v>
      </c>
      <c r="Y542">
        <v>180</v>
      </c>
      <c r="AC542">
        <v>180</v>
      </c>
      <c r="AF542" t="b">
        <v>0</v>
      </c>
      <c r="AG542" t="s">
        <v>350</v>
      </c>
      <c r="AH542" t="s">
        <v>350</v>
      </c>
      <c r="AI542" t="s">
        <v>71</v>
      </c>
      <c r="AJ542" t="s">
        <v>70</v>
      </c>
      <c r="AK542" t="s">
        <v>71</v>
      </c>
      <c r="AL542" t="s">
        <v>72</v>
      </c>
      <c r="AM542">
        <v>346053</v>
      </c>
      <c r="AO542" s="16" t="s">
        <v>1067</v>
      </c>
      <c r="AP542" s="17" t="str">
        <f t="shared" si="38"/>
        <v>Hibernation cluster</v>
      </c>
      <c r="AQ542" s="18">
        <v>8</v>
      </c>
      <c r="AV542" s="21" t="s">
        <v>4016</v>
      </c>
      <c r="AX542" s="22" t="str">
        <f>IF(AND('[1]observations-276632'!W542&gt;'[1]Methods write-up'!$Q$16,'[1]observations-276632'!W542&lt;'[1]Methods write-up'!$R$16,'[1]observations-276632'!X542&gt;'[1]Methods write-up'!$S$16,'[1]observations-276632'!X542&lt;'[1]Methods write-up'!$T$16),"West and Central Africa","")</f>
        <v/>
      </c>
      <c r="AY542" s="22" t="str">
        <f>IF(AND('[1]observations-276632'!W542&gt;'[1]Methods write-up'!$Q$17,'[1]observations-276632'!W542&lt;'[1]Methods write-up'!$R$17,'[1]observations-276632'!X542&gt;'[1]Methods write-up'!$S$17,'[1]observations-276632'!X542&lt;'[1]Methods write-up'!$T$17),"Equatorial tropical forest","")</f>
        <v/>
      </c>
      <c r="AZ542" s="22" t="str">
        <f>IF(AND('[1]observations-276632'!W542&gt;'[1]Methods write-up'!$Q$18,'[1]observations-276632'!W542&lt;'[1]Methods write-up'!$R$18,'[1]observations-276632'!X542&gt;'[1]Methods write-up'!$S$18,'[1]observations-276632'!X542&lt;'[1]Methods write-up'!$T$18),"Somali peninsula","")</f>
        <v/>
      </c>
      <c r="BA542" s="22" t="str">
        <f>IF(AND('[1]observations-276632'!W542&gt;'[1]Methods write-up'!$Q$19,'[1]observations-276632'!W542&lt;'[1]Methods write-up'!$R$19,'[1]observations-276632'!X542&gt;'[1]Methods write-up'!$S$19,'[1]observations-276632'!X542&lt;'[1]Methods write-up'!$T$19),"East Africa","")</f>
        <v/>
      </c>
      <c r="BB542" s="22" t="str">
        <f>IF(AND('[1]observations-276632'!W542&gt;'[1]Methods write-up'!$Q$20,'[1]observations-276632'!W542&lt;'[1]Methods write-up'!$R$20,'[1]observations-276632'!X542&gt;'[1]Methods write-up'!$S$20,'[1]observations-276632'!X542&lt;'[1]Methods write-up'!$T$20),"Temperate seasonal","")</f>
        <v/>
      </c>
      <c r="BC542" s="22" t="str">
        <f>IF(AND('[1]observations-276632'!W542&gt;'[1]Methods write-up'!$Q$21,'[1]observations-276632'!W542&lt;'[1]Methods write-up'!$R$21,'[1]observations-276632'!X542&gt;'[1]Methods write-up'!$S$21,'[1]observations-276632'!X542&lt;'[1]Methods write-up'!$T$21),"Desert and high aridity","")</f>
        <v/>
      </c>
      <c r="BD542" s="23" t="str">
        <f t="shared" si="37"/>
        <v/>
      </c>
      <c r="BE542" s="24">
        <f t="shared" si="35"/>
        <v>5</v>
      </c>
      <c r="BF542" s="24">
        <f t="shared" si="36"/>
        <v>8</v>
      </c>
    </row>
    <row r="543" spans="1:58" ht="16.25" customHeight="1" x14ac:dyDescent="0.2">
      <c r="A543">
        <v>55568855</v>
      </c>
      <c r="B543" t="s">
        <v>4017</v>
      </c>
      <c r="C543" s="14">
        <v>44033</v>
      </c>
      <c r="D543" t="s">
        <v>4018</v>
      </c>
      <c r="E543" t="s">
        <v>57</v>
      </c>
      <c r="F543">
        <v>678008</v>
      </c>
      <c r="G543" t="s">
        <v>2315</v>
      </c>
      <c r="I543" t="s">
        <v>4019</v>
      </c>
      <c r="J543" t="s">
        <v>4020</v>
      </c>
      <c r="K543" t="s">
        <v>62</v>
      </c>
      <c r="L543" t="s">
        <v>63</v>
      </c>
      <c r="M543" t="s">
        <v>4021</v>
      </c>
      <c r="N543" t="s">
        <v>4022</v>
      </c>
      <c r="R543">
        <v>1</v>
      </c>
      <c r="S543">
        <v>0</v>
      </c>
      <c r="T543" t="b">
        <v>0</v>
      </c>
      <c r="V543" t="s">
        <v>2320</v>
      </c>
      <c r="W543" s="15">
        <v>-15.36985702</v>
      </c>
      <c r="X543" s="15">
        <v>28.315754519999999</v>
      </c>
      <c r="Y543">
        <v>46</v>
      </c>
      <c r="AC543">
        <v>46</v>
      </c>
      <c r="AF543" t="b">
        <v>0</v>
      </c>
      <c r="AI543" t="s">
        <v>71</v>
      </c>
      <c r="AJ543" t="s">
        <v>70</v>
      </c>
      <c r="AK543" t="s">
        <v>71</v>
      </c>
      <c r="AL543" t="s">
        <v>72</v>
      </c>
      <c r="AM543">
        <v>346053</v>
      </c>
      <c r="AO543" s="16" t="s">
        <v>73</v>
      </c>
      <c r="AP543" s="17" t="str">
        <f t="shared" si="38"/>
        <v>Off-nest female</v>
      </c>
      <c r="AX543" s="22" t="str">
        <f>IF(AND('[1]observations-276632'!W543&gt;'[1]Methods write-up'!$Q$16,'[1]observations-276632'!W543&lt;'[1]Methods write-up'!$R$16,'[1]observations-276632'!X543&gt;'[1]Methods write-up'!$S$16,'[1]observations-276632'!X543&lt;'[1]Methods write-up'!$T$16),"West and Central Africa","")</f>
        <v>West and Central Africa</v>
      </c>
      <c r="AY543" s="22" t="str">
        <f>IF(AND('[1]observations-276632'!W543&gt;'[1]Methods write-up'!$Q$17,'[1]observations-276632'!W543&lt;'[1]Methods write-up'!$R$17,'[1]observations-276632'!X543&gt;'[1]Methods write-up'!$S$17,'[1]observations-276632'!X543&lt;'[1]Methods write-up'!$T$17),"Equatorial tropical forest","")</f>
        <v/>
      </c>
      <c r="AZ543" s="22" t="str">
        <f>IF(AND('[1]observations-276632'!W543&gt;'[1]Methods write-up'!$Q$18,'[1]observations-276632'!W543&lt;'[1]Methods write-up'!$R$18,'[1]observations-276632'!X543&gt;'[1]Methods write-up'!$S$18,'[1]observations-276632'!X543&lt;'[1]Methods write-up'!$T$18),"Somali peninsula","")</f>
        <v/>
      </c>
      <c r="BA543" s="22" t="str">
        <f>IF(AND('[1]observations-276632'!W543&gt;'[1]Methods write-up'!$Q$19,'[1]observations-276632'!W543&lt;'[1]Methods write-up'!$R$19,'[1]observations-276632'!X543&gt;'[1]Methods write-up'!$S$19,'[1]observations-276632'!X543&lt;'[1]Methods write-up'!$T$19),"East Africa","")</f>
        <v/>
      </c>
      <c r="BB543" s="22" t="str">
        <f>IF(AND('[1]observations-276632'!W543&gt;'[1]Methods write-up'!$Q$20,'[1]observations-276632'!W543&lt;'[1]Methods write-up'!$R$20,'[1]observations-276632'!X543&gt;'[1]Methods write-up'!$S$20,'[1]observations-276632'!X543&lt;'[1]Methods write-up'!$T$20),"Temperate seasonal","")</f>
        <v/>
      </c>
      <c r="BC543" s="22" t="str">
        <f>IF(AND('[1]observations-276632'!W543&gt;'[1]Methods write-up'!$Q$21,'[1]observations-276632'!W543&lt;'[1]Methods write-up'!$R$21,'[1]observations-276632'!X543&gt;'[1]Methods write-up'!$S$21,'[1]observations-276632'!X543&lt;'[1]Methods write-up'!$T$21),"Desert and high aridity","")</f>
        <v/>
      </c>
      <c r="BD543" s="23" t="str">
        <f t="shared" si="37"/>
        <v>West and Central Africa</v>
      </c>
      <c r="BE543" s="24">
        <f t="shared" si="35"/>
        <v>21</v>
      </c>
      <c r="BF543" s="24">
        <f t="shared" si="36"/>
        <v>7</v>
      </c>
    </row>
    <row r="544" spans="1:58" ht="16.25" customHeight="1" x14ac:dyDescent="0.2">
      <c r="A544">
        <v>55688670</v>
      </c>
      <c r="B544" t="s">
        <v>4023</v>
      </c>
      <c r="C544" s="14">
        <v>44047</v>
      </c>
      <c r="D544" t="s">
        <v>4024</v>
      </c>
      <c r="E544" t="s">
        <v>57</v>
      </c>
      <c r="F544">
        <v>100845</v>
      </c>
      <c r="G544" t="s">
        <v>1775</v>
      </c>
      <c r="H544" t="s">
        <v>1776</v>
      </c>
      <c r="I544" t="s">
        <v>4025</v>
      </c>
      <c r="J544" t="s">
        <v>4026</v>
      </c>
      <c r="K544" t="s">
        <v>62</v>
      </c>
      <c r="L544" t="s">
        <v>63</v>
      </c>
      <c r="M544" t="s">
        <v>4027</v>
      </c>
      <c r="N544" t="s">
        <v>4028</v>
      </c>
      <c r="R544">
        <v>2</v>
      </c>
      <c r="S544">
        <v>0</v>
      </c>
      <c r="T544" t="b">
        <v>0</v>
      </c>
      <c r="V544" t="s">
        <v>4029</v>
      </c>
      <c r="W544" s="15">
        <v>-25.658535740000001</v>
      </c>
      <c r="X544" s="15">
        <v>27.943860229999999</v>
      </c>
      <c r="Y544">
        <v>15</v>
      </c>
      <c r="AC544">
        <v>15</v>
      </c>
      <c r="AF544" t="b">
        <v>0</v>
      </c>
      <c r="AI544" t="s">
        <v>71</v>
      </c>
      <c r="AJ544" t="s">
        <v>70</v>
      </c>
      <c r="AK544" t="s">
        <v>71</v>
      </c>
      <c r="AL544" t="s">
        <v>72</v>
      </c>
      <c r="AM544">
        <v>346053</v>
      </c>
      <c r="AO544" s="16" t="s">
        <v>73</v>
      </c>
      <c r="AP544" s="17" t="str">
        <f t="shared" si="38"/>
        <v>Off-nest female</v>
      </c>
      <c r="AX544" s="22" t="str">
        <f>IF(AND('[1]observations-276632'!W544&gt;'[1]Methods write-up'!$Q$16,'[1]observations-276632'!W544&lt;'[1]Methods write-up'!$R$16,'[1]observations-276632'!X544&gt;'[1]Methods write-up'!$S$16,'[1]observations-276632'!X544&lt;'[1]Methods write-up'!$T$16),"West and Central Africa","")</f>
        <v/>
      </c>
      <c r="AY544" s="22" t="str">
        <f>IF(AND('[1]observations-276632'!W544&gt;'[1]Methods write-up'!$Q$17,'[1]observations-276632'!W544&lt;'[1]Methods write-up'!$R$17,'[1]observations-276632'!X544&gt;'[1]Methods write-up'!$S$17,'[1]observations-276632'!X544&lt;'[1]Methods write-up'!$T$17),"Equatorial tropical forest","")</f>
        <v/>
      </c>
      <c r="AZ544" s="22" t="str">
        <f>IF(AND('[1]observations-276632'!W544&gt;'[1]Methods write-up'!$Q$18,'[1]observations-276632'!W544&lt;'[1]Methods write-up'!$R$18,'[1]observations-276632'!X544&gt;'[1]Methods write-up'!$S$18,'[1]observations-276632'!X544&lt;'[1]Methods write-up'!$T$18),"Somali peninsula","")</f>
        <v/>
      </c>
      <c r="BA544" s="22" t="str">
        <f>IF(AND('[1]observations-276632'!W544&gt;'[1]Methods write-up'!$Q$19,'[1]observations-276632'!W544&lt;'[1]Methods write-up'!$R$19,'[1]observations-276632'!X544&gt;'[1]Methods write-up'!$S$19,'[1]observations-276632'!X544&lt;'[1]Methods write-up'!$T$19),"East Africa","")</f>
        <v/>
      </c>
      <c r="BB544" s="22" t="str">
        <f>IF(AND('[1]observations-276632'!W544&gt;'[1]Methods write-up'!$Q$20,'[1]observations-276632'!W544&lt;'[1]Methods write-up'!$R$20,'[1]observations-276632'!X544&gt;'[1]Methods write-up'!$S$20,'[1]observations-276632'!X544&lt;'[1]Methods write-up'!$T$20),"Temperate seasonal","")</f>
        <v>Temperate seasonal</v>
      </c>
      <c r="BC544" s="22" t="str">
        <f>IF(AND('[1]observations-276632'!W544&gt;'[1]Methods write-up'!$Q$21,'[1]observations-276632'!W544&lt;'[1]Methods write-up'!$R$21,'[1]observations-276632'!X544&gt;'[1]Methods write-up'!$S$21,'[1]observations-276632'!X544&lt;'[1]Methods write-up'!$T$21),"Desert and high aridity","")</f>
        <v/>
      </c>
      <c r="BD544" s="23" t="str">
        <f t="shared" si="37"/>
        <v>Temperate seasonal</v>
      </c>
      <c r="BE544" s="24">
        <f t="shared" si="35"/>
        <v>4</v>
      </c>
      <c r="BF544" s="24">
        <f t="shared" si="36"/>
        <v>8</v>
      </c>
    </row>
    <row r="545" spans="1:58" ht="16.25" customHeight="1" x14ac:dyDescent="0.2">
      <c r="A545">
        <v>56099723</v>
      </c>
      <c r="B545" t="s">
        <v>4030</v>
      </c>
      <c r="C545" s="14">
        <v>44036</v>
      </c>
      <c r="D545" t="s">
        <v>4031</v>
      </c>
      <c r="E545" t="s">
        <v>57</v>
      </c>
      <c r="F545">
        <v>678008</v>
      </c>
      <c r="G545" t="s">
        <v>2315</v>
      </c>
      <c r="I545" t="s">
        <v>4032</v>
      </c>
      <c r="J545" t="s">
        <v>4033</v>
      </c>
      <c r="K545" t="s">
        <v>62</v>
      </c>
      <c r="L545" t="s">
        <v>63</v>
      </c>
      <c r="M545" t="s">
        <v>4034</v>
      </c>
      <c r="N545" t="s">
        <v>4035</v>
      </c>
      <c r="R545">
        <v>2</v>
      </c>
      <c r="S545">
        <v>0</v>
      </c>
      <c r="T545" t="b">
        <v>0</v>
      </c>
      <c r="V545" t="s">
        <v>2320</v>
      </c>
      <c r="W545" s="15">
        <v>-15.36985702</v>
      </c>
      <c r="X545" s="15">
        <v>28.315754519999999</v>
      </c>
      <c r="Y545">
        <v>46</v>
      </c>
      <c r="AC545">
        <v>46</v>
      </c>
      <c r="AF545" t="b">
        <v>0</v>
      </c>
      <c r="AI545" t="s">
        <v>71</v>
      </c>
      <c r="AJ545" t="s">
        <v>70</v>
      </c>
      <c r="AK545" t="s">
        <v>71</v>
      </c>
      <c r="AL545" t="s">
        <v>72</v>
      </c>
      <c r="AM545">
        <v>346053</v>
      </c>
      <c r="AO545" s="16" t="s">
        <v>150</v>
      </c>
      <c r="AP545" s="17" t="str">
        <f t="shared" si="38"/>
        <v>Male (off nest)</v>
      </c>
      <c r="AX545" s="22" t="str">
        <f>IF(AND('[1]observations-276632'!W545&gt;'[1]Methods write-up'!$Q$16,'[1]observations-276632'!W545&lt;'[1]Methods write-up'!$R$16,'[1]observations-276632'!X545&gt;'[1]Methods write-up'!$S$16,'[1]observations-276632'!X545&lt;'[1]Methods write-up'!$T$16),"West and Central Africa","")</f>
        <v>West and Central Africa</v>
      </c>
      <c r="AY545" s="22" t="str">
        <f>IF(AND('[1]observations-276632'!W545&gt;'[1]Methods write-up'!$Q$17,'[1]observations-276632'!W545&lt;'[1]Methods write-up'!$R$17,'[1]observations-276632'!X545&gt;'[1]Methods write-up'!$S$17,'[1]observations-276632'!X545&lt;'[1]Methods write-up'!$T$17),"Equatorial tropical forest","")</f>
        <v/>
      </c>
      <c r="AZ545" s="22" t="str">
        <f>IF(AND('[1]observations-276632'!W545&gt;'[1]Methods write-up'!$Q$18,'[1]observations-276632'!W545&lt;'[1]Methods write-up'!$R$18,'[1]observations-276632'!X545&gt;'[1]Methods write-up'!$S$18,'[1]observations-276632'!X545&lt;'[1]Methods write-up'!$T$18),"Somali peninsula","")</f>
        <v/>
      </c>
      <c r="BA545" s="22" t="str">
        <f>IF(AND('[1]observations-276632'!W545&gt;'[1]Methods write-up'!$Q$19,'[1]observations-276632'!W545&lt;'[1]Methods write-up'!$R$19,'[1]observations-276632'!X545&gt;'[1]Methods write-up'!$S$19,'[1]observations-276632'!X545&lt;'[1]Methods write-up'!$T$19),"East Africa","")</f>
        <v/>
      </c>
      <c r="BB545" s="22" t="str">
        <f>IF(AND('[1]observations-276632'!W545&gt;'[1]Methods write-up'!$Q$20,'[1]observations-276632'!W545&lt;'[1]Methods write-up'!$R$20,'[1]observations-276632'!X545&gt;'[1]Methods write-up'!$S$20,'[1]observations-276632'!X545&lt;'[1]Methods write-up'!$T$20),"Temperate seasonal","")</f>
        <v/>
      </c>
      <c r="BC545" s="22" t="str">
        <f>IF(AND('[1]observations-276632'!W545&gt;'[1]Methods write-up'!$Q$21,'[1]observations-276632'!W545&lt;'[1]Methods write-up'!$R$21,'[1]observations-276632'!X545&gt;'[1]Methods write-up'!$S$21,'[1]observations-276632'!X545&lt;'[1]Methods write-up'!$T$21),"Desert and high aridity","")</f>
        <v/>
      </c>
      <c r="BD545" s="23" t="str">
        <f t="shared" si="37"/>
        <v>West and Central Africa</v>
      </c>
      <c r="BE545" s="24">
        <f t="shared" si="35"/>
        <v>24</v>
      </c>
      <c r="BF545" s="24">
        <f t="shared" si="36"/>
        <v>7</v>
      </c>
    </row>
    <row r="546" spans="1:58" ht="16.25" customHeight="1" x14ac:dyDescent="0.2">
      <c r="A546">
        <v>56190701</v>
      </c>
      <c r="B546" t="s">
        <v>4036</v>
      </c>
      <c r="C546" s="14">
        <v>44038</v>
      </c>
      <c r="D546" t="s">
        <v>4037</v>
      </c>
      <c r="E546" t="s">
        <v>57</v>
      </c>
      <c r="F546">
        <v>678008</v>
      </c>
      <c r="G546" t="s">
        <v>2315</v>
      </c>
      <c r="I546" t="s">
        <v>4038</v>
      </c>
      <c r="J546" t="s">
        <v>4039</v>
      </c>
      <c r="K546" t="s">
        <v>62</v>
      </c>
      <c r="L546" t="s">
        <v>63</v>
      </c>
      <c r="M546" t="s">
        <v>4040</v>
      </c>
      <c r="N546" t="s">
        <v>4041</v>
      </c>
      <c r="R546">
        <v>2</v>
      </c>
      <c r="S546">
        <v>0</v>
      </c>
      <c r="T546" t="b">
        <v>0</v>
      </c>
      <c r="V546" t="s">
        <v>2320</v>
      </c>
      <c r="W546" s="15">
        <v>-15.36985702</v>
      </c>
      <c r="X546" s="15">
        <v>28.315754519999999</v>
      </c>
      <c r="Y546">
        <v>46</v>
      </c>
      <c r="AC546">
        <v>46</v>
      </c>
      <c r="AF546" t="b">
        <v>0</v>
      </c>
      <c r="AI546" t="s">
        <v>71</v>
      </c>
      <c r="AJ546" t="s">
        <v>70</v>
      </c>
      <c r="AK546" t="s">
        <v>71</v>
      </c>
      <c r="AL546" t="s">
        <v>72</v>
      </c>
      <c r="AM546">
        <v>346053</v>
      </c>
      <c r="AO546" s="16" t="s">
        <v>150</v>
      </c>
      <c r="AP546" s="17" t="str">
        <f t="shared" si="38"/>
        <v>Male (off nest)</v>
      </c>
      <c r="AX546" s="22" t="str">
        <f>IF(AND('[1]observations-276632'!W546&gt;'[1]Methods write-up'!$Q$16,'[1]observations-276632'!W546&lt;'[1]Methods write-up'!$R$16,'[1]observations-276632'!X546&gt;'[1]Methods write-up'!$S$16,'[1]observations-276632'!X546&lt;'[1]Methods write-up'!$T$16),"West and Central Africa","")</f>
        <v>West and Central Africa</v>
      </c>
      <c r="AY546" s="22" t="str">
        <f>IF(AND('[1]observations-276632'!W546&gt;'[1]Methods write-up'!$Q$17,'[1]observations-276632'!W546&lt;'[1]Methods write-up'!$R$17,'[1]observations-276632'!X546&gt;'[1]Methods write-up'!$S$17,'[1]observations-276632'!X546&lt;'[1]Methods write-up'!$T$17),"Equatorial tropical forest","")</f>
        <v/>
      </c>
      <c r="AZ546" s="22" t="str">
        <f>IF(AND('[1]observations-276632'!W546&gt;'[1]Methods write-up'!$Q$18,'[1]observations-276632'!W546&lt;'[1]Methods write-up'!$R$18,'[1]observations-276632'!X546&gt;'[1]Methods write-up'!$S$18,'[1]observations-276632'!X546&lt;'[1]Methods write-up'!$T$18),"Somali peninsula","")</f>
        <v/>
      </c>
      <c r="BA546" s="22" t="str">
        <f>IF(AND('[1]observations-276632'!W546&gt;'[1]Methods write-up'!$Q$19,'[1]observations-276632'!W546&lt;'[1]Methods write-up'!$R$19,'[1]observations-276632'!X546&gt;'[1]Methods write-up'!$S$19,'[1]observations-276632'!X546&lt;'[1]Methods write-up'!$T$19),"East Africa","")</f>
        <v/>
      </c>
      <c r="BB546" s="22" t="str">
        <f>IF(AND('[1]observations-276632'!W546&gt;'[1]Methods write-up'!$Q$20,'[1]observations-276632'!W546&lt;'[1]Methods write-up'!$R$20,'[1]observations-276632'!X546&gt;'[1]Methods write-up'!$S$20,'[1]observations-276632'!X546&lt;'[1]Methods write-up'!$T$20),"Temperate seasonal","")</f>
        <v/>
      </c>
      <c r="BC546" s="22" t="str">
        <f>IF(AND('[1]observations-276632'!W546&gt;'[1]Methods write-up'!$Q$21,'[1]observations-276632'!W546&lt;'[1]Methods write-up'!$R$21,'[1]observations-276632'!X546&gt;'[1]Methods write-up'!$S$21,'[1]observations-276632'!X546&lt;'[1]Methods write-up'!$T$21),"Desert and high aridity","")</f>
        <v/>
      </c>
      <c r="BD546" s="23" t="str">
        <f t="shared" si="37"/>
        <v>West and Central Africa</v>
      </c>
      <c r="BE546" s="24">
        <f t="shared" si="35"/>
        <v>26</v>
      </c>
      <c r="BF546" s="24">
        <f t="shared" si="36"/>
        <v>7</v>
      </c>
    </row>
    <row r="547" spans="1:58" ht="16.25" customHeight="1" x14ac:dyDescent="0.2">
      <c r="A547">
        <v>56599735</v>
      </c>
      <c r="B547" t="s">
        <v>4042</v>
      </c>
      <c r="C547" s="14">
        <v>43905</v>
      </c>
      <c r="D547" t="s">
        <v>4043</v>
      </c>
      <c r="E547" t="s">
        <v>113</v>
      </c>
      <c r="F547">
        <v>3470427</v>
      </c>
      <c r="G547" t="s">
        <v>4044</v>
      </c>
      <c r="H547" t="s">
        <v>4045</v>
      </c>
      <c r="I547" t="s">
        <v>4046</v>
      </c>
      <c r="J547" t="s">
        <v>4047</v>
      </c>
      <c r="K547" t="s">
        <v>62</v>
      </c>
      <c r="M547" t="s">
        <v>4048</v>
      </c>
      <c r="N547" t="s">
        <v>4049</v>
      </c>
      <c r="Q547" t="s">
        <v>4050</v>
      </c>
      <c r="R547">
        <v>2</v>
      </c>
      <c r="S547">
        <v>0</v>
      </c>
      <c r="T547" t="b">
        <v>0</v>
      </c>
      <c r="U547">
        <v>2</v>
      </c>
      <c r="V547" t="s">
        <v>4051</v>
      </c>
      <c r="W547" s="15">
        <v>-17.88233949</v>
      </c>
      <c r="X547" s="15">
        <v>30.845570299999999</v>
      </c>
      <c r="Y547">
        <v>897</v>
      </c>
      <c r="AC547">
        <v>897</v>
      </c>
      <c r="AF547" t="b">
        <v>0</v>
      </c>
      <c r="AG547" t="s">
        <v>350</v>
      </c>
      <c r="AH547" t="s">
        <v>350</v>
      </c>
      <c r="AI547" t="s">
        <v>71</v>
      </c>
      <c r="AJ547" t="s">
        <v>70</v>
      </c>
      <c r="AK547" t="s">
        <v>71</v>
      </c>
      <c r="AL547" t="s">
        <v>72</v>
      </c>
      <c r="AM547">
        <v>346053</v>
      </c>
      <c r="AO547" s="16" t="s">
        <v>150</v>
      </c>
      <c r="AP547" s="17" t="str">
        <f t="shared" si="38"/>
        <v>Male (off nest)</v>
      </c>
      <c r="AX547" s="22" t="str">
        <f>IF(AND('[1]observations-276632'!W547&gt;'[1]Methods write-up'!$Q$16,'[1]observations-276632'!W547&lt;'[1]Methods write-up'!$R$16,'[1]observations-276632'!X547&gt;'[1]Methods write-up'!$S$16,'[1]observations-276632'!X547&lt;'[1]Methods write-up'!$T$16),"West and Central Africa","")</f>
        <v>West and Central Africa</v>
      </c>
      <c r="AY547" s="22" t="str">
        <f>IF(AND('[1]observations-276632'!W547&gt;'[1]Methods write-up'!$Q$17,'[1]observations-276632'!W547&lt;'[1]Methods write-up'!$R$17,'[1]observations-276632'!X547&gt;'[1]Methods write-up'!$S$17,'[1]observations-276632'!X547&lt;'[1]Methods write-up'!$T$17),"Equatorial tropical forest","")</f>
        <v/>
      </c>
      <c r="AZ547" s="22" t="str">
        <f>IF(AND('[1]observations-276632'!W547&gt;'[1]Methods write-up'!$Q$18,'[1]observations-276632'!W547&lt;'[1]Methods write-up'!$R$18,'[1]observations-276632'!X547&gt;'[1]Methods write-up'!$S$18,'[1]observations-276632'!X547&lt;'[1]Methods write-up'!$T$18),"Somali peninsula","")</f>
        <v/>
      </c>
      <c r="BA547" s="22" t="str">
        <f>IF(AND('[1]observations-276632'!W547&gt;'[1]Methods write-up'!$Q$19,'[1]observations-276632'!W547&lt;'[1]Methods write-up'!$R$19,'[1]observations-276632'!X547&gt;'[1]Methods write-up'!$S$19,'[1]observations-276632'!X547&lt;'[1]Methods write-up'!$T$19),"East Africa","")</f>
        <v/>
      </c>
      <c r="BB547" s="22" t="str">
        <f>IF(AND('[1]observations-276632'!W547&gt;'[1]Methods write-up'!$Q$20,'[1]observations-276632'!W547&lt;'[1]Methods write-up'!$R$20,'[1]observations-276632'!X547&gt;'[1]Methods write-up'!$S$20,'[1]observations-276632'!X547&lt;'[1]Methods write-up'!$T$20),"Temperate seasonal","")</f>
        <v/>
      </c>
      <c r="BC547" s="22" t="str">
        <f>IF(AND('[1]observations-276632'!W547&gt;'[1]Methods write-up'!$Q$21,'[1]observations-276632'!W547&lt;'[1]Methods write-up'!$R$21,'[1]observations-276632'!X547&gt;'[1]Methods write-up'!$S$21,'[1]observations-276632'!X547&lt;'[1]Methods write-up'!$T$21),"Desert and high aridity","")</f>
        <v/>
      </c>
      <c r="BD547" s="23" t="str">
        <f t="shared" si="37"/>
        <v>West and Central Africa</v>
      </c>
      <c r="BE547" s="24">
        <f t="shared" si="35"/>
        <v>15</v>
      </c>
      <c r="BF547" s="24">
        <f t="shared" si="36"/>
        <v>3</v>
      </c>
    </row>
    <row r="548" spans="1:58" ht="16.25" customHeight="1" x14ac:dyDescent="0.2">
      <c r="A548">
        <v>56762110</v>
      </c>
      <c r="B548" t="s">
        <v>4052</v>
      </c>
      <c r="C548" s="14">
        <v>44060</v>
      </c>
      <c r="D548" t="s">
        <v>4053</v>
      </c>
      <c r="E548" t="s">
        <v>113</v>
      </c>
      <c r="F548">
        <v>389997</v>
      </c>
      <c r="G548" t="s">
        <v>942</v>
      </c>
      <c r="H548" t="s">
        <v>943</v>
      </c>
      <c r="I548" t="s">
        <v>4054</v>
      </c>
      <c r="J548" t="s">
        <v>4055</v>
      </c>
      <c r="K548" t="s">
        <v>62</v>
      </c>
      <c r="L548" t="s">
        <v>127</v>
      </c>
      <c r="M548" t="s">
        <v>4056</v>
      </c>
      <c r="N548" t="s">
        <v>4057</v>
      </c>
      <c r="R548">
        <v>3</v>
      </c>
      <c r="S548">
        <v>0</v>
      </c>
      <c r="T548" t="b">
        <v>0</v>
      </c>
      <c r="V548" t="s">
        <v>4058</v>
      </c>
      <c r="W548" s="15">
        <v>-29.573166390000001</v>
      </c>
      <c r="X548" s="15">
        <v>30.326553059999998</v>
      </c>
      <c r="AF548" t="b">
        <v>0</v>
      </c>
      <c r="AI548" t="s">
        <v>71</v>
      </c>
      <c r="AJ548" t="s">
        <v>70</v>
      </c>
      <c r="AK548" t="s">
        <v>71</v>
      </c>
      <c r="AL548" t="s">
        <v>72</v>
      </c>
      <c r="AM548">
        <v>346053</v>
      </c>
      <c r="AO548" s="16" t="s">
        <v>818</v>
      </c>
      <c r="AP548" s="17" t="str">
        <f t="shared" si="38"/>
        <v>Abandoned post-emergence nest</v>
      </c>
      <c r="AV548" s="21" t="s">
        <v>4059</v>
      </c>
      <c r="AX548" s="22" t="str">
        <f>IF(AND('[1]observations-276632'!W548&gt;'[1]Methods write-up'!$Q$16,'[1]observations-276632'!W548&lt;'[1]Methods write-up'!$R$16,'[1]observations-276632'!X548&gt;'[1]Methods write-up'!$S$16,'[1]observations-276632'!X548&lt;'[1]Methods write-up'!$T$16),"West and Central Africa","")</f>
        <v/>
      </c>
      <c r="AY548" s="22" t="str">
        <f>IF(AND('[1]observations-276632'!W548&gt;'[1]Methods write-up'!$Q$17,'[1]observations-276632'!W548&lt;'[1]Methods write-up'!$R$17,'[1]observations-276632'!X548&gt;'[1]Methods write-up'!$S$17,'[1]observations-276632'!X548&lt;'[1]Methods write-up'!$T$17),"Equatorial tropical forest","")</f>
        <v/>
      </c>
      <c r="AZ548" s="22" t="str">
        <f>IF(AND('[1]observations-276632'!W548&gt;'[1]Methods write-up'!$Q$18,'[1]observations-276632'!W548&lt;'[1]Methods write-up'!$R$18,'[1]observations-276632'!X548&gt;'[1]Methods write-up'!$S$18,'[1]observations-276632'!X548&lt;'[1]Methods write-up'!$T$18),"Somali peninsula","")</f>
        <v/>
      </c>
      <c r="BA548" s="22" t="str">
        <f>IF(AND('[1]observations-276632'!W548&gt;'[1]Methods write-up'!$Q$19,'[1]observations-276632'!W548&lt;'[1]Methods write-up'!$R$19,'[1]observations-276632'!X548&gt;'[1]Methods write-up'!$S$19,'[1]observations-276632'!X548&lt;'[1]Methods write-up'!$T$19),"East Africa","")</f>
        <v/>
      </c>
      <c r="BB548" s="22" t="str">
        <f>IF(AND('[1]observations-276632'!W548&gt;'[1]Methods write-up'!$Q$20,'[1]observations-276632'!W548&lt;'[1]Methods write-up'!$R$20,'[1]observations-276632'!X548&gt;'[1]Methods write-up'!$S$20,'[1]observations-276632'!X548&lt;'[1]Methods write-up'!$T$20),"Temperate seasonal","")</f>
        <v>Temperate seasonal</v>
      </c>
      <c r="BC548" s="22" t="str">
        <f>IF(AND('[1]observations-276632'!W548&gt;'[1]Methods write-up'!$Q$21,'[1]observations-276632'!W548&lt;'[1]Methods write-up'!$R$21,'[1]observations-276632'!X548&gt;'[1]Methods write-up'!$S$21,'[1]observations-276632'!X548&lt;'[1]Methods write-up'!$T$21),"Desert and high aridity","")</f>
        <v/>
      </c>
      <c r="BD548" s="23" t="str">
        <f t="shared" si="37"/>
        <v>Temperate seasonal</v>
      </c>
      <c r="BE548" s="24">
        <f t="shared" si="35"/>
        <v>17</v>
      </c>
      <c r="BF548" s="24">
        <f t="shared" si="36"/>
        <v>8</v>
      </c>
    </row>
    <row r="549" spans="1:58" ht="16.25" customHeight="1" x14ac:dyDescent="0.2">
      <c r="A549">
        <v>58041422</v>
      </c>
      <c r="B549" t="s">
        <v>4060</v>
      </c>
      <c r="C549" s="14">
        <v>29327</v>
      </c>
      <c r="D549" t="s">
        <v>4061</v>
      </c>
      <c r="E549" t="s">
        <v>243</v>
      </c>
      <c r="F549">
        <v>2703096</v>
      </c>
      <c r="G549" t="s">
        <v>4062</v>
      </c>
      <c r="H549" t="s">
        <v>4063</v>
      </c>
      <c r="I549" t="s">
        <v>4064</v>
      </c>
      <c r="J549" t="s">
        <v>4065</v>
      </c>
      <c r="K549" t="s">
        <v>62</v>
      </c>
      <c r="L549" t="s">
        <v>63</v>
      </c>
      <c r="M549" t="s">
        <v>4066</v>
      </c>
      <c r="N549" t="s">
        <v>4067</v>
      </c>
      <c r="Q549" s="26" t="s">
        <v>4068</v>
      </c>
      <c r="R549">
        <v>2</v>
      </c>
      <c r="S549">
        <v>0</v>
      </c>
      <c r="T549" t="b">
        <v>0</v>
      </c>
      <c r="V549" t="s">
        <v>4069</v>
      </c>
      <c r="W549" s="15">
        <v>5.8407549999999997</v>
      </c>
      <c r="X549" s="15">
        <v>-7.2229270000000003</v>
      </c>
      <c r="Y549">
        <v>4444</v>
      </c>
      <c r="AC549">
        <v>4444</v>
      </c>
      <c r="AF549" t="b">
        <v>0</v>
      </c>
      <c r="AI549" t="s">
        <v>71</v>
      </c>
      <c r="AJ549" t="s">
        <v>70</v>
      </c>
      <c r="AK549" t="s">
        <v>71</v>
      </c>
      <c r="AL549" t="s">
        <v>72</v>
      </c>
      <c r="AM549">
        <v>346053</v>
      </c>
      <c r="AO549" s="16" t="s">
        <v>1574</v>
      </c>
      <c r="AP549" s="17" t="str">
        <f t="shared" si="38"/>
        <v>Nest (foundress)</v>
      </c>
      <c r="AQ549" s="18" t="s">
        <v>2944</v>
      </c>
      <c r="AX549" s="22" t="str">
        <f>IF(AND('[1]observations-276632'!W549&gt;'[1]Methods write-up'!$Q$16,'[1]observations-276632'!W549&lt;'[1]Methods write-up'!$R$16,'[1]observations-276632'!X549&gt;'[1]Methods write-up'!$S$16,'[1]observations-276632'!X549&lt;'[1]Methods write-up'!$T$16),"West and Central Africa","")</f>
        <v>West and Central Africa</v>
      </c>
      <c r="AY549" s="22" t="str">
        <f>IF(AND('[1]observations-276632'!W549&gt;'[1]Methods write-up'!$Q$17,'[1]observations-276632'!W549&lt;'[1]Methods write-up'!$R$17,'[1]observations-276632'!X549&gt;'[1]Methods write-up'!$S$17,'[1]observations-276632'!X549&lt;'[1]Methods write-up'!$T$17),"Equatorial tropical forest","")</f>
        <v/>
      </c>
      <c r="AZ549" s="22" t="str">
        <f>IF(AND('[1]observations-276632'!W549&gt;'[1]Methods write-up'!$Q$18,'[1]observations-276632'!W549&lt;'[1]Methods write-up'!$R$18,'[1]observations-276632'!X549&gt;'[1]Methods write-up'!$S$18,'[1]observations-276632'!X549&lt;'[1]Methods write-up'!$T$18),"Somali peninsula","")</f>
        <v/>
      </c>
      <c r="BA549" s="22" t="str">
        <f>IF(AND('[1]observations-276632'!W549&gt;'[1]Methods write-up'!$Q$19,'[1]observations-276632'!W549&lt;'[1]Methods write-up'!$R$19,'[1]observations-276632'!X549&gt;'[1]Methods write-up'!$S$19,'[1]observations-276632'!X549&lt;'[1]Methods write-up'!$T$19),"East Africa","")</f>
        <v/>
      </c>
      <c r="BB549" s="22" t="str">
        <f>IF(AND('[1]observations-276632'!W549&gt;'[1]Methods write-up'!$Q$20,'[1]observations-276632'!W549&lt;'[1]Methods write-up'!$R$20,'[1]observations-276632'!X549&gt;'[1]Methods write-up'!$S$20,'[1]observations-276632'!X549&lt;'[1]Methods write-up'!$T$20),"Temperate seasonal","")</f>
        <v/>
      </c>
      <c r="BC549" s="22" t="str">
        <f>IF(AND('[1]observations-276632'!W549&gt;'[1]Methods write-up'!$Q$21,'[1]observations-276632'!W549&lt;'[1]Methods write-up'!$R$21,'[1]observations-276632'!X549&gt;'[1]Methods write-up'!$S$21,'[1]observations-276632'!X549&lt;'[1]Methods write-up'!$T$21),"Desert and high aridity","")</f>
        <v/>
      </c>
      <c r="BD549" s="23" t="str">
        <f t="shared" si="37"/>
        <v>West and Central Africa</v>
      </c>
      <c r="BE549" s="24">
        <f t="shared" si="35"/>
        <v>16</v>
      </c>
      <c r="BF549" s="24">
        <f t="shared" si="36"/>
        <v>4</v>
      </c>
    </row>
    <row r="550" spans="1:58" ht="16.25" customHeight="1" x14ac:dyDescent="0.2">
      <c r="A550">
        <v>58041612</v>
      </c>
      <c r="B550" t="s">
        <v>4070</v>
      </c>
      <c r="C550" s="14">
        <v>30073</v>
      </c>
      <c r="D550" t="s">
        <v>4071</v>
      </c>
      <c r="E550" t="s">
        <v>243</v>
      </c>
      <c r="F550">
        <v>2703096</v>
      </c>
      <c r="G550" t="s">
        <v>4062</v>
      </c>
      <c r="H550" t="s">
        <v>4063</v>
      </c>
      <c r="I550" t="s">
        <v>4072</v>
      </c>
      <c r="J550" t="s">
        <v>4073</v>
      </c>
      <c r="K550" t="s">
        <v>62</v>
      </c>
      <c r="L550" t="s">
        <v>63</v>
      </c>
      <c r="M550" t="s">
        <v>4074</v>
      </c>
      <c r="N550" t="s">
        <v>4075</v>
      </c>
      <c r="Q550" s="26" t="s">
        <v>4068</v>
      </c>
      <c r="R550">
        <v>4</v>
      </c>
      <c r="S550">
        <v>1</v>
      </c>
      <c r="T550" t="b">
        <v>0</v>
      </c>
      <c r="V550" t="s">
        <v>4069</v>
      </c>
      <c r="W550" s="15">
        <v>5.8407549999999997</v>
      </c>
      <c r="X550" s="15">
        <v>-7.2229270000000003</v>
      </c>
      <c r="Y550">
        <v>4444</v>
      </c>
      <c r="AC550">
        <v>4444</v>
      </c>
      <c r="AF550" t="b">
        <v>0</v>
      </c>
      <c r="AI550" t="s">
        <v>70</v>
      </c>
      <c r="AJ550" t="s">
        <v>70</v>
      </c>
      <c r="AK550" t="s">
        <v>71</v>
      </c>
      <c r="AL550" t="s">
        <v>72</v>
      </c>
      <c r="AM550">
        <v>346053</v>
      </c>
      <c r="AO550" s="16" t="s">
        <v>140</v>
      </c>
      <c r="AP550" s="17" t="str">
        <f t="shared" si="38"/>
        <v>Post-emergence nest</v>
      </c>
      <c r="AQ550" s="18">
        <v>9</v>
      </c>
      <c r="AT550" s="19" t="s">
        <v>141</v>
      </c>
      <c r="AU550" s="20" t="s">
        <v>141</v>
      </c>
      <c r="AX550" s="22" t="str">
        <f>IF(AND('[1]observations-276632'!W550&gt;'[1]Methods write-up'!$Q$16,'[1]observations-276632'!W550&lt;'[1]Methods write-up'!$R$16,'[1]observations-276632'!X550&gt;'[1]Methods write-up'!$S$16,'[1]observations-276632'!X550&lt;'[1]Methods write-up'!$T$16),"West and Central Africa","")</f>
        <v>West and Central Africa</v>
      </c>
      <c r="AY550" s="22" t="str">
        <f>IF(AND('[1]observations-276632'!W550&gt;'[1]Methods write-up'!$Q$17,'[1]observations-276632'!W550&lt;'[1]Methods write-up'!$R$17,'[1]observations-276632'!X550&gt;'[1]Methods write-up'!$S$17,'[1]observations-276632'!X550&lt;'[1]Methods write-up'!$T$17),"Equatorial tropical forest","")</f>
        <v/>
      </c>
      <c r="AZ550" s="22" t="str">
        <f>IF(AND('[1]observations-276632'!W550&gt;'[1]Methods write-up'!$Q$18,'[1]observations-276632'!W550&lt;'[1]Methods write-up'!$R$18,'[1]observations-276632'!X550&gt;'[1]Methods write-up'!$S$18,'[1]observations-276632'!X550&lt;'[1]Methods write-up'!$T$18),"Somali peninsula","")</f>
        <v/>
      </c>
      <c r="BA550" s="22" t="str">
        <f>IF(AND('[1]observations-276632'!W550&gt;'[1]Methods write-up'!$Q$19,'[1]observations-276632'!W550&lt;'[1]Methods write-up'!$R$19,'[1]observations-276632'!X550&gt;'[1]Methods write-up'!$S$19,'[1]observations-276632'!X550&lt;'[1]Methods write-up'!$T$19),"East Africa","")</f>
        <v/>
      </c>
      <c r="BB550" s="22" t="str">
        <f>IF(AND('[1]observations-276632'!W550&gt;'[1]Methods write-up'!$Q$20,'[1]observations-276632'!W550&lt;'[1]Methods write-up'!$R$20,'[1]observations-276632'!X550&gt;'[1]Methods write-up'!$S$20,'[1]observations-276632'!X550&lt;'[1]Methods write-up'!$T$20),"Temperate seasonal","")</f>
        <v/>
      </c>
      <c r="BC550" s="22" t="str">
        <f>IF(AND('[1]observations-276632'!W550&gt;'[1]Methods write-up'!$Q$21,'[1]observations-276632'!W550&lt;'[1]Methods write-up'!$R$21,'[1]observations-276632'!X550&gt;'[1]Methods write-up'!$S$21,'[1]observations-276632'!X550&lt;'[1]Methods write-up'!$T$21),"Desert and high aridity","")</f>
        <v/>
      </c>
      <c r="BD550" s="23" t="str">
        <f t="shared" si="37"/>
        <v>West and Central Africa</v>
      </c>
      <c r="BE550" s="24">
        <f t="shared" si="35"/>
        <v>2</v>
      </c>
      <c r="BF550" s="24">
        <f t="shared" si="36"/>
        <v>5</v>
      </c>
    </row>
    <row r="551" spans="1:58" ht="16.25" customHeight="1" x14ac:dyDescent="0.2">
      <c r="A551">
        <v>58213582</v>
      </c>
      <c r="B551" t="s">
        <v>4076</v>
      </c>
      <c r="C551" s="14">
        <v>44051</v>
      </c>
      <c r="D551" t="s">
        <v>4077</v>
      </c>
      <c r="E551" t="s">
        <v>57</v>
      </c>
      <c r="F551">
        <v>678008</v>
      </c>
      <c r="G551" t="s">
        <v>2315</v>
      </c>
      <c r="I551" t="s">
        <v>4078</v>
      </c>
      <c r="J551" t="s">
        <v>4079</v>
      </c>
      <c r="K551" t="s">
        <v>62</v>
      </c>
      <c r="L551" t="s">
        <v>63</v>
      </c>
      <c r="M551" t="s">
        <v>4080</v>
      </c>
      <c r="N551" t="s">
        <v>4081</v>
      </c>
      <c r="R551">
        <v>2</v>
      </c>
      <c r="S551">
        <v>0</v>
      </c>
      <c r="T551" t="b">
        <v>0</v>
      </c>
      <c r="V551" t="s">
        <v>2320</v>
      </c>
      <c r="W551" s="15">
        <v>-15.36985702</v>
      </c>
      <c r="X551" s="15">
        <v>28.315754519999999</v>
      </c>
      <c r="Y551">
        <v>46</v>
      </c>
      <c r="AC551">
        <v>46</v>
      </c>
      <c r="AF551" t="b">
        <v>0</v>
      </c>
      <c r="AI551" t="s">
        <v>71</v>
      </c>
      <c r="AJ551" t="s">
        <v>70</v>
      </c>
      <c r="AK551" t="s">
        <v>71</v>
      </c>
      <c r="AL551" t="s">
        <v>72</v>
      </c>
      <c r="AM551">
        <v>346053</v>
      </c>
      <c r="AO551" s="16" t="s">
        <v>150</v>
      </c>
      <c r="AP551" s="17" t="str">
        <f t="shared" si="38"/>
        <v>Male (off nest)</v>
      </c>
      <c r="AX551" s="22" t="str">
        <f>IF(AND('[1]observations-276632'!W551&gt;'[1]Methods write-up'!$Q$16,'[1]observations-276632'!W551&lt;'[1]Methods write-up'!$R$16,'[1]observations-276632'!X551&gt;'[1]Methods write-up'!$S$16,'[1]observations-276632'!X551&lt;'[1]Methods write-up'!$T$16),"West and Central Africa","")</f>
        <v>West and Central Africa</v>
      </c>
      <c r="AY551" s="22" t="str">
        <f>IF(AND('[1]observations-276632'!W551&gt;'[1]Methods write-up'!$Q$17,'[1]observations-276632'!W551&lt;'[1]Methods write-up'!$R$17,'[1]observations-276632'!X551&gt;'[1]Methods write-up'!$S$17,'[1]observations-276632'!X551&lt;'[1]Methods write-up'!$T$17),"Equatorial tropical forest","")</f>
        <v/>
      </c>
      <c r="AZ551" s="22" t="str">
        <f>IF(AND('[1]observations-276632'!W551&gt;'[1]Methods write-up'!$Q$18,'[1]observations-276632'!W551&lt;'[1]Methods write-up'!$R$18,'[1]observations-276632'!X551&gt;'[1]Methods write-up'!$S$18,'[1]observations-276632'!X551&lt;'[1]Methods write-up'!$T$18),"Somali peninsula","")</f>
        <v/>
      </c>
      <c r="BA551" s="22" t="str">
        <f>IF(AND('[1]observations-276632'!W551&gt;'[1]Methods write-up'!$Q$19,'[1]observations-276632'!W551&lt;'[1]Methods write-up'!$R$19,'[1]observations-276632'!X551&gt;'[1]Methods write-up'!$S$19,'[1]observations-276632'!X551&lt;'[1]Methods write-up'!$T$19),"East Africa","")</f>
        <v/>
      </c>
      <c r="BB551" s="22" t="str">
        <f>IF(AND('[1]observations-276632'!W551&gt;'[1]Methods write-up'!$Q$20,'[1]observations-276632'!W551&lt;'[1]Methods write-up'!$R$20,'[1]observations-276632'!X551&gt;'[1]Methods write-up'!$S$20,'[1]observations-276632'!X551&lt;'[1]Methods write-up'!$T$20),"Temperate seasonal","")</f>
        <v/>
      </c>
      <c r="BC551" s="22" t="str">
        <f>IF(AND('[1]observations-276632'!W551&gt;'[1]Methods write-up'!$Q$21,'[1]observations-276632'!W551&lt;'[1]Methods write-up'!$R$21,'[1]observations-276632'!X551&gt;'[1]Methods write-up'!$S$21,'[1]observations-276632'!X551&lt;'[1]Methods write-up'!$T$21),"Desert and high aridity","")</f>
        <v/>
      </c>
      <c r="BD551" s="23" t="str">
        <f t="shared" si="37"/>
        <v>West and Central Africa</v>
      </c>
      <c r="BE551" s="24">
        <f t="shared" si="35"/>
        <v>8</v>
      </c>
      <c r="BF551" s="24">
        <f t="shared" si="36"/>
        <v>8</v>
      </c>
    </row>
    <row r="552" spans="1:58" ht="16.25" customHeight="1" x14ac:dyDescent="0.2">
      <c r="A552">
        <v>58307102</v>
      </c>
      <c r="B552" t="s">
        <v>4082</v>
      </c>
      <c r="C552" s="14">
        <v>44073</v>
      </c>
      <c r="D552" t="s">
        <v>4083</v>
      </c>
      <c r="E552" t="s">
        <v>113</v>
      </c>
      <c r="F552">
        <v>662724</v>
      </c>
      <c r="G552" t="s">
        <v>903</v>
      </c>
      <c r="H552" t="s">
        <v>904</v>
      </c>
      <c r="I552" t="s">
        <v>4084</v>
      </c>
      <c r="J552" t="s">
        <v>4085</v>
      </c>
      <c r="K552" t="s">
        <v>62</v>
      </c>
      <c r="L552" t="s">
        <v>63</v>
      </c>
      <c r="M552" t="s">
        <v>4086</v>
      </c>
      <c r="N552" t="s">
        <v>4087</v>
      </c>
      <c r="Q552" t="s">
        <v>4088</v>
      </c>
      <c r="R552">
        <v>2</v>
      </c>
      <c r="S552">
        <v>0</v>
      </c>
      <c r="T552" t="b">
        <v>0</v>
      </c>
      <c r="V552" t="s">
        <v>1146</v>
      </c>
      <c r="W552" s="15">
        <v>-30.30120338</v>
      </c>
      <c r="X552" s="15">
        <v>30.742551450000001</v>
      </c>
      <c r="Y552">
        <v>2</v>
      </c>
      <c r="AC552">
        <v>2</v>
      </c>
      <c r="AF552" t="b">
        <v>0</v>
      </c>
      <c r="AI552" t="s">
        <v>71</v>
      </c>
      <c r="AJ552" t="s">
        <v>70</v>
      </c>
      <c r="AK552" t="s">
        <v>71</v>
      </c>
      <c r="AL552" t="s">
        <v>72</v>
      </c>
      <c r="AM552">
        <v>346053</v>
      </c>
      <c r="AO552" s="16" t="s">
        <v>73</v>
      </c>
      <c r="AP552" s="17" t="str">
        <f t="shared" si="38"/>
        <v>Off-nest female</v>
      </c>
      <c r="AX552" s="22" t="str">
        <f>IF(AND('[1]observations-276632'!W552&gt;'[1]Methods write-up'!$Q$16,'[1]observations-276632'!W552&lt;'[1]Methods write-up'!$R$16,'[1]observations-276632'!X552&gt;'[1]Methods write-up'!$S$16,'[1]observations-276632'!X552&lt;'[1]Methods write-up'!$T$16),"West and Central Africa","")</f>
        <v/>
      </c>
      <c r="AY552" s="22" t="str">
        <f>IF(AND('[1]observations-276632'!W552&gt;'[1]Methods write-up'!$Q$17,'[1]observations-276632'!W552&lt;'[1]Methods write-up'!$R$17,'[1]observations-276632'!X552&gt;'[1]Methods write-up'!$S$17,'[1]observations-276632'!X552&lt;'[1]Methods write-up'!$T$17),"Equatorial tropical forest","")</f>
        <v/>
      </c>
      <c r="AZ552" s="22" t="str">
        <f>IF(AND('[1]observations-276632'!W552&gt;'[1]Methods write-up'!$Q$18,'[1]observations-276632'!W552&lt;'[1]Methods write-up'!$R$18,'[1]observations-276632'!X552&gt;'[1]Methods write-up'!$S$18,'[1]observations-276632'!X552&lt;'[1]Methods write-up'!$T$18),"Somali peninsula","")</f>
        <v/>
      </c>
      <c r="BA552" s="22" t="str">
        <f>IF(AND('[1]observations-276632'!W552&gt;'[1]Methods write-up'!$Q$19,'[1]observations-276632'!W552&lt;'[1]Methods write-up'!$R$19,'[1]observations-276632'!X552&gt;'[1]Methods write-up'!$S$19,'[1]observations-276632'!X552&lt;'[1]Methods write-up'!$T$19),"East Africa","")</f>
        <v/>
      </c>
      <c r="BB552" s="22" t="str">
        <f>IF(AND('[1]observations-276632'!W552&gt;'[1]Methods write-up'!$Q$20,'[1]observations-276632'!W552&lt;'[1]Methods write-up'!$R$20,'[1]observations-276632'!X552&gt;'[1]Methods write-up'!$S$20,'[1]observations-276632'!X552&lt;'[1]Methods write-up'!$T$20),"Temperate seasonal","")</f>
        <v>Temperate seasonal</v>
      </c>
      <c r="BC552" s="22" t="str">
        <f>IF(AND('[1]observations-276632'!W552&gt;'[1]Methods write-up'!$Q$21,'[1]observations-276632'!W552&lt;'[1]Methods write-up'!$R$21,'[1]observations-276632'!X552&gt;'[1]Methods write-up'!$S$21,'[1]observations-276632'!X552&lt;'[1]Methods write-up'!$T$21),"Desert and high aridity","")</f>
        <v/>
      </c>
      <c r="BD552" s="23" t="str">
        <f t="shared" si="37"/>
        <v>Temperate seasonal</v>
      </c>
      <c r="BE552" s="24">
        <f t="shared" si="35"/>
        <v>30</v>
      </c>
      <c r="BF552" s="24">
        <f t="shared" si="36"/>
        <v>8</v>
      </c>
    </row>
    <row r="553" spans="1:58" ht="16.25" customHeight="1" x14ac:dyDescent="0.2">
      <c r="A553">
        <v>59040067</v>
      </c>
      <c r="B553" t="s">
        <v>4089</v>
      </c>
      <c r="C553" s="14">
        <v>44011</v>
      </c>
      <c r="D553" t="s">
        <v>4090</v>
      </c>
      <c r="E553" t="s">
        <v>113</v>
      </c>
      <c r="F553">
        <v>1703068</v>
      </c>
      <c r="G553" t="s">
        <v>4091</v>
      </c>
      <c r="H553" t="s">
        <v>4092</v>
      </c>
      <c r="I553" t="s">
        <v>4093</v>
      </c>
      <c r="J553" t="s">
        <v>4094</v>
      </c>
      <c r="K553" t="s">
        <v>62</v>
      </c>
      <c r="L553" t="s">
        <v>63</v>
      </c>
      <c r="M553" t="s">
        <v>4095</v>
      </c>
      <c r="N553" t="s">
        <v>4096</v>
      </c>
      <c r="R553">
        <v>0</v>
      </c>
      <c r="S553">
        <v>0</v>
      </c>
      <c r="T553" t="b">
        <v>0</v>
      </c>
      <c r="V553" t="s">
        <v>4097</v>
      </c>
      <c r="W553" s="15">
        <v>-26.031769000000001</v>
      </c>
      <c r="X553" s="15">
        <v>28.0482184</v>
      </c>
      <c r="Y553">
        <v>782</v>
      </c>
      <c r="AC553">
        <v>782</v>
      </c>
      <c r="AF553" t="b">
        <v>0</v>
      </c>
      <c r="AI553" t="s">
        <v>756</v>
      </c>
      <c r="AJ553" t="s">
        <v>756</v>
      </c>
      <c r="AL553" t="s">
        <v>72</v>
      </c>
      <c r="AM553">
        <v>652800</v>
      </c>
      <c r="AO553" s="16" t="s">
        <v>73</v>
      </c>
      <c r="AP553" s="17" t="str">
        <f t="shared" si="38"/>
        <v>Off-nest female</v>
      </c>
      <c r="AX553" s="22" t="str">
        <f>IF(AND('[1]observations-276632'!W553&gt;'[1]Methods write-up'!$Q$16,'[1]observations-276632'!W553&lt;'[1]Methods write-up'!$R$16,'[1]observations-276632'!X553&gt;'[1]Methods write-up'!$S$16,'[1]observations-276632'!X553&lt;'[1]Methods write-up'!$T$16),"West and Central Africa","")</f>
        <v/>
      </c>
      <c r="AY553" s="22" t="str">
        <f>IF(AND('[1]observations-276632'!W553&gt;'[1]Methods write-up'!$Q$17,'[1]observations-276632'!W553&lt;'[1]Methods write-up'!$R$17,'[1]observations-276632'!X553&gt;'[1]Methods write-up'!$S$17,'[1]observations-276632'!X553&lt;'[1]Methods write-up'!$T$17),"Equatorial tropical forest","")</f>
        <v/>
      </c>
      <c r="AZ553" s="22" t="str">
        <f>IF(AND('[1]observations-276632'!W553&gt;'[1]Methods write-up'!$Q$18,'[1]observations-276632'!W553&lt;'[1]Methods write-up'!$R$18,'[1]observations-276632'!X553&gt;'[1]Methods write-up'!$S$18,'[1]observations-276632'!X553&lt;'[1]Methods write-up'!$T$18),"Somali peninsula","")</f>
        <v/>
      </c>
      <c r="BA553" s="22" t="str">
        <f>IF(AND('[1]observations-276632'!W553&gt;'[1]Methods write-up'!$Q$19,'[1]observations-276632'!W553&lt;'[1]Methods write-up'!$R$19,'[1]observations-276632'!X553&gt;'[1]Methods write-up'!$S$19,'[1]observations-276632'!X553&lt;'[1]Methods write-up'!$T$19),"East Africa","")</f>
        <v/>
      </c>
      <c r="BB553" s="22" t="str">
        <f>IF(AND('[1]observations-276632'!W553&gt;'[1]Methods write-up'!$Q$20,'[1]observations-276632'!W553&lt;'[1]Methods write-up'!$R$20,'[1]observations-276632'!X553&gt;'[1]Methods write-up'!$S$20,'[1]observations-276632'!X553&lt;'[1]Methods write-up'!$T$20),"Temperate seasonal","")</f>
        <v>Temperate seasonal</v>
      </c>
      <c r="BC553" s="22" t="str">
        <f>IF(AND('[1]observations-276632'!W553&gt;'[1]Methods write-up'!$Q$21,'[1]observations-276632'!W553&lt;'[1]Methods write-up'!$R$21,'[1]observations-276632'!X553&gt;'[1]Methods write-up'!$S$21,'[1]observations-276632'!X553&lt;'[1]Methods write-up'!$T$21),"Desert and high aridity","")</f>
        <v/>
      </c>
      <c r="BD553" s="23" t="str">
        <f t="shared" si="37"/>
        <v>Temperate seasonal</v>
      </c>
      <c r="BE553" s="24">
        <f t="shared" si="35"/>
        <v>29</v>
      </c>
      <c r="BF553" s="24">
        <f t="shared" si="36"/>
        <v>6</v>
      </c>
    </row>
    <row r="554" spans="1:58" ht="16.25" customHeight="1" x14ac:dyDescent="0.2">
      <c r="A554">
        <v>59550207</v>
      </c>
      <c r="B554" t="s">
        <v>4098</v>
      </c>
      <c r="C554" s="14">
        <v>44087</v>
      </c>
      <c r="D554" t="s">
        <v>4099</v>
      </c>
      <c r="E554" t="s">
        <v>113</v>
      </c>
      <c r="F554">
        <v>741598</v>
      </c>
      <c r="G554" t="s">
        <v>1642</v>
      </c>
      <c r="H554" t="s">
        <v>1643</v>
      </c>
      <c r="I554" t="s">
        <v>4100</v>
      </c>
      <c r="J554" t="s">
        <v>4101</v>
      </c>
      <c r="K554" t="s">
        <v>62</v>
      </c>
      <c r="L554" t="s">
        <v>373</v>
      </c>
      <c r="M554" t="s">
        <v>4102</v>
      </c>
      <c r="N554" t="s">
        <v>4103</v>
      </c>
      <c r="R554">
        <v>4</v>
      </c>
      <c r="S554">
        <v>0</v>
      </c>
      <c r="T554" t="b">
        <v>0</v>
      </c>
      <c r="V554" t="s">
        <v>1648</v>
      </c>
      <c r="W554" s="15">
        <v>-32.992042750000003</v>
      </c>
      <c r="X554" s="15">
        <v>27.93796961</v>
      </c>
      <c r="Y554">
        <v>10</v>
      </c>
      <c r="AC554">
        <v>10</v>
      </c>
      <c r="AF554" t="b">
        <v>0</v>
      </c>
      <c r="AI554" t="s">
        <v>71</v>
      </c>
      <c r="AJ554" t="s">
        <v>70</v>
      </c>
      <c r="AK554" t="s">
        <v>71</v>
      </c>
      <c r="AL554" t="s">
        <v>72</v>
      </c>
      <c r="AM554">
        <v>346053</v>
      </c>
      <c r="AO554" s="16" t="s">
        <v>73</v>
      </c>
      <c r="AP554" s="17" t="str">
        <f t="shared" si="38"/>
        <v>Off-nest female</v>
      </c>
      <c r="AX554" s="22" t="str">
        <f>IF(AND('[1]observations-276632'!W554&gt;'[1]Methods write-up'!$Q$16,'[1]observations-276632'!W554&lt;'[1]Methods write-up'!$R$16,'[1]observations-276632'!X554&gt;'[1]Methods write-up'!$S$16,'[1]observations-276632'!X554&lt;'[1]Methods write-up'!$T$16),"West and Central Africa","")</f>
        <v/>
      </c>
      <c r="AY554" s="22" t="str">
        <f>IF(AND('[1]observations-276632'!W554&gt;'[1]Methods write-up'!$Q$17,'[1]observations-276632'!W554&lt;'[1]Methods write-up'!$R$17,'[1]observations-276632'!X554&gt;'[1]Methods write-up'!$S$17,'[1]observations-276632'!X554&lt;'[1]Methods write-up'!$T$17),"Equatorial tropical forest","")</f>
        <v/>
      </c>
      <c r="AZ554" s="22" t="str">
        <f>IF(AND('[1]observations-276632'!W554&gt;'[1]Methods write-up'!$Q$18,'[1]observations-276632'!W554&lt;'[1]Methods write-up'!$R$18,'[1]observations-276632'!X554&gt;'[1]Methods write-up'!$S$18,'[1]observations-276632'!X554&lt;'[1]Methods write-up'!$T$18),"Somali peninsula","")</f>
        <v/>
      </c>
      <c r="BA554" s="22" t="str">
        <f>IF(AND('[1]observations-276632'!W554&gt;'[1]Methods write-up'!$Q$19,'[1]observations-276632'!W554&lt;'[1]Methods write-up'!$R$19,'[1]observations-276632'!X554&gt;'[1]Methods write-up'!$S$19,'[1]observations-276632'!X554&lt;'[1]Methods write-up'!$T$19),"East Africa","")</f>
        <v/>
      </c>
      <c r="BB554" s="22" t="str">
        <f>IF(AND('[1]observations-276632'!W554&gt;'[1]Methods write-up'!$Q$20,'[1]observations-276632'!W554&lt;'[1]Methods write-up'!$R$20,'[1]observations-276632'!X554&gt;'[1]Methods write-up'!$S$20,'[1]observations-276632'!X554&lt;'[1]Methods write-up'!$T$20),"Temperate seasonal","")</f>
        <v>Temperate seasonal</v>
      </c>
      <c r="BC554" s="22" t="str">
        <f>IF(AND('[1]observations-276632'!W554&gt;'[1]Methods write-up'!$Q$21,'[1]observations-276632'!W554&lt;'[1]Methods write-up'!$R$21,'[1]observations-276632'!X554&gt;'[1]Methods write-up'!$S$21,'[1]observations-276632'!X554&lt;'[1]Methods write-up'!$T$21),"Desert and high aridity","")</f>
        <v/>
      </c>
      <c r="BD554" s="23" t="str">
        <f t="shared" si="37"/>
        <v>Temperate seasonal</v>
      </c>
      <c r="BE554" s="24">
        <f t="shared" si="35"/>
        <v>13</v>
      </c>
      <c r="BF554" s="24">
        <f t="shared" si="36"/>
        <v>9</v>
      </c>
    </row>
    <row r="555" spans="1:58" ht="16.25" customHeight="1" x14ac:dyDescent="0.2">
      <c r="A555">
        <v>59604596</v>
      </c>
      <c r="B555" t="s">
        <v>4104</v>
      </c>
      <c r="C555" s="14">
        <v>44077</v>
      </c>
      <c r="D555" t="s">
        <v>4105</v>
      </c>
      <c r="E555" t="s">
        <v>403</v>
      </c>
      <c r="F555">
        <v>3133793</v>
      </c>
      <c r="G555" t="s">
        <v>4106</v>
      </c>
      <c r="I555" t="s">
        <v>4107</v>
      </c>
      <c r="J555" t="s">
        <v>4108</v>
      </c>
      <c r="K555" t="s">
        <v>62</v>
      </c>
      <c r="L555" t="s">
        <v>63</v>
      </c>
      <c r="M555" t="s">
        <v>4109</v>
      </c>
      <c r="N555" t="s">
        <v>4110</v>
      </c>
      <c r="R555">
        <v>1</v>
      </c>
      <c r="S555">
        <v>0</v>
      </c>
      <c r="T555" t="b">
        <v>0</v>
      </c>
      <c r="U555">
        <v>2</v>
      </c>
      <c r="V555" t="s">
        <v>4111</v>
      </c>
      <c r="W555" s="15">
        <v>9.5623888899999994</v>
      </c>
      <c r="X555" s="15">
        <v>44.077013319999999</v>
      </c>
      <c r="Y555">
        <v>5577</v>
      </c>
      <c r="AC555">
        <v>5577</v>
      </c>
      <c r="AF555" t="b">
        <v>0</v>
      </c>
      <c r="AG555" t="s">
        <v>350</v>
      </c>
      <c r="AH555" t="s">
        <v>350</v>
      </c>
      <c r="AI555" t="s">
        <v>71</v>
      </c>
      <c r="AJ555" t="s">
        <v>70</v>
      </c>
      <c r="AK555" t="s">
        <v>71</v>
      </c>
      <c r="AL555" t="s">
        <v>72</v>
      </c>
      <c r="AM555">
        <v>346053</v>
      </c>
      <c r="AO555" s="16" t="s">
        <v>110</v>
      </c>
      <c r="AP555" s="17" t="str">
        <f t="shared" si="38"/>
        <v>Nest (foundress)</v>
      </c>
      <c r="AQ555" s="18">
        <v>1</v>
      </c>
      <c r="AT555" s="19" t="s">
        <v>104</v>
      </c>
      <c r="AX555" s="22" t="str">
        <f>IF(AND('[1]observations-276632'!W555&gt;'[1]Methods write-up'!$Q$16,'[1]observations-276632'!W555&lt;'[1]Methods write-up'!$R$16,'[1]observations-276632'!X555&gt;'[1]Methods write-up'!$S$16,'[1]observations-276632'!X555&lt;'[1]Methods write-up'!$T$16),"West and Central Africa","")</f>
        <v/>
      </c>
      <c r="AY555" s="22" t="str">
        <f>IF(AND('[1]observations-276632'!W555&gt;'[1]Methods write-up'!$Q$17,'[1]observations-276632'!W555&lt;'[1]Methods write-up'!$R$17,'[1]observations-276632'!X555&gt;'[1]Methods write-up'!$S$17,'[1]observations-276632'!X555&lt;'[1]Methods write-up'!$T$17),"Equatorial tropical forest","")</f>
        <v/>
      </c>
      <c r="AZ555" s="22" t="str">
        <f>IF(AND('[1]observations-276632'!W555&gt;'[1]Methods write-up'!$Q$18,'[1]observations-276632'!W555&lt;'[1]Methods write-up'!$R$18,'[1]observations-276632'!X555&gt;'[1]Methods write-up'!$S$18,'[1]observations-276632'!X555&lt;'[1]Methods write-up'!$T$18),"Somali peninsula","")</f>
        <v>Somali peninsula</v>
      </c>
      <c r="BA555" s="22" t="str">
        <f>IF(AND('[1]observations-276632'!W555&gt;'[1]Methods write-up'!$Q$19,'[1]observations-276632'!W555&lt;'[1]Methods write-up'!$R$19,'[1]observations-276632'!X555&gt;'[1]Methods write-up'!$S$19,'[1]observations-276632'!X555&lt;'[1]Methods write-up'!$T$19),"East Africa","")</f>
        <v/>
      </c>
      <c r="BB555" s="22" t="str">
        <f>IF(AND('[1]observations-276632'!W555&gt;'[1]Methods write-up'!$Q$20,'[1]observations-276632'!W555&lt;'[1]Methods write-up'!$R$20,'[1]observations-276632'!X555&gt;'[1]Methods write-up'!$S$20,'[1]observations-276632'!X555&lt;'[1]Methods write-up'!$T$20),"Temperate seasonal","")</f>
        <v/>
      </c>
      <c r="BC555" s="22" t="str">
        <f>IF(AND('[1]observations-276632'!W555&gt;'[1]Methods write-up'!$Q$21,'[1]observations-276632'!W555&lt;'[1]Methods write-up'!$R$21,'[1]observations-276632'!X555&gt;'[1]Methods write-up'!$S$21,'[1]observations-276632'!X555&lt;'[1]Methods write-up'!$T$21),"Desert and high aridity","")</f>
        <v/>
      </c>
      <c r="BD555" s="23" t="str">
        <f t="shared" si="37"/>
        <v>Somali peninsula</v>
      </c>
      <c r="BE555" s="24">
        <f t="shared" si="35"/>
        <v>3</v>
      </c>
      <c r="BF555" s="24">
        <f t="shared" si="36"/>
        <v>9</v>
      </c>
    </row>
    <row r="556" spans="1:58" ht="16.25" customHeight="1" x14ac:dyDescent="0.2">
      <c r="A556">
        <v>60396174</v>
      </c>
      <c r="B556" t="s">
        <v>4112</v>
      </c>
      <c r="C556" s="14">
        <v>41348</v>
      </c>
      <c r="D556" t="s">
        <v>4113</v>
      </c>
      <c r="E556" t="s">
        <v>4114</v>
      </c>
      <c r="F556">
        <v>724787</v>
      </c>
      <c r="G556" t="s">
        <v>4115</v>
      </c>
      <c r="H556" t="s">
        <v>4116</v>
      </c>
      <c r="I556" t="s">
        <v>4117</v>
      </c>
      <c r="J556" t="s">
        <v>4118</v>
      </c>
      <c r="K556" t="s">
        <v>62</v>
      </c>
      <c r="M556" t="s">
        <v>4119</v>
      </c>
      <c r="N556" t="s">
        <v>4120</v>
      </c>
      <c r="R556">
        <v>2</v>
      </c>
      <c r="S556">
        <v>0</v>
      </c>
      <c r="T556" t="b">
        <v>0</v>
      </c>
      <c r="V556" t="s">
        <v>4121</v>
      </c>
      <c r="W556" s="15">
        <v>-22.8849579</v>
      </c>
      <c r="X556" s="15">
        <v>44.688798540000001</v>
      </c>
      <c r="Y556">
        <v>61</v>
      </c>
      <c r="AC556">
        <v>61</v>
      </c>
      <c r="AF556" t="b">
        <v>0</v>
      </c>
      <c r="AI556" t="s">
        <v>71</v>
      </c>
      <c r="AJ556" t="s">
        <v>70</v>
      </c>
      <c r="AK556" t="s">
        <v>71</v>
      </c>
      <c r="AL556" t="s">
        <v>72</v>
      </c>
      <c r="AM556">
        <v>346053</v>
      </c>
      <c r="AO556" s="16" t="s">
        <v>140</v>
      </c>
      <c r="AP556" s="17" t="str">
        <f t="shared" si="38"/>
        <v>Post-emergence nest</v>
      </c>
      <c r="AQ556" s="18">
        <v>17</v>
      </c>
      <c r="AT556" s="19" t="s">
        <v>141</v>
      </c>
      <c r="AU556" s="20" t="s">
        <v>104</v>
      </c>
      <c r="AX556" s="22" t="str">
        <f>IF(AND('[1]observations-276632'!W556&gt;'[1]Methods write-up'!$Q$16,'[1]observations-276632'!W556&lt;'[1]Methods write-up'!$R$16,'[1]observations-276632'!X556&gt;'[1]Methods write-up'!$S$16,'[1]observations-276632'!X556&lt;'[1]Methods write-up'!$T$16),"West and Central Africa","")</f>
        <v/>
      </c>
      <c r="AY556" s="22" t="str">
        <f>IF(AND('[1]observations-276632'!W556&gt;'[1]Methods write-up'!$Q$17,'[1]observations-276632'!W556&lt;'[1]Methods write-up'!$R$17,'[1]observations-276632'!X556&gt;'[1]Methods write-up'!$S$17,'[1]observations-276632'!X556&lt;'[1]Methods write-up'!$T$17),"Equatorial tropical forest","")</f>
        <v/>
      </c>
      <c r="AZ556" s="22" t="str">
        <f>IF(AND('[1]observations-276632'!W556&gt;'[1]Methods write-up'!$Q$18,'[1]observations-276632'!W556&lt;'[1]Methods write-up'!$R$18,'[1]observations-276632'!X556&gt;'[1]Methods write-up'!$S$18,'[1]observations-276632'!X556&lt;'[1]Methods write-up'!$T$18),"Somali peninsula","")</f>
        <v/>
      </c>
      <c r="BA556" s="22" t="str">
        <f>IF(AND('[1]observations-276632'!W556&gt;'[1]Methods write-up'!$Q$19,'[1]observations-276632'!W556&lt;'[1]Methods write-up'!$R$19,'[1]observations-276632'!X556&gt;'[1]Methods write-up'!$S$19,'[1]observations-276632'!X556&lt;'[1]Methods write-up'!$T$19),"East Africa","")</f>
        <v/>
      </c>
      <c r="BB556" s="22" t="str">
        <f>IF(AND('[1]observations-276632'!W556&gt;'[1]Methods write-up'!$Q$20,'[1]observations-276632'!W556&lt;'[1]Methods write-up'!$R$20,'[1]observations-276632'!X556&gt;'[1]Methods write-up'!$S$20,'[1]observations-276632'!X556&lt;'[1]Methods write-up'!$T$20),"Temperate seasonal","")</f>
        <v/>
      </c>
      <c r="BC556" s="22" t="str">
        <f>IF(AND('[1]observations-276632'!W556&gt;'[1]Methods write-up'!$Q$21,'[1]observations-276632'!W556&lt;'[1]Methods write-up'!$R$21,'[1]observations-276632'!X556&gt;'[1]Methods write-up'!$S$21,'[1]observations-276632'!X556&lt;'[1]Methods write-up'!$T$21),"Desert and high aridity","")</f>
        <v/>
      </c>
      <c r="BD556" s="23" t="str">
        <f t="shared" si="37"/>
        <v/>
      </c>
      <c r="BE556" s="24">
        <f t="shared" si="35"/>
        <v>15</v>
      </c>
      <c r="BF556" s="24">
        <f t="shared" si="36"/>
        <v>3</v>
      </c>
    </row>
    <row r="557" spans="1:58" ht="16.25" customHeight="1" x14ac:dyDescent="0.2">
      <c r="A557">
        <v>60704263</v>
      </c>
      <c r="B557" t="s">
        <v>4122</v>
      </c>
      <c r="C557" s="14">
        <v>44099</v>
      </c>
      <c r="D557" t="s">
        <v>4123</v>
      </c>
      <c r="E557" t="s">
        <v>113</v>
      </c>
      <c r="F557">
        <v>679321</v>
      </c>
      <c r="G557" t="s">
        <v>478</v>
      </c>
      <c r="H557" t="s">
        <v>479</v>
      </c>
      <c r="I557" t="s">
        <v>4124</v>
      </c>
      <c r="J557" t="s">
        <v>4125</v>
      </c>
      <c r="K557" t="s">
        <v>62</v>
      </c>
      <c r="L557" t="s">
        <v>63</v>
      </c>
      <c r="M557" t="s">
        <v>4126</v>
      </c>
      <c r="N557" t="s">
        <v>4127</v>
      </c>
      <c r="R557">
        <v>2</v>
      </c>
      <c r="S557">
        <v>0</v>
      </c>
      <c r="T557" t="b">
        <v>0</v>
      </c>
      <c r="U557">
        <v>3</v>
      </c>
      <c r="V557" t="s">
        <v>4128</v>
      </c>
      <c r="W557" s="15">
        <v>-28.960102419999998</v>
      </c>
      <c r="X557" s="15">
        <v>31.75650448</v>
      </c>
      <c r="Y557">
        <v>5</v>
      </c>
      <c r="AC557">
        <v>5</v>
      </c>
      <c r="AF557" t="b">
        <v>0</v>
      </c>
      <c r="AI557" t="s">
        <v>71</v>
      </c>
      <c r="AJ557" t="s">
        <v>70</v>
      </c>
      <c r="AK557" t="s">
        <v>71</v>
      </c>
      <c r="AL557" t="s">
        <v>72</v>
      </c>
      <c r="AM557">
        <v>346053</v>
      </c>
      <c r="AO557" s="16" t="s">
        <v>442</v>
      </c>
      <c r="AP557" s="17" t="str">
        <f t="shared" si="38"/>
        <v>Dead female</v>
      </c>
      <c r="AX557" s="22" t="str">
        <f>IF(AND('[1]observations-276632'!W557&gt;'[1]Methods write-up'!$Q$16,'[1]observations-276632'!W557&lt;'[1]Methods write-up'!$R$16,'[1]observations-276632'!X557&gt;'[1]Methods write-up'!$S$16,'[1]observations-276632'!X557&lt;'[1]Methods write-up'!$T$16),"West and Central Africa","")</f>
        <v/>
      </c>
      <c r="AY557" s="22" t="str">
        <f>IF(AND('[1]observations-276632'!W557&gt;'[1]Methods write-up'!$Q$17,'[1]observations-276632'!W557&lt;'[1]Methods write-up'!$R$17,'[1]observations-276632'!X557&gt;'[1]Methods write-up'!$S$17,'[1]observations-276632'!X557&lt;'[1]Methods write-up'!$T$17),"Equatorial tropical forest","")</f>
        <v/>
      </c>
      <c r="AZ557" s="22" t="str">
        <f>IF(AND('[1]observations-276632'!W557&gt;'[1]Methods write-up'!$Q$18,'[1]observations-276632'!W557&lt;'[1]Methods write-up'!$R$18,'[1]observations-276632'!X557&gt;'[1]Methods write-up'!$S$18,'[1]observations-276632'!X557&lt;'[1]Methods write-up'!$T$18),"Somali peninsula","")</f>
        <v/>
      </c>
      <c r="BA557" s="22" t="str">
        <f>IF(AND('[1]observations-276632'!W557&gt;'[1]Methods write-up'!$Q$19,'[1]observations-276632'!W557&lt;'[1]Methods write-up'!$R$19,'[1]observations-276632'!X557&gt;'[1]Methods write-up'!$S$19,'[1]observations-276632'!X557&lt;'[1]Methods write-up'!$T$19),"East Africa","")</f>
        <v/>
      </c>
      <c r="BB557" s="22" t="str">
        <f>IF(AND('[1]observations-276632'!W557&gt;'[1]Methods write-up'!$Q$20,'[1]observations-276632'!W557&lt;'[1]Methods write-up'!$R$20,'[1]observations-276632'!X557&gt;'[1]Methods write-up'!$S$20,'[1]observations-276632'!X557&lt;'[1]Methods write-up'!$T$20),"Temperate seasonal","")</f>
        <v>Temperate seasonal</v>
      </c>
      <c r="BC557" s="22" t="str">
        <f>IF(AND('[1]observations-276632'!W557&gt;'[1]Methods write-up'!$Q$21,'[1]observations-276632'!W557&lt;'[1]Methods write-up'!$R$21,'[1]observations-276632'!X557&gt;'[1]Methods write-up'!$S$21,'[1]observations-276632'!X557&lt;'[1]Methods write-up'!$T$21),"Desert and high aridity","")</f>
        <v/>
      </c>
      <c r="BD557" s="23" t="str">
        <f t="shared" si="37"/>
        <v>Temperate seasonal</v>
      </c>
      <c r="BE557" s="24">
        <f t="shared" si="35"/>
        <v>25</v>
      </c>
      <c r="BF557" s="24">
        <f t="shared" si="36"/>
        <v>9</v>
      </c>
    </row>
    <row r="558" spans="1:58" ht="16.25" customHeight="1" x14ac:dyDescent="0.2">
      <c r="A558">
        <v>60829963</v>
      </c>
      <c r="B558" t="s">
        <v>4129</v>
      </c>
      <c r="C558" s="14">
        <v>44100</v>
      </c>
      <c r="D558" t="s">
        <v>4130</v>
      </c>
      <c r="E558" t="s">
        <v>113</v>
      </c>
      <c r="F558">
        <v>3662717</v>
      </c>
      <c r="G558" t="s">
        <v>4131</v>
      </c>
      <c r="I558" t="s">
        <v>4132</v>
      </c>
      <c r="J558" t="s">
        <v>4133</v>
      </c>
      <c r="K558" t="s">
        <v>62</v>
      </c>
      <c r="L558" t="s">
        <v>63</v>
      </c>
      <c r="M558" t="s">
        <v>4134</v>
      </c>
      <c r="N558" t="s">
        <v>4135</v>
      </c>
      <c r="R558">
        <v>2</v>
      </c>
      <c r="S558">
        <v>0</v>
      </c>
      <c r="T558" t="b">
        <v>0</v>
      </c>
      <c r="U558">
        <v>2</v>
      </c>
      <c r="V558" t="s">
        <v>4136</v>
      </c>
      <c r="W558" s="15">
        <v>-20.198640569999998</v>
      </c>
      <c r="X558" s="15">
        <v>28.616401809999999</v>
      </c>
      <c r="Y558">
        <v>33</v>
      </c>
      <c r="AC558">
        <v>33</v>
      </c>
      <c r="AF558" t="b">
        <v>0</v>
      </c>
      <c r="AG558" t="s">
        <v>350</v>
      </c>
      <c r="AH558" t="s">
        <v>350</v>
      </c>
      <c r="AI558" t="s">
        <v>71</v>
      </c>
      <c r="AJ558" t="s">
        <v>70</v>
      </c>
      <c r="AK558" t="s">
        <v>71</v>
      </c>
      <c r="AL558" t="s">
        <v>72</v>
      </c>
      <c r="AM558">
        <v>346053</v>
      </c>
      <c r="AO558" s="16" t="s">
        <v>73</v>
      </c>
      <c r="AP558" s="17" t="str">
        <f t="shared" si="38"/>
        <v>Off-nest female</v>
      </c>
      <c r="AX558" s="22" t="str">
        <f>IF(AND('[1]observations-276632'!W558&gt;'[1]Methods write-up'!$Q$16,'[1]observations-276632'!W558&lt;'[1]Methods write-up'!$R$16,'[1]observations-276632'!X558&gt;'[1]Methods write-up'!$S$16,'[1]observations-276632'!X558&lt;'[1]Methods write-up'!$T$16),"West and Central Africa","")</f>
        <v/>
      </c>
      <c r="AY558" s="22" t="str">
        <f>IF(AND('[1]observations-276632'!W558&gt;'[1]Methods write-up'!$Q$17,'[1]observations-276632'!W558&lt;'[1]Methods write-up'!$R$17,'[1]observations-276632'!X558&gt;'[1]Methods write-up'!$S$17,'[1]observations-276632'!X558&lt;'[1]Methods write-up'!$T$17),"Equatorial tropical forest","")</f>
        <v/>
      </c>
      <c r="AZ558" s="22" t="str">
        <f>IF(AND('[1]observations-276632'!W558&gt;'[1]Methods write-up'!$Q$18,'[1]observations-276632'!W558&lt;'[1]Methods write-up'!$R$18,'[1]observations-276632'!X558&gt;'[1]Methods write-up'!$S$18,'[1]observations-276632'!X558&lt;'[1]Methods write-up'!$T$18),"Somali peninsula","")</f>
        <v/>
      </c>
      <c r="BA558" s="22" t="str">
        <f>IF(AND('[1]observations-276632'!W558&gt;'[1]Methods write-up'!$Q$19,'[1]observations-276632'!W558&lt;'[1]Methods write-up'!$R$19,'[1]observations-276632'!X558&gt;'[1]Methods write-up'!$S$19,'[1]observations-276632'!X558&lt;'[1]Methods write-up'!$T$19),"East Africa","")</f>
        <v/>
      </c>
      <c r="BB558" s="22" t="str">
        <f>IF(AND('[1]observations-276632'!W558&gt;'[1]Methods write-up'!$Q$20,'[1]observations-276632'!W558&lt;'[1]Methods write-up'!$R$20,'[1]observations-276632'!X558&gt;'[1]Methods write-up'!$S$20,'[1]observations-276632'!X558&lt;'[1]Methods write-up'!$T$20),"Temperate seasonal","")</f>
        <v/>
      </c>
      <c r="BC558" s="22" t="str">
        <f>IF(AND('[1]observations-276632'!W558&gt;'[1]Methods write-up'!$Q$21,'[1]observations-276632'!W558&lt;'[1]Methods write-up'!$R$21,'[1]observations-276632'!X558&gt;'[1]Methods write-up'!$S$21,'[1]observations-276632'!X558&lt;'[1]Methods write-up'!$T$21),"Desert and high aridity","")</f>
        <v/>
      </c>
      <c r="BD558" s="23" t="str">
        <f t="shared" si="37"/>
        <v/>
      </c>
      <c r="BE558" s="24">
        <f t="shared" si="35"/>
        <v>26</v>
      </c>
      <c r="BF558" s="24">
        <f t="shared" si="36"/>
        <v>9</v>
      </c>
    </row>
    <row r="559" spans="1:58" ht="16.25" customHeight="1" x14ac:dyDescent="0.2">
      <c r="A559">
        <v>60948022</v>
      </c>
      <c r="B559" t="s">
        <v>4137</v>
      </c>
      <c r="C559" s="14">
        <v>44101</v>
      </c>
      <c r="D559" t="s">
        <v>4138</v>
      </c>
      <c r="E559" t="s">
        <v>113</v>
      </c>
      <c r="F559">
        <v>567473</v>
      </c>
      <c r="G559" t="s">
        <v>454</v>
      </c>
      <c r="H559" t="s">
        <v>455</v>
      </c>
      <c r="I559" t="s">
        <v>4139</v>
      </c>
      <c r="J559" t="s">
        <v>4140</v>
      </c>
      <c r="K559" t="s">
        <v>62</v>
      </c>
      <c r="L559" t="s">
        <v>63</v>
      </c>
      <c r="M559" t="s">
        <v>4141</v>
      </c>
      <c r="N559" t="s">
        <v>4142</v>
      </c>
      <c r="R559">
        <v>3</v>
      </c>
      <c r="S559">
        <v>0</v>
      </c>
      <c r="T559" t="b">
        <v>0</v>
      </c>
      <c r="V559" t="s">
        <v>3711</v>
      </c>
      <c r="W559" s="15">
        <v>-4.6578999999999997</v>
      </c>
      <c r="X559" s="15">
        <v>39.369999999999997</v>
      </c>
      <c r="Y559">
        <v>800</v>
      </c>
      <c r="AC559">
        <v>800</v>
      </c>
      <c r="AF559" t="b">
        <v>0</v>
      </c>
      <c r="AI559" t="s">
        <v>71</v>
      </c>
      <c r="AJ559" t="s">
        <v>70</v>
      </c>
      <c r="AK559" t="s">
        <v>71</v>
      </c>
      <c r="AL559" t="s">
        <v>72</v>
      </c>
      <c r="AM559">
        <v>346053</v>
      </c>
      <c r="AO559" s="16" t="s">
        <v>140</v>
      </c>
      <c r="AP559" s="17" t="str">
        <f t="shared" si="38"/>
        <v>Post-emergence nest</v>
      </c>
      <c r="AQ559" s="18">
        <v>3</v>
      </c>
      <c r="AT559" s="19" t="s">
        <v>141</v>
      </c>
      <c r="AU559" s="20" t="s">
        <v>104</v>
      </c>
      <c r="AX559" s="22" t="str">
        <f>IF(AND('[1]observations-276632'!W559&gt;'[1]Methods write-up'!$Q$16,'[1]observations-276632'!W559&lt;'[1]Methods write-up'!$R$16,'[1]observations-276632'!X559&gt;'[1]Methods write-up'!$S$16,'[1]observations-276632'!X559&lt;'[1]Methods write-up'!$T$16),"West and Central Africa","")</f>
        <v/>
      </c>
      <c r="AY559" s="22" t="str">
        <f>IF(AND('[1]observations-276632'!W559&gt;'[1]Methods write-up'!$Q$17,'[1]observations-276632'!W559&lt;'[1]Methods write-up'!$R$17,'[1]observations-276632'!X559&gt;'[1]Methods write-up'!$S$17,'[1]observations-276632'!X559&lt;'[1]Methods write-up'!$T$17),"Equatorial tropical forest","")</f>
        <v/>
      </c>
      <c r="AZ559" s="22" t="str">
        <f>IF(AND('[1]observations-276632'!W559&gt;'[1]Methods write-up'!$Q$18,'[1]observations-276632'!W559&lt;'[1]Methods write-up'!$R$18,'[1]observations-276632'!X559&gt;'[1]Methods write-up'!$S$18,'[1]observations-276632'!X559&lt;'[1]Methods write-up'!$T$18),"Somali peninsula","")</f>
        <v/>
      </c>
      <c r="BA559" s="22" t="str">
        <f>IF(AND('[1]observations-276632'!W559&gt;'[1]Methods write-up'!$Q$19,'[1]observations-276632'!W559&lt;'[1]Methods write-up'!$R$19,'[1]observations-276632'!X559&gt;'[1]Methods write-up'!$S$19,'[1]observations-276632'!X559&lt;'[1]Methods write-up'!$T$19),"East Africa","")</f>
        <v>East Africa</v>
      </c>
      <c r="BB559" s="22" t="str">
        <f>IF(AND('[1]observations-276632'!W559&gt;'[1]Methods write-up'!$Q$20,'[1]observations-276632'!W559&lt;'[1]Methods write-up'!$R$20,'[1]observations-276632'!X559&gt;'[1]Methods write-up'!$S$20,'[1]observations-276632'!X559&lt;'[1]Methods write-up'!$T$20),"Temperate seasonal","")</f>
        <v/>
      </c>
      <c r="BC559" s="22" t="str">
        <f>IF(AND('[1]observations-276632'!W559&gt;'[1]Methods write-up'!$Q$21,'[1]observations-276632'!W559&lt;'[1]Methods write-up'!$R$21,'[1]observations-276632'!X559&gt;'[1]Methods write-up'!$S$21,'[1]observations-276632'!X559&lt;'[1]Methods write-up'!$T$21),"Desert and high aridity","")</f>
        <v/>
      </c>
      <c r="BD559" s="23" t="str">
        <f t="shared" si="37"/>
        <v>East Africa</v>
      </c>
      <c r="BE559" s="24">
        <f t="shared" si="35"/>
        <v>27</v>
      </c>
      <c r="BF559" s="24">
        <f t="shared" si="36"/>
        <v>9</v>
      </c>
    </row>
    <row r="560" spans="1:58" ht="16.25" customHeight="1" x14ac:dyDescent="0.2">
      <c r="A560">
        <v>61000931</v>
      </c>
      <c r="B560" t="s">
        <v>4143</v>
      </c>
      <c r="C560" s="14">
        <v>44101</v>
      </c>
      <c r="D560" t="s">
        <v>4144</v>
      </c>
      <c r="E560" t="s">
        <v>113</v>
      </c>
      <c r="F560">
        <v>1759775</v>
      </c>
      <c r="G560" t="s">
        <v>3998</v>
      </c>
      <c r="H560" t="s">
        <v>3999</v>
      </c>
      <c r="I560" t="s">
        <v>4145</v>
      </c>
      <c r="J560" t="s">
        <v>4146</v>
      </c>
      <c r="K560" t="s">
        <v>62</v>
      </c>
      <c r="L560" t="s">
        <v>63</v>
      </c>
      <c r="M560" t="s">
        <v>4147</v>
      </c>
      <c r="N560" t="s">
        <v>4148</v>
      </c>
      <c r="R560">
        <v>2</v>
      </c>
      <c r="S560">
        <v>0</v>
      </c>
      <c r="T560" t="b">
        <v>0</v>
      </c>
      <c r="V560" t="s">
        <v>4149</v>
      </c>
      <c r="W560" s="15">
        <v>-20.252458600000001</v>
      </c>
      <c r="X560" s="15">
        <v>28.780930900000001</v>
      </c>
      <c r="Y560">
        <v>637</v>
      </c>
      <c r="AC560">
        <v>637</v>
      </c>
      <c r="AF560" t="b">
        <v>0</v>
      </c>
      <c r="AI560" t="s">
        <v>71</v>
      </c>
      <c r="AJ560" t="s">
        <v>70</v>
      </c>
      <c r="AK560" t="s">
        <v>71</v>
      </c>
      <c r="AL560" t="s">
        <v>72</v>
      </c>
      <c r="AM560">
        <v>346053</v>
      </c>
      <c r="AO560" s="16" t="s">
        <v>110</v>
      </c>
      <c r="AP560" s="17" t="str">
        <f t="shared" si="38"/>
        <v>Nest (foundress)</v>
      </c>
      <c r="AQ560" s="18">
        <v>1</v>
      </c>
      <c r="AT560" s="19" t="s">
        <v>104</v>
      </c>
      <c r="AX560" s="22" t="str">
        <f>IF(AND('[1]observations-276632'!W560&gt;'[1]Methods write-up'!$Q$16,'[1]observations-276632'!W560&lt;'[1]Methods write-up'!$R$16,'[1]observations-276632'!X560&gt;'[1]Methods write-up'!$S$16,'[1]observations-276632'!X560&lt;'[1]Methods write-up'!$T$16),"West and Central Africa","")</f>
        <v/>
      </c>
      <c r="AY560" s="22" t="str">
        <f>IF(AND('[1]observations-276632'!W560&gt;'[1]Methods write-up'!$Q$17,'[1]observations-276632'!W560&lt;'[1]Methods write-up'!$R$17,'[1]observations-276632'!X560&gt;'[1]Methods write-up'!$S$17,'[1]observations-276632'!X560&lt;'[1]Methods write-up'!$T$17),"Equatorial tropical forest","")</f>
        <v/>
      </c>
      <c r="AZ560" s="22" t="str">
        <f>IF(AND('[1]observations-276632'!W560&gt;'[1]Methods write-up'!$Q$18,'[1]observations-276632'!W560&lt;'[1]Methods write-up'!$R$18,'[1]observations-276632'!X560&gt;'[1]Methods write-up'!$S$18,'[1]observations-276632'!X560&lt;'[1]Methods write-up'!$T$18),"Somali peninsula","")</f>
        <v/>
      </c>
      <c r="BA560" s="22" t="str">
        <f>IF(AND('[1]observations-276632'!W560&gt;'[1]Methods write-up'!$Q$19,'[1]observations-276632'!W560&lt;'[1]Methods write-up'!$R$19,'[1]observations-276632'!X560&gt;'[1]Methods write-up'!$S$19,'[1]observations-276632'!X560&lt;'[1]Methods write-up'!$T$19),"East Africa","")</f>
        <v/>
      </c>
      <c r="BB560" s="22" t="str">
        <f>IF(AND('[1]observations-276632'!W560&gt;'[1]Methods write-up'!$Q$20,'[1]observations-276632'!W560&lt;'[1]Methods write-up'!$R$20,'[1]observations-276632'!X560&gt;'[1]Methods write-up'!$S$20,'[1]observations-276632'!X560&lt;'[1]Methods write-up'!$T$20),"Temperate seasonal","")</f>
        <v/>
      </c>
      <c r="BC560" s="22" t="str">
        <f>IF(AND('[1]observations-276632'!W560&gt;'[1]Methods write-up'!$Q$21,'[1]observations-276632'!W560&lt;'[1]Methods write-up'!$R$21,'[1]observations-276632'!X560&gt;'[1]Methods write-up'!$S$21,'[1]observations-276632'!X560&lt;'[1]Methods write-up'!$T$21),"Desert and high aridity","")</f>
        <v/>
      </c>
      <c r="BD560" s="23" t="str">
        <f t="shared" si="37"/>
        <v/>
      </c>
      <c r="BE560" s="24">
        <f t="shared" si="35"/>
        <v>27</v>
      </c>
      <c r="BF560" s="24">
        <f t="shared" si="36"/>
        <v>9</v>
      </c>
    </row>
    <row r="561" spans="1:58" ht="16.25" customHeight="1" x14ac:dyDescent="0.2">
      <c r="A561">
        <v>61081035</v>
      </c>
      <c r="B561" t="s">
        <v>4150</v>
      </c>
      <c r="C561" s="14">
        <v>44102</v>
      </c>
      <c r="D561" t="s">
        <v>4151</v>
      </c>
      <c r="E561" t="s">
        <v>113</v>
      </c>
      <c r="F561">
        <v>2629943</v>
      </c>
      <c r="G561" t="s">
        <v>4009</v>
      </c>
      <c r="H561" t="s">
        <v>4010</v>
      </c>
      <c r="I561" t="s">
        <v>4152</v>
      </c>
      <c r="J561" t="s">
        <v>4153</v>
      </c>
      <c r="K561" t="s">
        <v>62</v>
      </c>
      <c r="L561" t="s">
        <v>63</v>
      </c>
      <c r="M561" t="s">
        <v>4154</v>
      </c>
      <c r="N561" t="s">
        <v>4155</v>
      </c>
      <c r="R561">
        <v>2</v>
      </c>
      <c r="S561">
        <v>0</v>
      </c>
      <c r="T561" t="b">
        <v>0</v>
      </c>
      <c r="U561">
        <v>2</v>
      </c>
      <c r="V561" t="s">
        <v>4015</v>
      </c>
      <c r="W561" s="15">
        <v>-18.25250329</v>
      </c>
      <c r="X561" s="15">
        <v>32.01092105</v>
      </c>
      <c r="Y561">
        <v>698</v>
      </c>
      <c r="AC561">
        <v>698</v>
      </c>
      <c r="AF561" t="b">
        <v>0</v>
      </c>
      <c r="AG561" t="s">
        <v>350</v>
      </c>
      <c r="AH561" t="s">
        <v>350</v>
      </c>
      <c r="AI561" t="s">
        <v>71</v>
      </c>
      <c r="AJ561" t="s">
        <v>70</v>
      </c>
      <c r="AK561" t="s">
        <v>71</v>
      </c>
      <c r="AL561" t="s">
        <v>72</v>
      </c>
      <c r="AM561">
        <v>346053</v>
      </c>
      <c r="AO561" s="16" t="s">
        <v>442</v>
      </c>
      <c r="AP561" s="17" t="str">
        <f t="shared" si="38"/>
        <v>Dead female</v>
      </c>
      <c r="AX561" s="22" t="str">
        <f>IF(AND('[1]observations-276632'!W561&gt;'[1]Methods write-up'!$Q$16,'[1]observations-276632'!W561&lt;'[1]Methods write-up'!$R$16,'[1]observations-276632'!X561&gt;'[1]Methods write-up'!$S$16,'[1]observations-276632'!X561&lt;'[1]Methods write-up'!$T$16),"West and Central Africa","")</f>
        <v/>
      </c>
      <c r="AY561" s="22" t="str">
        <f>IF(AND('[1]observations-276632'!W561&gt;'[1]Methods write-up'!$Q$17,'[1]observations-276632'!W561&lt;'[1]Methods write-up'!$R$17,'[1]observations-276632'!X561&gt;'[1]Methods write-up'!$S$17,'[1]observations-276632'!X561&lt;'[1]Methods write-up'!$T$17),"Equatorial tropical forest","")</f>
        <v/>
      </c>
      <c r="AZ561" s="22" t="str">
        <f>IF(AND('[1]observations-276632'!W561&gt;'[1]Methods write-up'!$Q$18,'[1]observations-276632'!W561&lt;'[1]Methods write-up'!$R$18,'[1]observations-276632'!X561&gt;'[1]Methods write-up'!$S$18,'[1]observations-276632'!X561&lt;'[1]Methods write-up'!$T$18),"Somali peninsula","")</f>
        <v/>
      </c>
      <c r="BA561" s="22" t="str">
        <f>IF(AND('[1]observations-276632'!W561&gt;'[1]Methods write-up'!$Q$19,'[1]observations-276632'!W561&lt;'[1]Methods write-up'!$R$19,'[1]observations-276632'!X561&gt;'[1]Methods write-up'!$S$19,'[1]observations-276632'!X561&lt;'[1]Methods write-up'!$T$19),"East Africa","")</f>
        <v/>
      </c>
      <c r="BB561" s="22" t="str">
        <f>IF(AND('[1]observations-276632'!W561&gt;'[1]Methods write-up'!$Q$20,'[1]observations-276632'!W561&lt;'[1]Methods write-up'!$R$20,'[1]observations-276632'!X561&gt;'[1]Methods write-up'!$S$20,'[1]observations-276632'!X561&lt;'[1]Methods write-up'!$T$20),"Temperate seasonal","")</f>
        <v/>
      </c>
      <c r="BC561" s="22" t="str">
        <f>IF(AND('[1]observations-276632'!W561&gt;'[1]Methods write-up'!$Q$21,'[1]observations-276632'!W561&lt;'[1]Methods write-up'!$R$21,'[1]observations-276632'!X561&gt;'[1]Methods write-up'!$S$21,'[1]observations-276632'!X561&lt;'[1]Methods write-up'!$T$21),"Desert and high aridity","")</f>
        <v/>
      </c>
      <c r="BD561" s="23" t="str">
        <f t="shared" si="37"/>
        <v/>
      </c>
      <c r="BE561" s="24">
        <f t="shared" si="35"/>
        <v>28</v>
      </c>
      <c r="BF561" s="24">
        <f t="shared" si="36"/>
        <v>9</v>
      </c>
    </row>
    <row r="562" spans="1:58" ht="16.25" customHeight="1" x14ac:dyDescent="0.2">
      <c r="A562">
        <v>61128537</v>
      </c>
      <c r="B562" t="s">
        <v>4156</v>
      </c>
      <c r="C562" s="14">
        <v>44102</v>
      </c>
      <c r="D562" t="s">
        <v>4157</v>
      </c>
      <c r="E562" t="s">
        <v>1408</v>
      </c>
      <c r="F562">
        <v>1812003</v>
      </c>
      <c r="G562" t="s">
        <v>4158</v>
      </c>
      <c r="I562" t="s">
        <v>4159</v>
      </c>
      <c r="J562" t="s">
        <v>4160</v>
      </c>
      <c r="K562" t="s">
        <v>62</v>
      </c>
      <c r="L562" t="s">
        <v>63</v>
      </c>
      <c r="M562" t="s">
        <v>4161</v>
      </c>
      <c r="N562" t="s">
        <v>4162</v>
      </c>
      <c r="Q562" t="s">
        <v>4163</v>
      </c>
      <c r="R562">
        <v>2</v>
      </c>
      <c r="S562">
        <v>0</v>
      </c>
      <c r="T562" t="b">
        <v>0</v>
      </c>
      <c r="V562" t="s">
        <v>4164</v>
      </c>
      <c r="W562" s="15">
        <v>-20.210216519999999</v>
      </c>
      <c r="X562" s="15">
        <v>28.590017320000001</v>
      </c>
      <c r="AF562" t="b">
        <v>0</v>
      </c>
      <c r="AI562" t="s">
        <v>71</v>
      </c>
      <c r="AJ562" t="s">
        <v>70</v>
      </c>
      <c r="AK562" t="s">
        <v>71</v>
      </c>
      <c r="AL562" t="s">
        <v>72</v>
      </c>
      <c r="AM562">
        <v>346053</v>
      </c>
      <c r="AO562" s="16" t="s">
        <v>73</v>
      </c>
      <c r="AP562" s="17" t="str">
        <f t="shared" si="38"/>
        <v>Off-nest female</v>
      </c>
      <c r="AX562" s="22" t="str">
        <f>IF(AND('[1]observations-276632'!W562&gt;'[1]Methods write-up'!$Q$16,'[1]observations-276632'!W562&lt;'[1]Methods write-up'!$R$16,'[1]observations-276632'!X562&gt;'[1]Methods write-up'!$S$16,'[1]observations-276632'!X562&lt;'[1]Methods write-up'!$T$16),"West and Central Africa","")</f>
        <v/>
      </c>
      <c r="AY562" s="22" t="str">
        <f>IF(AND('[1]observations-276632'!W562&gt;'[1]Methods write-up'!$Q$17,'[1]observations-276632'!W562&lt;'[1]Methods write-up'!$R$17,'[1]observations-276632'!X562&gt;'[1]Methods write-up'!$S$17,'[1]observations-276632'!X562&lt;'[1]Methods write-up'!$T$17),"Equatorial tropical forest","")</f>
        <v/>
      </c>
      <c r="AZ562" s="22" t="str">
        <f>IF(AND('[1]observations-276632'!W562&gt;'[1]Methods write-up'!$Q$18,'[1]observations-276632'!W562&lt;'[1]Methods write-up'!$R$18,'[1]observations-276632'!X562&gt;'[1]Methods write-up'!$S$18,'[1]observations-276632'!X562&lt;'[1]Methods write-up'!$T$18),"Somali peninsula","")</f>
        <v/>
      </c>
      <c r="BA562" s="22" t="str">
        <f>IF(AND('[1]observations-276632'!W562&gt;'[1]Methods write-up'!$Q$19,'[1]observations-276632'!W562&lt;'[1]Methods write-up'!$R$19,'[1]observations-276632'!X562&gt;'[1]Methods write-up'!$S$19,'[1]observations-276632'!X562&lt;'[1]Methods write-up'!$T$19),"East Africa","")</f>
        <v/>
      </c>
      <c r="BB562" s="22" t="str">
        <f>IF(AND('[1]observations-276632'!W562&gt;'[1]Methods write-up'!$Q$20,'[1]observations-276632'!W562&lt;'[1]Methods write-up'!$R$20,'[1]observations-276632'!X562&gt;'[1]Methods write-up'!$S$20,'[1]observations-276632'!X562&lt;'[1]Methods write-up'!$T$20),"Temperate seasonal","")</f>
        <v/>
      </c>
      <c r="BC562" s="22" t="str">
        <f>IF(AND('[1]observations-276632'!W562&gt;'[1]Methods write-up'!$Q$21,'[1]observations-276632'!W562&lt;'[1]Methods write-up'!$R$21,'[1]observations-276632'!X562&gt;'[1]Methods write-up'!$S$21,'[1]observations-276632'!X562&lt;'[1]Methods write-up'!$T$21),"Desert and high aridity","")</f>
        <v/>
      </c>
      <c r="BD562" s="23" t="str">
        <f t="shared" si="37"/>
        <v/>
      </c>
      <c r="BE562" s="24">
        <f t="shared" si="35"/>
        <v>28</v>
      </c>
      <c r="BF562" s="24">
        <f t="shared" si="36"/>
        <v>9</v>
      </c>
    </row>
    <row r="563" spans="1:58" ht="16.25" customHeight="1" x14ac:dyDescent="0.2">
      <c r="A563">
        <v>61217556</v>
      </c>
      <c r="B563" t="s">
        <v>4165</v>
      </c>
      <c r="C563" s="14">
        <v>44103</v>
      </c>
      <c r="D563" t="s">
        <v>4166</v>
      </c>
      <c r="E563" t="s">
        <v>193</v>
      </c>
      <c r="F563">
        <v>2572738</v>
      </c>
      <c r="G563" t="s">
        <v>4167</v>
      </c>
      <c r="H563" t="s">
        <v>4168</v>
      </c>
      <c r="I563" t="s">
        <v>4169</v>
      </c>
      <c r="J563" t="s">
        <v>4170</v>
      </c>
      <c r="K563" t="s">
        <v>62</v>
      </c>
      <c r="L563" t="s">
        <v>63</v>
      </c>
      <c r="M563" t="s">
        <v>4171</v>
      </c>
      <c r="N563" t="s">
        <v>4172</v>
      </c>
      <c r="Q563" t="s">
        <v>4173</v>
      </c>
      <c r="R563">
        <v>3</v>
      </c>
      <c r="S563">
        <v>0</v>
      </c>
      <c r="T563" t="b">
        <v>0</v>
      </c>
      <c r="U563">
        <v>2</v>
      </c>
      <c r="V563" t="s">
        <v>1706</v>
      </c>
      <c r="W563" s="15">
        <v>6.4166375599999999</v>
      </c>
      <c r="X563" s="15">
        <v>2.3385364499999999</v>
      </c>
      <c r="Y563">
        <v>3</v>
      </c>
      <c r="AC563">
        <v>3</v>
      </c>
      <c r="AF563" t="b">
        <v>0</v>
      </c>
      <c r="AI563" t="s">
        <v>71</v>
      </c>
      <c r="AJ563" t="s">
        <v>70</v>
      </c>
      <c r="AK563" t="s">
        <v>71</v>
      </c>
      <c r="AL563" t="s">
        <v>72</v>
      </c>
      <c r="AM563">
        <v>346053</v>
      </c>
      <c r="AO563" s="16" t="s">
        <v>73</v>
      </c>
      <c r="AP563" s="17" t="str">
        <f t="shared" si="38"/>
        <v>Off-nest female</v>
      </c>
      <c r="AX563" s="22" t="str">
        <f>IF(AND('[1]observations-276632'!W563&gt;'[1]Methods write-up'!$Q$16,'[1]observations-276632'!W563&lt;'[1]Methods write-up'!$R$16,'[1]observations-276632'!X563&gt;'[1]Methods write-up'!$S$16,'[1]observations-276632'!X563&lt;'[1]Methods write-up'!$T$16),"West and Central Africa","")</f>
        <v>West and Central Africa</v>
      </c>
      <c r="AY563" s="22" t="str">
        <f>IF(AND('[1]observations-276632'!W563&gt;'[1]Methods write-up'!$Q$17,'[1]observations-276632'!W563&lt;'[1]Methods write-up'!$R$17,'[1]observations-276632'!X563&gt;'[1]Methods write-up'!$S$17,'[1]observations-276632'!X563&lt;'[1]Methods write-up'!$T$17),"Equatorial tropical forest","")</f>
        <v/>
      </c>
      <c r="AZ563" s="22" t="str">
        <f>IF(AND('[1]observations-276632'!W563&gt;'[1]Methods write-up'!$Q$18,'[1]observations-276632'!W563&lt;'[1]Methods write-up'!$R$18,'[1]observations-276632'!X563&gt;'[1]Methods write-up'!$S$18,'[1]observations-276632'!X563&lt;'[1]Methods write-up'!$T$18),"Somali peninsula","")</f>
        <v/>
      </c>
      <c r="BA563" s="22" t="str">
        <f>IF(AND('[1]observations-276632'!W563&gt;'[1]Methods write-up'!$Q$19,'[1]observations-276632'!W563&lt;'[1]Methods write-up'!$R$19,'[1]observations-276632'!X563&gt;'[1]Methods write-up'!$S$19,'[1]observations-276632'!X563&lt;'[1]Methods write-up'!$T$19),"East Africa","")</f>
        <v/>
      </c>
      <c r="BB563" s="22" t="str">
        <f>IF(AND('[1]observations-276632'!W563&gt;'[1]Methods write-up'!$Q$20,'[1]observations-276632'!W563&lt;'[1]Methods write-up'!$R$20,'[1]observations-276632'!X563&gt;'[1]Methods write-up'!$S$20,'[1]observations-276632'!X563&lt;'[1]Methods write-up'!$T$20),"Temperate seasonal","")</f>
        <v/>
      </c>
      <c r="BC563" s="22" t="str">
        <f>IF(AND('[1]observations-276632'!W563&gt;'[1]Methods write-up'!$Q$21,'[1]observations-276632'!W563&lt;'[1]Methods write-up'!$R$21,'[1]observations-276632'!X563&gt;'[1]Methods write-up'!$S$21,'[1]observations-276632'!X563&lt;'[1]Methods write-up'!$T$21),"Desert and high aridity","")</f>
        <v/>
      </c>
      <c r="BD563" s="23" t="str">
        <f t="shared" si="37"/>
        <v>West and Central Africa</v>
      </c>
      <c r="BE563" s="24">
        <f t="shared" si="35"/>
        <v>29</v>
      </c>
      <c r="BF563" s="24">
        <f t="shared" si="36"/>
        <v>9</v>
      </c>
    </row>
    <row r="564" spans="1:58" ht="16.25" customHeight="1" x14ac:dyDescent="0.2">
      <c r="A564">
        <v>61282091</v>
      </c>
      <c r="B564" t="s">
        <v>4174</v>
      </c>
      <c r="C564" s="14">
        <v>43933</v>
      </c>
      <c r="D564" t="s">
        <v>4175</v>
      </c>
      <c r="E564" t="s">
        <v>113</v>
      </c>
      <c r="F564">
        <v>1862204</v>
      </c>
      <c r="G564" t="s">
        <v>4176</v>
      </c>
      <c r="H564" t="s">
        <v>4177</v>
      </c>
      <c r="I564" t="s">
        <v>4178</v>
      </c>
      <c r="J564" t="s">
        <v>4179</v>
      </c>
      <c r="K564" t="s">
        <v>62</v>
      </c>
      <c r="M564" t="s">
        <v>4180</v>
      </c>
      <c r="N564" t="s">
        <v>4181</v>
      </c>
      <c r="R564">
        <v>2</v>
      </c>
      <c r="S564">
        <v>0</v>
      </c>
      <c r="T564" t="b">
        <v>0</v>
      </c>
      <c r="U564">
        <v>2</v>
      </c>
      <c r="V564" t="s">
        <v>4182</v>
      </c>
      <c r="W564" s="15">
        <v>-29.489597620000001</v>
      </c>
      <c r="X564" s="15">
        <v>31.238312759999999</v>
      </c>
      <c r="Y564">
        <v>733</v>
      </c>
      <c r="AC564">
        <v>733</v>
      </c>
      <c r="AF564" t="b">
        <v>0</v>
      </c>
      <c r="AG564" t="s">
        <v>350</v>
      </c>
      <c r="AH564" t="s">
        <v>350</v>
      </c>
      <c r="AI564" t="s">
        <v>71</v>
      </c>
      <c r="AJ564" t="s">
        <v>70</v>
      </c>
      <c r="AK564" t="s">
        <v>71</v>
      </c>
      <c r="AL564" t="s">
        <v>72</v>
      </c>
      <c r="AM564">
        <v>346053</v>
      </c>
      <c r="AO564" s="16" t="s">
        <v>73</v>
      </c>
      <c r="AP564" s="17" t="str">
        <f t="shared" si="38"/>
        <v>Off-nest female</v>
      </c>
      <c r="AX564" s="22" t="str">
        <f>IF(AND('[1]observations-276632'!W564&gt;'[1]Methods write-up'!$Q$16,'[1]observations-276632'!W564&lt;'[1]Methods write-up'!$R$16,'[1]observations-276632'!X564&gt;'[1]Methods write-up'!$S$16,'[1]observations-276632'!X564&lt;'[1]Methods write-up'!$T$16),"West and Central Africa","")</f>
        <v/>
      </c>
      <c r="AY564" s="22" t="str">
        <f>IF(AND('[1]observations-276632'!W564&gt;'[1]Methods write-up'!$Q$17,'[1]observations-276632'!W564&lt;'[1]Methods write-up'!$R$17,'[1]observations-276632'!X564&gt;'[1]Methods write-up'!$S$17,'[1]observations-276632'!X564&lt;'[1]Methods write-up'!$T$17),"Equatorial tropical forest","")</f>
        <v/>
      </c>
      <c r="AZ564" s="22" t="str">
        <f>IF(AND('[1]observations-276632'!W564&gt;'[1]Methods write-up'!$Q$18,'[1]observations-276632'!W564&lt;'[1]Methods write-up'!$R$18,'[1]observations-276632'!X564&gt;'[1]Methods write-up'!$S$18,'[1]observations-276632'!X564&lt;'[1]Methods write-up'!$T$18),"Somali peninsula","")</f>
        <v/>
      </c>
      <c r="BA564" s="22" t="str">
        <f>IF(AND('[1]observations-276632'!W564&gt;'[1]Methods write-up'!$Q$19,'[1]observations-276632'!W564&lt;'[1]Methods write-up'!$R$19,'[1]observations-276632'!X564&gt;'[1]Methods write-up'!$S$19,'[1]observations-276632'!X564&lt;'[1]Methods write-up'!$T$19),"East Africa","")</f>
        <v/>
      </c>
      <c r="BB564" s="22" t="str">
        <f>IF(AND('[1]observations-276632'!W564&gt;'[1]Methods write-up'!$Q$20,'[1]observations-276632'!W564&lt;'[1]Methods write-up'!$R$20,'[1]observations-276632'!X564&gt;'[1]Methods write-up'!$S$20,'[1]observations-276632'!X564&lt;'[1]Methods write-up'!$T$20),"Temperate seasonal","")</f>
        <v>Temperate seasonal</v>
      </c>
      <c r="BC564" s="22" t="str">
        <f>IF(AND('[1]observations-276632'!W564&gt;'[1]Methods write-up'!$Q$21,'[1]observations-276632'!W564&lt;'[1]Methods write-up'!$R$21,'[1]observations-276632'!X564&gt;'[1]Methods write-up'!$S$21,'[1]observations-276632'!X564&lt;'[1]Methods write-up'!$T$21),"Desert and high aridity","")</f>
        <v/>
      </c>
      <c r="BD564" s="23" t="str">
        <f t="shared" si="37"/>
        <v>Temperate seasonal</v>
      </c>
      <c r="BE564" s="24">
        <f t="shared" si="35"/>
        <v>12</v>
      </c>
      <c r="BF564" s="24">
        <f t="shared" si="36"/>
        <v>4</v>
      </c>
    </row>
    <row r="565" spans="1:58" ht="16.25" customHeight="1" x14ac:dyDescent="0.2">
      <c r="A565">
        <v>61304260</v>
      </c>
      <c r="B565" t="s">
        <v>4183</v>
      </c>
      <c r="C565" s="14">
        <v>44099</v>
      </c>
      <c r="D565" t="s">
        <v>4184</v>
      </c>
      <c r="E565" t="s">
        <v>113</v>
      </c>
      <c r="F565">
        <v>632306</v>
      </c>
      <c r="G565" t="s">
        <v>1011</v>
      </c>
      <c r="H565" t="s">
        <v>1012</v>
      </c>
      <c r="I565" t="s">
        <v>4185</v>
      </c>
      <c r="J565" t="s">
        <v>4186</v>
      </c>
      <c r="K565" t="s">
        <v>62</v>
      </c>
      <c r="L565" t="s">
        <v>63</v>
      </c>
      <c r="M565" t="s">
        <v>4187</v>
      </c>
      <c r="N565" t="s">
        <v>4188</v>
      </c>
      <c r="Q565" t="s">
        <v>4189</v>
      </c>
      <c r="R565">
        <v>1</v>
      </c>
      <c r="S565">
        <v>0</v>
      </c>
      <c r="T565" t="b">
        <v>0</v>
      </c>
      <c r="V565" t="s">
        <v>4190</v>
      </c>
      <c r="W565" s="15">
        <v>-24.557182789999999</v>
      </c>
      <c r="X565" s="15">
        <v>25.963799349999999</v>
      </c>
      <c r="Y565">
        <v>8</v>
      </c>
      <c r="AC565">
        <v>8</v>
      </c>
      <c r="AF565" t="b">
        <v>0</v>
      </c>
      <c r="AI565" t="s">
        <v>71</v>
      </c>
      <c r="AJ565" t="s">
        <v>70</v>
      </c>
      <c r="AK565" t="s">
        <v>71</v>
      </c>
      <c r="AL565" t="s">
        <v>72</v>
      </c>
      <c r="AM565">
        <v>346053</v>
      </c>
      <c r="AO565" s="16" t="s">
        <v>73</v>
      </c>
      <c r="AP565" s="17" t="str">
        <f t="shared" si="38"/>
        <v>Off-nest female</v>
      </c>
      <c r="AX565" s="22" t="str">
        <f>IF(AND('[1]observations-276632'!W565&gt;'[1]Methods write-up'!$Q$16,'[1]observations-276632'!W565&lt;'[1]Methods write-up'!$R$16,'[1]observations-276632'!X565&gt;'[1]Methods write-up'!$S$16,'[1]observations-276632'!X565&lt;'[1]Methods write-up'!$T$16),"West and Central Africa","")</f>
        <v/>
      </c>
      <c r="AY565" s="22" t="str">
        <f>IF(AND('[1]observations-276632'!W565&gt;'[1]Methods write-up'!$Q$17,'[1]observations-276632'!W565&lt;'[1]Methods write-up'!$R$17,'[1]observations-276632'!X565&gt;'[1]Methods write-up'!$S$17,'[1]observations-276632'!X565&lt;'[1]Methods write-up'!$T$17),"Equatorial tropical forest","")</f>
        <v/>
      </c>
      <c r="AZ565" s="22" t="str">
        <f>IF(AND('[1]observations-276632'!W565&gt;'[1]Methods write-up'!$Q$18,'[1]observations-276632'!W565&lt;'[1]Methods write-up'!$R$18,'[1]observations-276632'!X565&gt;'[1]Methods write-up'!$S$18,'[1]observations-276632'!X565&lt;'[1]Methods write-up'!$T$18),"Somali peninsula","")</f>
        <v/>
      </c>
      <c r="BA565" s="22" t="str">
        <f>IF(AND('[1]observations-276632'!W565&gt;'[1]Methods write-up'!$Q$19,'[1]observations-276632'!W565&lt;'[1]Methods write-up'!$R$19,'[1]observations-276632'!X565&gt;'[1]Methods write-up'!$S$19,'[1]observations-276632'!X565&lt;'[1]Methods write-up'!$T$19),"East Africa","")</f>
        <v/>
      </c>
      <c r="BB565" s="22" t="str">
        <f>IF(AND('[1]observations-276632'!W565&gt;'[1]Methods write-up'!$Q$20,'[1]observations-276632'!W565&lt;'[1]Methods write-up'!$R$20,'[1]observations-276632'!X565&gt;'[1]Methods write-up'!$S$20,'[1]observations-276632'!X565&lt;'[1]Methods write-up'!$T$20),"Temperate seasonal","")</f>
        <v/>
      </c>
      <c r="BC565" s="22" t="str">
        <f>IF(AND('[1]observations-276632'!W565&gt;'[1]Methods write-up'!$Q$21,'[1]observations-276632'!W565&lt;'[1]Methods write-up'!$R$21,'[1]observations-276632'!X565&gt;'[1]Methods write-up'!$S$21,'[1]observations-276632'!X565&lt;'[1]Methods write-up'!$T$21),"Desert and high aridity","")</f>
        <v/>
      </c>
      <c r="BD565" s="23" t="str">
        <f t="shared" si="37"/>
        <v/>
      </c>
      <c r="BE565" s="24">
        <f t="shared" si="35"/>
        <v>25</v>
      </c>
      <c r="BF565" s="24">
        <f t="shared" si="36"/>
        <v>9</v>
      </c>
    </row>
    <row r="566" spans="1:58" ht="16.25" customHeight="1" x14ac:dyDescent="0.2">
      <c r="A566">
        <v>61588317</v>
      </c>
      <c r="B566" t="s">
        <v>4191</v>
      </c>
      <c r="C566" s="14">
        <v>44095</v>
      </c>
      <c r="D566" t="s">
        <v>4192</v>
      </c>
      <c r="E566" t="s">
        <v>3040</v>
      </c>
      <c r="F566">
        <v>1549528</v>
      </c>
      <c r="G566" t="s">
        <v>3041</v>
      </c>
      <c r="H566" t="s">
        <v>3042</v>
      </c>
      <c r="I566" t="s">
        <v>4193</v>
      </c>
      <c r="J566" t="s">
        <v>4194</v>
      </c>
      <c r="K566" t="s">
        <v>62</v>
      </c>
      <c r="L566" t="s">
        <v>63</v>
      </c>
      <c r="M566" t="s">
        <v>4195</v>
      </c>
      <c r="N566" t="s">
        <v>4196</v>
      </c>
      <c r="R566">
        <v>2</v>
      </c>
      <c r="S566">
        <v>0</v>
      </c>
      <c r="T566" t="b">
        <v>0</v>
      </c>
      <c r="V566" t="s">
        <v>4197</v>
      </c>
      <c r="W566" s="15">
        <v>1.356369401</v>
      </c>
      <c r="X566" s="15">
        <v>29.49429469</v>
      </c>
      <c r="Y566">
        <v>655</v>
      </c>
      <c r="AC566">
        <v>655</v>
      </c>
      <c r="AF566" t="b">
        <v>0</v>
      </c>
      <c r="AI566" t="s">
        <v>71</v>
      </c>
      <c r="AJ566" t="s">
        <v>70</v>
      </c>
      <c r="AK566" t="s">
        <v>71</v>
      </c>
      <c r="AL566" t="s">
        <v>72</v>
      </c>
      <c r="AM566">
        <v>346053</v>
      </c>
      <c r="AO566" s="16" t="s">
        <v>140</v>
      </c>
      <c r="AP566" s="17" t="str">
        <f t="shared" si="38"/>
        <v>Post-emergence nest</v>
      </c>
      <c r="AQ566" s="18">
        <v>6</v>
      </c>
      <c r="AT566" s="19" t="s">
        <v>141</v>
      </c>
      <c r="AU566" s="20" t="s">
        <v>104</v>
      </c>
      <c r="AX566" s="22" t="str">
        <f>IF(AND('[1]observations-276632'!W566&gt;'[1]Methods write-up'!$Q$16,'[1]observations-276632'!W566&lt;'[1]Methods write-up'!$R$16,'[1]observations-276632'!X566&gt;'[1]Methods write-up'!$S$16,'[1]observations-276632'!X566&lt;'[1]Methods write-up'!$T$16),"West and Central Africa","")</f>
        <v>West and Central Africa</v>
      </c>
      <c r="AY566" s="22" t="str">
        <f>IF(AND('[1]observations-276632'!W566&gt;'[1]Methods write-up'!$Q$17,'[1]observations-276632'!W566&lt;'[1]Methods write-up'!$R$17,'[1]observations-276632'!X566&gt;'[1]Methods write-up'!$S$17,'[1]observations-276632'!X566&lt;'[1]Methods write-up'!$T$17),"Equatorial tropical forest","")</f>
        <v/>
      </c>
      <c r="AZ566" s="22" t="str">
        <f>IF(AND('[1]observations-276632'!W566&gt;'[1]Methods write-up'!$Q$18,'[1]observations-276632'!W566&lt;'[1]Methods write-up'!$R$18,'[1]observations-276632'!X566&gt;'[1]Methods write-up'!$S$18,'[1]observations-276632'!X566&lt;'[1]Methods write-up'!$T$18),"Somali peninsula","")</f>
        <v/>
      </c>
      <c r="BA566" s="22" t="str">
        <f>IF(AND('[1]observations-276632'!W566&gt;'[1]Methods write-up'!$Q$19,'[1]observations-276632'!W566&lt;'[1]Methods write-up'!$R$19,'[1]observations-276632'!X566&gt;'[1]Methods write-up'!$S$19,'[1]observations-276632'!X566&lt;'[1]Methods write-up'!$T$19),"East Africa","")</f>
        <v/>
      </c>
      <c r="BB566" s="22" t="str">
        <f>IF(AND('[1]observations-276632'!W566&gt;'[1]Methods write-up'!$Q$20,'[1]observations-276632'!W566&lt;'[1]Methods write-up'!$R$20,'[1]observations-276632'!X566&gt;'[1]Methods write-up'!$S$20,'[1]observations-276632'!X566&lt;'[1]Methods write-up'!$T$20),"Temperate seasonal","")</f>
        <v/>
      </c>
      <c r="BC566" s="22" t="str">
        <f>IF(AND('[1]observations-276632'!W566&gt;'[1]Methods write-up'!$Q$21,'[1]observations-276632'!W566&lt;'[1]Methods write-up'!$R$21,'[1]observations-276632'!X566&gt;'[1]Methods write-up'!$S$21,'[1]observations-276632'!X566&lt;'[1]Methods write-up'!$T$21),"Desert and high aridity","")</f>
        <v/>
      </c>
      <c r="BD566" s="23" t="str">
        <f t="shared" si="37"/>
        <v>West and Central Africa</v>
      </c>
      <c r="BE566" s="24">
        <f t="shared" si="35"/>
        <v>21</v>
      </c>
      <c r="BF566" s="24">
        <f t="shared" si="36"/>
        <v>9</v>
      </c>
    </row>
    <row r="567" spans="1:58" ht="16.25" customHeight="1" x14ac:dyDescent="0.2">
      <c r="A567">
        <v>61679576</v>
      </c>
      <c r="B567" t="s">
        <v>4198</v>
      </c>
      <c r="C567" s="14">
        <v>44108</v>
      </c>
      <c r="D567" t="s">
        <v>4199</v>
      </c>
      <c r="E567" t="s">
        <v>113</v>
      </c>
      <c r="F567">
        <v>1288995</v>
      </c>
      <c r="G567" t="s">
        <v>2367</v>
      </c>
      <c r="H567" t="s">
        <v>2368</v>
      </c>
      <c r="I567" t="s">
        <v>4200</v>
      </c>
      <c r="J567" t="s">
        <v>4201</v>
      </c>
      <c r="K567" t="s">
        <v>62</v>
      </c>
      <c r="L567" t="s">
        <v>63</v>
      </c>
      <c r="M567" t="s">
        <v>4202</v>
      </c>
      <c r="N567" t="s">
        <v>4203</v>
      </c>
      <c r="Q567" t="s">
        <v>4204</v>
      </c>
      <c r="R567">
        <v>2</v>
      </c>
      <c r="S567">
        <v>0</v>
      </c>
      <c r="T567" t="b">
        <v>0</v>
      </c>
      <c r="U567">
        <v>2</v>
      </c>
      <c r="V567" t="s">
        <v>4205</v>
      </c>
      <c r="W567" s="15">
        <v>-26.05766479</v>
      </c>
      <c r="X567" s="15">
        <v>27.949254960000001</v>
      </c>
      <c r="Y567">
        <v>238</v>
      </c>
      <c r="AC567">
        <v>238</v>
      </c>
      <c r="AF567" t="b">
        <v>0</v>
      </c>
      <c r="AG567" t="s">
        <v>350</v>
      </c>
      <c r="AH567" t="s">
        <v>350</v>
      </c>
      <c r="AI567" t="s">
        <v>71</v>
      </c>
      <c r="AJ567" t="s">
        <v>70</v>
      </c>
      <c r="AK567" t="s">
        <v>71</v>
      </c>
      <c r="AL567" t="s">
        <v>72</v>
      </c>
      <c r="AM567">
        <v>346053</v>
      </c>
      <c r="AO567" s="16" t="s">
        <v>73</v>
      </c>
      <c r="AP567" s="17" t="str">
        <f t="shared" si="38"/>
        <v>Off-nest female</v>
      </c>
      <c r="AX567" s="22" t="str">
        <f>IF(AND('[1]observations-276632'!W567&gt;'[1]Methods write-up'!$Q$16,'[1]observations-276632'!W567&lt;'[1]Methods write-up'!$R$16,'[1]observations-276632'!X567&gt;'[1]Methods write-up'!$S$16,'[1]observations-276632'!X567&lt;'[1]Methods write-up'!$T$16),"West and Central Africa","")</f>
        <v/>
      </c>
      <c r="AY567" s="22" t="str">
        <f>IF(AND('[1]observations-276632'!W567&gt;'[1]Methods write-up'!$Q$17,'[1]observations-276632'!W567&lt;'[1]Methods write-up'!$R$17,'[1]observations-276632'!X567&gt;'[1]Methods write-up'!$S$17,'[1]observations-276632'!X567&lt;'[1]Methods write-up'!$T$17),"Equatorial tropical forest","")</f>
        <v/>
      </c>
      <c r="AZ567" s="22" t="str">
        <f>IF(AND('[1]observations-276632'!W567&gt;'[1]Methods write-up'!$Q$18,'[1]observations-276632'!W567&lt;'[1]Methods write-up'!$R$18,'[1]observations-276632'!X567&gt;'[1]Methods write-up'!$S$18,'[1]observations-276632'!X567&lt;'[1]Methods write-up'!$T$18),"Somali peninsula","")</f>
        <v/>
      </c>
      <c r="BA567" s="22" t="str">
        <f>IF(AND('[1]observations-276632'!W567&gt;'[1]Methods write-up'!$Q$19,'[1]observations-276632'!W567&lt;'[1]Methods write-up'!$R$19,'[1]observations-276632'!X567&gt;'[1]Methods write-up'!$S$19,'[1]observations-276632'!X567&lt;'[1]Methods write-up'!$T$19),"East Africa","")</f>
        <v/>
      </c>
      <c r="BB567" s="22" t="str">
        <f>IF(AND('[1]observations-276632'!W567&gt;'[1]Methods write-up'!$Q$20,'[1]observations-276632'!W567&lt;'[1]Methods write-up'!$R$20,'[1]observations-276632'!X567&gt;'[1]Methods write-up'!$S$20,'[1]observations-276632'!X567&lt;'[1]Methods write-up'!$T$20),"Temperate seasonal","")</f>
        <v>Temperate seasonal</v>
      </c>
      <c r="BC567" s="22" t="str">
        <f>IF(AND('[1]observations-276632'!W567&gt;'[1]Methods write-up'!$Q$21,'[1]observations-276632'!W567&lt;'[1]Methods write-up'!$R$21,'[1]observations-276632'!X567&gt;'[1]Methods write-up'!$S$21,'[1]observations-276632'!X567&lt;'[1]Methods write-up'!$T$21),"Desert and high aridity","")</f>
        <v/>
      </c>
      <c r="BD567" s="23" t="str">
        <f t="shared" si="37"/>
        <v>Temperate seasonal</v>
      </c>
      <c r="BE567" s="24">
        <f t="shared" si="35"/>
        <v>4</v>
      </c>
      <c r="BF567" s="24">
        <f t="shared" si="36"/>
        <v>10</v>
      </c>
    </row>
    <row r="568" spans="1:58" ht="16.25" customHeight="1" x14ac:dyDescent="0.2">
      <c r="A568">
        <v>61772697</v>
      </c>
      <c r="B568" t="s">
        <v>4206</v>
      </c>
      <c r="C568" s="14">
        <v>43932</v>
      </c>
      <c r="D568" t="s">
        <v>4207</v>
      </c>
      <c r="E568" t="s">
        <v>113</v>
      </c>
      <c r="F568">
        <v>847945</v>
      </c>
      <c r="G568" t="s">
        <v>1390</v>
      </c>
      <c r="I568" t="s">
        <v>4208</v>
      </c>
      <c r="J568" t="s">
        <v>4209</v>
      </c>
      <c r="K568" t="s">
        <v>62</v>
      </c>
      <c r="L568" t="s">
        <v>118</v>
      </c>
      <c r="M568" t="s">
        <v>4210</v>
      </c>
      <c r="N568" t="s">
        <v>4211</v>
      </c>
      <c r="Q568" t="s">
        <v>4212</v>
      </c>
      <c r="R568">
        <v>2</v>
      </c>
      <c r="S568">
        <v>0</v>
      </c>
      <c r="T568" t="b">
        <v>0</v>
      </c>
      <c r="V568" t="s">
        <v>4213</v>
      </c>
      <c r="W568" s="15">
        <v>-29.884501929999999</v>
      </c>
      <c r="X568" s="15">
        <v>30.923898390000002</v>
      </c>
      <c r="Y568">
        <v>15</v>
      </c>
      <c r="AC568">
        <v>15</v>
      </c>
      <c r="AF568" t="b">
        <v>0</v>
      </c>
      <c r="AI568" t="s">
        <v>71</v>
      </c>
      <c r="AJ568" t="s">
        <v>70</v>
      </c>
      <c r="AK568" t="s">
        <v>71</v>
      </c>
      <c r="AL568" t="s">
        <v>72</v>
      </c>
      <c r="AM568">
        <v>346053</v>
      </c>
      <c r="AO568" s="16" t="s">
        <v>73</v>
      </c>
      <c r="AP568" s="17" t="str">
        <f t="shared" si="38"/>
        <v>Off-nest female</v>
      </c>
      <c r="AX568" s="22" t="str">
        <f>IF(AND('[1]observations-276632'!W568&gt;'[1]Methods write-up'!$Q$16,'[1]observations-276632'!W568&lt;'[1]Methods write-up'!$R$16,'[1]observations-276632'!X568&gt;'[1]Methods write-up'!$S$16,'[1]observations-276632'!X568&lt;'[1]Methods write-up'!$T$16),"West and Central Africa","")</f>
        <v/>
      </c>
      <c r="AY568" s="22" t="str">
        <f>IF(AND('[1]observations-276632'!W568&gt;'[1]Methods write-up'!$Q$17,'[1]observations-276632'!W568&lt;'[1]Methods write-up'!$R$17,'[1]observations-276632'!X568&gt;'[1]Methods write-up'!$S$17,'[1]observations-276632'!X568&lt;'[1]Methods write-up'!$T$17),"Equatorial tropical forest","")</f>
        <v/>
      </c>
      <c r="AZ568" s="22" t="str">
        <f>IF(AND('[1]observations-276632'!W568&gt;'[1]Methods write-up'!$Q$18,'[1]observations-276632'!W568&lt;'[1]Methods write-up'!$R$18,'[1]observations-276632'!X568&gt;'[1]Methods write-up'!$S$18,'[1]observations-276632'!X568&lt;'[1]Methods write-up'!$T$18),"Somali peninsula","")</f>
        <v/>
      </c>
      <c r="BA568" s="22" t="str">
        <f>IF(AND('[1]observations-276632'!W568&gt;'[1]Methods write-up'!$Q$19,'[1]observations-276632'!W568&lt;'[1]Methods write-up'!$R$19,'[1]observations-276632'!X568&gt;'[1]Methods write-up'!$S$19,'[1]observations-276632'!X568&lt;'[1]Methods write-up'!$T$19),"East Africa","")</f>
        <v/>
      </c>
      <c r="BB568" s="22" t="str">
        <f>IF(AND('[1]observations-276632'!W568&gt;'[1]Methods write-up'!$Q$20,'[1]observations-276632'!W568&lt;'[1]Methods write-up'!$R$20,'[1]observations-276632'!X568&gt;'[1]Methods write-up'!$S$20,'[1]observations-276632'!X568&lt;'[1]Methods write-up'!$T$20),"Temperate seasonal","")</f>
        <v>Temperate seasonal</v>
      </c>
      <c r="BC568" s="22" t="str">
        <f>IF(AND('[1]observations-276632'!W568&gt;'[1]Methods write-up'!$Q$21,'[1]observations-276632'!W568&lt;'[1]Methods write-up'!$R$21,'[1]observations-276632'!X568&gt;'[1]Methods write-up'!$S$21,'[1]observations-276632'!X568&lt;'[1]Methods write-up'!$T$21),"Desert and high aridity","")</f>
        <v/>
      </c>
      <c r="BD568" s="23" t="str">
        <f t="shared" si="37"/>
        <v>Temperate seasonal</v>
      </c>
      <c r="BE568" s="24">
        <f t="shared" si="35"/>
        <v>11</v>
      </c>
      <c r="BF568" s="24">
        <f t="shared" si="36"/>
        <v>4</v>
      </c>
    </row>
    <row r="569" spans="1:58" ht="16.25" customHeight="1" x14ac:dyDescent="0.2">
      <c r="A569">
        <v>62850008</v>
      </c>
      <c r="B569" s="13">
        <v>42903</v>
      </c>
      <c r="C569" s="14">
        <v>42903</v>
      </c>
      <c r="E569" t="s">
        <v>4214</v>
      </c>
      <c r="F569">
        <v>3701375</v>
      </c>
      <c r="G569" t="s">
        <v>4215</v>
      </c>
      <c r="H569" t="s">
        <v>4216</v>
      </c>
      <c r="I569" t="s">
        <v>4217</v>
      </c>
      <c r="J569" t="s">
        <v>4218</v>
      </c>
      <c r="K569" t="s">
        <v>62</v>
      </c>
      <c r="L569" t="s">
        <v>63</v>
      </c>
      <c r="M569" t="s">
        <v>4219</v>
      </c>
      <c r="N569" t="s">
        <v>4220</v>
      </c>
      <c r="Q569" t="s">
        <v>4221</v>
      </c>
      <c r="R569">
        <v>0</v>
      </c>
      <c r="S569">
        <v>0</v>
      </c>
      <c r="T569" t="b">
        <v>0</v>
      </c>
      <c r="U569">
        <v>3</v>
      </c>
      <c r="V569" t="s">
        <v>4222</v>
      </c>
      <c r="W569" s="15">
        <v>-13.95246751</v>
      </c>
      <c r="X569" s="15">
        <v>33.802541320000003</v>
      </c>
      <c r="Y569">
        <v>109</v>
      </c>
      <c r="AC569">
        <v>109</v>
      </c>
      <c r="AF569" t="b">
        <v>0</v>
      </c>
      <c r="AI569" t="s">
        <v>102</v>
      </c>
      <c r="AJ569" t="s">
        <v>102</v>
      </c>
      <c r="AL569" t="s">
        <v>72</v>
      </c>
      <c r="AM569">
        <v>1070939</v>
      </c>
      <c r="AO569" s="16" t="s">
        <v>150</v>
      </c>
      <c r="AP569" s="17" t="str">
        <f t="shared" si="38"/>
        <v>Male (off nest)</v>
      </c>
      <c r="AX569" s="22" t="str">
        <f>IF(AND('[1]observations-276632'!W569&gt;'[1]Methods write-up'!$Q$16,'[1]observations-276632'!W569&lt;'[1]Methods write-up'!$R$16,'[1]observations-276632'!X569&gt;'[1]Methods write-up'!$S$16,'[1]observations-276632'!X569&lt;'[1]Methods write-up'!$T$16),"West and Central Africa","")</f>
        <v/>
      </c>
      <c r="AY569" s="22" t="str">
        <f>IF(AND('[1]observations-276632'!W569&gt;'[1]Methods write-up'!$Q$17,'[1]observations-276632'!W569&lt;'[1]Methods write-up'!$R$17,'[1]observations-276632'!X569&gt;'[1]Methods write-up'!$S$17,'[1]observations-276632'!X569&lt;'[1]Methods write-up'!$T$17),"Equatorial tropical forest","")</f>
        <v/>
      </c>
      <c r="AZ569" s="22" t="str">
        <f>IF(AND('[1]observations-276632'!W569&gt;'[1]Methods write-up'!$Q$18,'[1]observations-276632'!W569&lt;'[1]Methods write-up'!$R$18,'[1]observations-276632'!X569&gt;'[1]Methods write-up'!$S$18,'[1]observations-276632'!X569&lt;'[1]Methods write-up'!$T$18),"Somali peninsula","")</f>
        <v/>
      </c>
      <c r="BA569" s="22" t="str">
        <f>IF(AND('[1]observations-276632'!W569&gt;'[1]Methods write-up'!$Q$19,'[1]observations-276632'!W569&lt;'[1]Methods write-up'!$R$19,'[1]observations-276632'!X569&gt;'[1]Methods write-up'!$S$19,'[1]observations-276632'!X569&lt;'[1]Methods write-up'!$T$19),"East Africa","")</f>
        <v/>
      </c>
      <c r="BB569" s="22" t="str">
        <f>IF(AND('[1]observations-276632'!W569&gt;'[1]Methods write-up'!$Q$20,'[1]observations-276632'!W569&lt;'[1]Methods write-up'!$R$20,'[1]observations-276632'!X569&gt;'[1]Methods write-up'!$S$20,'[1]observations-276632'!X569&lt;'[1]Methods write-up'!$T$20),"Temperate seasonal","")</f>
        <v/>
      </c>
      <c r="BC569" s="22" t="str">
        <f>IF(AND('[1]observations-276632'!W569&gt;'[1]Methods write-up'!$Q$21,'[1]observations-276632'!W569&lt;'[1]Methods write-up'!$R$21,'[1]observations-276632'!X569&gt;'[1]Methods write-up'!$S$21,'[1]observations-276632'!X569&lt;'[1]Methods write-up'!$T$21),"Desert and high aridity","")</f>
        <v/>
      </c>
      <c r="BD569" s="23" t="str">
        <f t="shared" si="37"/>
        <v/>
      </c>
      <c r="BE569" s="24">
        <f t="shared" si="35"/>
        <v>17</v>
      </c>
      <c r="BF569" s="24">
        <f t="shared" si="36"/>
        <v>6</v>
      </c>
    </row>
    <row r="570" spans="1:58" ht="16.25" customHeight="1" x14ac:dyDescent="0.2">
      <c r="A570">
        <v>63141189</v>
      </c>
      <c r="B570" t="s">
        <v>4223</v>
      </c>
      <c r="C570" s="14">
        <v>40493</v>
      </c>
      <c r="D570" t="s">
        <v>4224</v>
      </c>
      <c r="E570" t="s">
        <v>1408</v>
      </c>
      <c r="F570">
        <v>1847411</v>
      </c>
      <c r="G570" t="s">
        <v>4225</v>
      </c>
      <c r="I570" t="s">
        <v>4226</v>
      </c>
      <c r="J570" t="s">
        <v>4227</v>
      </c>
      <c r="K570" t="s">
        <v>62</v>
      </c>
      <c r="M570" t="s">
        <v>4228</v>
      </c>
      <c r="N570" t="s">
        <v>4229</v>
      </c>
      <c r="R570">
        <v>2</v>
      </c>
      <c r="S570">
        <v>0</v>
      </c>
      <c r="T570" t="b">
        <v>0</v>
      </c>
      <c r="V570" t="s">
        <v>4230</v>
      </c>
      <c r="W570" s="15">
        <v>-24.802965</v>
      </c>
      <c r="X570" s="15">
        <v>47.163631000000002</v>
      </c>
      <c r="Y570">
        <v>3906</v>
      </c>
      <c r="AC570">
        <v>3906</v>
      </c>
      <c r="AF570" t="b">
        <v>0</v>
      </c>
      <c r="AI570" t="s">
        <v>71</v>
      </c>
      <c r="AJ570" t="s">
        <v>70</v>
      </c>
      <c r="AK570" t="s">
        <v>71</v>
      </c>
      <c r="AL570" t="s">
        <v>72</v>
      </c>
      <c r="AM570">
        <v>346053</v>
      </c>
      <c r="AO570" s="16" t="s">
        <v>140</v>
      </c>
      <c r="AP570" s="17" t="str">
        <f t="shared" si="38"/>
        <v>Post-emergence nest</v>
      </c>
      <c r="AQ570" s="18">
        <v>1</v>
      </c>
      <c r="AT570" s="19" t="s">
        <v>141</v>
      </c>
      <c r="AU570" s="20" t="s">
        <v>104</v>
      </c>
      <c r="AX570" s="22" t="str">
        <f>IF(AND('[1]observations-276632'!W570&gt;'[1]Methods write-up'!$Q$16,'[1]observations-276632'!W570&lt;'[1]Methods write-up'!$R$16,'[1]observations-276632'!X570&gt;'[1]Methods write-up'!$S$16,'[1]observations-276632'!X570&lt;'[1]Methods write-up'!$T$16),"West and Central Africa","")</f>
        <v/>
      </c>
      <c r="AY570" s="22" t="str">
        <f>IF(AND('[1]observations-276632'!W570&gt;'[1]Methods write-up'!$Q$17,'[1]observations-276632'!W570&lt;'[1]Methods write-up'!$R$17,'[1]observations-276632'!X570&gt;'[1]Methods write-up'!$S$17,'[1]observations-276632'!X570&lt;'[1]Methods write-up'!$T$17),"Equatorial tropical forest","")</f>
        <v/>
      </c>
      <c r="AZ570" s="22" t="str">
        <f>IF(AND('[1]observations-276632'!W570&gt;'[1]Methods write-up'!$Q$18,'[1]observations-276632'!W570&lt;'[1]Methods write-up'!$R$18,'[1]observations-276632'!X570&gt;'[1]Methods write-up'!$S$18,'[1]observations-276632'!X570&lt;'[1]Methods write-up'!$T$18),"Somali peninsula","")</f>
        <v/>
      </c>
      <c r="BA570" s="22" t="str">
        <f>IF(AND('[1]observations-276632'!W570&gt;'[1]Methods write-up'!$Q$19,'[1]observations-276632'!W570&lt;'[1]Methods write-up'!$R$19,'[1]observations-276632'!X570&gt;'[1]Methods write-up'!$S$19,'[1]observations-276632'!X570&lt;'[1]Methods write-up'!$T$19),"East Africa","")</f>
        <v/>
      </c>
      <c r="BB570" s="22" t="str">
        <f>IF(AND('[1]observations-276632'!W570&gt;'[1]Methods write-up'!$Q$20,'[1]observations-276632'!W570&lt;'[1]Methods write-up'!$R$20,'[1]observations-276632'!X570&gt;'[1]Methods write-up'!$S$20,'[1]observations-276632'!X570&lt;'[1]Methods write-up'!$T$20),"Temperate seasonal","")</f>
        <v/>
      </c>
      <c r="BC570" s="22" t="str">
        <f>IF(AND('[1]observations-276632'!W570&gt;'[1]Methods write-up'!$Q$21,'[1]observations-276632'!W570&lt;'[1]Methods write-up'!$R$21,'[1]observations-276632'!X570&gt;'[1]Methods write-up'!$S$21,'[1]observations-276632'!X570&lt;'[1]Methods write-up'!$T$21),"Desert and high aridity","")</f>
        <v/>
      </c>
      <c r="BD570" s="23" t="str">
        <f t="shared" si="37"/>
        <v/>
      </c>
      <c r="BE570" s="24">
        <f t="shared" si="35"/>
        <v>11</v>
      </c>
      <c r="BF570" s="24">
        <f t="shared" si="36"/>
        <v>11</v>
      </c>
    </row>
    <row r="571" spans="1:58" ht="16.25" customHeight="1" x14ac:dyDescent="0.2">
      <c r="A571">
        <v>63186824</v>
      </c>
      <c r="B571" s="13">
        <v>41594</v>
      </c>
      <c r="C571" s="14">
        <v>41594</v>
      </c>
      <c r="E571" t="s">
        <v>3544</v>
      </c>
      <c r="F571">
        <v>15745</v>
      </c>
      <c r="G571" t="s">
        <v>4231</v>
      </c>
      <c r="H571" t="s">
        <v>4232</v>
      </c>
      <c r="I571" t="s">
        <v>4233</v>
      </c>
      <c r="J571" t="s">
        <v>4234</v>
      </c>
      <c r="K571" t="s">
        <v>62</v>
      </c>
      <c r="L571" t="s">
        <v>63</v>
      </c>
      <c r="M571" t="s">
        <v>4235</v>
      </c>
      <c r="N571" t="s">
        <v>4236</v>
      </c>
      <c r="R571">
        <v>1</v>
      </c>
      <c r="S571">
        <v>0</v>
      </c>
      <c r="T571" t="b">
        <v>0</v>
      </c>
      <c r="V571" t="s">
        <v>4237</v>
      </c>
      <c r="W571" s="15">
        <v>-22.880178000000001</v>
      </c>
      <c r="X571" s="15">
        <v>44.689604000000003</v>
      </c>
      <c r="Y571">
        <v>500</v>
      </c>
      <c r="AC571">
        <v>500</v>
      </c>
      <c r="AF571" t="b">
        <v>0</v>
      </c>
      <c r="AI571" t="s">
        <v>71</v>
      </c>
      <c r="AJ571" t="s">
        <v>70</v>
      </c>
      <c r="AK571" t="s">
        <v>71</v>
      </c>
      <c r="AL571" t="s">
        <v>72</v>
      </c>
      <c r="AM571">
        <v>346053</v>
      </c>
      <c r="AO571" s="16" t="s">
        <v>110</v>
      </c>
      <c r="AP571" s="17" t="str">
        <f t="shared" si="38"/>
        <v>Nest (foundress)</v>
      </c>
      <c r="AQ571" s="18">
        <v>1</v>
      </c>
      <c r="AT571" s="19" t="s">
        <v>104</v>
      </c>
      <c r="AX571" s="22" t="str">
        <f>IF(AND('[1]observations-276632'!W571&gt;'[1]Methods write-up'!$Q$16,'[1]observations-276632'!W571&lt;'[1]Methods write-up'!$R$16,'[1]observations-276632'!X571&gt;'[1]Methods write-up'!$S$16,'[1]observations-276632'!X571&lt;'[1]Methods write-up'!$T$16),"West and Central Africa","")</f>
        <v/>
      </c>
      <c r="AY571" s="22" t="str">
        <f>IF(AND('[1]observations-276632'!W571&gt;'[1]Methods write-up'!$Q$17,'[1]observations-276632'!W571&lt;'[1]Methods write-up'!$R$17,'[1]observations-276632'!X571&gt;'[1]Methods write-up'!$S$17,'[1]observations-276632'!X571&lt;'[1]Methods write-up'!$T$17),"Equatorial tropical forest","")</f>
        <v/>
      </c>
      <c r="AZ571" s="22" t="str">
        <f>IF(AND('[1]observations-276632'!W571&gt;'[1]Methods write-up'!$Q$18,'[1]observations-276632'!W571&lt;'[1]Methods write-up'!$R$18,'[1]observations-276632'!X571&gt;'[1]Methods write-up'!$S$18,'[1]observations-276632'!X571&lt;'[1]Methods write-up'!$T$18),"Somali peninsula","")</f>
        <v/>
      </c>
      <c r="BA571" s="22" t="str">
        <f>IF(AND('[1]observations-276632'!W571&gt;'[1]Methods write-up'!$Q$19,'[1]observations-276632'!W571&lt;'[1]Methods write-up'!$R$19,'[1]observations-276632'!X571&gt;'[1]Methods write-up'!$S$19,'[1]observations-276632'!X571&lt;'[1]Methods write-up'!$T$19),"East Africa","")</f>
        <v/>
      </c>
      <c r="BB571" s="22" t="str">
        <f>IF(AND('[1]observations-276632'!W571&gt;'[1]Methods write-up'!$Q$20,'[1]observations-276632'!W571&lt;'[1]Methods write-up'!$R$20,'[1]observations-276632'!X571&gt;'[1]Methods write-up'!$S$20,'[1]observations-276632'!X571&lt;'[1]Methods write-up'!$T$20),"Temperate seasonal","")</f>
        <v/>
      </c>
      <c r="BC571" s="22" t="str">
        <f>IF(AND('[1]observations-276632'!W571&gt;'[1]Methods write-up'!$Q$21,'[1]observations-276632'!W571&lt;'[1]Methods write-up'!$R$21,'[1]observations-276632'!X571&gt;'[1]Methods write-up'!$S$21,'[1]observations-276632'!X571&lt;'[1]Methods write-up'!$T$21),"Desert and high aridity","")</f>
        <v/>
      </c>
      <c r="BD571" s="23" t="str">
        <f t="shared" si="37"/>
        <v/>
      </c>
      <c r="BE571" s="24">
        <f t="shared" si="35"/>
        <v>16</v>
      </c>
      <c r="BF571" s="24">
        <f t="shared" si="36"/>
        <v>11</v>
      </c>
    </row>
    <row r="572" spans="1:58" ht="16.25" customHeight="1" x14ac:dyDescent="0.2">
      <c r="A572">
        <v>63188448</v>
      </c>
      <c r="B572" s="13">
        <v>41623</v>
      </c>
      <c r="C572" s="14">
        <v>41623</v>
      </c>
      <c r="E572" t="s">
        <v>3544</v>
      </c>
      <c r="F572">
        <v>15745</v>
      </c>
      <c r="G572" t="s">
        <v>4231</v>
      </c>
      <c r="H572" t="s">
        <v>4232</v>
      </c>
      <c r="I572" t="s">
        <v>4238</v>
      </c>
      <c r="J572" t="s">
        <v>4239</v>
      </c>
      <c r="K572" t="s">
        <v>62</v>
      </c>
      <c r="L572" t="s">
        <v>63</v>
      </c>
      <c r="M572" t="s">
        <v>4240</v>
      </c>
      <c r="N572" t="s">
        <v>4241</v>
      </c>
      <c r="R572">
        <v>1</v>
      </c>
      <c r="S572">
        <v>0</v>
      </c>
      <c r="T572" t="b">
        <v>0</v>
      </c>
      <c r="V572" t="s">
        <v>4242</v>
      </c>
      <c r="W572" s="15">
        <v>-18.170808000000001</v>
      </c>
      <c r="X572" s="15">
        <v>47.280307000000001</v>
      </c>
      <c r="Y572">
        <v>150</v>
      </c>
      <c r="AC572">
        <v>150</v>
      </c>
      <c r="AF572" t="b">
        <v>0</v>
      </c>
      <c r="AI572" t="s">
        <v>71</v>
      </c>
      <c r="AJ572" t="s">
        <v>70</v>
      </c>
      <c r="AK572" t="s">
        <v>71</v>
      </c>
      <c r="AL572" t="s">
        <v>72</v>
      </c>
      <c r="AM572">
        <v>346053</v>
      </c>
      <c r="AO572" s="16" t="s">
        <v>140</v>
      </c>
      <c r="AP572" s="17" t="str">
        <f t="shared" si="38"/>
        <v>Post-emergence nest</v>
      </c>
      <c r="AQ572" s="18">
        <v>9</v>
      </c>
      <c r="AT572" s="19" t="s">
        <v>141</v>
      </c>
      <c r="AU572" s="20" t="s">
        <v>104</v>
      </c>
      <c r="AX572" s="22" t="str">
        <f>IF(AND('[1]observations-276632'!W572&gt;'[1]Methods write-up'!$Q$16,'[1]observations-276632'!W572&lt;'[1]Methods write-up'!$R$16,'[1]observations-276632'!X572&gt;'[1]Methods write-up'!$S$16,'[1]observations-276632'!X572&lt;'[1]Methods write-up'!$T$16),"West and Central Africa","")</f>
        <v/>
      </c>
      <c r="AY572" s="22" t="str">
        <f>IF(AND('[1]observations-276632'!W572&gt;'[1]Methods write-up'!$Q$17,'[1]observations-276632'!W572&lt;'[1]Methods write-up'!$R$17,'[1]observations-276632'!X572&gt;'[1]Methods write-up'!$S$17,'[1]observations-276632'!X572&lt;'[1]Methods write-up'!$T$17),"Equatorial tropical forest","")</f>
        <v/>
      </c>
      <c r="AZ572" s="22" t="str">
        <f>IF(AND('[1]observations-276632'!W572&gt;'[1]Methods write-up'!$Q$18,'[1]observations-276632'!W572&lt;'[1]Methods write-up'!$R$18,'[1]observations-276632'!X572&gt;'[1]Methods write-up'!$S$18,'[1]observations-276632'!X572&lt;'[1]Methods write-up'!$T$18),"Somali peninsula","")</f>
        <v/>
      </c>
      <c r="BA572" s="22" t="str">
        <f>IF(AND('[1]observations-276632'!W572&gt;'[1]Methods write-up'!$Q$19,'[1]observations-276632'!W572&lt;'[1]Methods write-up'!$R$19,'[1]observations-276632'!X572&gt;'[1]Methods write-up'!$S$19,'[1]observations-276632'!X572&lt;'[1]Methods write-up'!$T$19),"East Africa","")</f>
        <v/>
      </c>
      <c r="BB572" s="22" t="str">
        <f>IF(AND('[1]observations-276632'!W572&gt;'[1]Methods write-up'!$Q$20,'[1]observations-276632'!W572&lt;'[1]Methods write-up'!$R$20,'[1]observations-276632'!X572&gt;'[1]Methods write-up'!$S$20,'[1]observations-276632'!X572&lt;'[1]Methods write-up'!$T$20),"Temperate seasonal","")</f>
        <v/>
      </c>
      <c r="BC572" s="22" t="str">
        <f>IF(AND('[1]observations-276632'!W572&gt;'[1]Methods write-up'!$Q$21,'[1]observations-276632'!W572&lt;'[1]Methods write-up'!$R$21,'[1]observations-276632'!X572&gt;'[1]Methods write-up'!$S$21,'[1]observations-276632'!X572&lt;'[1]Methods write-up'!$T$21),"Desert and high aridity","")</f>
        <v/>
      </c>
      <c r="BD572" s="23" t="str">
        <f t="shared" si="37"/>
        <v/>
      </c>
      <c r="BE572" s="24">
        <f t="shared" si="35"/>
        <v>15</v>
      </c>
      <c r="BF572" s="24">
        <f t="shared" si="36"/>
        <v>12</v>
      </c>
    </row>
    <row r="573" spans="1:58" ht="16.25" customHeight="1" x14ac:dyDescent="0.2">
      <c r="A573">
        <v>63190368</v>
      </c>
      <c r="B573" s="13">
        <v>41992</v>
      </c>
      <c r="C573" s="14">
        <v>41992</v>
      </c>
      <c r="E573" t="s">
        <v>3544</v>
      </c>
      <c r="F573">
        <v>15745</v>
      </c>
      <c r="G573" t="s">
        <v>4231</v>
      </c>
      <c r="H573" t="s">
        <v>4232</v>
      </c>
      <c r="I573" t="s">
        <v>4243</v>
      </c>
      <c r="J573" t="s">
        <v>4244</v>
      </c>
      <c r="K573" t="s">
        <v>62</v>
      </c>
      <c r="L573" t="s">
        <v>63</v>
      </c>
      <c r="M573" t="s">
        <v>4245</v>
      </c>
      <c r="N573" t="s">
        <v>4246</v>
      </c>
      <c r="R573">
        <v>1</v>
      </c>
      <c r="S573">
        <v>0</v>
      </c>
      <c r="T573" t="b">
        <v>0</v>
      </c>
      <c r="V573" t="s">
        <v>4242</v>
      </c>
      <c r="W573" s="15">
        <v>-18.196719000000002</v>
      </c>
      <c r="X573" s="15">
        <v>47.287066000000003</v>
      </c>
      <c r="Y573">
        <v>275</v>
      </c>
      <c r="AC573">
        <v>275</v>
      </c>
      <c r="AF573" t="b">
        <v>0</v>
      </c>
      <c r="AI573" t="s">
        <v>71</v>
      </c>
      <c r="AJ573" t="s">
        <v>70</v>
      </c>
      <c r="AK573" t="s">
        <v>71</v>
      </c>
      <c r="AL573" t="s">
        <v>72</v>
      </c>
      <c r="AM573">
        <v>346053</v>
      </c>
      <c r="AO573" s="16" t="s">
        <v>140</v>
      </c>
      <c r="AP573" s="17" t="str">
        <f t="shared" si="38"/>
        <v>Post-emergence nest</v>
      </c>
      <c r="AQ573" s="18">
        <v>12</v>
      </c>
      <c r="AT573" s="19" t="s">
        <v>141</v>
      </c>
      <c r="AU573" s="20" t="s">
        <v>104</v>
      </c>
      <c r="AX573" s="22" t="str">
        <f>IF(AND('[1]observations-276632'!W573&gt;'[1]Methods write-up'!$Q$16,'[1]observations-276632'!W573&lt;'[1]Methods write-up'!$R$16,'[1]observations-276632'!X573&gt;'[1]Methods write-up'!$S$16,'[1]observations-276632'!X573&lt;'[1]Methods write-up'!$T$16),"West and Central Africa","")</f>
        <v/>
      </c>
      <c r="AY573" s="22" t="str">
        <f>IF(AND('[1]observations-276632'!W573&gt;'[1]Methods write-up'!$Q$17,'[1]observations-276632'!W573&lt;'[1]Methods write-up'!$R$17,'[1]observations-276632'!X573&gt;'[1]Methods write-up'!$S$17,'[1]observations-276632'!X573&lt;'[1]Methods write-up'!$T$17),"Equatorial tropical forest","")</f>
        <v/>
      </c>
      <c r="AZ573" s="22" t="str">
        <f>IF(AND('[1]observations-276632'!W573&gt;'[1]Methods write-up'!$Q$18,'[1]observations-276632'!W573&lt;'[1]Methods write-up'!$R$18,'[1]observations-276632'!X573&gt;'[1]Methods write-up'!$S$18,'[1]observations-276632'!X573&lt;'[1]Methods write-up'!$T$18),"Somali peninsula","")</f>
        <v/>
      </c>
      <c r="BA573" s="22" t="str">
        <f>IF(AND('[1]observations-276632'!W573&gt;'[1]Methods write-up'!$Q$19,'[1]observations-276632'!W573&lt;'[1]Methods write-up'!$R$19,'[1]observations-276632'!X573&gt;'[1]Methods write-up'!$S$19,'[1]observations-276632'!X573&lt;'[1]Methods write-up'!$T$19),"East Africa","")</f>
        <v/>
      </c>
      <c r="BB573" s="22" t="str">
        <f>IF(AND('[1]observations-276632'!W573&gt;'[1]Methods write-up'!$Q$20,'[1]observations-276632'!W573&lt;'[1]Methods write-up'!$R$20,'[1]observations-276632'!X573&gt;'[1]Methods write-up'!$S$20,'[1]observations-276632'!X573&lt;'[1]Methods write-up'!$T$20),"Temperate seasonal","")</f>
        <v/>
      </c>
      <c r="BC573" s="22" t="str">
        <f>IF(AND('[1]observations-276632'!W573&gt;'[1]Methods write-up'!$Q$21,'[1]observations-276632'!W573&lt;'[1]Methods write-up'!$R$21,'[1]observations-276632'!X573&gt;'[1]Methods write-up'!$S$21,'[1]observations-276632'!X573&lt;'[1]Methods write-up'!$T$21),"Desert and high aridity","")</f>
        <v/>
      </c>
      <c r="BD573" s="23" t="str">
        <f t="shared" si="37"/>
        <v/>
      </c>
      <c r="BE573" s="24">
        <f t="shared" si="35"/>
        <v>19</v>
      </c>
      <c r="BF573" s="24">
        <f t="shared" si="36"/>
        <v>12</v>
      </c>
    </row>
    <row r="574" spans="1:58" ht="16.25" customHeight="1" x14ac:dyDescent="0.2">
      <c r="A574">
        <v>63190825</v>
      </c>
      <c r="B574" s="13">
        <v>42342</v>
      </c>
      <c r="C574" s="14">
        <v>42342</v>
      </c>
      <c r="E574" t="s">
        <v>3544</v>
      </c>
      <c r="F574">
        <v>15745</v>
      </c>
      <c r="G574" t="s">
        <v>4231</v>
      </c>
      <c r="H574" t="s">
        <v>4232</v>
      </c>
      <c r="I574" t="s">
        <v>4247</v>
      </c>
      <c r="J574" t="s">
        <v>4248</v>
      </c>
      <c r="K574" t="s">
        <v>62</v>
      </c>
      <c r="L574" t="s">
        <v>63</v>
      </c>
      <c r="M574" t="s">
        <v>4249</v>
      </c>
      <c r="N574" t="s">
        <v>4250</v>
      </c>
      <c r="R574">
        <v>2</v>
      </c>
      <c r="S574">
        <v>0</v>
      </c>
      <c r="T574" t="b">
        <v>0</v>
      </c>
      <c r="V574" t="s">
        <v>4251</v>
      </c>
      <c r="W574" s="15">
        <v>-18.031016000000001</v>
      </c>
      <c r="X574" s="15">
        <v>44.495069000000001</v>
      </c>
      <c r="Y574">
        <v>350</v>
      </c>
      <c r="AC574">
        <v>350</v>
      </c>
      <c r="AF574" t="b">
        <v>0</v>
      </c>
      <c r="AI574" t="s">
        <v>71</v>
      </c>
      <c r="AJ574" t="s">
        <v>70</v>
      </c>
      <c r="AK574" t="s">
        <v>71</v>
      </c>
      <c r="AL574" t="s">
        <v>72</v>
      </c>
      <c r="AM574">
        <v>346053</v>
      </c>
      <c r="AO574" s="16" t="s">
        <v>140</v>
      </c>
      <c r="AP574" s="17" t="str">
        <f t="shared" si="38"/>
        <v>Post-emergence nest</v>
      </c>
      <c r="AQ574" s="18">
        <v>8</v>
      </c>
      <c r="AT574" s="19" t="s">
        <v>141</v>
      </c>
      <c r="AU574" s="20" t="s">
        <v>141</v>
      </c>
      <c r="AX574" s="22" t="str">
        <f>IF(AND('[1]observations-276632'!W574&gt;'[1]Methods write-up'!$Q$16,'[1]observations-276632'!W574&lt;'[1]Methods write-up'!$R$16,'[1]observations-276632'!X574&gt;'[1]Methods write-up'!$S$16,'[1]observations-276632'!X574&lt;'[1]Methods write-up'!$T$16),"West and Central Africa","")</f>
        <v/>
      </c>
      <c r="AY574" s="22" t="str">
        <f>IF(AND('[1]observations-276632'!W574&gt;'[1]Methods write-up'!$Q$17,'[1]observations-276632'!W574&lt;'[1]Methods write-up'!$R$17,'[1]observations-276632'!X574&gt;'[1]Methods write-up'!$S$17,'[1]observations-276632'!X574&lt;'[1]Methods write-up'!$T$17),"Equatorial tropical forest","")</f>
        <v/>
      </c>
      <c r="AZ574" s="22" t="str">
        <f>IF(AND('[1]observations-276632'!W574&gt;'[1]Methods write-up'!$Q$18,'[1]observations-276632'!W574&lt;'[1]Methods write-up'!$R$18,'[1]observations-276632'!X574&gt;'[1]Methods write-up'!$S$18,'[1]observations-276632'!X574&lt;'[1]Methods write-up'!$T$18),"Somali peninsula","")</f>
        <v/>
      </c>
      <c r="BA574" s="22" t="str">
        <f>IF(AND('[1]observations-276632'!W574&gt;'[1]Methods write-up'!$Q$19,'[1]observations-276632'!W574&lt;'[1]Methods write-up'!$R$19,'[1]observations-276632'!X574&gt;'[1]Methods write-up'!$S$19,'[1]observations-276632'!X574&lt;'[1]Methods write-up'!$T$19),"East Africa","")</f>
        <v/>
      </c>
      <c r="BB574" s="22" t="str">
        <f>IF(AND('[1]observations-276632'!W574&gt;'[1]Methods write-up'!$Q$20,'[1]observations-276632'!W574&lt;'[1]Methods write-up'!$R$20,'[1]observations-276632'!X574&gt;'[1]Methods write-up'!$S$20,'[1]observations-276632'!X574&lt;'[1]Methods write-up'!$T$20),"Temperate seasonal","")</f>
        <v/>
      </c>
      <c r="BC574" s="22" t="str">
        <f>IF(AND('[1]observations-276632'!W574&gt;'[1]Methods write-up'!$Q$21,'[1]observations-276632'!W574&lt;'[1]Methods write-up'!$R$21,'[1]observations-276632'!X574&gt;'[1]Methods write-up'!$S$21,'[1]observations-276632'!X574&lt;'[1]Methods write-up'!$T$21),"Desert and high aridity","")</f>
        <v/>
      </c>
      <c r="BD574" s="23" t="str">
        <f t="shared" si="37"/>
        <v/>
      </c>
      <c r="BE574" s="24">
        <f t="shared" si="35"/>
        <v>4</v>
      </c>
      <c r="BF574" s="24">
        <f t="shared" si="36"/>
        <v>12</v>
      </c>
    </row>
    <row r="575" spans="1:58" ht="16.25" customHeight="1" x14ac:dyDescent="0.2">
      <c r="A575">
        <v>63227344</v>
      </c>
      <c r="B575" t="s">
        <v>4252</v>
      </c>
      <c r="C575" s="14">
        <v>44126</v>
      </c>
      <c r="D575" t="s">
        <v>4253</v>
      </c>
      <c r="E575" t="s">
        <v>403</v>
      </c>
      <c r="F575">
        <v>3289634</v>
      </c>
      <c r="G575" t="s">
        <v>4254</v>
      </c>
      <c r="I575" t="s">
        <v>4255</v>
      </c>
      <c r="J575" t="s">
        <v>4256</v>
      </c>
      <c r="K575" t="s">
        <v>62</v>
      </c>
      <c r="L575" t="s">
        <v>63</v>
      </c>
      <c r="M575" t="s">
        <v>4257</v>
      </c>
      <c r="N575" t="s">
        <v>4258</v>
      </c>
      <c r="R575">
        <v>2</v>
      </c>
      <c r="S575">
        <v>0</v>
      </c>
      <c r="T575" t="b">
        <v>0</v>
      </c>
      <c r="U575">
        <v>3</v>
      </c>
      <c r="V575" t="s">
        <v>4259</v>
      </c>
      <c r="W575" s="15">
        <v>-0.48964143399999999</v>
      </c>
      <c r="X575" s="15">
        <v>34.03401272</v>
      </c>
      <c r="Y575">
        <v>5123</v>
      </c>
      <c r="AC575">
        <v>5123</v>
      </c>
      <c r="AF575" t="b">
        <v>0</v>
      </c>
      <c r="AI575" t="s">
        <v>71</v>
      </c>
      <c r="AJ575" t="s">
        <v>70</v>
      </c>
      <c r="AK575" t="s">
        <v>71</v>
      </c>
      <c r="AL575" t="s">
        <v>72</v>
      </c>
      <c r="AM575">
        <v>346053</v>
      </c>
      <c r="AO575" s="16" t="s">
        <v>110</v>
      </c>
      <c r="AP575" s="17" t="str">
        <f t="shared" si="38"/>
        <v>Nest (foundress)</v>
      </c>
      <c r="AQ575" s="18">
        <v>1</v>
      </c>
      <c r="AT575" s="19" t="s">
        <v>104</v>
      </c>
      <c r="AX575" s="22" t="str">
        <f>IF(AND('[1]observations-276632'!W575&gt;'[1]Methods write-up'!$Q$16,'[1]observations-276632'!W575&lt;'[1]Methods write-up'!$R$16,'[1]observations-276632'!X575&gt;'[1]Methods write-up'!$S$16,'[1]observations-276632'!X575&lt;'[1]Methods write-up'!$T$16),"West and Central Africa","")</f>
        <v/>
      </c>
      <c r="AY575" s="22" t="str">
        <f>IF(AND('[1]observations-276632'!W575&gt;'[1]Methods write-up'!$Q$17,'[1]observations-276632'!W575&lt;'[1]Methods write-up'!$R$17,'[1]observations-276632'!X575&gt;'[1]Methods write-up'!$S$17,'[1]observations-276632'!X575&lt;'[1]Methods write-up'!$T$17),"Equatorial tropical forest","")</f>
        <v/>
      </c>
      <c r="AZ575" s="22" t="str">
        <f>IF(AND('[1]observations-276632'!W575&gt;'[1]Methods write-up'!$Q$18,'[1]observations-276632'!W575&lt;'[1]Methods write-up'!$R$18,'[1]observations-276632'!X575&gt;'[1]Methods write-up'!$S$18,'[1]observations-276632'!X575&lt;'[1]Methods write-up'!$T$18),"Somali peninsula","")</f>
        <v/>
      </c>
      <c r="BA575" s="22" t="str">
        <f>IF(AND('[1]observations-276632'!W575&gt;'[1]Methods write-up'!$Q$19,'[1]observations-276632'!W575&lt;'[1]Methods write-up'!$R$19,'[1]observations-276632'!X575&gt;'[1]Methods write-up'!$S$19,'[1]observations-276632'!X575&lt;'[1]Methods write-up'!$T$19),"East Africa","")</f>
        <v>East Africa</v>
      </c>
      <c r="BB575" s="22" t="str">
        <f>IF(AND('[1]observations-276632'!W575&gt;'[1]Methods write-up'!$Q$20,'[1]observations-276632'!W575&lt;'[1]Methods write-up'!$R$20,'[1]observations-276632'!X575&gt;'[1]Methods write-up'!$S$20,'[1]observations-276632'!X575&lt;'[1]Methods write-up'!$T$20),"Temperate seasonal","")</f>
        <v/>
      </c>
      <c r="BC575" s="22" t="str">
        <f>IF(AND('[1]observations-276632'!W575&gt;'[1]Methods write-up'!$Q$21,'[1]observations-276632'!W575&lt;'[1]Methods write-up'!$R$21,'[1]observations-276632'!X575&gt;'[1]Methods write-up'!$S$21,'[1]observations-276632'!X575&lt;'[1]Methods write-up'!$T$21),"Desert and high aridity","")</f>
        <v/>
      </c>
      <c r="BD575" s="23" t="str">
        <f t="shared" si="37"/>
        <v>East Africa</v>
      </c>
      <c r="BE575" s="24">
        <f t="shared" si="35"/>
        <v>22</v>
      </c>
      <c r="BF575" s="24">
        <f t="shared" si="36"/>
        <v>10</v>
      </c>
    </row>
    <row r="576" spans="1:58" ht="16.25" customHeight="1" x14ac:dyDescent="0.2">
      <c r="A576">
        <v>63244769</v>
      </c>
      <c r="B576" t="s">
        <v>4260</v>
      </c>
      <c r="C576" s="14">
        <v>44126</v>
      </c>
      <c r="D576" t="s">
        <v>4261</v>
      </c>
      <c r="E576" t="s">
        <v>3040</v>
      </c>
      <c r="F576">
        <v>2600246</v>
      </c>
      <c r="G576" t="s">
        <v>4262</v>
      </c>
      <c r="H576" t="s">
        <v>4263</v>
      </c>
      <c r="I576" t="s">
        <v>4264</v>
      </c>
      <c r="J576" t="s">
        <v>4265</v>
      </c>
      <c r="K576" t="s">
        <v>62</v>
      </c>
      <c r="L576" t="s">
        <v>63</v>
      </c>
      <c r="M576" t="s">
        <v>4266</v>
      </c>
      <c r="N576" t="s">
        <v>4267</v>
      </c>
      <c r="R576">
        <v>2</v>
      </c>
      <c r="S576">
        <v>0</v>
      </c>
      <c r="T576" t="b">
        <v>0</v>
      </c>
      <c r="U576">
        <v>2</v>
      </c>
      <c r="V576" t="s">
        <v>4268</v>
      </c>
      <c r="W576" s="15">
        <v>-25.818333330000002</v>
      </c>
      <c r="X576" s="15">
        <v>28.277222219999999</v>
      </c>
      <c r="AF576" t="b">
        <v>0</v>
      </c>
      <c r="AG576" t="s">
        <v>350</v>
      </c>
      <c r="AH576" t="s">
        <v>350</v>
      </c>
      <c r="AI576" t="s">
        <v>71</v>
      </c>
      <c r="AJ576" t="s">
        <v>70</v>
      </c>
      <c r="AK576" t="s">
        <v>71</v>
      </c>
      <c r="AL576" t="s">
        <v>72</v>
      </c>
      <c r="AM576">
        <v>346053</v>
      </c>
      <c r="AO576" s="16" t="s">
        <v>1574</v>
      </c>
      <c r="AP576" s="17" t="str">
        <f t="shared" si="38"/>
        <v>Nest (foundress)</v>
      </c>
      <c r="AQ576" s="18">
        <v>1</v>
      </c>
      <c r="AT576" s="19" t="s">
        <v>104</v>
      </c>
      <c r="AU576" s="20" t="s">
        <v>104</v>
      </c>
      <c r="AX576" s="22" t="str">
        <f>IF(AND('[1]observations-276632'!W576&gt;'[1]Methods write-up'!$Q$16,'[1]observations-276632'!W576&lt;'[1]Methods write-up'!$R$16,'[1]observations-276632'!X576&gt;'[1]Methods write-up'!$S$16,'[1]observations-276632'!X576&lt;'[1]Methods write-up'!$T$16),"West and Central Africa","")</f>
        <v/>
      </c>
      <c r="AY576" s="22" t="str">
        <f>IF(AND('[1]observations-276632'!W576&gt;'[1]Methods write-up'!$Q$17,'[1]observations-276632'!W576&lt;'[1]Methods write-up'!$R$17,'[1]observations-276632'!X576&gt;'[1]Methods write-up'!$S$17,'[1]observations-276632'!X576&lt;'[1]Methods write-up'!$T$17),"Equatorial tropical forest","")</f>
        <v/>
      </c>
      <c r="AZ576" s="22" t="str">
        <f>IF(AND('[1]observations-276632'!W576&gt;'[1]Methods write-up'!$Q$18,'[1]observations-276632'!W576&lt;'[1]Methods write-up'!$R$18,'[1]observations-276632'!X576&gt;'[1]Methods write-up'!$S$18,'[1]observations-276632'!X576&lt;'[1]Methods write-up'!$T$18),"Somali peninsula","")</f>
        <v/>
      </c>
      <c r="BA576" s="22" t="str">
        <f>IF(AND('[1]observations-276632'!W576&gt;'[1]Methods write-up'!$Q$19,'[1]observations-276632'!W576&lt;'[1]Methods write-up'!$R$19,'[1]observations-276632'!X576&gt;'[1]Methods write-up'!$S$19,'[1]observations-276632'!X576&lt;'[1]Methods write-up'!$T$19),"East Africa","")</f>
        <v/>
      </c>
      <c r="BB576" s="22" t="str">
        <f>IF(AND('[1]observations-276632'!W576&gt;'[1]Methods write-up'!$Q$20,'[1]observations-276632'!W576&lt;'[1]Methods write-up'!$R$20,'[1]observations-276632'!X576&gt;'[1]Methods write-up'!$S$20,'[1]observations-276632'!X576&lt;'[1]Methods write-up'!$T$20),"Temperate seasonal","")</f>
        <v>Temperate seasonal</v>
      </c>
      <c r="BC576" s="22" t="str">
        <f>IF(AND('[1]observations-276632'!W576&gt;'[1]Methods write-up'!$Q$21,'[1]observations-276632'!W576&lt;'[1]Methods write-up'!$R$21,'[1]observations-276632'!X576&gt;'[1]Methods write-up'!$S$21,'[1]observations-276632'!X576&lt;'[1]Methods write-up'!$T$21),"Desert and high aridity","")</f>
        <v/>
      </c>
      <c r="BD576" s="23" t="str">
        <f t="shared" si="37"/>
        <v>Temperate seasonal</v>
      </c>
      <c r="BE576" s="24">
        <f t="shared" si="35"/>
        <v>22</v>
      </c>
      <c r="BF576" s="24">
        <f t="shared" si="36"/>
        <v>10</v>
      </c>
    </row>
    <row r="577" spans="1:58" ht="16.25" customHeight="1" x14ac:dyDescent="0.2">
      <c r="A577">
        <v>63369818</v>
      </c>
      <c r="B577" t="s">
        <v>4269</v>
      </c>
      <c r="C577" s="14">
        <v>44126</v>
      </c>
      <c r="D577" t="s">
        <v>4270</v>
      </c>
      <c r="E577" t="s">
        <v>113</v>
      </c>
      <c r="F577">
        <v>1002209</v>
      </c>
      <c r="G577" t="s">
        <v>3418</v>
      </c>
      <c r="H577" t="s">
        <v>3419</v>
      </c>
      <c r="I577" t="s">
        <v>4271</v>
      </c>
      <c r="J577" t="s">
        <v>4272</v>
      </c>
      <c r="K577" t="s">
        <v>62</v>
      </c>
      <c r="L577" t="s">
        <v>63</v>
      </c>
      <c r="M577" t="s">
        <v>4273</v>
      </c>
      <c r="N577" t="s">
        <v>4274</v>
      </c>
      <c r="R577">
        <v>2</v>
      </c>
      <c r="S577">
        <v>0</v>
      </c>
      <c r="T577" t="b">
        <v>0</v>
      </c>
      <c r="U577">
        <v>2</v>
      </c>
      <c r="V577" t="s">
        <v>4275</v>
      </c>
      <c r="W577" s="15">
        <v>-33.9954386</v>
      </c>
      <c r="X577" s="15">
        <v>22.548434700000001</v>
      </c>
      <c r="AF577" t="b">
        <v>0</v>
      </c>
      <c r="AG577" t="s">
        <v>350</v>
      </c>
      <c r="AH577" t="s">
        <v>350</v>
      </c>
      <c r="AI577" t="s">
        <v>71</v>
      </c>
      <c r="AJ577" t="s">
        <v>70</v>
      </c>
      <c r="AK577" t="s">
        <v>71</v>
      </c>
      <c r="AL577" t="s">
        <v>72</v>
      </c>
      <c r="AM577">
        <v>346053</v>
      </c>
      <c r="AO577" s="16" t="s">
        <v>73</v>
      </c>
      <c r="AP577" s="17" t="str">
        <f t="shared" si="38"/>
        <v>Off-nest female</v>
      </c>
      <c r="AX577" s="22" t="str">
        <f>IF(AND('[1]observations-276632'!W577&gt;'[1]Methods write-up'!$Q$16,'[1]observations-276632'!W577&lt;'[1]Methods write-up'!$R$16,'[1]observations-276632'!X577&gt;'[1]Methods write-up'!$S$16,'[1]observations-276632'!X577&lt;'[1]Methods write-up'!$T$16),"West and Central Africa","")</f>
        <v/>
      </c>
      <c r="AY577" s="22" t="str">
        <f>IF(AND('[1]observations-276632'!W577&gt;'[1]Methods write-up'!$Q$17,'[1]observations-276632'!W577&lt;'[1]Methods write-up'!$R$17,'[1]observations-276632'!X577&gt;'[1]Methods write-up'!$S$17,'[1]observations-276632'!X577&lt;'[1]Methods write-up'!$T$17),"Equatorial tropical forest","")</f>
        <v/>
      </c>
      <c r="AZ577" s="22" t="str">
        <f>IF(AND('[1]observations-276632'!W577&gt;'[1]Methods write-up'!$Q$18,'[1]observations-276632'!W577&lt;'[1]Methods write-up'!$R$18,'[1]observations-276632'!X577&gt;'[1]Methods write-up'!$S$18,'[1]observations-276632'!X577&lt;'[1]Methods write-up'!$T$18),"Somali peninsula","")</f>
        <v/>
      </c>
      <c r="BA577" s="22" t="str">
        <f>IF(AND('[1]observations-276632'!W577&gt;'[1]Methods write-up'!$Q$19,'[1]observations-276632'!W577&lt;'[1]Methods write-up'!$R$19,'[1]observations-276632'!X577&gt;'[1]Methods write-up'!$S$19,'[1]observations-276632'!X577&lt;'[1]Methods write-up'!$T$19),"East Africa","")</f>
        <v/>
      </c>
      <c r="BB577" s="22" t="str">
        <f>IF(AND('[1]observations-276632'!W577&gt;'[1]Methods write-up'!$Q$20,'[1]observations-276632'!W577&lt;'[1]Methods write-up'!$R$20,'[1]observations-276632'!X577&gt;'[1]Methods write-up'!$S$20,'[1]observations-276632'!X577&lt;'[1]Methods write-up'!$T$20),"Temperate seasonal","")</f>
        <v/>
      </c>
      <c r="BC577" s="22" t="str">
        <f>IF(AND('[1]observations-276632'!W577&gt;'[1]Methods write-up'!$Q$21,'[1]observations-276632'!W577&lt;'[1]Methods write-up'!$R$21,'[1]observations-276632'!X577&gt;'[1]Methods write-up'!$S$21,'[1]observations-276632'!X577&lt;'[1]Methods write-up'!$T$21),"Desert and high aridity","")</f>
        <v/>
      </c>
      <c r="BD577" s="23" t="str">
        <f t="shared" si="37"/>
        <v/>
      </c>
      <c r="BE577" s="24">
        <f t="shared" si="35"/>
        <v>22</v>
      </c>
      <c r="BF577" s="24">
        <f t="shared" si="36"/>
        <v>10</v>
      </c>
    </row>
    <row r="578" spans="1:58" ht="16.25" customHeight="1" x14ac:dyDescent="0.2">
      <c r="A578">
        <v>63405957</v>
      </c>
      <c r="B578" t="s">
        <v>4276</v>
      </c>
      <c r="C578" s="14">
        <v>44128</v>
      </c>
      <c r="D578" t="s">
        <v>4277</v>
      </c>
      <c r="E578" t="s">
        <v>113</v>
      </c>
      <c r="F578">
        <v>818087</v>
      </c>
      <c r="G578" t="s">
        <v>1553</v>
      </c>
      <c r="H578" t="s">
        <v>1554</v>
      </c>
      <c r="I578" t="s">
        <v>4278</v>
      </c>
      <c r="J578" t="s">
        <v>4279</v>
      </c>
      <c r="K578" t="s">
        <v>62</v>
      </c>
      <c r="M578" t="s">
        <v>4280</v>
      </c>
      <c r="N578" t="s">
        <v>4281</v>
      </c>
      <c r="R578">
        <v>1</v>
      </c>
      <c r="S578">
        <v>0</v>
      </c>
      <c r="T578" t="b">
        <v>0</v>
      </c>
      <c r="U578">
        <v>3</v>
      </c>
      <c r="V578" t="s">
        <v>3591</v>
      </c>
      <c r="W578" s="15">
        <v>-12.18380043</v>
      </c>
      <c r="X578" s="15">
        <v>26.46830963</v>
      </c>
      <c r="Y578">
        <v>33375</v>
      </c>
      <c r="AC578">
        <v>33375</v>
      </c>
      <c r="AF578" t="b">
        <v>0</v>
      </c>
      <c r="AI578" t="s">
        <v>71</v>
      </c>
      <c r="AJ578" t="s">
        <v>70</v>
      </c>
      <c r="AK578" t="s">
        <v>71</v>
      </c>
      <c r="AL578" t="s">
        <v>72</v>
      </c>
      <c r="AM578">
        <v>346053</v>
      </c>
      <c r="AO578" s="16" t="s">
        <v>140</v>
      </c>
      <c r="AP578" s="17" t="str">
        <f t="shared" si="38"/>
        <v>Post-emergence nest</v>
      </c>
      <c r="AQ578" s="18">
        <v>2</v>
      </c>
      <c r="AT578" s="19" t="s">
        <v>141</v>
      </c>
      <c r="AU578" s="20" t="s">
        <v>104</v>
      </c>
      <c r="AX578" s="22" t="str">
        <f>IF(AND('[1]observations-276632'!W578&gt;'[1]Methods write-up'!$Q$16,'[1]observations-276632'!W578&lt;'[1]Methods write-up'!$R$16,'[1]observations-276632'!X578&gt;'[1]Methods write-up'!$S$16,'[1]observations-276632'!X578&lt;'[1]Methods write-up'!$T$16),"West and Central Africa","")</f>
        <v>West and Central Africa</v>
      </c>
      <c r="AY578" s="22" t="str">
        <f>IF(AND('[1]observations-276632'!W578&gt;'[1]Methods write-up'!$Q$17,'[1]observations-276632'!W578&lt;'[1]Methods write-up'!$R$17,'[1]observations-276632'!X578&gt;'[1]Methods write-up'!$S$17,'[1]observations-276632'!X578&lt;'[1]Methods write-up'!$T$17),"Equatorial tropical forest","")</f>
        <v/>
      </c>
      <c r="AZ578" s="22" t="str">
        <f>IF(AND('[1]observations-276632'!W578&gt;'[1]Methods write-up'!$Q$18,'[1]observations-276632'!W578&lt;'[1]Methods write-up'!$R$18,'[1]observations-276632'!X578&gt;'[1]Methods write-up'!$S$18,'[1]observations-276632'!X578&lt;'[1]Methods write-up'!$T$18),"Somali peninsula","")</f>
        <v/>
      </c>
      <c r="BA578" s="22" t="str">
        <f>IF(AND('[1]observations-276632'!W578&gt;'[1]Methods write-up'!$Q$19,'[1]observations-276632'!W578&lt;'[1]Methods write-up'!$R$19,'[1]observations-276632'!X578&gt;'[1]Methods write-up'!$S$19,'[1]observations-276632'!X578&lt;'[1]Methods write-up'!$T$19),"East Africa","")</f>
        <v/>
      </c>
      <c r="BB578" s="22" t="str">
        <f>IF(AND('[1]observations-276632'!W578&gt;'[1]Methods write-up'!$Q$20,'[1]observations-276632'!W578&lt;'[1]Methods write-up'!$R$20,'[1]observations-276632'!X578&gt;'[1]Methods write-up'!$S$20,'[1]observations-276632'!X578&lt;'[1]Methods write-up'!$T$20),"Temperate seasonal","")</f>
        <v/>
      </c>
      <c r="BC578" s="22" t="str">
        <f>IF(AND('[1]observations-276632'!W578&gt;'[1]Methods write-up'!$Q$21,'[1]observations-276632'!W578&lt;'[1]Methods write-up'!$R$21,'[1]observations-276632'!X578&gt;'[1]Methods write-up'!$S$21,'[1]observations-276632'!X578&lt;'[1]Methods write-up'!$T$21),"Desert and high aridity","")</f>
        <v/>
      </c>
      <c r="BD578" s="23" t="str">
        <f t="shared" si="37"/>
        <v>West and Central Africa</v>
      </c>
      <c r="BE578" s="24">
        <f t="shared" ref="BE578:BE641" si="39">DAY(C578)</f>
        <v>24</v>
      </c>
      <c r="BF578" s="24">
        <f t="shared" ref="BF578:BF641" si="40">MONTH(C578)</f>
        <v>10</v>
      </c>
    </row>
    <row r="579" spans="1:58" ht="16.25" customHeight="1" x14ac:dyDescent="0.2">
      <c r="A579">
        <v>63468087</v>
      </c>
      <c r="B579" s="25">
        <v>42379.409722222219</v>
      </c>
      <c r="C579" s="14">
        <v>42379</v>
      </c>
      <c r="D579" t="s">
        <v>4282</v>
      </c>
      <c r="E579" t="s">
        <v>2218</v>
      </c>
      <c r="F579">
        <v>72671</v>
      </c>
      <c r="G579" t="s">
        <v>4283</v>
      </c>
      <c r="H579" t="s">
        <v>4284</v>
      </c>
      <c r="I579" t="s">
        <v>4285</v>
      </c>
      <c r="J579" t="s">
        <v>4286</v>
      </c>
      <c r="K579" t="s">
        <v>62</v>
      </c>
      <c r="L579" t="s">
        <v>63</v>
      </c>
      <c r="M579" t="s">
        <v>4287</v>
      </c>
      <c r="N579" t="s">
        <v>4288</v>
      </c>
      <c r="P579" t="s">
        <v>4289</v>
      </c>
      <c r="Q579" s="26" t="s">
        <v>4290</v>
      </c>
      <c r="R579">
        <v>1</v>
      </c>
      <c r="S579">
        <v>0</v>
      </c>
      <c r="T579" t="b">
        <v>0</v>
      </c>
      <c r="V579" t="s">
        <v>4291</v>
      </c>
      <c r="W579" s="15">
        <v>-22.88757</v>
      </c>
      <c r="X579" s="15">
        <v>44.692276999999997</v>
      </c>
      <c r="AF579" t="b">
        <v>0</v>
      </c>
      <c r="AI579" t="s">
        <v>71</v>
      </c>
      <c r="AJ579" t="s">
        <v>70</v>
      </c>
      <c r="AK579" t="s">
        <v>71</v>
      </c>
      <c r="AL579" t="s">
        <v>72</v>
      </c>
      <c r="AM579">
        <v>346053</v>
      </c>
      <c r="AO579" s="16" t="s">
        <v>140</v>
      </c>
      <c r="AP579" s="17" t="str">
        <f t="shared" si="38"/>
        <v>Post-emergence nest</v>
      </c>
      <c r="AQ579" s="18">
        <v>3</v>
      </c>
      <c r="AT579" s="19" t="s">
        <v>141</v>
      </c>
      <c r="AU579" s="20" t="s">
        <v>104</v>
      </c>
      <c r="AX579" s="22" t="str">
        <f>IF(AND('[1]observations-276632'!W579&gt;'[1]Methods write-up'!$Q$16,'[1]observations-276632'!W579&lt;'[1]Methods write-up'!$R$16,'[1]observations-276632'!X579&gt;'[1]Methods write-up'!$S$16,'[1]observations-276632'!X579&lt;'[1]Methods write-up'!$T$16),"West and Central Africa","")</f>
        <v/>
      </c>
      <c r="AY579" s="22" t="str">
        <f>IF(AND('[1]observations-276632'!W579&gt;'[1]Methods write-up'!$Q$17,'[1]observations-276632'!W579&lt;'[1]Methods write-up'!$R$17,'[1]observations-276632'!X579&gt;'[1]Methods write-up'!$S$17,'[1]observations-276632'!X579&lt;'[1]Methods write-up'!$T$17),"Equatorial tropical forest","")</f>
        <v/>
      </c>
      <c r="AZ579" s="22" t="str">
        <f>IF(AND('[1]observations-276632'!W579&gt;'[1]Methods write-up'!$Q$18,'[1]observations-276632'!W579&lt;'[1]Methods write-up'!$R$18,'[1]observations-276632'!X579&gt;'[1]Methods write-up'!$S$18,'[1]observations-276632'!X579&lt;'[1]Methods write-up'!$T$18),"Somali peninsula","")</f>
        <v/>
      </c>
      <c r="BA579" s="22" t="str">
        <f>IF(AND('[1]observations-276632'!W579&gt;'[1]Methods write-up'!$Q$19,'[1]observations-276632'!W579&lt;'[1]Methods write-up'!$R$19,'[1]observations-276632'!X579&gt;'[1]Methods write-up'!$S$19,'[1]observations-276632'!X579&lt;'[1]Methods write-up'!$T$19),"East Africa","")</f>
        <v/>
      </c>
      <c r="BB579" s="22" t="str">
        <f>IF(AND('[1]observations-276632'!W579&gt;'[1]Methods write-up'!$Q$20,'[1]observations-276632'!W579&lt;'[1]Methods write-up'!$R$20,'[1]observations-276632'!X579&gt;'[1]Methods write-up'!$S$20,'[1]observations-276632'!X579&lt;'[1]Methods write-up'!$T$20),"Temperate seasonal","")</f>
        <v/>
      </c>
      <c r="BC579" s="22" t="str">
        <f>IF(AND('[1]observations-276632'!W579&gt;'[1]Methods write-up'!$Q$21,'[1]observations-276632'!W579&lt;'[1]Methods write-up'!$R$21,'[1]observations-276632'!X579&gt;'[1]Methods write-up'!$S$21,'[1]observations-276632'!X579&lt;'[1]Methods write-up'!$T$21),"Desert and high aridity","")</f>
        <v/>
      </c>
      <c r="BD579" s="23" t="str">
        <f t="shared" ref="BD579:BD642" si="41">AX579&amp;AY579&amp;AZ579&amp;BA579&amp;BB579&amp;BC579</f>
        <v/>
      </c>
      <c r="BE579" s="24">
        <f t="shared" si="39"/>
        <v>10</v>
      </c>
      <c r="BF579" s="24">
        <f t="shared" si="40"/>
        <v>1</v>
      </c>
    </row>
    <row r="580" spans="1:58" ht="16.25" customHeight="1" x14ac:dyDescent="0.2">
      <c r="A580">
        <v>63750940</v>
      </c>
      <c r="B580" t="s">
        <v>4292</v>
      </c>
      <c r="C580" s="14">
        <v>44133</v>
      </c>
      <c r="D580" t="s">
        <v>4293</v>
      </c>
      <c r="E580" t="s">
        <v>403</v>
      </c>
      <c r="F580">
        <v>2474339</v>
      </c>
      <c r="G580" t="s">
        <v>4294</v>
      </c>
      <c r="H580" t="s">
        <v>4295</v>
      </c>
      <c r="I580" t="s">
        <v>4296</v>
      </c>
      <c r="J580" t="s">
        <v>4297</v>
      </c>
      <c r="K580" t="s">
        <v>62</v>
      </c>
      <c r="M580" t="s">
        <v>4298</v>
      </c>
      <c r="N580" t="s">
        <v>4299</v>
      </c>
      <c r="R580">
        <v>2</v>
      </c>
      <c r="S580">
        <v>0</v>
      </c>
      <c r="T580" t="b">
        <v>0</v>
      </c>
      <c r="U580">
        <v>2</v>
      </c>
      <c r="V580" t="s">
        <v>4300</v>
      </c>
      <c r="W580" s="15">
        <v>-0.40589444400000002</v>
      </c>
      <c r="X580" s="15">
        <v>34.658169440000002</v>
      </c>
      <c r="AF580" t="b">
        <v>0</v>
      </c>
      <c r="AG580" t="s">
        <v>350</v>
      </c>
      <c r="AH580" t="s">
        <v>350</v>
      </c>
      <c r="AI580" t="s">
        <v>71</v>
      </c>
      <c r="AJ580" t="s">
        <v>70</v>
      </c>
      <c r="AK580" t="s">
        <v>71</v>
      </c>
      <c r="AL580" t="s">
        <v>72</v>
      </c>
      <c r="AM580">
        <v>346053</v>
      </c>
      <c r="AO580" s="16" t="s">
        <v>1574</v>
      </c>
      <c r="AP580" s="17" t="str">
        <f t="shared" si="38"/>
        <v>Nest (foundress)</v>
      </c>
      <c r="AQ580" s="18">
        <v>1</v>
      </c>
      <c r="AT580" s="19" t="s">
        <v>104</v>
      </c>
      <c r="AX580" s="22" t="str">
        <f>IF(AND('[1]observations-276632'!W580&gt;'[1]Methods write-up'!$Q$16,'[1]observations-276632'!W580&lt;'[1]Methods write-up'!$R$16,'[1]observations-276632'!X580&gt;'[1]Methods write-up'!$S$16,'[1]observations-276632'!X580&lt;'[1]Methods write-up'!$T$16),"West and Central Africa","")</f>
        <v/>
      </c>
      <c r="AY580" s="22" t="str">
        <f>IF(AND('[1]observations-276632'!W580&gt;'[1]Methods write-up'!$Q$17,'[1]observations-276632'!W580&lt;'[1]Methods write-up'!$R$17,'[1]observations-276632'!X580&gt;'[1]Methods write-up'!$S$17,'[1]observations-276632'!X580&lt;'[1]Methods write-up'!$T$17),"Equatorial tropical forest","")</f>
        <v/>
      </c>
      <c r="AZ580" s="22" t="str">
        <f>IF(AND('[1]observations-276632'!W580&gt;'[1]Methods write-up'!$Q$18,'[1]observations-276632'!W580&lt;'[1]Methods write-up'!$R$18,'[1]observations-276632'!X580&gt;'[1]Methods write-up'!$S$18,'[1]observations-276632'!X580&lt;'[1]Methods write-up'!$T$18),"Somali peninsula","")</f>
        <v/>
      </c>
      <c r="BA580" s="22" t="str">
        <f>IF(AND('[1]observations-276632'!W580&gt;'[1]Methods write-up'!$Q$19,'[1]observations-276632'!W580&lt;'[1]Methods write-up'!$R$19,'[1]observations-276632'!X580&gt;'[1]Methods write-up'!$S$19,'[1]observations-276632'!X580&lt;'[1]Methods write-up'!$T$19),"East Africa","")</f>
        <v>East Africa</v>
      </c>
      <c r="BB580" s="22" t="str">
        <f>IF(AND('[1]observations-276632'!W580&gt;'[1]Methods write-up'!$Q$20,'[1]observations-276632'!W580&lt;'[1]Methods write-up'!$R$20,'[1]observations-276632'!X580&gt;'[1]Methods write-up'!$S$20,'[1]observations-276632'!X580&lt;'[1]Methods write-up'!$T$20),"Temperate seasonal","")</f>
        <v/>
      </c>
      <c r="BC580" s="22" t="str">
        <f>IF(AND('[1]observations-276632'!W580&gt;'[1]Methods write-up'!$Q$21,'[1]observations-276632'!W580&lt;'[1]Methods write-up'!$R$21,'[1]observations-276632'!X580&gt;'[1]Methods write-up'!$S$21,'[1]observations-276632'!X580&lt;'[1]Methods write-up'!$T$21),"Desert and high aridity","")</f>
        <v/>
      </c>
      <c r="BD580" s="23" t="str">
        <f t="shared" si="41"/>
        <v>East Africa</v>
      </c>
      <c r="BE580" s="24">
        <f t="shared" si="39"/>
        <v>29</v>
      </c>
      <c r="BF580" s="24">
        <f t="shared" si="40"/>
        <v>10</v>
      </c>
    </row>
    <row r="581" spans="1:58" ht="16.25" customHeight="1" x14ac:dyDescent="0.2">
      <c r="A581">
        <v>63779762</v>
      </c>
      <c r="B581" t="s">
        <v>4301</v>
      </c>
      <c r="C581" s="14">
        <v>43480</v>
      </c>
      <c r="D581" t="s">
        <v>4302</v>
      </c>
      <c r="E581" t="s">
        <v>1408</v>
      </c>
      <c r="F581">
        <v>1822183</v>
      </c>
      <c r="G581" t="s">
        <v>4303</v>
      </c>
      <c r="H581" t="s">
        <v>4304</v>
      </c>
      <c r="I581" t="s">
        <v>4305</v>
      </c>
      <c r="J581" t="s">
        <v>4306</v>
      </c>
      <c r="K581" t="s">
        <v>62</v>
      </c>
      <c r="L581" t="s">
        <v>63</v>
      </c>
      <c r="M581" t="s">
        <v>4307</v>
      </c>
      <c r="N581" t="s">
        <v>4308</v>
      </c>
      <c r="Q581" t="s">
        <v>4309</v>
      </c>
      <c r="R581">
        <v>2</v>
      </c>
      <c r="S581">
        <v>0</v>
      </c>
      <c r="T581" t="b">
        <v>0</v>
      </c>
      <c r="V581" t="s">
        <v>4310</v>
      </c>
      <c r="W581" s="15">
        <v>-21.264061099999999</v>
      </c>
      <c r="X581" s="15">
        <v>47.419291700000002</v>
      </c>
      <c r="Y581">
        <v>205</v>
      </c>
      <c r="AC581">
        <v>205</v>
      </c>
      <c r="AF581" t="b">
        <v>0</v>
      </c>
      <c r="AI581" t="s">
        <v>71</v>
      </c>
      <c r="AJ581" t="s">
        <v>70</v>
      </c>
      <c r="AK581" t="s">
        <v>71</v>
      </c>
      <c r="AL581" t="s">
        <v>72</v>
      </c>
      <c r="AM581">
        <v>346053</v>
      </c>
      <c r="AO581" s="16" t="s">
        <v>140</v>
      </c>
      <c r="AP581" s="17" t="str">
        <f t="shared" si="38"/>
        <v>Post-emergence nest</v>
      </c>
      <c r="AQ581" s="18">
        <v>2</v>
      </c>
      <c r="AT581" s="19" t="s">
        <v>141</v>
      </c>
      <c r="AU581" s="20" t="s">
        <v>104</v>
      </c>
      <c r="AX581" s="22" t="str">
        <f>IF(AND('[1]observations-276632'!W581&gt;'[1]Methods write-up'!$Q$16,'[1]observations-276632'!W581&lt;'[1]Methods write-up'!$R$16,'[1]observations-276632'!X581&gt;'[1]Methods write-up'!$S$16,'[1]observations-276632'!X581&lt;'[1]Methods write-up'!$T$16),"West and Central Africa","")</f>
        <v/>
      </c>
      <c r="AY581" s="22" t="str">
        <f>IF(AND('[1]observations-276632'!W581&gt;'[1]Methods write-up'!$Q$17,'[1]observations-276632'!W581&lt;'[1]Methods write-up'!$R$17,'[1]observations-276632'!X581&gt;'[1]Methods write-up'!$S$17,'[1]observations-276632'!X581&lt;'[1]Methods write-up'!$T$17),"Equatorial tropical forest","")</f>
        <v/>
      </c>
      <c r="AZ581" s="22" t="str">
        <f>IF(AND('[1]observations-276632'!W581&gt;'[1]Methods write-up'!$Q$18,'[1]observations-276632'!W581&lt;'[1]Methods write-up'!$R$18,'[1]observations-276632'!X581&gt;'[1]Methods write-up'!$S$18,'[1]observations-276632'!X581&lt;'[1]Methods write-up'!$T$18),"Somali peninsula","")</f>
        <v/>
      </c>
      <c r="BA581" s="22" t="str">
        <f>IF(AND('[1]observations-276632'!W581&gt;'[1]Methods write-up'!$Q$19,'[1]observations-276632'!W581&lt;'[1]Methods write-up'!$R$19,'[1]observations-276632'!X581&gt;'[1]Methods write-up'!$S$19,'[1]observations-276632'!X581&lt;'[1]Methods write-up'!$T$19),"East Africa","")</f>
        <v/>
      </c>
      <c r="BB581" s="22" t="str">
        <f>IF(AND('[1]observations-276632'!W581&gt;'[1]Methods write-up'!$Q$20,'[1]observations-276632'!W581&lt;'[1]Methods write-up'!$R$20,'[1]observations-276632'!X581&gt;'[1]Methods write-up'!$S$20,'[1]observations-276632'!X581&lt;'[1]Methods write-up'!$T$20),"Temperate seasonal","")</f>
        <v/>
      </c>
      <c r="BC581" s="22" t="str">
        <f>IF(AND('[1]observations-276632'!W581&gt;'[1]Methods write-up'!$Q$21,'[1]observations-276632'!W581&lt;'[1]Methods write-up'!$R$21,'[1]observations-276632'!X581&gt;'[1]Methods write-up'!$S$21,'[1]observations-276632'!X581&lt;'[1]Methods write-up'!$T$21),"Desert and high aridity","")</f>
        <v/>
      </c>
      <c r="BD581" s="23" t="str">
        <f t="shared" si="41"/>
        <v/>
      </c>
      <c r="BE581" s="24">
        <f t="shared" si="39"/>
        <v>15</v>
      </c>
      <c r="BF581" s="24">
        <f t="shared" si="40"/>
        <v>1</v>
      </c>
    </row>
    <row r="582" spans="1:58" ht="16.25" customHeight="1" x14ac:dyDescent="0.2">
      <c r="A582">
        <v>63816238</v>
      </c>
      <c r="B582" t="s">
        <v>4311</v>
      </c>
      <c r="C582" s="14">
        <v>44133</v>
      </c>
      <c r="D582" t="s">
        <v>4312</v>
      </c>
      <c r="E582" t="s">
        <v>113</v>
      </c>
      <c r="F582">
        <v>3138815</v>
      </c>
      <c r="G582" t="s">
        <v>4313</v>
      </c>
      <c r="H582" t="s">
        <v>4314</v>
      </c>
      <c r="I582" t="s">
        <v>4315</v>
      </c>
      <c r="J582" t="s">
        <v>4315</v>
      </c>
      <c r="K582" t="s">
        <v>62</v>
      </c>
      <c r="L582" t="s">
        <v>63</v>
      </c>
      <c r="M582" t="s">
        <v>4316</v>
      </c>
      <c r="N582" t="s">
        <v>4317</v>
      </c>
      <c r="R582">
        <v>0</v>
      </c>
      <c r="S582">
        <v>0</v>
      </c>
      <c r="T582" t="b">
        <v>0</v>
      </c>
      <c r="V582" t="s">
        <v>1566</v>
      </c>
      <c r="W582" s="15">
        <v>-19.87930025</v>
      </c>
      <c r="X582" s="15">
        <v>23.12434227</v>
      </c>
      <c r="Y582">
        <v>8</v>
      </c>
      <c r="AC582">
        <v>8</v>
      </c>
      <c r="AF582" t="b">
        <v>0</v>
      </c>
      <c r="AI582" t="s">
        <v>102</v>
      </c>
      <c r="AJ582" t="s">
        <v>102</v>
      </c>
      <c r="AL582" t="s">
        <v>72</v>
      </c>
      <c r="AM582">
        <v>1070939</v>
      </c>
      <c r="AO582" s="16" t="s">
        <v>73</v>
      </c>
      <c r="AP582" s="17" t="str">
        <f t="shared" si="38"/>
        <v>Off-nest female</v>
      </c>
      <c r="AX582" s="22" t="str">
        <f>IF(AND('[1]observations-276632'!W582&gt;'[1]Methods write-up'!$Q$16,'[1]observations-276632'!W582&lt;'[1]Methods write-up'!$R$16,'[1]observations-276632'!X582&gt;'[1]Methods write-up'!$S$16,'[1]observations-276632'!X582&lt;'[1]Methods write-up'!$T$16),"West and Central Africa","")</f>
        <v>West and Central Africa</v>
      </c>
      <c r="AY582" s="22" t="str">
        <f>IF(AND('[1]observations-276632'!W582&gt;'[1]Methods write-up'!$Q$17,'[1]observations-276632'!W582&lt;'[1]Methods write-up'!$R$17,'[1]observations-276632'!X582&gt;'[1]Methods write-up'!$S$17,'[1]observations-276632'!X582&lt;'[1]Methods write-up'!$T$17),"Equatorial tropical forest","")</f>
        <v/>
      </c>
      <c r="AZ582" s="22" t="str">
        <f>IF(AND('[1]observations-276632'!W582&gt;'[1]Methods write-up'!$Q$18,'[1]observations-276632'!W582&lt;'[1]Methods write-up'!$R$18,'[1]observations-276632'!X582&gt;'[1]Methods write-up'!$S$18,'[1]observations-276632'!X582&lt;'[1]Methods write-up'!$T$18),"Somali peninsula","")</f>
        <v/>
      </c>
      <c r="BA582" s="22" t="str">
        <f>IF(AND('[1]observations-276632'!W582&gt;'[1]Methods write-up'!$Q$19,'[1]observations-276632'!W582&lt;'[1]Methods write-up'!$R$19,'[1]observations-276632'!X582&gt;'[1]Methods write-up'!$S$19,'[1]observations-276632'!X582&lt;'[1]Methods write-up'!$T$19),"East Africa","")</f>
        <v/>
      </c>
      <c r="BB582" s="22" t="str">
        <f>IF(AND('[1]observations-276632'!W582&gt;'[1]Methods write-up'!$Q$20,'[1]observations-276632'!W582&lt;'[1]Methods write-up'!$R$20,'[1]observations-276632'!X582&gt;'[1]Methods write-up'!$S$20,'[1]observations-276632'!X582&lt;'[1]Methods write-up'!$T$20),"Temperate seasonal","")</f>
        <v/>
      </c>
      <c r="BC582" s="22" t="str">
        <f>IF(AND('[1]observations-276632'!W582&gt;'[1]Methods write-up'!$Q$21,'[1]observations-276632'!W582&lt;'[1]Methods write-up'!$R$21,'[1]observations-276632'!X582&gt;'[1]Methods write-up'!$S$21,'[1]observations-276632'!X582&lt;'[1]Methods write-up'!$T$21),"Desert and high aridity","")</f>
        <v/>
      </c>
      <c r="BD582" s="23" t="str">
        <f t="shared" si="41"/>
        <v>West and Central Africa</v>
      </c>
      <c r="BE582" s="24">
        <f t="shared" si="39"/>
        <v>29</v>
      </c>
      <c r="BF582" s="24">
        <f t="shared" si="40"/>
        <v>10</v>
      </c>
    </row>
    <row r="583" spans="1:58" ht="16.25" customHeight="1" x14ac:dyDescent="0.2">
      <c r="A583">
        <v>63967594</v>
      </c>
      <c r="B583" s="13">
        <v>39382</v>
      </c>
      <c r="C583" s="14">
        <v>39382</v>
      </c>
      <c r="E583" t="s">
        <v>4318</v>
      </c>
      <c r="F583">
        <v>29452</v>
      </c>
      <c r="G583" t="s">
        <v>4319</v>
      </c>
      <c r="I583" t="s">
        <v>4320</v>
      </c>
      <c r="J583" t="s">
        <v>4321</v>
      </c>
      <c r="K583" t="s">
        <v>62</v>
      </c>
      <c r="L583" t="s">
        <v>63</v>
      </c>
      <c r="M583" t="s">
        <v>4322</v>
      </c>
      <c r="N583" t="s">
        <v>4323</v>
      </c>
      <c r="R583">
        <v>1</v>
      </c>
      <c r="S583">
        <v>0</v>
      </c>
      <c r="T583" t="b">
        <v>0</v>
      </c>
      <c r="V583" t="s">
        <v>4324</v>
      </c>
      <c r="W583" s="15">
        <v>13.3958423</v>
      </c>
      <c r="X583" s="15">
        <v>-16.6455527</v>
      </c>
      <c r="Y583">
        <v>238</v>
      </c>
      <c r="AC583">
        <v>238</v>
      </c>
      <c r="AF583" t="b">
        <v>0</v>
      </c>
      <c r="AI583" t="s">
        <v>71</v>
      </c>
      <c r="AJ583" t="s">
        <v>70</v>
      </c>
      <c r="AK583" t="s">
        <v>71</v>
      </c>
      <c r="AL583" t="s">
        <v>72</v>
      </c>
      <c r="AM583">
        <v>346053</v>
      </c>
      <c r="AO583" s="16" t="s">
        <v>140</v>
      </c>
      <c r="AP583" s="17" t="str">
        <f t="shared" si="38"/>
        <v>Post-emergence nest</v>
      </c>
      <c r="AQ583" s="18">
        <v>5</v>
      </c>
      <c r="AT583" s="19" t="s">
        <v>141</v>
      </c>
      <c r="AU583" s="20" t="s">
        <v>104</v>
      </c>
      <c r="AX583" s="22" t="str">
        <f>IF(AND('[1]observations-276632'!W583&gt;'[1]Methods write-up'!$Q$16,'[1]observations-276632'!W583&lt;'[1]Methods write-up'!$R$16,'[1]observations-276632'!X583&gt;'[1]Methods write-up'!$S$16,'[1]observations-276632'!X583&lt;'[1]Methods write-up'!$T$16),"West and Central Africa","")</f>
        <v/>
      </c>
      <c r="AY583" s="22" t="str">
        <f>IF(AND('[1]observations-276632'!W583&gt;'[1]Methods write-up'!$Q$17,'[1]observations-276632'!W583&lt;'[1]Methods write-up'!$R$17,'[1]observations-276632'!X583&gt;'[1]Methods write-up'!$S$17,'[1]observations-276632'!X583&lt;'[1]Methods write-up'!$T$17),"Equatorial tropical forest","")</f>
        <v/>
      </c>
      <c r="AZ583" s="22" t="str">
        <f>IF(AND('[1]observations-276632'!W583&gt;'[1]Methods write-up'!$Q$18,'[1]observations-276632'!W583&lt;'[1]Methods write-up'!$R$18,'[1]observations-276632'!X583&gt;'[1]Methods write-up'!$S$18,'[1]observations-276632'!X583&lt;'[1]Methods write-up'!$T$18),"Somali peninsula","")</f>
        <v/>
      </c>
      <c r="BA583" s="22" t="str">
        <f>IF(AND('[1]observations-276632'!W583&gt;'[1]Methods write-up'!$Q$19,'[1]observations-276632'!W583&lt;'[1]Methods write-up'!$R$19,'[1]observations-276632'!X583&gt;'[1]Methods write-up'!$S$19,'[1]observations-276632'!X583&lt;'[1]Methods write-up'!$T$19),"East Africa","")</f>
        <v/>
      </c>
      <c r="BB583" s="22" t="str">
        <f>IF(AND('[1]observations-276632'!W583&gt;'[1]Methods write-up'!$Q$20,'[1]observations-276632'!W583&lt;'[1]Methods write-up'!$R$20,'[1]observations-276632'!X583&gt;'[1]Methods write-up'!$S$20,'[1]observations-276632'!X583&lt;'[1]Methods write-up'!$T$20),"Temperate seasonal","")</f>
        <v/>
      </c>
      <c r="BC583" s="22" t="str">
        <f>IF(AND('[1]observations-276632'!W583&gt;'[1]Methods write-up'!$Q$21,'[1]observations-276632'!W583&lt;'[1]Methods write-up'!$R$21,'[1]observations-276632'!X583&gt;'[1]Methods write-up'!$S$21,'[1]observations-276632'!X583&lt;'[1]Methods write-up'!$T$21),"Desert and high aridity","")</f>
        <v/>
      </c>
      <c r="BD583" s="23" t="str">
        <f t="shared" si="41"/>
        <v/>
      </c>
      <c r="BE583" s="24">
        <f t="shared" si="39"/>
        <v>27</v>
      </c>
      <c r="BF583" s="24">
        <f t="shared" si="40"/>
        <v>10</v>
      </c>
    </row>
    <row r="584" spans="1:58" ht="16.25" customHeight="1" x14ac:dyDescent="0.2">
      <c r="A584">
        <v>64033303</v>
      </c>
      <c r="B584" t="s">
        <v>4325</v>
      </c>
      <c r="C584" s="14">
        <v>44134</v>
      </c>
      <c r="D584" t="s">
        <v>4326</v>
      </c>
      <c r="E584" t="s">
        <v>113</v>
      </c>
      <c r="F584">
        <v>3138815</v>
      </c>
      <c r="G584" t="s">
        <v>4313</v>
      </c>
      <c r="H584" t="s">
        <v>4314</v>
      </c>
      <c r="I584" t="s">
        <v>4327</v>
      </c>
      <c r="J584" t="s">
        <v>4328</v>
      </c>
      <c r="K584" t="s">
        <v>62</v>
      </c>
      <c r="L584" t="s">
        <v>63</v>
      </c>
      <c r="M584" t="s">
        <v>4329</v>
      </c>
      <c r="N584" t="s">
        <v>4330</v>
      </c>
      <c r="R584">
        <v>1</v>
      </c>
      <c r="S584">
        <v>0</v>
      </c>
      <c r="T584" t="b">
        <v>0</v>
      </c>
      <c r="V584" t="s">
        <v>1566</v>
      </c>
      <c r="W584" s="15">
        <v>-19.926055359999999</v>
      </c>
      <c r="X584" s="15">
        <v>23.508980820000001</v>
      </c>
      <c r="Y584">
        <v>122</v>
      </c>
      <c r="AC584">
        <v>122</v>
      </c>
      <c r="AF584" t="b">
        <v>0</v>
      </c>
      <c r="AI584" t="s">
        <v>71</v>
      </c>
      <c r="AJ584" t="s">
        <v>70</v>
      </c>
      <c r="AK584" t="s">
        <v>71</v>
      </c>
      <c r="AL584" t="s">
        <v>72</v>
      </c>
      <c r="AM584">
        <v>346053</v>
      </c>
      <c r="AO584" s="16" t="s">
        <v>73</v>
      </c>
      <c r="AP584" s="17" t="str">
        <f t="shared" si="38"/>
        <v>Off-nest female</v>
      </c>
      <c r="AX584" s="22" t="str">
        <f>IF(AND('[1]observations-276632'!W584&gt;'[1]Methods write-up'!$Q$16,'[1]observations-276632'!W584&lt;'[1]Methods write-up'!$R$16,'[1]observations-276632'!X584&gt;'[1]Methods write-up'!$S$16,'[1]observations-276632'!X584&lt;'[1]Methods write-up'!$T$16),"West and Central Africa","")</f>
        <v>West and Central Africa</v>
      </c>
      <c r="AY584" s="22" t="str">
        <f>IF(AND('[1]observations-276632'!W584&gt;'[1]Methods write-up'!$Q$17,'[1]observations-276632'!W584&lt;'[1]Methods write-up'!$R$17,'[1]observations-276632'!X584&gt;'[1]Methods write-up'!$S$17,'[1]observations-276632'!X584&lt;'[1]Methods write-up'!$T$17),"Equatorial tropical forest","")</f>
        <v/>
      </c>
      <c r="AZ584" s="22" t="str">
        <f>IF(AND('[1]observations-276632'!W584&gt;'[1]Methods write-up'!$Q$18,'[1]observations-276632'!W584&lt;'[1]Methods write-up'!$R$18,'[1]observations-276632'!X584&gt;'[1]Methods write-up'!$S$18,'[1]observations-276632'!X584&lt;'[1]Methods write-up'!$T$18),"Somali peninsula","")</f>
        <v/>
      </c>
      <c r="BA584" s="22" t="str">
        <f>IF(AND('[1]observations-276632'!W584&gt;'[1]Methods write-up'!$Q$19,'[1]observations-276632'!W584&lt;'[1]Methods write-up'!$R$19,'[1]observations-276632'!X584&gt;'[1]Methods write-up'!$S$19,'[1]observations-276632'!X584&lt;'[1]Methods write-up'!$T$19),"East Africa","")</f>
        <v/>
      </c>
      <c r="BB584" s="22" t="str">
        <f>IF(AND('[1]observations-276632'!W584&gt;'[1]Methods write-up'!$Q$20,'[1]observations-276632'!W584&lt;'[1]Methods write-up'!$R$20,'[1]observations-276632'!X584&gt;'[1]Methods write-up'!$S$20,'[1]observations-276632'!X584&lt;'[1]Methods write-up'!$T$20),"Temperate seasonal","")</f>
        <v/>
      </c>
      <c r="BC584" s="22" t="str">
        <f>IF(AND('[1]observations-276632'!W584&gt;'[1]Methods write-up'!$Q$21,'[1]observations-276632'!W584&lt;'[1]Methods write-up'!$R$21,'[1]observations-276632'!X584&gt;'[1]Methods write-up'!$S$21,'[1]observations-276632'!X584&lt;'[1]Methods write-up'!$T$21),"Desert and high aridity","")</f>
        <v/>
      </c>
      <c r="BD584" s="23" t="str">
        <f t="shared" si="41"/>
        <v>West and Central Africa</v>
      </c>
      <c r="BE584" s="24">
        <f t="shared" si="39"/>
        <v>30</v>
      </c>
      <c r="BF584" s="24">
        <f t="shared" si="40"/>
        <v>10</v>
      </c>
    </row>
    <row r="585" spans="1:58" ht="16.25" customHeight="1" x14ac:dyDescent="0.2">
      <c r="A585">
        <v>64374361</v>
      </c>
      <c r="B585" t="s">
        <v>4331</v>
      </c>
      <c r="C585" s="14">
        <v>44142</v>
      </c>
      <c r="D585" t="s">
        <v>4332</v>
      </c>
      <c r="E585" t="s">
        <v>113</v>
      </c>
      <c r="F585">
        <v>710131</v>
      </c>
      <c r="G585" t="s">
        <v>4333</v>
      </c>
      <c r="H585" t="s">
        <v>4334</v>
      </c>
      <c r="I585" t="s">
        <v>4335</v>
      </c>
      <c r="J585" t="s">
        <v>4336</v>
      </c>
      <c r="K585" t="s">
        <v>157</v>
      </c>
      <c r="L585" t="s">
        <v>98</v>
      </c>
      <c r="M585" t="s">
        <v>4337</v>
      </c>
      <c r="N585" t="s">
        <v>4338</v>
      </c>
      <c r="R585">
        <v>2</v>
      </c>
      <c r="S585">
        <v>0</v>
      </c>
      <c r="T585" t="b">
        <v>0</v>
      </c>
      <c r="U585">
        <v>3</v>
      </c>
      <c r="V585" t="s">
        <v>4339</v>
      </c>
      <c r="W585" s="15">
        <v>-21.41551333</v>
      </c>
      <c r="X585" s="15">
        <v>15.96017833</v>
      </c>
      <c r="Y585">
        <v>35</v>
      </c>
      <c r="AC585">
        <v>35</v>
      </c>
      <c r="AF585" t="b">
        <v>0</v>
      </c>
      <c r="AI585" t="s">
        <v>756</v>
      </c>
      <c r="AJ585" t="s">
        <v>756</v>
      </c>
      <c r="AL585" t="s">
        <v>72</v>
      </c>
      <c r="AM585">
        <v>652800</v>
      </c>
      <c r="AO585" s="16" t="s">
        <v>73</v>
      </c>
      <c r="AP585" s="17" t="str">
        <f t="shared" si="38"/>
        <v>Off-nest female</v>
      </c>
      <c r="AX585" s="22" t="str">
        <f>IF(AND('[1]observations-276632'!W585&gt;'[1]Methods write-up'!$Q$16,'[1]observations-276632'!W585&lt;'[1]Methods write-up'!$R$16,'[1]observations-276632'!X585&gt;'[1]Methods write-up'!$S$16,'[1]observations-276632'!X585&lt;'[1]Methods write-up'!$T$16),"West and Central Africa","")</f>
        <v/>
      </c>
      <c r="AY585" s="22" t="str">
        <f>IF(AND('[1]observations-276632'!W585&gt;'[1]Methods write-up'!$Q$17,'[1]observations-276632'!W585&lt;'[1]Methods write-up'!$R$17,'[1]observations-276632'!X585&gt;'[1]Methods write-up'!$S$17,'[1]observations-276632'!X585&lt;'[1]Methods write-up'!$T$17),"Equatorial tropical forest","")</f>
        <v/>
      </c>
      <c r="AZ585" s="22" t="str">
        <f>IF(AND('[1]observations-276632'!W585&gt;'[1]Methods write-up'!$Q$18,'[1]observations-276632'!W585&lt;'[1]Methods write-up'!$R$18,'[1]observations-276632'!X585&gt;'[1]Methods write-up'!$S$18,'[1]observations-276632'!X585&lt;'[1]Methods write-up'!$T$18),"Somali peninsula","")</f>
        <v/>
      </c>
      <c r="BA585" s="22" t="str">
        <f>IF(AND('[1]observations-276632'!W585&gt;'[1]Methods write-up'!$Q$19,'[1]observations-276632'!W585&lt;'[1]Methods write-up'!$R$19,'[1]observations-276632'!X585&gt;'[1]Methods write-up'!$S$19,'[1]observations-276632'!X585&lt;'[1]Methods write-up'!$T$19),"East Africa","")</f>
        <v/>
      </c>
      <c r="BB585" s="22" t="str">
        <f>IF(AND('[1]observations-276632'!W585&gt;'[1]Methods write-up'!$Q$20,'[1]observations-276632'!W585&lt;'[1]Methods write-up'!$R$20,'[1]observations-276632'!X585&gt;'[1]Methods write-up'!$S$20,'[1]observations-276632'!X585&lt;'[1]Methods write-up'!$T$20),"Temperate seasonal","")</f>
        <v/>
      </c>
      <c r="BC585" s="22" t="str">
        <f>IF(AND('[1]observations-276632'!W585&gt;'[1]Methods write-up'!$Q$21,'[1]observations-276632'!W585&lt;'[1]Methods write-up'!$R$21,'[1]observations-276632'!X585&gt;'[1]Methods write-up'!$S$21,'[1]observations-276632'!X585&lt;'[1]Methods write-up'!$T$21),"Desert and high aridity","")</f>
        <v>Desert and high aridity</v>
      </c>
      <c r="BD585" s="23" t="str">
        <f t="shared" si="41"/>
        <v>Desert and high aridity</v>
      </c>
      <c r="BE585" s="24">
        <f t="shared" si="39"/>
        <v>7</v>
      </c>
      <c r="BF585" s="24">
        <f t="shared" si="40"/>
        <v>11</v>
      </c>
    </row>
    <row r="586" spans="1:58" ht="16.25" customHeight="1" x14ac:dyDescent="0.2">
      <c r="A586">
        <v>64430577</v>
      </c>
      <c r="B586" t="s">
        <v>4340</v>
      </c>
      <c r="C586" s="14">
        <v>44143</v>
      </c>
      <c r="D586" t="s">
        <v>4341</v>
      </c>
      <c r="E586" t="s">
        <v>113</v>
      </c>
      <c r="F586">
        <v>2629943</v>
      </c>
      <c r="G586" t="s">
        <v>4009</v>
      </c>
      <c r="H586" t="s">
        <v>4010</v>
      </c>
      <c r="I586" t="s">
        <v>4342</v>
      </c>
      <c r="J586" t="s">
        <v>4343</v>
      </c>
      <c r="K586" t="s">
        <v>62</v>
      </c>
      <c r="L586" t="s">
        <v>63</v>
      </c>
      <c r="M586" t="s">
        <v>4344</v>
      </c>
      <c r="N586" t="s">
        <v>4345</v>
      </c>
      <c r="R586">
        <v>3</v>
      </c>
      <c r="S586">
        <v>0</v>
      </c>
      <c r="T586" t="b">
        <v>0</v>
      </c>
      <c r="U586">
        <v>2</v>
      </c>
      <c r="V586" t="s">
        <v>4346</v>
      </c>
      <c r="W586" s="15">
        <v>-17.775361440000001</v>
      </c>
      <c r="X586" s="15">
        <v>31.025565969999999</v>
      </c>
      <c r="Y586">
        <v>30</v>
      </c>
      <c r="AC586">
        <v>30</v>
      </c>
      <c r="AF586" t="b">
        <v>0</v>
      </c>
      <c r="AG586" t="s">
        <v>350</v>
      </c>
      <c r="AH586" t="s">
        <v>350</v>
      </c>
      <c r="AI586" t="s">
        <v>71</v>
      </c>
      <c r="AJ586" t="s">
        <v>70</v>
      </c>
      <c r="AK586" t="s">
        <v>71</v>
      </c>
      <c r="AL586" t="s">
        <v>72</v>
      </c>
      <c r="AM586">
        <v>346053</v>
      </c>
      <c r="AO586" s="16" t="s">
        <v>140</v>
      </c>
      <c r="AP586" s="17" t="str">
        <f t="shared" si="38"/>
        <v>Post-emergence nest</v>
      </c>
      <c r="AQ586" s="18">
        <v>3</v>
      </c>
      <c r="AT586" s="19" t="s">
        <v>141</v>
      </c>
      <c r="AU586" s="20" t="s">
        <v>104</v>
      </c>
      <c r="AX586" s="22" t="str">
        <f>IF(AND('[1]observations-276632'!W586&gt;'[1]Methods write-up'!$Q$16,'[1]observations-276632'!W586&lt;'[1]Methods write-up'!$R$16,'[1]observations-276632'!X586&gt;'[1]Methods write-up'!$S$16,'[1]observations-276632'!X586&lt;'[1]Methods write-up'!$T$16),"West and Central Africa","")</f>
        <v/>
      </c>
      <c r="AY586" s="22" t="str">
        <f>IF(AND('[1]observations-276632'!W586&gt;'[1]Methods write-up'!$Q$17,'[1]observations-276632'!W586&lt;'[1]Methods write-up'!$R$17,'[1]observations-276632'!X586&gt;'[1]Methods write-up'!$S$17,'[1]observations-276632'!X586&lt;'[1]Methods write-up'!$T$17),"Equatorial tropical forest","")</f>
        <v/>
      </c>
      <c r="AZ586" s="22" t="str">
        <f>IF(AND('[1]observations-276632'!W586&gt;'[1]Methods write-up'!$Q$18,'[1]observations-276632'!W586&lt;'[1]Methods write-up'!$R$18,'[1]observations-276632'!X586&gt;'[1]Methods write-up'!$S$18,'[1]observations-276632'!X586&lt;'[1]Methods write-up'!$T$18),"Somali peninsula","")</f>
        <v/>
      </c>
      <c r="BA586" s="22" t="str">
        <f>IF(AND('[1]observations-276632'!W586&gt;'[1]Methods write-up'!$Q$19,'[1]observations-276632'!W586&lt;'[1]Methods write-up'!$R$19,'[1]observations-276632'!X586&gt;'[1]Methods write-up'!$S$19,'[1]observations-276632'!X586&lt;'[1]Methods write-up'!$T$19),"East Africa","")</f>
        <v/>
      </c>
      <c r="BB586" s="22" t="str">
        <f>IF(AND('[1]observations-276632'!W586&gt;'[1]Methods write-up'!$Q$20,'[1]observations-276632'!W586&lt;'[1]Methods write-up'!$R$20,'[1]observations-276632'!X586&gt;'[1]Methods write-up'!$S$20,'[1]observations-276632'!X586&lt;'[1]Methods write-up'!$T$20),"Temperate seasonal","")</f>
        <v/>
      </c>
      <c r="BC586" s="22" t="str">
        <f>IF(AND('[1]observations-276632'!W586&gt;'[1]Methods write-up'!$Q$21,'[1]observations-276632'!W586&lt;'[1]Methods write-up'!$R$21,'[1]observations-276632'!X586&gt;'[1]Methods write-up'!$S$21,'[1]observations-276632'!X586&lt;'[1]Methods write-up'!$T$21),"Desert and high aridity","")</f>
        <v/>
      </c>
      <c r="BD586" s="23" t="str">
        <f t="shared" si="41"/>
        <v/>
      </c>
      <c r="BE586" s="24">
        <f t="shared" si="39"/>
        <v>8</v>
      </c>
      <c r="BF586" s="24">
        <f t="shared" si="40"/>
        <v>11</v>
      </c>
    </row>
    <row r="587" spans="1:58" ht="16.25" customHeight="1" x14ac:dyDescent="0.2">
      <c r="A587">
        <v>64448535</v>
      </c>
      <c r="B587" t="s">
        <v>4347</v>
      </c>
      <c r="C587" s="14">
        <v>44142</v>
      </c>
      <c r="D587" t="s">
        <v>4348</v>
      </c>
      <c r="E587" t="s">
        <v>113</v>
      </c>
      <c r="F587">
        <v>3470427</v>
      </c>
      <c r="G587" t="s">
        <v>4044</v>
      </c>
      <c r="H587" t="s">
        <v>4045</v>
      </c>
      <c r="I587" t="s">
        <v>4349</v>
      </c>
      <c r="J587" t="s">
        <v>4350</v>
      </c>
      <c r="K587" t="s">
        <v>62</v>
      </c>
      <c r="M587" t="s">
        <v>4351</v>
      </c>
      <c r="N587" t="s">
        <v>4352</v>
      </c>
      <c r="R587">
        <v>3</v>
      </c>
      <c r="S587">
        <v>0</v>
      </c>
      <c r="T587" t="b">
        <v>0</v>
      </c>
      <c r="U587">
        <v>2</v>
      </c>
      <c r="V587" t="s">
        <v>4353</v>
      </c>
      <c r="W587" s="15">
        <v>-18.96390517</v>
      </c>
      <c r="X587" s="15">
        <v>32.6763057</v>
      </c>
      <c r="Y587">
        <v>2002</v>
      </c>
      <c r="AC587">
        <v>2002</v>
      </c>
      <c r="AF587" t="b">
        <v>0</v>
      </c>
      <c r="AG587" t="s">
        <v>350</v>
      </c>
      <c r="AH587" t="s">
        <v>350</v>
      </c>
      <c r="AI587" t="s">
        <v>71</v>
      </c>
      <c r="AJ587" t="s">
        <v>70</v>
      </c>
      <c r="AK587" t="s">
        <v>71</v>
      </c>
      <c r="AL587" t="s">
        <v>72</v>
      </c>
      <c r="AM587">
        <v>346053</v>
      </c>
      <c r="AO587" s="16" t="s">
        <v>1574</v>
      </c>
      <c r="AP587" s="17" t="str">
        <f t="shared" si="38"/>
        <v>Nest (foundress)</v>
      </c>
      <c r="AQ587" s="18">
        <v>1</v>
      </c>
      <c r="AT587" s="19" t="s">
        <v>104</v>
      </c>
      <c r="AX587" s="22" t="str">
        <f>IF(AND('[1]observations-276632'!W587&gt;'[1]Methods write-up'!$Q$16,'[1]observations-276632'!W587&lt;'[1]Methods write-up'!$R$16,'[1]observations-276632'!X587&gt;'[1]Methods write-up'!$S$16,'[1]observations-276632'!X587&lt;'[1]Methods write-up'!$T$16),"West and Central Africa","")</f>
        <v/>
      </c>
      <c r="AY587" s="22" t="str">
        <f>IF(AND('[1]observations-276632'!W587&gt;'[1]Methods write-up'!$Q$17,'[1]observations-276632'!W587&lt;'[1]Methods write-up'!$R$17,'[1]observations-276632'!X587&gt;'[1]Methods write-up'!$S$17,'[1]observations-276632'!X587&lt;'[1]Methods write-up'!$T$17),"Equatorial tropical forest","")</f>
        <v/>
      </c>
      <c r="AZ587" s="22" t="str">
        <f>IF(AND('[1]observations-276632'!W587&gt;'[1]Methods write-up'!$Q$18,'[1]observations-276632'!W587&lt;'[1]Methods write-up'!$R$18,'[1]observations-276632'!X587&gt;'[1]Methods write-up'!$S$18,'[1]observations-276632'!X587&lt;'[1]Methods write-up'!$T$18),"Somali peninsula","")</f>
        <v/>
      </c>
      <c r="BA587" s="22" t="str">
        <f>IF(AND('[1]observations-276632'!W587&gt;'[1]Methods write-up'!$Q$19,'[1]observations-276632'!W587&lt;'[1]Methods write-up'!$R$19,'[1]observations-276632'!X587&gt;'[1]Methods write-up'!$S$19,'[1]observations-276632'!X587&lt;'[1]Methods write-up'!$T$19),"East Africa","")</f>
        <v/>
      </c>
      <c r="BB587" s="22" t="str">
        <f>IF(AND('[1]observations-276632'!W587&gt;'[1]Methods write-up'!$Q$20,'[1]observations-276632'!W587&lt;'[1]Methods write-up'!$R$20,'[1]observations-276632'!X587&gt;'[1]Methods write-up'!$S$20,'[1]observations-276632'!X587&lt;'[1]Methods write-up'!$T$20),"Temperate seasonal","")</f>
        <v/>
      </c>
      <c r="BC587" s="22" t="str">
        <f>IF(AND('[1]observations-276632'!W587&gt;'[1]Methods write-up'!$Q$21,'[1]observations-276632'!W587&lt;'[1]Methods write-up'!$R$21,'[1]observations-276632'!X587&gt;'[1]Methods write-up'!$S$21,'[1]observations-276632'!X587&lt;'[1]Methods write-up'!$T$21),"Desert and high aridity","")</f>
        <v/>
      </c>
      <c r="BD587" s="23" t="str">
        <f t="shared" si="41"/>
        <v/>
      </c>
      <c r="BE587" s="24">
        <f t="shared" si="39"/>
        <v>7</v>
      </c>
      <c r="BF587" s="24">
        <f t="shared" si="40"/>
        <v>11</v>
      </c>
    </row>
    <row r="588" spans="1:58" ht="16.25" customHeight="1" x14ac:dyDescent="0.2">
      <c r="A588">
        <v>64549717</v>
      </c>
      <c r="B588" t="s">
        <v>4354</v>
      </c>
      <c r="C588" s="14">
        <v>44144</v>
      </c>
      <c r="D588" t="s">
        <v>4355</v>
      </c>
      <c r="E588" t="s">
        <v>1408</v>
      </c>
      <c r="F588">
        <v>466168</v>
      </c>
      <c r="G588" t="s">
        <v>4356</v>
      </c>
      <c r="H588" t="s">
        <v>4357</v>
      </c>
      <c r="I588" t="s">
        <v>4358</v>
      </c>
      <c r="J588" t="s">
        <v>4359</v>
      </c>
      <c r="K588" t="s">
        <v>157</v>
      </c>
      <c r="M588" t="s">
        <v>4360</v>
      </c>
      <c r="N588" t="s">
        <v>4361</v>
      </c>
      <c r="Q588" t="s">
        <v>4362</v>
      </c>
      <c r="R588">
        <v>2</v>
      </c>
      <c r="S588">
        <v>0</v>
      </c>
      <c r="T588" t="b">
        <v>0</v>
      </c>
      <c r="U588">
        <v>2</v>
      </c>
      <c r="V588" t="s">
        <v>4363</v>
      </c>
      <c r="W588" s="15">
        <v>12.57499189</v>
      </c>
      <c r="X588" s="15">
        <v>-7.8076137230000002</v>
      </c>
      <c r="Y588">
        <v>8</v>
      </c>
      <c r="AC588">
        <v>8</v>
      </c>
      <c r="AF588" t="b">
        <v>0</v>
      </c>
      <c r="AG588" t="s">
        <v>350</v>
      </c>
      <c r="AH588" t="s">
        <v>350</v>
      </c>
      <c r="AI588" t="s">
        <v>102</v>
      </c>
      <c r="AJ588" t="s">
        <v>102</v>
      </c>
      <c r="AL588" t="s">
        <v>72</v>
      </c>
      <c r="AM588">
        <v>1070939</v>
      </c>
      <c r="AO588" s="16" t="s">
        <v>73</v>
      </c>
      <c r="AP588" s="17" t="str">
        <f t="shared" ref="AP588:AP632" si="42">IF(COUNTIF(AO588,"*foundress*"),"Nest (foundress)",AO588)</f>
        <v>Off-nest female</v>
      </c>
      <c r="AX588" s="22" t="str">
        <f>IF(AND('[1]observations-276632'!W588&gt;'[1]Methods write-up'!$Q$16,'[1]observations-276632'!W588&lt;'[1]Methods write-up'!$R$16,'[1]observations-276632'!X588&gt;'[1]Methods write-up'!$S$16,'[1]observations-276632'!X588&lt;'[1]Methods write-up'!$T$16),"West and Central Africa","")</f>
        <v/>
      </c>
      <c r="AY588" s="22" t="str">
        <f>IF(AND('[1]observations-276632'!W588&gt;'[1]Methods write-up'!$Q$17,'[1]observations-276632'!W588&lt;'[1]Methods write-up'!$R$17,'[1]observations-276632'!X588&gt;'[1]Methods write-up'!$S$17,'[1]observations-276632'!X588&lt;'[1]Methods write-up'!$T$17),"Equatorial tropical forest","")</f>
        <v/>
      </c>
      <c r="AZ588" s="22" t="str">
        <f>IF(AND('[1]observations-276632'!W588&gt;'[1]Methods write-up'!$Q$18,'[1]observations-276632'!W588&lt;'[1]Methods write-up'!$R$18,'[1]observations-276632'!X588&gt;'[1]Methods write-up'!$S$18,'[1]observations-276632'!X588&lt;'[1]Methods write-up'!$T$18),"Somali peninsula","")</f>
        <v/>
      </c>
      <c r="BA588" s="22" t="str">
        <f>IF(AND('[1]observations-276632'!W588&gt;'[1]Methods write-up'!$Q$19,'[1]observations-276632'!W588&lt;'[1]Methods write-up'!$R$19,'[1]observations-276632'!X588&gt;'[1]Methods write-up'!$S$19,'[1]observations-276632'!X588&lt;'[1]Methods write-up'!$T$19),"East Africa","")</f>
        <v/>
      </c>
      <c r="BB588" s="22" t="str">
        <f>IF(AND('[1]observations-276632'!W588&gt;'[1]Methods write-up'!$Q$20,'[1]observations-276632'!W588&lt;'[1]Methods write-up'!$R$20,'[1]observations-276632'!X588&gt;'[1]Methods write-up'!$S$20,'[1]observations-276632'!X588&lt;'[1]Methods write-up'!$T$20),"Temperate seasonal","")</f>
        <v/>
      </c>
      <c r="BC588" s="22" t="str">
        <f>IF(AND('[1]observations-276632'!W588&gt;'[1]Methods write-up'!$Q$21,'[1]observations-276632'!W588&lt;'[1]Methods write-up'!$R$21,'[1]observations-276632'!X588&gt;'[1]Methods write-up'!$S$21,'[1]observations-276632'!X588&lt;'[1]Methods write-up'!$T$21),"Desert and high aridity","")</f>
        <v/>
      </c>
      <c r="BD588" s="23" t="str">
        <f t="shared" si="41"/>
        <v/>
      </c>
      <c r="BE588" s="24">
        <f t="shared" si="39"/>
        <v>9</v>
      </c>
      <c r="BF588" s="24">
        <f t="shared" si="40"/>
        <v>11</v>
      </c>
    </row>
    <row r="589" spans="1:58" ht="16.25" customHeight="1" x14ac:dyDescent="0.2">
      <c r="A589">
        <v>64683979</v>
      </c>
      <c r="B589" t="s">
        <v>4364</v>
      </c>
      <c r="C589" s="14">
        <v>43687</v>
      </c>
      <c r="D589" t="s">
        <v>4365</v>
      </c>
      <c r="E589" t="s">
        <v>243</v>
      </c>
      <c r="F589">
        <v>2584581</v>
      </c>
      <c r="G589" t="s">
        <v>3083</v>
      </c>
      <c r="H589" t="s">
        <v>3084</v>
      </c>
      <c r="I589" t="s">
        <v>4366</v>
      </c>
      <c r="J589" t="s">
        <v>4367</v>
      </c>
      <c r="K589" t="s">
        <v>62</v>
      </c>
      <c r="L589" t="s">
        <v>63</v>
      </c>
      <c r="M589" t="s">
        <v>4368</v>
      </c>
      <c r="N589" t="s">
        <v>4369</v>
      </c>
      <c r="R589">
        <v>1</v>
      </c>
      <c r="S589">
        <v>0</v>
      </c>
      <c r="T589" t="b">
        <v>0</v>
      </c>
      <c r="V589" t="s">
        <v>4370</v>
      </c>
      <c r="W589" s="15">
        <v>7.406082262</v>
      </c>
      <c r="X589" s="15">
        <v>0.44991161499999999</v>
      </c>
      <c r="Y589">
        <v>15</v>
      </c>
      <c r="AC589">
        <v>15</v>
      </c>
      <c r="AF589" t="b">
        <v>0</v>
      </c>
      <c r="AI589" t="s">
        <v>71</v>
      </c>
      <c r="AJ589" t="s">
        <v>70</v>
      </c>
      <c r="AK589" t="s">
        <v>71</v>
      </c>
      <c r="AL589" t="s">
        <v>72</v>
      </c>
      <c r="AM589">
        <v>346053</v>
      </c>
      <c r="AO589" s="16" t="s">
        <v>110</v>
      </c>
      <c r="AP589" s="17" t="str">
        <f t="shared" si="42"/>
        <v>Nest (foundress)</v>
      </c>
      <c r="AQ589" s="18">
        <v>1</v>
      </c>
      <c r="AT589" s="19" t="s">
        <v>104</v>
      </c>
      <c r="AX589" s="22" t="str">
        <f>IF(AND('[1]observations-276632'!W589&gt;'[1]Methods write-up'!$Q$16,'[1]observations-276632'!W589&lt;'[1]Methods write-up'!$R$16,'[1]observations-276632'!X589&gt;'[1]Methods write-up'!$S$16,'[1]observations-276632'!X589&lt;'[1]Methods write-up'!$T$16),"West and Central Africa","")</f>
        <v>West and Central Africa</v>
      </c>
      <c r="AY589" s="22" t="str">
        <f>IF(AND('[1]observations-276632'!W589&gt;'[1]Methods write-up'!$Q$17,'[1]observations-276632'!W589&lt;'[1]Methods write-up'!$R$17,'[1]observations-276632'!X589&gt;'[1]Methods write-up'!$S$17,'[1]observations-276632'!X589&lt;'[1]Methods write-up'!$T$17),"Equatorial tropical forest","")</f>
        <v/>
      </c>
      <c r="AZ589" s="22" t="str">
        <f>IF(AND('[1]observations-276632'!W589&gt;'[1]Methods write-up'!$Q$18,'[1]observations-276632'!W589&lt;'[1]Methods write-up'!$R$18,'[1]observations-276632'!X589&gt;'[1]Methods write-up'!$S$18,'[1]observations-276632'!X589&lt;'[1]Methods write-up'!$T$18),"Somali peninsula","")</f>
        <v/>
      </c>
      <c r="BA589" s="22" t="str">
        <f>IF(AND('[1]observations-276632'!W589&gt;'[1]Methods write-up'!$Q$19,'[1]observations-276632'!W589&lt;'[1]Methods write-up'!$R$19,'[1]observations-276632'!X589&gt;'[1]Methods write-up'!$S$19,'[1]observations-276632'!X589&lt;'[1]Methods write-up'!$T$19),"East Africa","")</f>
        <v/>
      </c>
      <c r="BB589" s="22" t="str">
        <f>IF(AND('[1]observations-276632'!W589&gt;'[1]Methods write-up'!$Q$20,'[1]observations-276632'!W589&lt;'[1]Methods write-up'!$R$20,'[1]observations-276632'!X589&gt;'[1]Methods write-up'!$S$20,'[1]observations-276632'!X589&lt;'[1]Methods write-up'!$T$20),"Temperate seasonal","")</f>
        <v/>
      </c>
      <c r="BC589" s="22" t="str">
        <f>IF(AND('[1]observations-276632'!W589&gt;'[1]Methods write-up'!$Q$21,'[1]observations-276632'!W589&lt;'[1]Methods write-up'!$R$21,'[1]observations-276632'!X589&gt;'[1]Methods write-up'!$S$21,'[1]observations-276632'!X589&lt;'[1]Methods write-up'!$T$21),"Desert and high aridity","")</f>
        <v/>
      </c>
      <c r="BD589" s="23" t="str">
        <f t="shared" si="41"/>
        <v>West and Central Africa</v>
      </c>
      <c r="BE589" s="24">
        <f t="shared" si="39"/>
        <v>10</v>
      </c>
      <c r="BF589" s="24">
        <f t="shared" si="40"/>
        <v>8</v>
      </c>
    </row>
    <row r="590" spans="1:58" ht="16.25" customHeight="1" x14ac:dyDescent="0.2">
      <c r="A590">
        <v>64734559</v>
      </c>
      <c r="B590" t="s">
        <v>4371</v>
      </c>
      <c r="C590" s="14">
        <v>44147</v>
      </c>
      <c r="D590" t="s">
        <v>4372</v>
      </c>
      <c r="E590" t="s">
        <v>113</v>
      </c>
      <c r="F590">
        <v>390621</v>
      </c>
      <c r="G590" t="s">
        <v>863</v>
      </c>
      <c r="H590" t="s">
        <v>864</v>
      </c>
      <c r="I590" t="s">
        <v>4373</v>
      </c>
      <c r="J590" t="s">
        <v>4374</v>
      </c>
      <c r="K590" t="s">
        <v>62</v>
      </c>
      <c r="L590" t="s">
        <v>63</v>
      </c>
      <c r="M590" t="s">
        <v>4375</v>
      </c>
      <c r="N590" t="s">
        <v>4376</v>
      </c>
      <c r="R590">
        <v>2</v>
      </c>
      <c r="S590">
        <v>0</v>
      </c>
      <c r="T590" t="b">
        <v>0</v>
      </c>
      <c r="V590" t="s">
        <v>871</v>
      </c>
      <c r="W590" s="15">
        <v>-33.941914480000001</v>
      </c>
      <c r="X590" s="15">
        <v>22.461703880000002</v>
      </c>
      <c r="Y590">
        <v>97</v>
      </c>
      <c r="AC590">
        <v>97</v>
      </c>
      <c r="AF590" t="b">
        <v>0</v>
      </c>
      <c r="AI590" t="s">
        <v>71</v>
      </c>
      <c r="AJ590" t="s">
        <v>70</v>
      </c>
      <c r="AK590" t="s">
        <v>71</v>
      </c>
      <c r="AL590" t="s">
        <v>72</v>
      </c>
      <c r="AM590">
        <v>346053</v>
      </c>
      <c r="AO590" s="16" t="s">
        <v>73</v>
      </c>
      <c r="AP590" s="17" t="str">
        <f t="shared" si="42"/>
        <v>Off-nest female</v>
      </c>
      <c r="AX590" s="22" t="str">
        <f>IF(AND('[1]observations-276632'!W590&gt;'[1]Methods write-up'!$Q$16,'[1]observations-276632'!W590&lt;'[1]Methods write-up'!$R$16,'[1]observations-276632'!X590&gt;'[1]Methods write-up'!$S$16,'[1]observations-276632'!X590&lt;'[1]Methods write-up'!$T$16),"West and Central Africa","")</f>
        <v/>
      </c>
      <c r="AY590" s="22" t="str">
        <f>IF(AND('[1]observations-276632'!W590&gt;'[1]Methods write-up'!$Q$17,'[1]observations-276632'!W590&lt;'[1]Methods write-up'!$R$17,'[1]observations-276632'!X590&gt;'[1]Methods write-up'!$S$17,'[1]observations-276632'!X590&lt;'[1]Methods write-up'!$T$17),"Equatorial tropical forest","")</f>
        <v/>
      </c>
      <c r="AZ590" s="22" t="str">
        <f>IF(AND('[1]observations-276632'!W590&gt;'[1]Methods write-up'!$Q$18,'[1]observations-276632'!W590&lt;'[1]Methods write-up'!$R$18,'[1]observations-276632'!X590&gt;'[1]Methods write-up'!$S$18,'[1]observations-276632'!X590&lt;'[1]Methods write-up'!$T$18),"Somali peninsula","")</f>
        <v/>
      </c>
      <c r="BA590" s="22" t="str">
        <f>IF(AND('[1]observations-276632'!W590&gt;'[1]Methods write-up'!$Q$19,'[1]observations-276632'!W590&lt;'[1]Methods write-up'!$R$19,'[1]observations-276632'!X590&gt;'[1]Methods write-up'!$S$19,'[1]observations-276632'!X590&lt;'[1]Methods write-up'!$T$19),"East Africa","")</f>
        <v/>
      </c>
      <c r="BB590" s="22" t="str">
        <f>IF(AND('[1]observations-276632'!W590&gt;'[1]Methods write-up'!$Q$20,'[1]observations-276632'!W590&lt;'[1]Methods write-up'!$R$20,'[1]observations-276632'!X590&gt;'[1]Methods write-up'!$S$20,'[1]observations-276632'!X590&lt;'[1]Methods write-up'!$T$20),"Temperate seasonal","")</f>
        <v/>
      </c>
      <c r="BC590" s="22" t="str">
        <f>IF(AND('[1]observations-276632'!W590&gt;'[1]Methods write-up'!$Q$21,'[1]observations-276632'!W590&lt;'[1]Methods write-up'!$R$21,'[1]observations-276632'!X590&gt;'[1]Methods write-up'!$S$21,'[1]observations-276632'!X590&lt;'[1]Methods write-up'!$T$21),"Desert and high aridity","")</f>
        <v/>
      </c>
      <c r="BD590" s="23" t="str">
        <f t="shared" si="41"/>
        <v/>
      </c>
      <c r="BE590" s="24">
        <f t="shared" si="39"/>
        <v>12</v>
      </c>
      <c r="BF590" s="24">
        <f t="shared" si="40"/>
        <v>11</v>
      </c>
    </row>
    <row r="591" spans="1:58" ht="16.25" customHeight="1" x14ac:dyDescent="0.2">
      <c r="A591">
        <v>65122330</v>
      </c>
      <c r="B591" t="s">
        <v>4377</v>
      </c>
      <c r="C591" s="14">
        <v>44087</v>
      </c>
      <c r="D591" t="s">
        <v>4378</v>
      </c>
      <c r="E591" t="s">
        <v>57</v>
      </c>
      <c r="F591">
        <v>678008</v>
      </c>
      <c r="G591" t="s">
        <v>2315</v>
      </c>
      <c r="I591" t="s">
        <v>4379</v>
      </c>
      <c r="J591" t="s">
        <v>4380</v>
      </c>
      <c r="K591" t="s">
        <v>62</v>
      </c>
      <c r="L591" t="s">
        <v>63</v>
      </c>
      <c r="M591" t="s">
        <v>4381</v>
      </c>
      <c r="N591" t="s">
        <v>4382</v>
      </c>
      <c r="R591">
        <v>2</v>
      </c>
      <c r="S591">
        <v>0</v>
      </c>
      <c r="T591" t="b">
        <v>0</v>
      </c>
      <c r="V591" t="s">
        <v>4383</v>
      </c>
      <c r="W591" s="15">
        <v>-15.259285289999999</v>
      </c>
      <c r="X591" s="15">
        <v>28.47009856</v>
      </c>
      <c r="Y591">
        <v>1060</v>
      </c>
      <c r="AC591">
        <v>1060</v>
      </c>
      <c r="AF591" t="b">
        <v>0</v>
      </c>
      <c r="AI591" t="s">
        <v>71</v>
      </c>
      <c r="AJ591" t="s">
        <v>70</v>
      </c>
      <c r="AK591" t="s">
        <v>71</v>
      </c>
      <c r="AL591" t="s">
        <v>72</v>
      </c>
      <c r="AM591">
        <v>346053</v>
      </c>
      <c r="AO591" s="16" t="s">
        <v>73</v>
      </c>
      <c r="AP591" s="17" t="str">
        <f t="shared" si="42"/>
        <v>Off-nest female</v>
      </c>
      <c r="AX591" s="22" t="str">
        <f>IF(AND('[1]observations-276632'!W591&gt;'[1]Methods write-up'!$Q$16,'[1]observations-276632'!W591&lt;'[1]Methods write-up'!$R$16,'[1]observations-276632'!X591&gt;'[1]Methods write-up'!$S$16,'[1]observations-276632'!X591&lt;'[1]Methods write-up'!$T$16),"West and Central Africa","")</f>
        <v>West and Central Africa</v>
      </c>
      <c r="AY591" s="22" t="str">
        <f>IF(AND('[1]observations-276632'!W591&gt;'[1]Methods write-up'!$Q$17,'[1]observations-276632'!W591&lt;'[1]Methods write-up'!$R$17,'[1]observations-276632'!X591&gt;'[1]Methods write-up'!$S$17,'[1]observations-276632'!X591&lt;'[1]Methods write-up'!$T$17),"Equatorial tropical forest","")</f>
        <v/>
      </c>
      <c r="AZ591" s="22" t="str">
        <f>IF(AND('[1]observations-276632'!W591&gt;'[1]Methods write-up'!$Q$18,'[1]observations-276632'!W591&lt;'[1]Methods write-up'!$R$18,'[1]observations-276632'!X591&gt;'[1]Methods write-up'!$S$18,'[1]observations-276632'!X591&lt;'[1]Methods write-up'!$T$18),"Somali peninsula","")</f>
        <v/>
      </c>
      <c r="BA591" s="22" t="str">
        <f>IF(AND('[1]observations-276632'!W591&gt;'[1]Methods write-up'!$Q$19,'[1]observations-276632'!W591&lt;'[1]Methods write-up'!$R$19,'[1]observations-276632'!X591&gt;'[1]Methods write-up'!$S$19,'[1]observations-276632'!X591&lt;'[1]Methods write-up'!$T$19),"East Africa","")</f>
        <v/>
      </c>
      <c r="BB591" s="22" t="str">
        <f>IF(AND('[1]observations-276632'!W591&gt;'[1]Methods write-up'!$Q$20,'[1]observations-276632'!W591&lt;'[1]Methods write-up'!$R$20,'[1]observations-276632'!X591&gt;'[1]Methods write-up'!$S$20,'[1]observations-276632'!X591&lt;'[1]Methods write-up'!$T$20),"Temperate seasonal","")</f>
        <v/>
      </c>
      <c r="BC591" s="22" t="str">
        <f>IF(AND('[1]observations-276632'!W591&gt;'[1]Methods write-up'!$Q$21,'[1]observations-276632'!W591&lt;'[1]Methods write-up'!$R$21,'[1]observations-276632'!X591&gt;'[1]Methods write-up'!$S$21,'[1]observations-276632'!X591&lt;'[1]Methods write-up'!$T$21),"Desert and high aridity","")</f>
        <v/>
      </c>
      <c r="BD591" s="23" t="str">
        <f t="shared" si="41"/>
        <v>West and Central Africa</v>
      </c>
      <c r="BE591" s="24">
        <f t="shared" si="39"/>
        <v>13</v>
      </c>
      <c r="BF591" s="24">
        <f t="shared" si="40"/>
        <v>9</v>
      </c>
    </row>
    <row r="592" spans="1:58" ht="16.25" customHeight="1" x14ac:dyDescent="0.2">
      <c r="A592">
        <v>65279206</v>
      </c>
      <c r="B592" t="s">
        <v>4384</v>
      </c>
      <c r="C592" s="14">
        <v>44155</v>
      </c>
      <c r="D592" t="s">
        <v>4385</v>
      </c>
      <c r="E592" t="s">
        <v>1408</v>
      </c>
      <c r="F592">
        <v>466168</v>
      </c>
      <c r="G592" t="s">
        <v>4356</v>
      </c>
      <c r="H592" t="s">
        <v>4357</v>
      </c>
      <c r="I592" t="s">
        <v>4386</v>
      </c>
      <c r="J592" t="s">
        <v>4387</v>
      </c>
      <c r="K592" t="s">
        <v>157</v>
      </c>
      <c r="M592" t="s">
        <v>4388</v>
      </c>
      <c r="N592" t="s">
        <v>4389</v>
      </c>
      <c r="Q592" t="s">
        <v>4362</v>
      </c>
      <c r="R592">
        <v>1</v>
      </c>
      <c r="S592">
        <v>0</v>
      </c>
      <c r="T592" t="b">
        <v>0</v>
      </c>
      <c r="U592">
        <v>2</v>
      </c>
      <c r="V592" t="s">
        <v>4363</v>
      </c>
      <c r="W592" s="15">
        <v>12.574729120000001</v>
      </c>
      <c r="X592" s="15">
        <v>-7.8067567569999996</v>
      </c>
      <c r="Y592">
        <v>13</v>
      </c>
      <c r="AC592">
        <v>13</v>
      </c>
      <c r="AF592" t="b">
        <v>0</v>
      </c>
      <c r="AG592" t="s">
        <v>350</v>
      </c>
      <c r="AH592" t="s">
        <v>350</v>
      </c>
      <c r="AI592" t="s">
        <v>102</v>
      </c>
      <c r="AJ592" t="s">
        <v>102</v>
      </c>
      <c r="AL592" t="s">
        <v>72</v>
      </c>
      <c r="AM592">
        <v>1070939</v>
      </c>
      <c r="AO592" s="16" t="s">
        <v>140</v>
      </c>
      <c r="AP592" s="17" t="str">
        <f t="shared" si="42"/>
        <v>Post-emergence nest</v>
      </c>
      <c r="AQ592" s="18">
        <v>5</v>
      </c>
      <c r="AT592" s="19" t="s">
        <v>141</v>
      </c>
      <c r="AU592" s="20" t="s">
        <v>104</v>
      </c>
      <c r="AX592" s="22" t="str">
        <f>IF(AND('[1]observations-276632'!W592&gt;'[1]Methods write-up'!$Q$16,'[1]observations-276632'!W592&lt;'[1]Methods write-up'!$R$16,'[1]observations-276632'!X592&gt;'[1]Methods write-up'!$S$16,'[1]observations-276632'!X592&lt;'[1]Methods write-up'!$T$16),"West and Central Africa","")</f>
        <v/>
      </c>
      <c r="AY592" s="22" t="str">
        <f>IF(AND('[1]observations-276632'!W592&gt;'[1]Methods write-up'!$Q$17,'[1]observations-276632'!W592&lt;'[1]Methods write-up'!$R$17,'[1]observations-276632'!X592&gt;'[1]Methods write-up'!$S$17,'[1]observations-276632'!X592&lt;'[1]Methods write-up'!$T$17),"Equatorial tropical forest","")</f>
        <v/>
      </c>
      <c r="AZ592" s="22" t="str">
        <f>IF(AND('[1]observations-276632'!W592&gt;'[1]Methods write-up'!$Q$18,'[1]observations-276632'!W592&lt;'[1]Methods write-up'!$R$18,'[1]observations-276632'!X592&gt;'[1]Methods write-up'!$S$18,'[1]observations-276632'!X592&lt;'[1]Methods write-up'!$T$18),"Somali peninsula","")</f>
        <v/>
      </c>
      <c r="BA592" s="22" t="str">
        <f>IF(AND('[1]observations-276632'!W592&gt;'[1]Methods write-up'!$Q$19,'[1]observations-276632'!W592&lt;'[1]Methods write-up'!$R$19,'[1]observations-276632'!X592&gt;'[1]Methods write-up'!$S$19,'[1]observations-276632'!X592&lt;'[1]Methods write-up'!$T$19),"East Africa","")</f>
        <v/>
      </c>
      <c r="BB592" s="22" t="str">
        <f>IF(AND('[1]observations-276632'!W592&gt;'[1]Methods write-up'!$Q$20,'[1]observations-276632'!W592&lt;'[1]Methods write-up'!$R$20,'[1]observations-276632'!X592&gt;'[1]Methods write-up'!$S$20,'[1]observations-276632'!X592&lt;'[1]Methods write-up'!$T$20),"Temperate seasonal","")</f>
        <v/>
      </c>
      <c r="BC592" s="22" t="str">
        <f>IF(AND('[1]observations-276632'!W592&gt;'[1]Methods write-up'!$Q$21,'[1]observations-276632'!W592&lt;'[1]Methods write-up'!$R$21,'[1]observations-276632'!X592&gt;'[1]Methods write-up'!$S$21,'[1]observations-276632'!X592&lt;'[1]Methods write-up'!$T$21),"Desert and high aridity","")</f>
        <v/>
      </c>
      <c r="BD592" s="23" t="str">
        <f t="shared" si="41"/>
        <v/>
      </c>
      <c r="BE592" s="24">
        <f t="shared" si="39"/>
        <v>20</v>
      </c>
      <c r="BF592" s="24">
        <f t="shared" si="40"/>
        <v>11</v>
      </c>
    </row>
    <row r="593" spans="1:58" ht="16.25" customHeight="1" x14ac:dyDescent="0.2">
      <c r="A593">
        <v>65328460</v>
      </c>
      <c r="B593" t="s">
        <v>4390</v>
      </c>
      <c r="C593" s="14">
        <v>44138</v>
      </c>
      <c r="D593" t="s">
        <v>4391</v>
      </c>
      <c r="E593" t="s">
        <v>1408</v>
      </c>
      <c r="F593">
        <v>2541278</v>
      </c>
      <c r="G593" t="s">
        <v>4392</v>
      </c>
      <c r="H593" t="s">
        <v>4393</v>
      </c>
      <c r="I593" t="s">
        <v>4394</v>
      </c>
      <c r="J593" t="s">
        <v>4395</v>
      </c>
      <c r="K593" t="s">
        <v>62</v>
      </c>
      <c r="L593" t="s">
        <v>63</v>
      </c>
      <c r="M593" t="s">
        <v>4396</v>
      </c>
      <c r="N593" t="s">
        <v>4397</v>
      </c>
      <c r="R593">
        <v>4</v>
      </c>
      <c r="S593">
        <v>0</v>
      </c>
      <c r="T593" t="b">
        <v>0</v>
      </c>
      <c r="V593" t="s">
        <v>3179</v>
      </c>
      <c r="W593" s="15">
        <v>-26.091501409999999</v>
      </c>
      <c r="X593" s="15">
        <v>27.83763428</v>
      </c>
      <c r="Y593">
        <v>204</v>
      </c>
      <c r="AC593">
        <v>204</v>
      </c>
      <c r="AF593" t="b">
        <v>0</v>
      </c>
      <c r="AI593" t="s">
        <v>71</v>
      </c>
      <c r="AJ593" t="s">
        <v>70</v>
      </c>
      <c r="AK593" t="s">
        <v>71</v>
      </c>
      <c r="AL593" t="s">
        <v>72</v>
      </c>
      <c r="AM593">
        <v>346053</v>
      </c>
      <c r="AO593" s="16" t="s">
        <v>140</v>
      </c>
      <c r="AP593" s="17" t="str">
        <f t="shared" si="42"/>
        <v>Post-emergence nest</v>
      </c>
      <c r="AQ593" s="18">
        <v>2</v>
      </c>
      <c r="AT593" s="19" t="s">
        <v>141</v>
      </c>
      <c r="AU593" s="20" t="s">
        <v>104</v>
      </c>
      <c r="AX593" s="22" t="str">
        <f>IF(AND('[1]observations-276632'!W593&gt;'[1]Methods write-up'!$Q$16,'[1]observations-276632'!W593&lt;'[1]Methods write-up'!$R$16,'[1]observations-276632'!X593&gt;'[1]Methods write-up'!$S$16,'[1]observations-276632'!X593&lt;'[1]Methods write-up'!$T$16),"West and Central Africa","")</f>
        <v/>
      </c>
      <c r="AY593" s="22" t="str">
        <f>IF(AND('[1]observations-276632'!W593&gt;'[1]Methods write-up'!$Q$17,'[1]observations-276632'!W593&lt;'[1]Methods write-up'!$R$17,'[1]observations-276632'!X593&gt;'[1]Methods write-up'!$S$17,'[1]observations-276632'!X593&lt;'[1]Methods write-up'!$T$17),"Equatorial tropical forest","")</f>
        <v/>
      </c>
      <c r="AZ593" s="22" t="str">
        <f>IF(AND('[1]observations-276632'!W593&gt;'[1]Methods write-up'!$Q$18,'[1]observations-276632'!W593&lt;'[1]Methods write-up'!$R$18,'[1]observations-276632'!X593&gt;'[1]Methods write-up'!$S$18,'[1]observations-276632'!X593&lt;'[1]Methods write-up'!$T$18),"Somali peninsula","")</f>
        <v/>
      </c>
      <c r="BA593" s="22" t="str">
        <f>IF(AND('[1]observations-276632'!W593&gt;'[1]Methods write-up'!$Q$19,'[1]observations-276632'!W593&lt;'[1]Methods write-up'!$R$19,'[1]observations-276632'!X593&gt;'[1]Methods write-up'!$S$19,'[1]observations-276632'!X593&lt;'[1]Methods write-up'!$T$19),"East Africa","")</f>
        <v/>
      </c>
      <c r="BB593" s="22" t="str">
        <f>IF(AND('[1]observations-276632'!W593&gt;'[1]Methods write-up'!$Q$20,'[1]observations-276632'!W593&lt;'[1]Methods write-up'!$R$20,'[1]observations-276632'!X593&gt;'[1]Methods write-up'!$S$20,'[1]observations-276632'!X593&lt;'[1]Methods write-up'!$T$20),"Temperate seasonal","")</f>
        <v>Temperate seasonal</v>
      </c>
      <c r="BC593" s="22" t="str">
        <f>IF(AND('[1]observations-276632'!W593&gt;'[1]Methods write-up'!$Q$21,'[1]observations-276632'!W593&lt;'[1]Methods write-up'!$R$21,'[1]observations-276632'!X593&gt;'[1]Methods write-up'!$S$21,'[1]observations-276632'!X593&lt;'[1]Methods write-up'!$T$21),"Desert and high aridity","")</f>
        <v/>
      </c>
      <c r="BD593" s="23" t="str">
        <f t="shared" si="41"/>
        <v>Temperate seasonal</v>
      </c>
      <c r="BE593" s="24">
        <f t="shared" si="39"/>
        <v>3</v>
      </c>
      <c r="BF593" s="24">
        <f t="shared" si="40"/>
        <v>11</v>
      </c>
    </row>
    <row r="594" spans="1:58" ht="16.25" customHeight="1" x14ac:dyDescent="0.2">
      <c r="A594">
        <v>65478420</v>
      </c>
      <c r="B594" t="s">
        <v>4398</v>
      </c>
      <c r="C594" s="14">
        <v>44157</v>
      </c>
      <c r="D594" t="s">
        <v>4399</v>
      </c>
      <c r="E594" t="s">
        <v>113</v>
      </c>
      <c r="F594">
        <v>389997</v>
      </c>
      <c r="G594" t="s">
        <v>942</v>
      </c>
      <c r="H594" t="s">
        <v>943</v>
      </c>
      <c r="I594" t="s">
        <v>4400</v>
      </c>
      <c r="J594" t="s">
        <v>4401</v>
      </c>
      <c r="K594" t="s">
        <v>62</v>
      </c>
      <c r="L594" t="s">
        <v>127</v>
      </c>
      <c r="M594" t="s">
        <v>4402</v>
      </c>
      <c r="N594" t="s">
        <v>4403</v>
      </c>
      <c r="R594">
        <v>3</v>
      </c>
      <c r="S594">
        <v>0</v>
      </c>
      <c r="T594" t="b">
        <v>0</v>
      </c>
      <c r="V594" t="s">
        <v>4404</v>
      </c>
      <c r="W594" s="15">
        <v>-28.373100699999998</v>
      </c>
      <c r="X594" s="15">
        <v>32.412219499999999</v>
      </c>
      <c r="Y594">
        <v>20</v>
      </c>
      <c r="AC594">
        <v>20</v>
      </c>
      <c r="AF594" t="b">
        <v>0</v>
      </c>
      <c r="AI594" t="s">
        <v>71</v>
      </c>
      <c r="AJ594" t="s">
        <v>70</v>
      </c>
      <c r="AK594" t="s">
        <v>71</v>
      </c>
      <c r="AL594" t="s">
        <v>72</v>
      </c>
      <c r="AM594">
        <v>346053</v>
      </c>
      <c r="AO594" s="16" t="s">
        <v>73</v>
      </c>
      <c r="AP594" s="17" t="str">
        <f t="shared" si="42"/>
        <v>Off-nest female</v>
      </c>
      <c r="AX594" s="22" t="str">
        <f>IF(AND('[1]observations-276632'!W594&gt;'[1]Methods write-up'!$Q$16,'[1]observations-276632'!W594&lt;'[1]Methods write-up'!$R$16,'[1]observations-276632'!X594&gt;'[1]Methods write-up'!$S$16,'[1]observations-276632'!X594&lt;'[1]Methods write-up'!$T$16),"West and Central Africa","")</f>
        <v/>
      </c>
      <c r="AY594" s="22" t="str">
        <f>IF(AND('[1]observations-276632'!W594&gt;'[1]Methods write-up'!$Q$17,'[1]observations-276632'!W594&lt;'[1]Methods write-up'!$R$17,'[1]observations-276632'!X594&gt;'[1]Methods write-up'!$S$17,'[1]observations-276632'!X594&lt;'[1]Methods write-up'!$T$17),"Equatorial tropical forest","")</f>
        <v/>
      </c>
      <c r="AZ594" s="22" t="str">
        <f>IF(AND('[1]observations-276632'!W594&gt;'[1]Methods write-up'!$Q$18,'[1]observations-276632'!W594&lt;'[1]Methods write-up'!$R$18,'[1]observations-276632'!X594&gt;'[1]Methods write-up'!$S$18,'[1]observations-276632'!X594&lt;'[1]Methods write-up'!$T$18),"Somali peninsula","")</f>
        <v/>
      </c>
      <c r="BA594" s="22" t="str">
        <f>IF(AND('[1]observations-276632'!W594&gt;'[1]Methods write-up'!$Q$19,'[1]observations-276632'!W594&lt;'[1]Methods write-up'!$R$19,'[1]observations-276632'!X594&gt;'[1]Methods write-up'!$S$19,'[1]observations-276632'!X594&lt;'[1]Methods write-up'!$T$19),"East Africa","")</f>
        <v/>
      </c>
      <c r="BB594" s="22" t="str">
        <f>IF(AND('[1]observations-276632'!W594&gt;'[1]Methods write-up'!$Q$20,'[1]observations-276632'!W594&lt;'[1]Methods write-up'!$R$20,'[1]observations-276632'!X594&gt;'[1]Methods write-up'!$S$20,'[1]observations-276632'!X594&lt;'[1]Methods write-up'!$T$20),"Temperate seasonal","")</f>
        <v>Temperate seasonal</v>
      </c>
      <c r="BC594" s="22" t="str">
        <f>IF(AND('[1]observations-276632'!W594&gt;'[1]Methods write-up'!$Q$21,'[1]observations-276632'!W594&lt;'[1]Methods write-up'!$R$21,'[1]observations-276632'!X594&gt;'[1]Methods write-up'!$S$21,'[1]observations-276632'!X594&lt;'[1]Methods write-up'!$T$21),"Desert and high aridity","")</f>
        <v/>
      </c>
      <c r="BD594" s="23" t="str">
        <f t="shared" si="41"/>
        <v>Temperate seasonal</v>
      </c>
      <c r="BE594" s="24">
        <f t="shared" si="39"/>
        <v>22</v>
      </c>
      <c r="BF594" s="24">
        <f t="shared" si="40"/>
        <v>11</v>
      </c>
    </row>
    <row r="595" spans="1:58" ht="16.25" customHeight="1" x14ac:dyDescent="0.2">
      <c r="A595">
        <v>65517374</v>
      </c>
      <c r="B595" s="13">
        <v>44145</v>
      </c>
      <c r="C595" s="14">
        <v>44145</v>
      </c>
      <c r="E595" t="s">
        <v>113</v>
      </c>
      <c r="F595">
        <v>954625</v>
      </c>
      <c r="G595" t="s">
        <v>4405</v>
      </c>
      <c r="H595" t="s">
        <v>4405</v>
      </c>
      <c r="I595" t="s">
        <v>4406</v>
      </c>
      <c r="J595" t="s">
        <v>4407</v>
      </c>
      <c r="K595" t="s">
        <v>62</v>
      </c>
      <c r="L595" t="s">
        <v>63</v>
      </c>
      <c r="M595" t="s">
        <v>4408</v>
      </c>
      <c r="N595" t="s">
        <v>4409</v>
      </c>
      <c r="R595">
        <v>2</v>
      </c>
      <c r="S595">
        <v>0</v>
      </c>
      <c r="T595" t="b">
        <v>0</v>
      </c>
      <c r="V595" t="s">
        <v>4410</v>
      </c>
      <c r="W595" s="15">
        <v>-32.115051999999999</v>
      </c>
      <c r="X595" s="15">
        <v>26.063728999999999</v>
      </c>
      <c r="Y595">
        <v>450</v>
      </c>
      <c r="AC595">
        <v>450</v>
      </c>
      <c r="AF595" t="b">
        <v>0</v>
      </c>
      <c r="AI595" t="s">
        <v>71</v>
      </c>
      <c r="AJ595" t="s">
        <v>70</v>
      </c>
      <c r="AK595" t="s">
        <v>71</v>
      </c>
      <c r="AL595" t="s">
        <v>72</v>
      </c>
      <c r="AM595">
        <v>346053</v>
      </c>
      <c r="AO595" s="16" t="s">
        <v>1356</v>
      </c>
      <c r="AP595" s="17" t="str">
        <f t="shared" si="42"/>
        <v>Nest (foundress)</v>
      </c>
      <c r="AQ595" s="18">
        <v>2</v>
      </c>
      <c r="AT595" s="19" t="s">
        <v>104</v>
      </c>
      <c r="AX595" s="22" t="str">
        <f>IF(AND('[1]observations-276632'!W595&gt;'[1]Methods write-up'!$Q$16,'[1]observations-276632'!W595&lt;'[1]Methods write-up'!$R$16,'[1]observations-276632'!X595&gt;'[1]Methods write-up'!$S$16,'[1]observations-276632'!X595&lt;'[1]Methods write-up'!$T$16),"West and Central Africa","")</f>
        <v/>
      </c>
      <c r="AY595" s="22" t="str">
        <f>IF(AND('[1]observations-276632'!W595&gt;'[1]Methods write-up'!$Q$17,'[1]observations-276632'!W595&lt;'[1]Methods write-up'!$R$17,'[1]observations-276632'!X595&gt;'[1]Methods write-up'!$S$17,'[1]observations-276632'!X595&lt;'[1]Methods write-up'!$T$17),"Equatorial tropical forest","")</f>
        <v/>
      </c>
      <c r="AZ595" s="22" t="str">
        <f>IF(AND('[1]observations-276632'!W595&gt;'[1]Methods write-up'!$Q$18,'[1]observations-276632'!W595&lt;'[1]Methods write-up'!$R$18,'[1]observations-276632'!X595&gt;'[1]Methods write-up'!$S$18,'[1]observations-276632'!X595&lt;'[1]Methods write-up'!$T$18),"Somali peninsula","")</f>
        <v/>
      </c>
      <c r="BA595" s="22" t="str">
        <f>IF(AND('[1]observations-276632'!W595&gt;'[1]Methods write-up'!$Q$19,'[1]observations-276632'!W595&lt;'[1]Methods write-up'!$R$19,'[1]observations-276632'!X595&gt;'[1]Methods write-up'!$S$19,'[1]observations-276632'!X595&lt;'[1]Methods write-up'!$T$19),"East Africa","")</f>
        <v/>
      </c>
      <c r="BB595" s="22" t="str">
        <f>IF(AND('[1]observations-276632'!W595&gt;'[1]Methods write-up'!$Q$20,'[1]observations-276632'!W595&lt;'[1]Methods write-up'!$R$20,'[1]observations-276632'!X595&gt;'[1]Methods write-up'!$S$20,'[1]observations-276632'!X595&lt;'[1]Methods write-up'!$T$20),"Temperate seasonal","")</f>
        <v/>
      </c>
      <c r="BC595" s="22" t="str">
        <f>IF(AND('[1]observations-276632'!W595&gt;'[1]Methods write-up'!$Q$21,'[1]observations-276632'!W595&lt;'[1]Methods write-up'!$R$21,'[1]observations-276632'!X595&gt;'[1]Methods write-up'!$S$21,'[1]observations-276632'!X595&lt;'[1]Methods write-up'!$T$21),"Desert and high aridity","")</f>
        <v/>
      </c>
      <c r="BD595" s="23" t="str">
        <f t="shared" si="41"/>
        <v/>
      </c>
      <c r="BE595" s="24">
        <f t="shared" si="39"/>
        <v>10</v>
      </c>
      <c r="BF595" s="24">
        <f t="shared" si="40"/>
        <v>11</v>
      </c>
    </row>
    <row r="596" spans="1:58" ht="16.25" customHeight="1" x14ac:dyDescent="0.2">
      <c r="A596">
        <v>65522899</v>
      </c>
      <c r="B596" t="s">
        <v>4411</v>
      </c>
      <c r="C596" s="14">
        <v>44159</v>
      </c>
      <c r="D596" t="s">
        <v>4412</v>
      </c>
      <c r="E596" t="s">
        <v>403</v>
      </c>
      <c r="F596">
        <v>3861874</v>
      </c>
      <c r="G596" t="s">
        <v>4413</v>
      </c>
      <c r="I596" t="s">
        <v>4414</v>
      </c>
      <c r="J596" t="s">
        <v>4415</v>
      </c>
      <c r="K596" t="s">
        <v>62</v>
      </c>
      <c r="L596" t="s">
        <v>63</v>
      </c>
      <c r="M596" t="s">
        <v>4416</v>
      </c>
      <c r="N596" t="s">
        <v>4417</v>
      </c>
      <c r="Q596" t="s">
        <v>4418</v>
      </c>
      <c r="R596">
        <v>2</v>
      </c>
      <c r="S596">
        <v>0</v>
      </c>
      <c r="T596" t="b">
        <v>0</v>
      </c>
      <c r="U596">
        <v>2</v>
      </c>
      <c r="V596" t="s">
        <v>4419</v>
      </c>
      <c r="W596" s="15">
        <v>-1.274026667</v>
      </c>
      <c r="X596" s="15">
        <v>36.813944999999997</v>
      </c>
      <c r="Y596">
        <v>9</v>
      </c>
      <c r="AC596">
        <v>9</v>
      </c>
      <c r="AF596" t="b">
        <v>0</v>
      </c>
      <c r="AI596" t="s">
        <v>71</v>
      </c>
      <c r="AJ596" t="s">
        <v>70</v>
      </c>
      <c r="AK596" t="s">
        <v>71</v>
      </c>
      <c r="AL596" t="s">
        <v>72</v>
      </c>
      <c r="AM596">
        <v>346053</v>
      </c>
      <c r="AO596" s="16" t="s">
        <v>73</v>
      </c>
      <c r="AP596" s="17" t="str">
        <f t="shared" si="42"/>
        <v>Off-nest female</v>
      </c>
      <c r="AX596" s="22" t="str">
        <f>IF(AND('[1]observations-276632'!W596&gt;'[1]Methods write-up'!$Q$16,'[1]observations-276632'!W596&lt;'[1]Methods write-up'!$R$16,'[1]observations-276632'!X596&gt;'[1]Methods write-up'!$S$16,'[1]observations-276632'!X596&lt;'[1]Methods write-up'!$T$16),"West and Central Africa","")</f>
        <v/>
      </c>
      <c r="AY596" s="22" t="str">
        <f>IF(AND('[1]observations-276632'!W596&gt;'[1]Methods write-up'!$Q$17,'[1]observations-276632'!W596&lt;'[1]Methods write-up'!$R$17,'[1]observations-276632'!X596&gt;'[1]Methods write-up'!$S$17,'[1]observations-276632'!X596&lt;'[1]Methods write-up'!$T$17),"Equatorial tropical forest","")</f>
        <v/>
      </c>
      <c r="AZ596" s="22" t="str">
        <f>IF(AND('[1]observations-276632'!W596&gt;'[1]Methods write-up'!$Q$18,'[1]observations-276632'!W596&lt;'[1]Methods write-up'!$R$18,'[1]observations-276632'!X596&gt;'[1]Methods write-up'!$S$18,'[1]observations-276632'!X596&lt;'[1]Methods write-up'!$T$18),"Somali peninsula","")</f>
        <v/>
      </c>
      <c r="BA596" s="22" t="str">
        <f>IF(AND('[1]observations-276632'!W596&gt;'[1]Methods write-up'!$Q$19,'[1]observations-276632'!W596&lt;'[1]Methods write-up'!$R$19,'[1]observations-276632'!X596&gt;'[1]Methods write-up'!$S$19,'[1]observations-276632'!X596&lt;'[1]Methods write-up'!$T$19),"East Africa","")</f>
        <v>East Africa</v>
      </c>
      <c r="BB596" s="22" t="str">
        <f>IF(AND('[1]observations-276632'!W596&gt;'[1]Methods write-up'!$Q$20,'[1]observations-276632'!W596&lt;'[1]Methods write-up'!$R$20,'[1]observations-276632'!X596&gt;'[1]Methods write-up'!$S$20,'[1]observations-276632'!X596&lt;'[1]Methods write-up'!$T$20),"Temperate seasonal","")</f>
        <v/>
      </c>
      <c r="BC596" s="22" t="str">
        <f>IF(AND('[1]observations-276632'!W596&gt;'[1]Methods write-up'!$Q$21,'[1]observations-276632'!W596&lt;'[1]Methods write-up'!$R$21,'[1]observations-276632'!X596&gt;'[1]Methods write-up'!$S$21,'[1]observations-276632'!X596&lt;'[1]Methods write-up'!$T$21),"Desert and high aridity","")</f>
        <v/>
      </c>
      <c r="BD596" s="23" t="str">
        <f t="shared" si="41"/>
        <v>East Africa</v>
      </c>
      <c r="BE596" s="24">
        <f t="shared" si="39"/>
        <v>24</v>
      </c>
      <c r="BF596" s="24">
        <f t="shared" si="40"/>
        <v>11</v>
      </c>
    </row>
    <row r="597" spans="1:58" ht="16.25" customHeight="1" x14ac:dyDescent="0.2">
      <c r="A597">
        <v>65592568</v>
      </c>
      <c r="B597" t="s">
        <v>4420</v>
      </c>
      <c r="C597" s="14">
        <v>44159</v>
      </c>
      <c r="D597" t="s">
        <v>4421</v>
      </c>
      <c r="E597" t="s">
        <v>113</v>
      </c>
      <c r="F597">
        <v>3857722</v>
      </c>
      <c r="G597" t="s">
        <v>4422</v>
      </c>
      <c r="H597" t="s">
        <v>4423</v>
      </c>
      <c r="I597" t="s">
        <v>4424</v>
      </c>
      <c r="J597" t="s">
        <v>4425</v>
      </c>
      <c r="K597" t="s">
        <v>62</v>
      </c>
      <c r="L597" t="s">
        <v>63</v>
      </c>
      <c r="M597" t="s">
        <v>4426</v>
      </c>
      <c r="N597" t="s">
        <v>4427</v>
      </c>
      <c r="R597">
        <v>2</v>
      </c>
      <c r="S597">
        <v>0</v>
      </c>
      <c r="T597" t="b">
        <v>0</v>
      </c>
      <c r="U597">
        <v>3</v>
      </c>
      <c r="V597" t="s">
        <v>4428</v>
      </c>
      <c r="W597" s="15">
        <v>-15.74103667</v>
      </c>
      <c r="X597" s="15">
        <v>34.993083329999997</v>
      </c>
      <c r="Y597">
        <v>19</v>
      </c>
      <c r="AC597">
        <v>19</v>
      </c>
      <c r="AF597" t="b">
        <v>0</v>
      </c>
      <c r="AI597" t="s">
        <v>71</v>
      </c>
      <c r="AJ597" t="s">
        <v>70</v>
      </c>
      <c r="AK597" t="s">
        <v>71</v>
      </c>
      <c r="AL597" t="s">
        <v>72</v>
      </c>
      <c r="AM597">
        <v>346053</v>
      </c>
      <c r="AO597" s="16" t="s">
        <v>73</v>
      </c>
      <c r="AP597" s="17" t="str">
        <f t="shared" si="42"/>
        <v>Off-nest female</v>
      </c>
      <c r="AX597" s="22" t="str">
        <f>IF(AND('[1]observations-276632'!W597&gt;'[1]Methods write-up'!$Q$16,'[1]observations-276632'!W597&lt;'[1]Methods write-up'!$R$16,'[1]observations-276632'!X597&gt;'[1]Methods write-up'!$S$16,'[1]observations-276632'!X597&lt;'[1]Methods write-up'!$T$16),"West and Central Africa","")</f>
        <v/>
      </c>
      <c r="AY597" s="22" t="str">
        <f>IF(AND('[1]observations-276632'!W597&gt;'[1]Methods write-up'!$Q$17,'[1]observations-276632'!W597&lt;'[1]Methods write-up'!$R$17,'[1]observations-276632'!X597&gt;'[1]Methods write-up'!$S$17,'[1]observations-276632'!X597&lt;'[1]Methods write-up'!$T$17),"Equatorial tropical forest","")</f>
        <v/>
      </c>
      <c r="AZ597" s="22" t="str">
        <f>IF(AND('[1]observations-276632'!W597&gt;'[1]Methods write-up'!$Q$18,'[1]observations-276632'!W597&lt;'[1]Methods write-up'!$R$18,'[1]observations-276632'!X597&gt;'[1]Methods write-up'!$S$18,'[1]observations-276632'!X597&lt;'[1]Methods write-up'!$T$18),"Somali peninsula","")</f>
        <v/>
      </c>
      <c r="BA597" s="22" t="str">
        <f>IF(AND('[1]observations-276632'!W597&gt;'[1]Methods write-up'!$Q$19,'[1]observations-276632'!W597&lt;'[1]Methods write-up'!$R$19,'[1]observations-276632'!X597&gt;'[1]Methods write-up'!$S$19,'[1]observations-276632'!X597&lt;'[1]Methods write-up'!$T$19),"East Africa","")</f>
        <v/>
      </c>
      <c r="BB597" s="22" t="str">
        <f>IF(AND('[1]observations-276632'!W597&gt;'[1]Methods write-up'!$Q$20,'[1]observations-276632'!W597&lt;'[1]Methods write-up'!$R$20,'[1]observations-276632'!X597&gt;'[1]Methods write-up'!$S$20,'[1]observations-276632'!X597&lt;'[1]Methods write-up'!$T$20),"Temperate seasonal","")</f>
        <v/>
      </c>
      <c r="BC597" s="22" t="str">
        <f>IF(AND('[1]observations-276632'!W597&gt;'[1]Methods write-up'!$Q$21,'[1]observations-276632'!W597&lt;'[1]Methods write-up'!$R$21,'[1]observations-276632'!X597&gt;'[1]Methods write-up'!$S$21,'[1]observations-276632'!X597&lt;'[1]Methods write-up'!$T$21),"Desert and high aridity","")</f>
        <v/>
      </c>
      <c r="BD597" s="23" t="str">
        <f t="shared" si="41"/>
        <v/>
      </c>
      <c r="BE597" s="24">
        <f t="shared" si="39"/>
        <v>24</v>
      </c>
      <c r="BF597" s="24">
        <f t="shared" si="40"/>
        <v>11</v>
      </c>
    </row>
    <row r="598" spans="1:58" ht="16.25" customHeight="1" x14ac:dyDescent="0.2">
      <c r="A598">
        <v>65688430</v>
      </c>
      <c r="B598" t="s">
        <v>4429</v>
      </c>
      <c r="C598" s="14">
        <v>44162</v>
      </c>
      <c r="D598" t="s">
        <v>4430</v>
      </c>
      <c r="E598" t="s">
        <v>57</v>
      </c>
      <c r="F598">
        <v>776547</v>
      </c>
      <c r="G598" t="s">
        <v>2671</v>
      </c>
      <c r="I598" t="s">
        <v>4431</v>
      </c>
      <c r="J598" t="s">
        <v>4432</v>
      </c>
      <c r="K598" t="s">
        <v>62</v>
      </c>
      <c r="L598" t="s">
        <v>63</v>
      </c>
      <c r="M598" t="s">
        <v>4433</v>
      </c>
      <c r="N598" t="s">
        <v>4434</v>
      </c>
      <c r="R598">
        <v>1</v>
      </c>
      <c r="S598">
        <v>0</v>
      </c>
      <c r="T598" t="b">
        <v>0</v>
      </c>
      <c r="U598">
        <v>2</v>
      </c>
      <c r="V598" t="s">
        <v>2676</v>
      </c>
      <c r="W598" s="15">
        <v>6.2772066320000004</v>
      </c>
      <c r="X598" s="15">
        <v>11.576103310000001</v>
      </c>
      <c r="Y598">
        <v>71</v>
      </c>
      <c r="AC598">
        <v>71</v>
      </c>
      <c r="AF598" t="b">
        <v>0</v>
      </c>
      <c r="AG598" t="s">
        <v>350</v>
      </c>
      <c r="AH598" t="s">
        <v>350</v>
      </c>
      <c r="AI598" t="s">
        <v>71</v>
      </c>
      <c r="AJ598" t="s">
        <v>70</v>
      </c>
      <c r="AK598" t="s">
        <v>71</v>
      </c>
      <c r="AL598" t="s">
        <v>72</v>
      </c>
      <c r="AM598">
        <v>346053</v>
      </c>
      <c r="AO598" s="16" t="s">
        <v>140</v>
      </c>
      <c r="AP598" s="17" t="str">
        <f t="shared" si="42"/>
        <v>Post-emergence nest</v>
      </c>
      <c r="AQ598" s="18">
        <v>6</v>
      </c>
      <c r="AT598" s="19" t="s">
        <v>141</v>
      </c>
      <c r="AU598" s="20" t="s">
        <v>104</v>
      </c>
      <c r="AX598" s="22" t="str">
        <f>IF(AND('[1]observations-276632'!W598&gt;'[1]Methods write-up'!$Q$16,'[1]observations-276632'!W598&lt;'[1]Methods write-up'!$R$16,'[1]observations-276632'!X598&gt;'[1]Methods write-up'!$S$16,'[1]observations-276632'!X598&lt;'[1]Methods write-up'!$T$16),"West and Central Africa","")</f>
        <v>West and Central Africa</v>
      </c>
      <c r="AY598" s="22" t="str">
        <f>IF(AND('[1]observations-276632'!W598&gt;'[1]Methods write-up'!$Q$17,'[1]observations-276632'!W598&lt;'[1]Methods write-up'!$R$17,'[1]observations-276632'!X598&gt;'[1]Methods write-up'!$S$17,'[1]observations-276632'!X598&lt;'[1]Methods write-up'!$T$17),"Equatorial tropical forest","")</f>
        <v/>
      </c>
      <c r="AZ598" s="22" t="str">
        <f>IF(AND('[1]observations-276632'!W598&gt;'[1]Methods write-up'!$Q$18,'[1]observations-276632'!W598&lt;'[1]Methods write-up'!$R$18,'[1]observations-276632'!X598&gt;'[1]Methods write-up'!$S$18,'[1]observations-276632'!X598&lt;'[1]Methods write-up'!$T$18),"Somali peninsula","")</f>
        <v/>
      </c>
      <c r="BA598" s="22" t="str">
        <f>IF(AND('[1]observations-276632'!W598&gt;'[1]Methods write-up'!$Q$19,'[1]observations-276632'!W598&lt;'[1]Methods write-up'!$R$19,'[1]observations-276632'!X598&gt;'[1]Methods write-up'!$S$19,'[1]observations-276632'!X598&lt;'[1]Methods write-up'!$T$19),"East Africa","")</f>
        <v/>
      </c>
      <c r="BB598" s="22" t="str">
        <f>IF(AND('[1]observations-276632'!W598&gt;'[1]Methods write-up'!$Q$20,'[1]observations-276632'!W598&lt;'[1]Methods write-up'!$R$20,'[1]observations-276632'!X598&gt;'[1]Methods write-up'!$S$20,'[1]observations-276632'!X598&lt;'[1]Methods write-up'!$T$20),"Temperate seasonal","")</f>
        <v/>
      </c>
      <c r="BC598" s="22" t="str">
        <f>IF(AND('[1]observations-276632'!W598&gt;'[1]Methods write-up'!$Q$21,'[1]observations-276632'!W598&lt;'[1]Methods write-up'!$R$21,'[1]observations-276632'!X598&gt;'[1]Methods write-up'!$S$21,'[1]observations-276632'!X598&lt;'[1]Methods write-up'!$T$21),"Desert and high aridity","")</f>
        <v/>
      </c>
      <c r="BD598" s="23" t="str">
        <f t="shared" si="41"/>
        <v>West and Central Africa</v>
      </c>
      <c r="BE598" s="24">
        <f t="shared" si="39"/>
        <v>27</v>
      </c>
      <c r="BF598" s="24">
        <f t="shared" si="40"/>
        <v>11</v>
      </c>
    </row>
    <row r="599" spans="1:58" ht="16.25" customHeight="1" x14ac:dyDescent="0.2">
      <c r="A599">
        <v>65847133</v>
      </c>
      <c r="B599" t="s">
        <v>4435</v>
      </c>
      <c r="C599" s="14">
        <v>44127</v>
      </c>
      <c r="D599" t="s">
        <v>4436</v>
      </c>
      <c r="E599" t="s">
        <v>84</v>
      </c>
      <c r="F599">
        <v>375489</v>
      </c>
      <c r="G599" t="s">
        <v>564</v>
      </c>
      <c r="H599" t="s">
        <v>565</v>
      </c>
      <c r="I599" t="s">
        <v>4437</v>
      </c>
      <c r="J599" t="s">
        <v>4438</v>
      </c>
      <c r="K599" t="s">
        <v>62</v>
      </c>
      <c r="L599" t="s">
        <v>63</v>
      </c>
      <c r="M599" t="s">
        <v>4439</v>
      </c>
      <c r="N599" t="s">
        <v>4440</v>
      </c>
      <c r="P599" t="s">
        <v>4441</v>
      </c>
      <c r="R599">
        <v>1</v>
      </c>
      <c r="S599">
        <v>0</v>
      </c>
      <c r="T599" t="b">
        <v>0</v>
      </c>
      <c r="V599" t="s">
        <v>4442</v>
      </c>
      <c r="W599" s="15">
        <v>0.466093333</v>
      </c>
      <c r="X599" s="15">
        <v>35.693868330000001</v>
      </c>
      <c r="AF599" t="b">
        <v>0</v>
      </c>
      <c r="AI599" t="s">
        <v>71</v>
      </c>
      <c r="AJ599" t="s">
        <v>70</v>
      </c>
      <c r="AK599" t="s">
        <v>71</v>
      </c>
      <c r="AL599" t="s">
        <v>72</v>
      </c>
      <c r="AM599">
        <v>346053</v>
      </c>
      <c r="AO599" s="16" t="s">
        <v>73</v>
      </c>
      <c r="AP599" s="17" t="str">
        <f t="shared" si="42"/>
        <v>Off-nest female</v>
      </c>
      <c r="AX599" s="22" t="str">
        <f>IF(AND('[1]observations-276632'!W599&gt;'[1]Methods write-up'!$Q$16,'[1]observations-276632'!W599&lt;'[1]Methods write-up'!$R$16,'[1]observations-276632'!X599&gt;'[1]Methods write-up'!$S$16,'[1]observations-276632'!X599&lt;'[1]Methods write-up'!$T$16),"West and Central Africa","")</f>
        <v/>
      </c>
      <c r="AY599" s="22" t="str">
        <f>IF(AND('[1]observations-276632'!W599&gt;'[1]Methods write-up'!$Q$17,'[1]observations-276632'!W599&lt;'[1]Methods write-up'!$R$17,'[1]observations-276632'!X599&gt;'[1]Methods write-up'!$S$17,'[1]observations-276632'!X599&lt;'[1]Methods write-up'!$T$17),"Equatorial tropical forest","")</f>
        <v/>
      </c>
      <c r="AZ599" s="22" t="str">
        <f>IF(AND('[1]observations-276632'!W599&gt;'[1]Methods write-up'!$Q$18,'[1]observations-276632'!W599&lt;'[1]Methods write-up'!$R$18,'[1]observations-276632'!X599&gt;'[1]Methods write-up'!$S$18,'[1]observations-276632'!X599&lt;'[1]Methods write-up'!$T$18),"Somali peninsula","")</f>
        <v/>
      </c>
      <c r="BA599" s="22" t="str">
        <f>IF(AND('[1]observations-276632'!W599&gt;'[1]Methods write-up'!$Q$19,'[1]observations-276632'!W599&lt;'[1]Methods write-up'!$R$19,'[1]observations-276632'!X599&gt;'[1]Methods write-up'!$S$19,'[1]observations-276632'!X599&lt;'[1]Methods write-up'!$T$19),"East Africa","")</f>
        <v>East Africa</v>
      </c>
      <c r="BB599" s="22" t="str">
        <f>IF(AND('[1]observations-276632'!W599&gt;'[1]Methods write-up'!$Q$20,'[1]observations-276632'!W599&lt;'[1]Methods write-up'!$R$20,'[1]observations-276632'!X599&gt;'[1]Methods write-up'!$S$20,'[1]observations-276632'!X599&lt;'[1]Methods write-up'!$T$20),"Temperate seasonal","")</f>
        <v/>
      </c>
      <c r="BC599" s="22" t="str">
        <f>IF(AND('[1]observations-276632'!W599&gt;'[1]Methods write-up'!$Q$21,'[1]observations-276632'!W599&lt;'[1]Methods write-up'!$R$21,'[1]observations-276632'!X599&gt;'[1]Methods write-up'!$S$21,'[1]observations-276632'!X599&lt;'[1]Methods write-up'!$T$21),"Desert and high aridity","")</f>
        <v/>
      </c>
      <c r="BD599" s="23" t="str">
        <f t="shared" si="41"/>
        <v>East Africa</v>
      </c>
      <c r="BE599" s="24">
        <f t="shared" si="39"/>
        <v>23</v>
      </c>
      <c r="BF599" s="24">
        <f t="shared" si="40"/>
        <v>10</v>
      </c>
    </row>
    <row r="600" spans="1:58" ht="16.25" customHeight="1" x14ac:dyDescent="0.2">
      <c r="A600">
        <v>65875819</v>
      </c>
      <c r="B600" t="s">
        <v>4443</v>
      </c>
      <c r="C600" s="14">
        <v>40797</v>
      </c>
      <c r="D600" t="s">
        <v>4444</v>
      </c>
      <c r="E600" t="s">
        <v>113</v>
      </c>
      <c r="F600">
        <v>1078067</v>
      </c>
      <c r="G600" t="s">
        <v>4445</v>
      </c>
      <c r="H600" t="s">
        <v>4446</v>
      </c>
      <c r="I600" t="s">
        <v>4447</v>
      </c>
      <c r="J600" t="s">
        <v>4448</v>
      </c>
      <c r="K600" t="s">
        <v>62</v>
      </c>
      <c r="L600" t="s">
        <v>63</v>
      </c>
      <c r="M600" t="s">
        <v>4449</v>
      </c>
      <c r="N600" t="s">
        <v>4450</v>
      </c>
      <c r="P600" t="s">
        <v>4451</v>
      </c>
      <c r="R600">
        <v>3</v>
      </c>
      <c r="S600">
        <v>0</v>
      </c>
      <c r="T600" t="b">
        <v>0</v>
      </c>
      <c r="V600" t="s">
        <v>4452</v>
      </c>
      <c r="W600" s="15">
        <v>-26.09408762</v>
      </c>
      <c r="X600" s="15">
        <v>27.986418499999999</v>
      </c>
      <c r="Y600">
        <v>31</v>
      </c>
      <c r="AC600">
        <v>31</v>
      </c>
      <c r="AF600" t="b">
        <v>0</v>
      </c>
      <c r="AI600" t="s">
        <v>71</v>
      </c>
      <c r="AJ600" t="s">
        <v>70</v>
      </c>
      <c r="AK600" t="s">
        <v>71</v>
      </c>
      <c r="AL600" t="s">
        <v>72</v>
      </c>
      <c r="AM600">
        <v>346053</v>
      </c>
      <c r="AO600" s="16" t="s">
        <v>73</v>
      </c>
      <c r="AP600" s="17" t="str">
        <f t="shared" si="42"/>
        <v>Off-nest female</v>
      </c>
      <c r="AX600" s="22" t="str">
        <f>IF(AND('[1]observations-276632'!W600&gt;'[1]Methods write-up'!$Q$16,'[1]observations-276632'!W600&lt;'[1]Methods write-up'!$R$16,'[1]observations-276632'!X600&gt;'[1]Methods write-up'!$S$16,'[1]observations-276632'!X600&lt;'[1]Methods write-up'!$T$16),"West and Central Africa","")</f>
        <v/>
      </c>
      <c r="AY600" s="22" t="str">
        <f>IF(AND('[1]observations-276632'!W600&gt;'[1]Methods write-up'!$Q$17,'[1]observations-276632'!W600&lt;'[1]Methods write-up'!$R$17,'[1]observations-276632'!X600&gt;'[1]Methods write-up'!$S$17,'[1]observations-276632'!X600&lt;'[1]Methods write-up'!$T$17),"Equatorial tropical forest","")</f>
        <v/>
      </c>
      <c r="AZ600" s="22" t="str">
        <f>IF(AND('[1]observations-276632'!W600&gt;'[1]Methods write-up'!$Q$18,'[1]observations-276632'!W600&lt;'[1]Methods write-up'!$R$18,'[1]observations-276632'!X600&gt;'[1]Methods write-up'!$S$18,'[1]observations-276632'!X600&lt;'[1]Methods write-up'!$T$18),"Somali peninsula","")</f>
        <v/>
      </c>
      <c r="BA600" s="22" t="str">
        <f>IF(AND('[1]observations-276632'!W600&gt;'[1]Methods write-up'!$Q$19,'[1]observations-276632'!W600&lt;'[1]Methods write-up'!$R$19,'[1]observations-276632'!X600&gt;'[1]Methods write-up'!$S$19,'[1]observations-276632'!X600&lt;'[1]Methods write-up'!$T$19),"East Africa","")</f>
        <v/>
      </c>
      <c r="BB600" s="22" t="str">
        <f>IF(AND('[1]observations-276632'!W600&gt;'[1]Methods write-up'!$Q$20,'[1]observations-276632'!W600&lt;'[1]Methods write-up'!$R$20,'[1]observations-276632'!X600&gt;'[1]Methods write-up'!$S$20,'[1]observations-276632'!X600&lt;'[1]Methods write-up'!$T$20),"Temperate seasonal","")</f>
        <v>Temperate seasonal</v>
      </c>
      <c r="BC600" s="22" t="str">
        <f>IF(AND('[1]observations-276632'!W600&gt;'[1]Methods write-up'!$Q$21,'[1]observations-276632'!W600&lt;'[1]Methods write-up'!$R$21,'[1]observations-276632'!X600&gt;'[1]Methods write-up'!$S$21,'[1]observations-276632'!X600&lt;'[1]Methods write-up'!$T$21),"Desert and high aridity","")</f>
        <v/>
      </c>
      <c r="BD600" s="23" t="str">
        <f t="shared" si="41"/>
        <v>Temperate seasonal</v>
      </c>
      <c r="BE600" s="24">
        <f t="shared" si="39"/>
        <v>11</v>
      </c>
      <c r="BF600" s="24">
        <f t="shared" si="40"/>
        <v>9</v>
      </c>
    </row>
    <row r="601" spans="1:58" ht="16.25" customHeight="1" x14ac:dyDescent="0.2">
      <c r="A601">
        <v>66037270</v>
      </c>
      <c r="B601" t="s">
        <v>4453</v>
      </c>
      <c r="C601" s="14">
        <v>44168</v>
      </c>
      <c r="D601" t="s">
        <v>4454</v>
      </c>
      <c r="E601" t="s">
        <v>2921</v>
      </c>
      <c r="F601">
        <v>2474161</v>
      </c>
      <c r="G601" t="s">
        <v>4455</v>
      </c>
      <c r="H601" t="s">
        <v>4456</v>
      </c>
      <c r="I601" t="s">
        <v>4457</v>
      </c>
      <c r="J601" t="s">
        <v>4458</v>
      </c>
      <c r="K601" t="s">
        <v>62</v>
      </c>
      <c r="M601" t="s">
        <v>4459</v>
      </c>
      <c r="N601" t="s">
        <v>4460</v>
      </c>
      <c r="R601">
        <v>3</v>
      </c>
      <c r="S601">
        <v>1</v>
      </c>
      <c r="T601" t="b">
        <v>0</v>
      </c>
      <c r="U601">
        <v>2</v>
      </c>
      <c r="V601" t="s">
        <v>4461</v>
      </c>
      <c r="W601" s="15">
        <v>-18.868596719999999</v>
      </c>
      <c r="X601" s="15">
        <v>47.519034840000003</v>
      </c>
      <c r="AF601" t="b">
        <v>0</v>
      </c>
      <c r="AG601" t="s">
        <v>350</v>
      </c>
      <c r="AH601" t="s">
        <v>350</v>
      </c>
      <c r="AI601" t="s">
        <v>71</v>
      </c>
      <c r="AJ601" t="s">
        <v>70</v>
      </c>
      <c r="AK601" t="s">
        <v>71</v>
      </c>
      <c r="AL601" t="s">
        <v>72</v>
      </c>
      <c r="AM601">
        <v>346053</v>
      </c>
      <c r="AO601" s="16" t="s">
        <v>73</v>
      </c>
      <c r="AP601" s="17" t="str">
        <f t="shared" si="42"/>
        <v>Off-nest female</v>
      </c>
      <c r="AX601" s="22" t="str">
        <f>IF(AND('[1]observations-276632'!W601&gt;'[1]Methods write-up'!$Q$16,'[1]observations-276632'!W601&lt;'[1]Methods write-up'!$R$16,'[1]observations-276632'!X601&gt;'[1]Methods write-up'!$S$16,'[1]observations-276632'!X601&lt;'[1]Methods write-up'!$T$16),"West and Central Africa","")</f>
        <v/>
      </c>
      <c r="AY601" s="22" t="str">
        <f>IF(AND('[1]observations-276632'!W601&gt;'[1]Methods write-up'!$Q$17,'[1]observations-276632'!W601&lt;'[1]Methods write-up'!$R$17,'[1]observations-276632'!X601&gt;'[1]Methods write-up'!$S$17,'[1]observations-276632'!X601&lt;'[1]Methods write-up'!$T$17),"Equatorial tropical forest","")</f>
        <v/>
      </c>
      <c r="AZ601" s="22" t="str">
        <f>IF(AND('[1]observations-276632'!W601&gt;'[1]Methods write-up'!$Q$18,'[1]observations-276632'!W601&lt;'[1]Methods write-up'!$R$18,'[1]observations-276632'!X601&gt;'[1]Methods write-up'!$S$18,'[1]observations-276632'!X601&lt;'[1]Methods write-up'!$T$18),"Somali peninsula","")</f>
        <v/>
      </c>
      <c r="BA601" s="22" t="str">
        <f>IF(AND('[1]observations-276632'!W601&gt;'[1]Methods write-up'!$Q$19,'[1]observations-276632'!W601&lt;'[1]Methods write-up'!$R$19,'[1]observations-276632'!X601&gt;'[1]Methods write-up'!$S$19,'[1]observations-276632'!X601&lt;'[1]Methods write-up'!$T$19),"East Africa","")</f>
        <v/>
      </c>
      <c r="BB601" s="22" t="str">
        <f>IF(AND('[1]observations-276632'!W601&gt;'[1]Methods write-up'!$Q$20,'[1]observations-276632'!W601&lt;'[1]Methods write-up'!$R$20,'[1]observations-276632'!X601&gt;'[1]Methods write-up'!$S$20,'[1]observations-276632'!X601&lt;'[1]Methods write-up'!$T$20),"Temperate seasonal","")</f>
        <v/>
      </c>
      <c r="BC601" s="22" t="str">
        <f>IF(AND('[1]observations-276632'!W601&gt;'[1]Methods write-up'!$Q$21,'[1]observations-276632'!W601&lt;'[1]Methods write-up'!$R$21,'[1]observations-276632'!X601&gt;'[1]Methods write-up'!$S$21,'[1]observations-276632'!X601&lt;'[1]Methods write-up'!$T$21),"Desert and high aridity","")</f>
        <v/>
      </c>
      <c r="BD601" s="23" t="str">
        <f t="shared" si="41"/>
        <v/>
      </c>
      <c r="BE601" s="24">
        <f t="shared" si="39"/>
        <v>3</v>
      </c>
      <c r="BF601" s="24">
        <f t="shared" si="40"/>
        <v>12</v>
      </c>
    </row>
    <row r="602" spans="1:58" ht="16.25" customHeight="1" x14ac:dyDescent="0.2">
      <c r="A602">
        <v>66173290</v>
      </c>
      <c r="B602" t="s">
        <v>4462</v>
      </c>
      <c r="C602" s="14">
        <v>44112</v>
      </c>
      <c r="D602" t="s">
        <v>4463</v>
      </c>
      <c r="E602" t="s">
        <v>113</v>
      </c>
      <c r="F602">
        <v>665620</v>
      </c>
      <c r="G602" t="s">
        <v>529</v>
      </c>
      <c r="H602" t="s">
        <v>530</v>
      </c>
      <c r="I602" t="s">
        <v>4464</v>
      </c>
      <c r="J602" t="s">
        <v>4465</v>
      </c>
      <c r="K602" t="s">
        <v>62</v>
      </c>
      <c r="L602" t="s">
        <v>63</v>
      </c>
      <c r="M602" t="s">
        <v>4466</v>
      </c>
      <c r="N602" t="s">
        <v>4467</v>
      </c>
      <c r="R602">
        <v>2</v>
      </c>
      <c r="S602">
        <v>0</v>
      </c>
      <c r="T602" t="b">
        <v>0</v>
      </c>
      <c r="V602" t="s">
        <v>4468</v>
      </c>
      <c r="W602" s="15">
        <v>-29.833366900000001</v>
      </c>
      <c r="X602" s="15">
        <v>30.929844899999999</v>
      </c>
      <c r="Y602">
        <v>114</v>
      </c>
      <c r="AC602">
        <v>114</v>
      </c>
      <c r="AF602" t="b">
        <v>0</v>
      </c>
      <c r="AI602" t="s">
        <v>71</v>
      </c>
      <c r="AJ602" t="s">
        <v>70</v>
      </c>
      <c r="AK602" t="s">
        <v>71</v>
      </c>
      <c r="AL602" t="s">
        <v>72</v>
      </c>
      <c r="AM602">
        <v>346053</v>
      </c>
      <c r="AO602" s="16" t="s">
        <v>73</v>
      </c>
      <c r="AP602" s="17" t="str">
        <f t="shared" si="42"/>
        <v>Off-nest female</v>
      </c>
      <c r="AX602" s="22" t="str">
        <f>IF(AND('[1]observations-276632'!W602&gt;'[1]Methods write-up'!$Q$16,'[1]observations-276632'!W602&lt;'[1]Methods write-up'!$R$16,'[1]observations-276632'!X602&gt;'[1]Methods write-up'!$S$16,'[1]observations-276632'!X602&lt;'[1]Methods write-up'!$T$16),"West and Central Africa","")</f>
        <v/>
      </c>
      <c r="AY602" s="22" t="str">
        <f>IF(AND('[1]observations-276632'!W602&gt;'[1]Methods write-up'!$Q$17,'[1]observations-276632'!W602&lt;'[1]Methods write-up'!$R$17,'[1]observations-276632'!X602&gt;'[1]Methods write-up'!$S$17,'[1]observations-276632'!X602&lt;'[1]Methods write-up'!$T$17),"Equatorial tropical forest","")</f>
        <v/>
      </c>
      <c r="AZ602" s="22" t="str">
        <f>IF(AND('[1]observations-276632'!W602&gt;'[1]Methods write-up'!$Q$18,'[1]observations-276632'!W602&lt;'[1]Methods write-up'!$R$18,'[1]observations-276632'!X602&gt;'[1]Methods write-up'!$S$18,'[1]observations-276632'!X602&lt;'[1]Methods write-up'!$T$18),"Somali peninsula","")</f>
        <v/>
      </c>
      <c r="BA602" s="22" t="str">
        <f>IF(AND('[1]observations-276632'!W602&gt;'[1]Methods write-up'!$Q$19,'[1]observations-276632'!W602&lt;'[1]Methods write-up'!$R$19,'[1]observations-276632'!X602&gt;'[1]Methods write-up'!$S$19,'[1]observations-276632'!X602&lt;'[1]Methods write-up'!$T$19),"East Africa","")</f>
        <v/>
      </c>
      <c r="BB602" s="22" t="str">
        <f>IF(AND('[1]observations-276632'!W602&gt;'[1]Methods write-up'!$Q$20,'[1]observations-276632'!W602&lt;'[1]Methods write-up'!$R$20,'[1]observations-276632'!X602&gt;'[1]Methods write-up'!$S$20,'[1]observations-276632'!X602&lt;'[1]Methods write-up'!$T$20),"Temperate seasonal","")</f>
        <v>Temperate seasonal</v>
      </c>
      <c r="BC602" s="22" t="str">
        <f>IF(AND('[1]observations-276632'!W602&gt;'[1]Methods write-up'!$Q$21,'[1]observations-276632'!W602&lt;'[1]Methods write-up'!$R$21,'[1]observations-276632'!X602&gt;'[1]Methods write-up'!$S$21,'[1]observations-276632'!X602&lt;'[1]Methods write-up'!$T$21),"Desert and high aridity","")</f>
        <v/>
      </c>
      <c r="BD602" s="23" t="str">
        <f t="shared" si="41"/>
        <v>Temperate seasonal</v>
      </c>
      <c r="BE602" s="24">
        <f t="shared" si="39"/>
        <v>8</v>
      </c>
      <c r="BF602" s="24">
        <f t="shared" si="40"/>
        <v>10</v>
      </c>
    </row>
    <row r="603" spans="1:58" ht="16.25" customHeight="1" x14ac:dyDescent="0.2">
      <c r="A603">
        <v>66196551</v>
      </c>
      <c r="B603" t="s">
        <v>4469</v>
      </c>
      <c r="C603" s="14">
        <v>41128</v>
      </c>
      <c r="D603" t="s">
        <v>4470</v>
      </c>
      <c r="E603" t="s">
        <v>4471</v>
      </c>
      <c r="F603">
        <v>2511740</v>
      </c>
      <c r="G603" t="s">
        <v>4472</v>
      </c>
      <c r="H603" t="s">
        <v>4473</v>
      </c>
      <c r="I603" t="s">
        <v>4474</v>
      </c>
      <c r="J603" t="s">
        <v>4475</v>
      </c>
      <c r="K603" t="s">
        <v>62</v>
      </c>
      <c r="L603" t="s">
        <v>98</v>
      </c>
      <c r="M603" t="s">
        <v>4476</v>
      </c>
      <c r="N603" t="s">
        <v>4477</v>
      </c>
      <c r="R603">
        <v>2</v>
      </c>
      <c r="S603">
        <v>0</v>
      </c>
      <c r="T603" t="b">
        <v>0</v>
      </c>
      <c r="V603" t="s">
        <v>4478</v>
      </c>
      <c r="W603" s="15">
        <v>11.325579279999999</v>
      </c>
      <c r="X603" s="15">
        <v>39.68811367</v>
      </c>
      <c r="Y603">
        <v>20</v>
      </c>
      <c r="AC603">
        <v>20</v>
      </c>
      <c r="AF603" t="b">
        <v>0</v>
      </c>
      <c r="AI603" t="s">
        <v>71</v>
      </c>
      <c r="AJ603" t="s">
        <v>70</v>
      </c>
      <c r="AK603" t="s">
        <v>71</v>
      </c>
      <c r="AL603" t="s">
        <v>72</v>
      </c>
      <c r="AM603">
        <v>346053</v>
      </c>
      <c r="AO603" s="16" t="s">
        <v>140</v>
      </c>
      <c r="AP603" s="17" t="str">
        <f t="shared" si="42"/>
        <v>Post-emergence nest</v>
      </c>
      <c r="AQ603" s="18">
        <v>2</v>
      </c>
      <c r="AT603" s="19" t="s">
        <v>141</v>
      </c>
      <c r="AU603" s="20" t="s">
        <v>104</v>
      </c>
      <c r="AX603" s="22" t="str">
        <f>IF(AND('[1]observations-276632'!W603&gt;'[1]Methods write-up'!$Q$16,'[1]observations-276632'!W603&lt;'[1]Methods write-up'!$R$16,'[1]observations-276632'!X603&gt;'[1]Methods write-up'!$S$16,'[1]observations-276632'!X603&lt;'[1]Methods write-up'!$T$16),"West and Central Africa","")</f>
        <v/>
      </c>
      <c r="AY603" s="22" t="str">
        <f>IF(AND('[1]observations-276632'!W603&gt;'[1]Methods write-up'!$Q$17,'[1]observations-276632'!W603&lt;'[1]Methods write-up'!$R$17,'[1]observations-276632'!X603&gt;'[1]Methods write-up'!$S$17,'[1]observations-276632'!X603&lt;'[1]Methods write-up'!$T$17),"Equatorial tropical forest","")</f>
        <v/>
      </c>
      <c r="AZ603" s="22" t="str">
        <f>IF(AND('[1]observations-276632'!W603&gt;'[1]Methods write-up'!$Q$18,'[1]observations-276632'!W603&lt;'[1]Methods write-up'!$R$18,'[1]observations-276632'!X603&gt;'[1]Methods write-up'!$S$18,'[1]observations-276632'!X603&lt;'[1]Methods write-up'!$T$18),"Somali peninsula","")</f>
        <v>Somali peninsula</v>
      </c>
      <c r="BA603" s="22" t="str">
        <f>IF(AND('[1]observations-276632'!W603&gt;'[1]Methods write-up'!$Q$19,'[1]observations-276632'!W603&lt;'[1]Methods write-up'!$R$19,'[1]observations-276632'!X603&gt;'[1]Methods write-up'!$S$19,'[1]observations-276632'!X603&lt;'[1]Methods write-up'!$T$19),"East Africa","")</f>
        <v/>
      </c>
      <c r="BB603" s="22" t="str">
        <f>IF(AND('[1]observations-276632'!W603&gt;'[1]Methods write-up'!$Q$20,'[1]observations-276632'!W603&lt;'[1]Methods write-up'!$R$20,'[1]observations-276632'!X603&gt;'[1]Methods write-up'!$S$20,'[1]observations-276632'!X603&lt;'[1]Methods write-up'!$T$20),"Temperate seasonal","")</f>
        <v/>
      </c>
      <c r="BC603" s="22" t="str">
        <f>IF(AND('[1]observations-276632'!W603&gt;'[1]Methods write-up'!$Q$21,'[1]observations-276632'!W603&lt;'[1]Methods write-up'!$R$21,'[1]observations-276632'!X603&gt;'[1]Methods write-up'!$S$21,'[1]observations-276632'!X603&lt;'[1]Methods write-up'!$T$21),"Desert and high aridity","")</f>
        <v/>
      </c>
      <c r="BD603" s="23" t="str">
        <f t="shared" si="41"/>
        <v>Somali peninsula</v>
      </c>
      <c r="BE603" s="24">
        <f t="shared" si="39"/>
        <v>7</v>
      </c>
      <c r="BF603" s="24">
        <f t="shared" si="40"/>
        <v>8</v>
      </c>
    </row>
    <row r="604" spans="1:58" ht="16.25" customHeight="1" x14ac:dyDescent="0.2">
      <c r="A604">
        <v>66250831</v>
      </c>
      <c r="B604" t="s">
        <v>4479</v>
      </c>
      <c r="C604" s="14">
        <v>44172</v>
      </c>
      <c r="D604" t="s">
        <v>4480</v>
      </c>
      <c r="E604" t="s">
        <v>113</v>
      </c>
      <c r="F604">
        <v>818087</v>
      </c>
      <c r="G604" t="s">
        <v>1553</v>
      </c>
      <c r="H604" t="s">
        <v>1554</v>
      </c>
      <c r="I604" t="s">
        <v>4481</v>
      </c>
      <c r="J604" t="s">
        <v>4482</v>
      </c>
      <c r="K604" t="s">
        <v>62</v>
      </c>
      <c r="M604" t="s">
        <v>4483</v>
      </c>
      <c r="N604" t="s">
        <v>4484</v>
      </c>
      <c r="R604">
        <v>2</v>
      </c>
      <c r="S604">
        <v>0</v>
      </c>
      <c r="T604" t="b">
        <v>0</v>
      </c>
      <c r="U604">
        <v>3</v>
      </c>
      <c r="V604" t="s">
        <v>3591</v>
      </c>
      <c r="W604" s="15">
        <v>-12.18325027</v>
      </c>
      <c r="X604" s="15">
        <v>26.472779769999999</v>
      </c>
      <c r="Y604">
        <v>603</v>
      </c>
      <c r="AC604">
        <v>603</v>
      </c>
      <c r="AF604" t="b">
        <v>0</v>
      </c>
      <c r="AI604" t="s">
        <v>71</v>
      </c>
      <c r="AJ604" t="s">
        <v>70</v>
      </c>
      <c r="AK604" t="s">
        <v>71</v>
      </c>
      <c r="AL604" t="s">
        <v>72</v>
      </c>
      <c r="AM604">
        <v>346053</v>
      </c>
      <c r="AO604" s="16" t="s">
        <v>1356</v>
      </c>
      <c r="AP604" s="17" t="str">
        <f t="shared" si="42"/>
        <v>Nest (foundress)</v>
      </c>
      <c r="AQ604" s="18">
        <v>2</v>
      </c>
      <c r="AT604" s="19" t="s">
        <v>141</v>
      </c>
      <c r="AX604" s="22" t="str">
        <f>IF(AND('[1]observations-276632'!W604&gt;'[1]Methods write-up'!$Q$16,'[1]observations-276632'!W604&lt;'[1]Methods write-up'!$R$16,'[1]observations-276632'!X604&gt;'[1]Methods write-up'!$S$16,'[1]observations-276632'!X604&lt;'[1]Methods write-up'!$T$16),"West and Central Africa","")</f>
        <v>West and Central Africa</v>
      </c>
      <c r="AY604" s="22" t="str">
        <f>IF(AND('[1]observations-276632'!W604&gt;'[1]Methods write-up'!$Q$17,'[1]observations-276632'!W604&lt;'[1]Methods write-up'!$R$17,'[1]observations-276632'!X604&gt;'[1]Methods write-up'!$S$17,'[1]observations-276632'!X604&lt;'[1]Methods write-up'!$T$17),"Equatorial tropical forest","")</f>
        <v/>
      </c>
      <c r="AZ604" s="22" t="str">
        <f>IF(AND('[1]observations-276632'!W604&gt;'[1]Methods write-up'!$Q$18,'[1]observations-276632'!W604&lt;'[1]Methods write-up'!$R$18,'[1]observations-276632'!X604&gt;'[1]Methods write-up'!$S$18,'[1]observations-276632'!X604&lt;'[1]Methods write-up'!$T$18),"Somali peninsula","")</f>
        <v/>
      </c>
      <c r="BA604" s="22" t="str">
        <f>IF(AND('[1]observations-276632'!W604&gt;'[1]Methods write-up'!$Q$19,'[1]observations-276632'!W604&lt;'[1]Methods write-up'!$R$19,'[1]observations-276632'!X604&gt;'[1]Methods write-up'!$S$19,'[1]observations-276632'!X604&lt;'[1]Methods write-up'!$T$19),"East Africa","")</f>
        <v/>
      </c>
      <c r="BB604" s="22" t="str">
        <f>IF(AND('[1]observations-276632'!W604&gt;'[1]Methods write-up'!$Q$20,'[1]observations-276632'!W604&lt;'[1]Methods write-up'!$R$20,'[1]observations-276632'!X604&gt;'[1]Methods write-up'!$S$20,'[1]observations-276632'!X604&lt;'[1]Methods write-up'!$T$20),"Temperate seasonal","")</f>
        <v/>
      </c>
      <c r="BC604" s="22" t="str">
        <f>IF(AND('[1]observations-276632'!W604&gt;'[1]Methods write-up'!$Q$21,'[1]observations-276632'!W604&lt;'[1]Methods write-up'!$R$21,'[1]observations-276632'!X604&gt;'[1]Methods write-up'!$S$21,'[1]observations-276632'!X604&lt;'[1]Methods write-up'!$T$21),"Desert and high aridity","")</f>
        <v/>
      </c>
      <c r="BD604" s="23" t="str">
        <f t="shared" si="41"/>
        <v>West and Central Africa</v>
      </c>
      <c r="BE604" s="24">
        <f t="shared" si="39"/>
        <v>7</v>
      </c>
      <c r="BF604" s="24">
        <f t="shared" si="40"/>
        <v>12</v>
      </c>
    </row>
    <row r="605" spans="1:58" ht="16.25" customHeight="1" x14ac:dyDescent="0.2">
      <c r="A605">
        <v>66296324</v>
      </c>
      <c r="B605" t="s">
        <v>4485</v>
      </c>
      <c r="C605" s="14">
        <v>44173</v>
      </c>
      <c r="D605" t="s">
        <v>4486</v>
      </c>
      <c r="E605" t="s">
        <v>113</v>
      </c>
      <c r="F605">
        <v>2528166</v>
      </c>
      <c r="G605" t="s">
        <v>4487</v>
      </c>
      <c r="H605" t="s">
        <v>4488</v>
      </c>
      <c r="I605" t="s">
        <v>4489</v>
      </c>
      <c r="J605" t="s">
        <v>4490</v>
      </c>
      <c r="K605" t="s">
        <v>62</v>
      </c>
      <c r="M605" t="s">
        <v>4491</v>
      </c>
      <c r="N605" t="s">
        <v>4492</v>
      </c>
      <c r="R605">
        <v>3</v>
      </c>
      <c r="S605">
        <v>0</v>
      </c>
      <c r="T605" t="b">
        <v>0</v>
      </c>
      <c r="U605">
        <v>2</v>
      </c>
      <c r="V605" t="s">
        <v>4493</v>
      </c>
      <c r="W605" s="15">
        <v>-24.268311000000001</v>
      </c>
      <c r="X605" s="15">
        <v>30.620902000000001</v>
      </c>
      <c r="AF605" t="b">
        <v>0</v>
      </c>
      <c r="AG605" t="s">
        <v>350</v>
      </c>
      <c r="AH605" t="s">
        <v>350</v>
      </c>
      <c r="AI605" t="s">
        <v>70</v>
      </c>
      <c r="AJ605" t="s">
        <v>70</v>
      </c>
      <c r="AK605" t="s">
        <v>71</v>
      </c>
      <c r="AL605" t="s">
        <v>72</v>
      </c>
      <c r="AM605">
        <v>346053</v>
      </c>
      <c r="AO605" s="16" t="s">
        <v>110</v>
      </c>
      <c r="AP605" s="17" t="str">
        <f t="shared" si="42"/>
        <v>Nest (foundress)</v>
      </c>
      <c r="AQ605" s="18">
        <v>2</v>
      </c>
      <c r="AT605" s="19" t="s">
        <v>104</v>
      </c>
      <c r="AX605" s="22" t="str">
        <f>IF(AND('[1]observations-276632'!W605&gt;'[1]Methods write-up'!$Q$16,'[1]observations-276632'!W605&lt;'[1]Methods write-up'!$R$16,'[1]observations-276632'!X605&gt;'[1]Methods write-up'!$S$16,'[1]observations-276632'!X605&lt;'[1]Methods write-up'!$T$16),"West and Central Africa","")</f>
        <v/>
      </c>
      <c r="AY605" s="22" t="str">
        <f>IF(AND('[1]observations-276632'!W605&gt;'[1]Methods write-up'!$Q$17,'[1]observations-276632'!W605&lt;'[1]Methods write-up'!$R$17,'[1]observations-276632'!X605&gt;'[1]Methods write-up'!$S$17,'[1]observations-276632'!X605&lt;'[1]Methods write-up'!$T$17),"Equatorial tropical forest","")</f>
        <v/>
      </c>
      <c r="AZ605" s="22" t="str">
        <f>IF(AND('[1]observations-276632'!W605&gt;'[1]Methods write-up'!$Q$18,'[1]observations-276632'!W605&lt;'[1]Methods write-up'!$R$18,'[1]observations-276632'!X605&gt;'[1]Methods write-up'!$S$18,'[1]observations-276632'!X605&lt;'[1]Methods write-up'!$T$18),"Somali peninsula","")</f>
        <v/>
      </c>
      <c r="BA605" s="22" t="str">
        <f>IF(AND('[1]observations-276632'!W605&gt;'[1]Methods write-up'!$Q$19,'[1]observations-276632'!W605&lt;'[1]Methods write-up'!$R$19,'[1]observations-276632'!X605&gt;'[1]Methods write-up'!$S$19,'[1]observations-276632'!X605&lt;'[1]Methods write-up'!$T$19),"East Africa","")</f>
        <v/>
      </c>
      <c r="BB605" s="22" t="str">
        <f>IF(AND('[1]observations-276632'!W605&gt;'[1]Methods write-up'!$Q$20,'[1]observations-276632'!W605&lt;'[1]Methods write-up'!$R$20,'[1]observations-276632'!X605&gt;'[1]Methods write-up'!$S$20,'[1]observations-276632'!X605&lt;'[1]Methods write-up'!$T$20),"Temperate seasonal","")</f>
        <v/>
      </c>
      <c r="BC605" s="22" t="str">
        <f>IF(AND('[1]observations-276632'!W605&gt;'[1]Methods write-up'!$Q$21,'[1]observations-276632'!W605&lt;'[1]Methods write-up'!$R$21,'[1]observations-276632'!X605&gt;'[1]Methods write-up'!$S$21,'[1]observations-276632'!X605&lt;'[1]Methods write-up'!$T$21),"Desert and high aridity","")</f>
        <v/>
      </c>
      <c r="BD605" s="23" t="str">
        <f t="shared" si="41"/>
        <v/>
      </c>
      <c r="BE605" s="24">
        <f t="shared" si="39"/>
        <v>8</v>
      </c>
      <c r="BF605" s="24">
        <f t="shared" si="40"/>
        <v>12</v>
      </c>
    </row>
    <row r="606" spans="1:58" ht="16.25" customHeight="1" x14ac:dyDescent="0.2">
      <c r="A606">
        <v>66311507</v>
      </c>
      <c r="E606" t="s">
        <v>1408</v>
      </c>
      <c r="F606">
        <v>3856796</v>
      </c>
      <c r="G606" t="s">
        <v>4494</v>
      </c>
      <c r="H606" t="s">
        <v>4495</v>
      </c>
      <c r="I606" t="s">
        <v>4496</v>
      </c>
      <c r="J606" t="s">
        <v>4497</v>
      </c>
      <c r="K606" t="s">
        <v>2038</v>
      </c>
      <c r="M606" t="s">
        <v>4498</v>
      </c>
      <c r="N606" t="s">
        <v>4499</v>
      </c>
      <c r="R606">
        <v>0</v>
      </c>
      <c r="S606">
        <v>0</v>
      </c>
      <c r="T606" t="b">
        <v>0</v>
      </c>
      <c r="U606">
        <v>2</v>
      </c>
      <c r="AF606" t="b">
        <v>0</v>
      </c>
      <c r="AG606" t="s">
        <v>350</v>
      </c>
      <c r="AH606" t="s">
        <v>350</v>
      </c>
      <c r="AI606" t="s">
        <v>71</v>
      </c>
      <c r="AJ606" t="s">
        <v>70</v>
      </c>
      <c r="AK606" t="s">
        <v>71</v>
      </c>
      <c r="AL606" t="s">
        <v>72</v>
      </c>
      <c r="AM606">
        <v>346053</v>
      </c>
      <c r="AO606" s="16" t="s">
        <v>140</v>
      </c>
      <c r="AP606" s="17" t="str">
        <f t="shared" si="42"/>
        <v>Post-emergence nest</v>
      </c>
      <c r="AQ606" s="18">
        <v>1</v>
      </c>
      <c r="AT606" s="19" t="s">
        <v>141</v>
      </c>
      <c r="AU606" s="20" t="s">
        <v>104</v>
      </c>
      <c r="AV606" s="21" t="s">
        <v>431</v>
      </c>
      <c r="AX606" s="22" t="str">
        <f>IF(AND('[1]observations-276632'!W606&gt;'[1]Methods write-up'!$Q$16,'[1]observations-276632'!W606&lt;'[1]Methods write-up'!$R$16,'[1]observations-276632'!X606&gt;'[1]Methods write-up'!$S$16,'[1]observations-276632'!X606&lt;'[1]Methods write-up'!$T$16),"West and Central Africa","")</f>
        <v>West and Central Africa</v>
      </c>
      <c r="AY606" s="22" t="str">
        <f>IF(AND('[1]observations-276632'!W606&gt;'[1]Methods write-up'!$Q$17,'[1]observations-276632'!W606&lt;'[1]Methods write-up'!$R$17,'[1]observations-276632'!X606&gt;'[1]Methods write-up'!$S$17,'[1]observations-276632'!X606&lt;'[1]Methods write-up'!$T$17),"Equatorial tropical forest","")</f>
        <v/>
      </c>
      <c r="AZ606" s="22" t="str">
        <f>IF(AND('[1]observations-276632'!W606&gt;'[1]Methods write-up'!$Q$18,'[1]observations-276632'!W606&lt;'[1]Methods write-up'!$R$18,'[1]observations-276632'!X606&gt;'[1]Methods write-up'!$S$18,'[1]observations-276632'!X606&lt;'[1]Methods write-up'!$T$18),"Somali peninsula","")</f>
        <v/>
      </c>
      <c r="BA606" s="22" t="str">
        <f>IF(AND('[1]observations-276632'!W606&gt;'[1]Methods write-up'!$Q$19,'[1]observations-276632'!W606&lt;'[1]Methods write-up'!$R$19,'[1]observations-276632'!X606&gt;'[1]Methods write-up'!$S$19,'[1]observations-276632'!X606&lt;'[1]Methods write-up'!$T$19),"East Africa","")</f>
        <v/>
      </c>
      <c r="BB606" s="22" t="str">
        <f>IF(AND('[1]observations-276632'!W606&gt;'[1]Methods write-up'!$Q$20,'[1]observations-276632'!W606&lt;'[1]Methods write-up'!$R$20,'[1]observations-276632'!X606&gt;'[1]Methods write-up'!$S$20,'[1]observations-276632'!X606&lt;'[1]Methods write-up'!$T$20),"Temperate seasonal","")</f>
        <v/>
      </c>
      <c r="BC606" s="22" t="str">
        <f>IF(AND('[1]observations-276632'!W606&gt;'[1]Methods write-up'!$Q$21,'[1]observations-276632'!W606&lt;'[1]Methods write-up'!$R$21,'[1]observations-276632'!X606&gt;'[1]Methods write-up'!$S$21,'[1]observations-276632'!X606&lt;'[1]Methods write-up'!$T$21),"Desert and high aridity","")</f>
        <v/>
      </c>
      <c r="BD606" s="23" t="str">
        <f t="shared" si="41"/>
        <v>West and Central Africa</v>
      </c>
      <c r="BE606" s="24">
        <f t="shared" si="39"/>
        <v>0</v>
      </c>
      <c r="BF606" s="24">
        <f t="shared" si="40"/>
        <v>1</v>
      </c>
    </row>
    <row r="607" spans="1:58" ht="16.25" customHeight="1" x14ac:dyDescent="0.2">
      <c r="A607">
        <v>66326860</v>
      </c>
      <c r="B607" t="s">
        <v>4500</v>
      </c>
      <c r="C607" s="14">
        <v>41106</v>
      </c>
      <c r="D607" t="s">
        <v>4501</v>
      </c>
      <c r="E607" t="s">
        <v>243</v>
      </c>
      <c r="F607">
        <v>3480148</v>
      </c>
      <c r="G607" t="s">
        <v>4502</v>
      </c>
      <c r="H607" t="s">
        <v>4503</v>
      </c>
      <c r="I607" t="s">
        <v>4504</v>
      </c>
      <c r="J607" t="s">
        <v>4505</v>
      </c>
      <c r="K607" t="s">
        <v>62</v>
      </c>
      <c r="L607" t="s">
        <v>63</v>
      </c>
      <c r="M607" t="s">
        <v>4506</v>
      </c>
      <c r="N607" t="s">
        <v>4507</v>
      </c>
      <c r="P607" t="s">
        <v>4508</v>
      </c>
      <c r="R607">
        <v>2</v>
      </c>
      <c r="S607">
        <v>0</v>
      </c>
      <c r="T607" t="b">
        <v>0</v>
      </c>
      <c r="V607" t="s">
        <v>4509</v>
      </c>
      <c r="W607" s="15">
        <v>5.816294686</v>
      </c>
      <c r="X607" s="15">
        <v>-0.186832364</v>
      </c>
      <c r="Y607">
        <v>200</v>
      </c>
      <c r="AC607">
        <v>200</v>
      </c>
      <c r="AF607" t="b">
        <v>0</v>
      </c>
      <c r="AI607" t="s">
        <v>70</v>
      </c>
      <c r="AJ607" t="s">
        <v>70</v>
      </c>
      <c r="AK607" t="s">
        <v>71</v>
      </c>
      <c r="AL607" t="s">
        <v>72</v>
      </c>
      <c r="AM607">
        <v>346053</v>
      </c>
      <c r="AO607" s="16" t="s">
        <v>140</v>
      </c>
      <c r="AP607" s="17" t="str">
        <f t="shared" si="42"/>
        <v>Post-emergence nest</v>
      </c>
      <c r="AQ607" s="18">
        <v>4</v>
      </c>
      <c r="AT607" s="19" t="s">
        <v>141</v>
      </c>
      <c r="AU607" s="20" t="s">
        <v>104</v>
      </c>
      <c r="AX607" s="22" t="str">
        <f>IF(AND('[1]observations-276632'!W607&gt;'[1]Methods write-up'!$Q$16,'[1]observations-276632'!W607&lt;'[1]Methods write-up'!$R$16,'[1]observations-276632'!X607&gt;'[1]Methods write-up'!$S$16,'[1]observations-276632'!X607&lt;'[1]Methods write-up'!$T$16),"West and Central Africa","")</f>
        <v>West and Central Africa</v>
      </c>
      <c r="AY607" s="22" t="str">
        <f>IF(AND('[1]observations-276632'!W607&gt;'[1]Methods write-up'!$Q$17,'[1]observations-276632'!W607&lt;'[1]Methods write-up'!$R$17,'[1]observations-276632'!X607&gt;'[1]Methods write-up'!$S$17,'[1]observations-276632'!X607&lt;'[1]Methods write-up'!$T$17),"Equatorial tropical forest","")</f>
        <v/>
      </c>
      <c r="AZ607" s="22" t="str">
        <f>IF(AND('[1]observations-276632'!W607&gt;'[1]Methods write-up'!$Q$18,'[1]observations-276632'!W607&lt;'[1]Methods write-up'!$R$18,'[1]observations-276632'!X607&gt;'[1]Methods write-up'!$S$18,'[1]observations-276632'!X607&lt;'[1]Methods write-up'!$T$18),"Somali peninsula","")</f>
        <v/>
      </c>
      <c r="BA607" s="22" t="str">
        <f>IF(AND('[1]observations-276632'!W607&gt;'[1]Methods write-up'!$Q$19,'[1]observations-276632'!W607&lt;'[1]Methods write-up'!$R$19,'[1]observations-276632'!X607&gt;'[1]Methods write-up'!$S$19,'[1]observations-276632'!X607&lt;'[1]Methods write-up'!$T$19),"East Africa","")</f>
        <v/>
      </c>
      <c r="BB607" s="22" t="str">
        <f>IF(AND('[1]observations-276632'!W607&gt;'[1]Methods write-up'!$Q$20,'[1]observations-276632'!W607&lt;'[1]Methods write-up'!$R$20,'[1]observations-276632'!X607&gt;'[1]Methods write-up'!$S$20,'[1]observations-276632'!X607&lt;'[1]Methods write-up'!$T$20),"Temperate seasonal","")</f>
        <v/>
      </c>
      <c r="BC607" s="22" t="str">
        <f>IF(AND('[1]observations-276632'!W607&gt;'[1]Methods write-up'!$Q$21,'[1]observations-276632'!W607&lt;'[1]Methods write-up'!$R$21,'[1]observations-276632'!X607&gt;'[1]Methods write-up'!$S$21,'[1]observations-276632'!X607&lt;'[1]Methods write-up'!$T$21),"Desert and high aridity","")</f>
        <v/>
      </c>
      <c r="BD607" s="23" t="str">
        <f t="shared" si="41"/>
        <v>West and Central Africa</v>
      </c>
      <c r="BE607" s="24">
        <f t="shared" si="39"/>
        <v>16</v>
      </c>
      <c r="BF607" s="24">
        <f t="shared" si="40"/>
        <v>7</v>
      </c>
    </row>
    <row r="608" spans="1:58" ht="16.25" customHeight="1" x14ac:dyDescent="0.2">
      <c r="A608">
        <v>66373707</v>
      </c>
      <c r="B608" t="s">
        <v>4510</v>
      </c>
      <c r="C608" s="14">
        <v>44171</v>
      </c>
      <c r="D608" t="s">
        <v>4511</v>
      </c>
      <c r="E608" t="s">
        <v>113</v>
      </c>
      <c r="F608">
        <v>662724</v>
      </c>
      <c r="G608" t="s">
        <v>903</v>
      </c>
      <c r="H608" t="s">
        <v>904</v>
      </c>
      <c r="I608" t="s">
        <v>4512</v>
      </c>
      <c r="J608" t="s">
        <v>4513</v>
      </c>
      <c r="K608" t="s">
        <v>62</v>
      </c>
      <c r="L608" t="s">
        <v>63</v>
      </c>
      <c r="M608" t="s">
        <v>4514</v>
      </c>
      <c r="N608" t="s">
        <v>4515</v>
      </c>
      <c r="Q608" s="26" t="s">
        <v>4516</v>
      </c>
      <c r="R608">
        <v>2</v>
      </c>
      <c r="S608">
        <v>0</v>
      </c>
      <c r="T608" t="b">
        <v>0</v>
      </c>
      <c r="V608" t="s">
        <v>4517</v>
      </c>
      <c r="W608" s="15">
        <v>-30.28518128</v>
      </c>
      <c r="X608" s="15">
        <v>30.737158539999999</v>
      </c>
      <c r="Y608">
        <v>122</v>
      </c>
      <c r="AC608">
        <v>122</v>
      </c>
      <c r="AF608" t="b">
        <v>0</v>
      </c>
      <c r="AI608" t="s">
        <v>71</v>
      </c>
      <c r="AJ608" t="s">
        <v>70</v>
      </c>
      <c r="AK608" t="s">
        <v>71</v>
      </c>
      <c r="AL608" t="s">
        <v>72</v>
      </c>
      <c r="AM608">
        <v>346053</v>
      </c>
      <c r="AO608" s="16" t="s">
        <v>73</v>
      </c>
      <c r="AP608" s="17" t="str">
        <f t="shared" si="42"/>
        <v>Off-nest female</v>
      </c>
      <c r="AX608" s="22" t="str">
        <f>IF(AND('[1]observations-276632'!W608&gt;'[1]Methods write-up'!$Q$16,'[1]observations-276632'!W608&lt;'[1]Methods write-up'!$R$16,'[1]observations-276632'!X608&gt;'[1]Methods write-up'!$S$16,'[1]observations-276632'!X608&lt;'[1]Methods write-up'!$T$16),"West and Central Africa","")</f>
        <v/>
      </c>
      <c r="AY608" s="22" t="str">
        <f>IF(AND('[1]observations-276632'!W608&gt;'[1]Methods write-up'!$Q$17,'[1]observations-276632'!W608&lt;'[1]Methods write-up'!$R$17,'[1]observations-276632'!X608&gt;'[1]Methods write-up'!$S$17,'[1]observations-276632'!X608&lt;'[1]Methods write-up'!$T$17),"Equatorial tropical forest","")</f>
        <v/>
      </c>
      <c r="AZ608" s="22" t="str">
        <f>IF(AND('[1]observations-276632'!W608&gt;'[1]Methods write-up'!$Q$18,'[1]observations-276632'!W608&lt;'[1]Methods write-up'!$R$18,'[1]observations-276632'!X608&gt;'[1]Methods write-up'!$S$18,'[1]observations-276632'!X608&lt;'[1]Methods write-up'!$T$18),"Somali peninsula","")</f>
        <v/>
      </c>
      <c r="BA608" s="22" t="str">
        <f>IF(AND('[1]observations-276632'!W608&gt;'[1]Methods write-up'!$Q$19,'[1]observations-276632'!W608&lt;'[1]Methods write-up'!$R$19,'[1]observations-276632'!X608&gt;'[1]Methods write-up'!$S$19,'[1]observations-276632'!X608&lt;'[1]Methods write-up'!$T$19),"East Africa","")</f>
        <v/>
      </c>
      <c r="BB608" s="22" t="str">
        <f>IF(AND('[1]observations-276632'!W608&gt;'[1]Methods write-up'!$Q$20,'[1]observations-276632'!W608&lt;'[1]Methods write-up'!$R$20,'[1]observations-276632'!X608&gt;'[1]Methods write-up'!$S$20,'[1]observations-276632'!X608&lt;'[1]Methods write-up'!$T$20),"Temperate seasonal","")</f>
        <v>Temperate seasonal</v>
      </c>
      <c r="BC608" s="22" t="str">
        <f>IF(AND('[1]observations-276632'!W608&gt;'[1]Methods write-up'!$Q$21,'[1]observations-276632'!W608&lt;'[1]Methods write-up'!$R$21,'[1]observations-276632'!X608&gt;'[1]Methods write-up'!$S$21,'[1]observations-276632'!X608&lt;'[1]Methods write-up'!$T$21),"Desert and high aridity","")</f>
        <v/>
      </c>
      <c r="BD608" s="23" t="str">
        <f t="shared" si="41"/>
        <v>Temperate seasonal</v>
      </c>
      <c r="BE608" s="24">
        <f t="shared" si="39"/>
        <v>6</v>
      </c>
      <c r="BF608" s="24">
        <f t="shared" si="40"/>
        <v>12</v>
      </c>
    </row>
    <row r="609" spans="1:58" ht="16.25" customHeight="1" x14ac:dyDescent="0.2">
      <c r="A609">
        <v>66378000</v>
      </c>
      <c r="B609" t="s">
        <v>4518</v>
      </c>
      <c r="C609" s="14">
        <v>44175</v>
      </c>
      <c r="D609" t="s">
        <v>4519</v>
      </c>
      <c r="E609" t="s">
        <v>113</v>
      </c>
      <c r="F609">
        <v>3857722</v>
      </c>
      <c r="G609" t="s">
        <v>4422</v>
      </c>
      <c r="H609" t="s">
        <v>4423</v>
      </c>
      <c r="I609" t="s">
        <v>4520</v>
      </c>
      <c r="J609" t="s">
        <v>4521</v>
      </c>
      <c r="K609" t="s">
        <v>62</v>
      </c>
      <c r="L609" t="s">
        <v>63</v>
      </c>
      <c r="M609" t="s">
        <v>4522</v>
      </c>
      <c r="N609" t="s">
        <v>4523</v>
      </c>
      <c r="R609">
        <v>2</v>
      </c>
      <c r="S609">
        <v>0</v>
      </c>
      <c r="T609" t="b">
        <v>0</v>
      </c>
      <c r="U609">
        <v>3</v>
      </c>
      <c r="V609" t="s">
        <v>4428</v>
      </c>
      <c r="W609" s="15">
        <v>-15.755005000000001</v>
      </c>
      <c r="X609" s="15">
        <v>34.996063329999998</v>
      </c>
      <c r="Y609">
        <v>5</v>
      </c>
      <c r="AC609">
        <v>5</v>
      </c>
      <c r="AF609" t="b">
        <v>0</v>
      </c>
      <c r="AI609" t="s">
        <v>71</v>
      </c>
      <c r="AJ609" t="s">
        <v>70</v>
      </c>
      <c r="AK609" t="s">
        <v>71</v>
      </c>
      <c r="AL609" t="s">
        <v>72</v>
      </c>
      <c r="AM609">
        <v>346053</v>
      </c>
      <c r="AO609" s="16" t="s">
        <v>150</v>
      </c>
      <c r="AP609" s="17" t="str">
        <f t="shared" si="42"/>
        <v>Male (off nest)</v>
      </c>
      <c r="AX609" s="22" t="str">
        <f>IF(AND('[1]observations-276632'!W609&gt;'[1]Methods write-up'!$Q$16,'[1]observations-276632'!W609&lt;'[1]Methods write-up'!$R$16,'[1]observations-276632'!X609&gt;'[1]Methods write-up'!$S$16,'[1]observations-276632'!X609&lt;'[1]Methods write-up'!$T$16),"West and Central Africa","")</f>
        <v/>
      </c>
      <c r="AY609" s="22" t="str">
        <f>IF(AND('[1]observations-276632'!W609&gt;'[1]Methods write-up'!$Q$17,'[1]observations-276632'!W609&lt;'[1]Methods write-up'!$R$17,'[1]observations-276632'!X609&gt;'[1]Methods write-up'!$S$17,'[1]observations-276632'!X609&lt;'[1]Methods write-up'!$T$17),"Equatorial tropical forest","")</f>
        <v/>
      </c>
      <c r="AZ609" s="22" t="str">
        <f>IF(AND('[1]observations-276632'!W609&gt;'[1]Methods write-up'!$Q$18,'[1]observations-276632'!W609&lt;'[1]Methods write-up'!$R$18,'[1]observations-276632'!X609&gt;'[1]Methods write-up'!$S$18,'[1]observations-276632'!X609&lt;'[1]Methods write-up'!$T$18),"Somali peninsula","")</f>
        <v/>
      </c>
      <c r="BA609" s="22" t="str">
        <f>IF(AND('[1]observations-276632'!W609&gt;'[1]Methods write-up'!$Q$19,'[1]observations-276632'!W609&lt;'[1]Methods write-up'!$R$19,'[1]observations-276632'!X609&gt;'[1]Methods write-up'!$S$19,'[1]observations-276632'!X609&lt;'[1]Methods write-up'!$T$19),"East Africa","")</f>
        <v/>
      </c>
      <c r="BB609" s="22" t="str">
        <f>IF(AND('[1]observations-276632'!W609&gt;'[1]Methods write-up'!$Q$20,'[1]observations-276632'!W609&lt;'[1]Methods write-up'!$R$20,'[1]observations-276632'!X609&gt;'[1]Methods write-up'!$S$20,'[1]observations-276632'!X609&lt;'[1]Methods write-up'!$T$20),"Temperate seasonal","")</f>
        <v/>
      </c>
      <c r="BC609" s="22" t="str">
        <f>IF(AND('[1]observations-276632'!W609&gt;'[1]Methods write-up'!$Q$21,'[1]observations-276632'!W609&lt;'[1]Methods write-up'!$R$21,'[1]observations-276632'!X609&gt;'[1]Methods write-up'!$S$21,'[1]observations-276632'!X609&lt;'[1]Methods write-up'!$T$21),"Desert and high aridity","")</f>
        <v/>
      </c>
      <c r="BD609" s="23" t="str">
        <f t="shared" si="41"/>
        <v/>
      </c>
      <c r="BE609" s="24">
        <f t="shared" si="39"/>
        <v>10</v>
      </c>
      <c r="BF609" s="24">
        <f t="shared" si="40"/>
        <v>12</v>
      </c>
    </row>
    <row r="610" spans="1:58" ht="16.25" customHeight="1" x14ac:dyDescent="0.2">
      <c r="A610">
        <v>66423360</v>
      </c>
      <c r="B610" t="s">
        <v>4524</v>
      </c>
      <c r="C610" s="14">
        <v>44045</v>
      </c>
      <c r="D610" t="s">
        <v>4525</v>
      </c>
      <c r="E610" t="s">
        <v>113</v>
      </c>
      <c r="F610">
        <v>833117</v>
      </c>
      <c r="G610" t="s">
        <v>1318</v>
      </c>
      <c r="H610" t="s">
        <v>1319</v>
      </c>
      <c r="I610" t="s">
        <v>4526</v>
      </c>
      <c r="J610" t="s">
        <v>4527</v>
      </c>
      <c r="K610" t="s">
        <v>62</v>
      </c>
      <c r="L610" t="s">
        <v>63</v>
      </c>
      <c r="M610" t="s">
        <v>4528</v>
      </c>
      <c r="N610" t="s">
        <v>4529</v>
      </c>
      <c r="R610">
        <v>2</v>
      </c>
      <c r="S610">
        <v>0</v>
      </c>
      <c r="T610" t="b">
        <v>0</v>
      </c>
      <c r="V610" t="s">
        <v>4530</v>
      </c>
      <c r="W610" s="15">
        <v>-33.532378229999999</v>
      </c>
      <c r="X610" s="15">
        <v>27.038165320000001</v>
      </c>
      <c r="Y610">
        <v>4</v>
      </c>
      <c r="AC610">
        <v>4</v>
      </c>
      <c r="AF610" t="b">
        <v>0</v>
      </c>
      <c r="AI610" t="s">
        <v>71</v>
      </c>
      <c r="AJ610" t="s">
        <v>70</v>
      </c>
      <c r="AK610" t="s">
        <v>71</v>
      </c>
      <c r="AL610" t="s">
        <v>72</v>
      </c>
      <c r="AM610">
        <v>346053</v>
      </c>
      <c r="AO610" s="16" t="s">
        <v>73</v>
      </c>
      <c r="AP610" s="17" t="str">
        <f t="shared" si="42"/>
        <v>Off-nest female</v>
      </c>
      <c r="AX610" s="22" t="str">
        <f>IF(AND('[1]observations-276632'!W610&gt;'[1]Methods write-up'!$Q$16,'[1]observations-276632'!W610&lt;'[1]Methods write-up'!$R$16,'[1]observations-276632'!X610&gt;'[1]Methods write-up'!$S$16,'[1]observations-276632'!X610&lt;'[1]Methods write-up'!$T$16),"West and Central Africa","")</f>
        <v/>
      </c>
      <c r="AY610" s="22" t="str">
        <f>IF(AND('[1]observations-276632'!W610&gt;'[1]Methods write-up'!$Q$17,'[1]observations-276632'!W610&lt;'[1]Methods write-up'!$R$17,'[1]observations-276632'!X610&gt;'[1]Methods write-up'!$S$17,'[1]observations-276632'!X610&lt;'[1]Methods write-up'!$T$17),"Equatorial tropical forest","")</f>
        <v/>
      </c>
      <c r="AZ610" s="22" t="str">
        <f>IF(AND('[1]observations-276632'!W610&gt;'[1]Methods write-up'!$Q$18,'[1]observations-276632'!W610&lt;'[1]Methods write-up'!$R$18,'[1]observations-276632'!X610&gt;'[1]Methods write-up'!$S$18,'[1]observations-276632'!X610&lt;'[1]Methods write-up'!$T$18),"Somali peninsula","")</f>
        <v/>
      </c>
      <c r="BA610" s="22" t="str">
        <f>IF(AND('[1]observations-276632'!W610&gt;'[1]Methods write-up'!$Q$19,'[1]observations-276632'!W610&lt;'[1]Methods write-up'!$R$19,'[1]observations-276632'!X610&gt;'[1]Methods write-up'!$S$19,'[1]observations-276632'!X610&lt;'[1]Methods write-up'!$T$19),"East Africa","")</f>
        <v/>
      </c>
      <c r="BB610" s="22" t="str">
        <f>IF(AND('[1]observations-276632'!W610&gt;'[1]Methods write-up'!$Q$20,'[1]observations-276632'!W610&lt;'[1]Methods write-up'!$R$20,'[1]observations-276632'!X610&gt;'[1]Methods write-up'!$S$20,'[1]observations-276632'!X610&lt;'[1]Methods write-up'!$T$20),"Temperate seasonal","")</f>
        <v>Temperate seasonal</v>
      </c>
      <c r="BC610" s="22" t="str">
        <f>IF(AND('[1]observations-276632'!W610&gt;'[1]Methods write-up'!$Q$21,'[1]observations-276632'!W610&lt;'[1]Methods write-up'!$R$21,'[1]observations-276632'!X610&gt;'[1]Methods write-up'!$S$21,'[1]observations-276632'!X610&lt;'[1]Methods write-up'!$T$21),"Desert and high aridity","")</f>
        <v/>
      </c>
      <c r="BD610" s="23" t="str">
        <f t="shared" si="41"/>
        <v>Temperate seasonal</v>
      </c>
      <c r="BE610" s="24">
        <f t="shared" si="39"/>
        <v>2</v>
      </c>
      <c r="BF610" s="24">
        <f t="shared" si="40"/>
        <v>8</v>
      </c>
    </row>
    <row r="611" spans="1:58" ht="16.25" customHeight="1" x14ac:dyDescent="0.2">
      <c r="A611">
        <v>66471484</v>
      </c>
      <c r="B611" t="s">
        <v>4531</v>
      </c>
      <c r="C611" s="14">
        <v>44177</v>
      </c>
      <c r="D611" t="s">
        <v>4532</v>
      </c>
      <c r="E611" t="s">
        <v>113</v>
      </c>
      <c r="F611">
        <v>3802301</v>
      </c>
      <c r="G611" t="s">
        <v>4533</v>
      </c>
      <c r="H611" t="s">
        <v>4534</v>
      </c>
      <c r="I611" t="s">
        <v>4535</v>
      </c>
      <c r="J611" t="s">
        <v>4536</v>
      </c>
      <c r="K611" t="s">
        <v>62</v>
      </c>
      <c r="M611" t="s">
        <v>4537</v>
      </c>
      <c r="N611" t="s">
        <v>4538</v>
      </c>
      <c r="R611">
        <v>4</v>
      </c>
      <c r="S611">
        <v>0</v>
      </c>
      <c r="T611" t="b">
        <v>0</v>
      </c>
      <c r="U611">
        <v>3</v>
      </c>
      <c r="V611" t="s">
        <v>4539</v>
      </c>
      <c r="W611" s="15">
        <v>-32.953382089999998</v>
      </c>
      <c r="X611" s="15">
        <v>27.903947939999998</v>
      </c>
      <c r="Y611">
        <v>38</v>
      </c>
      <c r="AC611">
        <v>38</v>
      </c>
      <c r="AF611" t="b">
        <v>0</v>
      </c>
      <c r="AI611" t="s">
        <v>71</v>
      </c>
      <c r="AJ611" t="s">
        <v>70</v>
      </c>
      <c r="AK611" t="s">
        <v>71</v>
      </c>
      <c r="AL611" t="s">
        <v>72</v>
      </c>
      <c r="AM611">
        <v>346053</v>
      </c>
      <c r="AO611" s="16" t="s">
        <v>150</v>
      </c>
      <c r="AP611" s="17" t="str">
        <f t="shared" si="42"/>
        <v>Male (off nest)</v>
      </c>
      <c r="AX611" s="22" t="str">
        <f>IF(AND('[1]observations-276632'!W611&gt;'[1]Methods write-up'!$Q$16,'[1]observations-276632'!W611&lt;'[1]Methods write-up'!$R$16,'[1]observations-276632'!X611&gt;'[1]Methods write-up'!$S$16,'[1]observations-276632'!X611&lt;'[1]Methods write-up'!$T$16),"West and Central Africa","")</f>
        <v/>
      </c>
      <c r="AY611" s="22" t="str">
        <f>IF(AND('[1]observations-276632'!W611&gt;'[1]Methods write-up'!$Q$17,'[1]observations-276632'!W611&lt;'[1]Methods write-up'!$R$17,'[1]observations-276632'!X611&gt;'[1]Methods write-up'!$S$17,'[1]observations-276632'!X611&lt;'[1]Methods write-up'!$T$17),"Equatorial tropical forest","")</f>
        <v/>
      </c>
      <c r="AZ611" s="22" t="str">
        <f>IF(AND('[1]observations-276632'!W611&gt;'[1]Methods write-up'!$Q$18,'[1]observations-276632'!W611&lt;'[1]Methods write-up'!$R$18,'[1]observations-276632'!X611&gt;'[1]Methods write-up'!$S$18,'[1]observations-276632'!X611&lt;'[1]Methods write-up'!$T$18),"Somali peninsula","")</f>
        <v/>
      </c>
      <c r="BA611" s="22" t="str">
        <f>IF(AND('[1]observations-276632'!W611&gt;'[1]Methods write-up'!$Q$19,'[1]observations-276632'!W611&lt;'[1]Methods write-up'!$R$19,'[1]observations-276632'!X611&gt;'[1]Methods write-up'!$S$19,'[1]observations-276632'!X611&lt;'[1]Methods write-up'!$T$19),"East Africa","")</f>
        <v/>
      </c>
      <c r="BB611" s="22" t="str">
        <f>IF(AND('[1]observations-276632'!W611&gt;'[1]Methods write-up'!$Q$20,'[1]observations-276632'!W611&lt;'[1]Methods write-up'!$R$20,'[1]observations-276632'!X611&gt;'[1]Methods write-up'!$S$20,'[1]observations-276632'!X611&lt;'[1]Methods write-up'!$T$20),"Temperate seasonal","")</f>
        <v>Temperate seasonal</v>
      </c>
      <c r="BC611" s="22" t="str">
        <f>IF(AND('[1]observations-276632'!W611&gt;'[1]Methods write-up'!$Q$21,'[1]observations-276632'!W611&lt;'[1]Methods write-up'!$R$21,'[1]observations-276632'!X611&gt;'[1]Methods write-up'!$S$21,'[1]observations-276632'!X611&lt;'[1]Methods write-up'!$T$21),"Desert and high aridity","")</f>
        <v/>
      </c>
      <c r="BD611" s="23" t="str">
        <f t="shared" si="41"/>
        <v>Temperate seasonal</v>
      </c>
      <c r="BE611" s="24">
        <f t="shared" si="39"/>
        <v>12</v>
      </c>
      <c r="BF611" s="24">
        <f t="shared" si="40"/>
        <v>12</v>
      </c>
    </row>
    <row r="612" spans="1:58" ht="16.25" customHeight="1" x14ac:dyDescent="0.2">
      <c r="A612">
        <v>66474743</v>
      </c>
      <c r="B612" t="s">
        <v>4540</v>
      </c>
      <c r="C612" s="14">
        <v>43326</v>
      </c>
      <c r="D612" t="s">
        <v>4541</v>
      </c>
      <c r="E612" t="s">
        <v>243</v>
      </c>
      <c r="F612">
        <v>2618879</v>
      </c>
      <c r="G612" t="s">
        <v>4542</v>
      </c>
      <c r="H612" t="s">
        <v>4543</v>
      </c>
      <c r="I612" t="s">
        <v>4544</v>
      </c>
      <c r="J612" t="s">
        <v>4545</v>
      </c>
      <c r="K612" t="s">
        <v>62</v>
      </c>
      <c r="L612" t="s">
        <v>98</v>
      </c>
      <c r="M612" t="s">
        <v>4546</v>
      </c>
      <c r="N612" t="s">
        <v>4547</v>
      </c>
      <c r="P612" t="s">
        <v>4548</v>
      </c>
      <c r="Q612" t="s">
        <v>4549</v>
      </c>
      <c r="R612">
        <v>3</v>
      </c>
      <c r="S612">
        <v>0</v>
      </c>
      <c r="T612" t="b">
        <v>0</v>
      </c>
      <c r="V612" t="s">
        <v>4550</v>
      </c>
      <c r="W612" s="15">
        <v>-0.29508305600000001</v>
      </c>
      <c r="X612" s="15">
        <v>36.951839999999997</v>
      </c>
      <c r="AF612" t="b">
        <v>0</v>
      </c>
      <c r="AI612" t="s">
        <v>71</v>
      </c>
      <c r="AJ612" t="s">
        <v>70</v>
      </c>
      <c r="AK612" t="s">
        <v>71</v>
      </c>
      <c r="AL612" t="s">
        <v>72</v>
      </c>
      <c r="AM612">
        <v>346053</v>
      </c>
      <c r="AO612" s="16" t="s">
        <v>73</v>
      </c>
      <c r="AP612" s="17" t="str">
        <f t="shared" si="42"/>
        <v>Off-nest female</v>
      </c>
      <c r="AX612" s="22" t="str">
        <f>IF(AND('[1]observations-276632'!W612&gt;'[1]Methods write-up'!$Q$16,'[1]observations-276632'!W612&lt;'[1]Methods write-up'!$R$16,'[1]observations-276632'!X612&gt;'[1]Methods write-up'!$S$16,'[1]observations-276632'!X612&lt;'[1]Methods write-up'!$T$16),"West and Central Africa","")</f>
        <v/>
      </c>
      <c r="AY612" s="22" t="str">
        <f>IF(AND('[1]observations-276632'!W612&gt;'[1]Methods write-up'!$Q$17,'[1]observations-276632'!W612&lt;'[1]Methods write-up'!$R$17,'[1]observations-276632'!X612&gt;'[1]Methods write-up'!$S$17,'[1]observations-276632'!X612&lt;'[1]Methods write-up'!$T$17),"Equatorial tropical forest","")</f>
        <v/>
      </c>
      <c r="AZ612" s="22" t="str">
        <f>IF(AND('[1]observations-276632'!W612&gt;'[1]Methods write-up'!$Q$18,'[1]observations-276632'!W612&lt;'[1]Methods write-up'!$R$18,'[1]observations-276632'!X612&gt;'[1]Methods write-up'!$S$18,'[1]observations-276632'!X612&lt;'[1]Methods write-up'!$T$18),"Somali peninsula","")</f>
        <v/>
      </c>
      <c r="BA612" s="22" t="str">
        <f>IF(AND('[1]observations-276632'!W612&gt;'[1]Methods write-up'!$Q$19,'[1]observations-276632'!W612&lt;'[1]Methods write-up'!$R$19,'[1]observations-276632'!X612&gt;'[1]Methods write-up'!$S$19,'[1]observations-276632'!X612&lt;'[1]Methods write-up'!$T$19),"East Africa","")</f>
        <v>East Africa</v>
      </c>
      <c r="BB612" s="22" t="str">
        <f>IF(AND('[1]observations-276632'!W612&gt;'[1]Methods write-up'!$Q$20,'[1]observations-276632'!W612&lt;'[1]Methods write-up'!$R$20,'[1]observations-276632'!X612&gt;'[1]Methods write-up'!$S$20,'[1]observations-276632'!X612&lt;'[1]Methods write-up'!$T$20),"Temperate seasonal","")</f>
        <v/>
      </c>
      <c r="BC612" s="22" t="str">
        <f>IF(AND('[1]observations-276632'!W612&gt;'[1]Methods write-up'!$Q$21,'[1]observations-276632'!W612&lt;'[1]Methods write-up'!$R$21,'[1]observations-276632'!X612&gt;'[1]Methods write-up'!$S$21,'[1]observations-276632'!X612&lt;'[1]Methods write-up'!$T$21),"Desert and high aridity","")</f>
        <v/>
      </c>
      <c r="BD612" s="23" t="str">
        <f t="shared" si="41"/>
        <v>East Africa</v>
      </c>
      <c r="BE612" s="24">
        <f t="shared" si="39"/>
        <v>14</v>
      </c>
      <c r="BF612" s="24">
        <f t="shared" si="40"/>
        <v>8</v>
      </c>
    </row>
    <row r="613" spans="1:58" ht="16.25" customHeight="1" x14ac:dyDescent="0.2">
      <c r="A613">
        <v>66539006</v>
      </c>
      <c r="B613" t="s">
        <v>4551</v>
      </c>
      <c r="C613" s="14">
        <v>43900</v>
      </c>
      <c r="D613" t="s">
        <v>4552</v>
      </c>
      <c r="E613" t="s">
        <v>93</v>
      </c>
      <c r="F613">
        <v>1554628</v>
      </c>
      <c r="G613" t="s">
        <v>4553</v>
      </c>
      <c r="H613" t="s">
        <v>4554</v>
      </c>
      <c r="I613" t="s">
        <v>4555</v>
      </c>
      <c r="J613" t="s">
        <v>4555</v>
      </c>
      <c r="K613" t="s">
        <v>62</v>
      </c>
      <c r="L613" t="s">
        <v>63</v>
      </c>
      <c r="M613" t="s">
        <v>4556</v>
      </c>
      <c r="N613" t="s">
        <v>4557</v>
      </c>
      <c r="R613">
        <v>0</v>
      </c>
      <c r="S613">
        <v>0</v>
      </c>
      <c r="T613" t="b">
        <v>0</v>
      </c>
      <c r="V613" t="s">
        <v>4558</v>
      </c>
      <c r="W613" s="15">
        <v>2.2776696689999998</v>
      </c>
      <c r="X613" s="15">
        <v>31.687006960000001</v>
      </c>
      <c r="Y613">
        <v>100</v>
      </c>
      <c r="AC613">
        <v>100</v>
      </c>
      <c r="AF613" t="b">
        <v>0</v>
      </c>
      <c r="AI613" t="s">
        <v>102</v>
      </c>
      <c r="AJ613" t="s">
        <v>102</v>
      </c>
      <c r="AL613" t="s">
        <v>72</v>
      </c>
      <c r="AM613">
        <v>1070939</v>
      </c>
      <c r="AO613" s="16" t="s">
        <v>140</v>
      </c>
      <c r="AP613" s="17" t="str">
        <f t="shared" si="42"/>
        <v>Post-emergence nest</v>
      </c>
      <c r="AQ613" s="18">
        <v>1</v>
      </c>
      <c r="AT613" s="19" t="s">
        <v>141</v>
      </c>
      <c r="AU613" s="20" t="s">
        <v>104</v>
      </c>
      <c r="AX613" s="22" t="str">
        <f>IF(AND('[1]observations-276632'!W613&gt;'[1]Methods write-up'!$Q$16,'[1]observations-276632'!W613&lt;'[1]Methods write-up'!$R$16,'[1]observations-276632'!X613&gt;'[1]Methods write-up'!$S$16,'[1]observations-276632'!X613&lt;'[1]Methods write-up'!$T$16),"West and Central Africa","")</f>
        <v/>
      </c>
      <c r="AY613" s="22" t="str">
        <f>IF(AND('[1]observations-276632'!W613&gt;'[1]Methods write-up'!$Q$17,'[1]observations-276632'!W613&lt;'[1]Methods write-up'!$R$17,'[1]observations-276632'!X613&gt;'[1]Methods write-up'!$S$17,'[1]observations-276632'!X613&lt;'[1]Methods write-up'!$T$17),"Equatorial tropical forest","")</f>
        <v/>
      </c>
      <c r="AZ613" s="22" t="str">
        <f>IF(AND('[1]observations-276632'!W613&gt;'[1]Methods write-up'!$Q$18,'[1]observations-276632'!W613&lt;'[1]Methods write-up'!$R$18,'[1]observations-276632'!X613&gt;'[1]Methods write-up'!$S$18,'[1]observations-276632'!X613&lt;'[1]Methods write-up'!$T$18),"Somali peninsula","")</f>
        <v/>
      </c>
      <c r="BA613" s="22" t="str">
        <f>IF(AND('[1]observations-276632'!W613&gt;'[1]Methods write-up'!$Q$19,'[1]observations-276632'!W613&lt;'[1]Methods write-up'!$R$19,'[1]observations-276632'!X613&gt;'[1]Methods write-up'!$S$19,'[1]observations-276632'!X613&lt;'[1]Methods write-up'!$T$19),"East Africa","")</f>
        <v/>
      </c>
      <c r="BB613" s="22" t="str">
        <f>IF(AND('[1]observations-276632'!W613&gt;'[1]Methods write-up'!$Q$20,'[1]observations-276632'!W613&lt;'[1]Methods write-up'!$R$20,'[1]observations-276632'!X613&gt;'[1]Methods write-up'!$S$20,'[1]observations-276632'!X613&lt;'[1]Methods write-up'!$T$20),"Temperate seasonal","")</f>
        <v/>
      </c>
      <c r="BC613" s="22" t="str">
        <f>IF(AND('[1]observations-276632'!W613&gt;'[1]Methods write-up'!$Q$21,'[1]observations-276632'!W613&lt;'[1]Methods write-up'!$R$21,'[1]observations-276632'!X613&gt;'[1]Methods write-up'!$S$21,'[1]observations-276632'!X613&lt;'[1]Methods write-up'!$T$21),"Desert and high aridity","")</f>
        <v/>
      </c>
      <c r="BD613" s="23" t="str">
        <f t="shared" si="41"/>
        <v/>
      </c>
      <c r="BE613" s="24">
        <f t="shared" si="39"/>
        <v>10</v>
      </c>
      <c r="BF613" s="24">
        <f t="shared" si="40"/>
        <v>3</v>
      </c>
    </row>
    <row r="614" spans="1:58" ht="16.25" customHeight="1" x14ac:dyDescent="0.2">
      <c r="A614">
        <v>66699093</v>
      </c>
      <c r="B614" t="s">
        <v>4559</v>
      </c>
      <c r="C614" s="14">
        <v>44182</v>
      </c>
      <c r="D614" t="s">
        <v>4560</v>
      </c>
      <c r="E614" t="s">
        <v>113</v>
      </c>
      <c r="F614">
        <v>3857722</v>
      </c>
      <c r="G614" t="s">
        <v>4422</v>
      </c>
      <c r="H614" t="s">
        <v>4423</v>
      </c>
      <c r="I614" t="s">
        <v>4561</v>
      </c>
      <c r="J614" t="s">
        <v>4562</v>
      </c>
      <c r="K614" t="s">
        <v>62</v>
      </c>
      <c r="L614" t="s">
        <v>63</v>
      </c>
      <c r="M614" t="s">
        <v>4563</v>
      </c>
      <c r="N614" t="s">
        <v>4564</v>
      </c>
      <c r="R614">
        <v>2</v>
      </c>
      <c r="S614">
        <v>0</v>
      </c>
      <c r="T614" t="b">
        <v>0</v>
      </c>
      <c r="U614">
        <v>3</v>
      </c>
      <c r="V614" t="s">
        <v>4428</v>
      </c>
      <c r="W614" s="15">
        <v>-15.75514167</v>
      </c>
      <c r="X614" s="15">
        <v>34.996371670000002</v>
      </c>
      <c r="Y614">
        <v>4</v>
      </c>
      <c r="AC614">
        <v>4</v>
      </c>
      <c r="AF614" t="b">
        <v>0</v>
      </c>
      <c r="AI614" t="s">
        <v>71</v>
      </c>
      <c r="AJ614" t="s">
        <v>70</v>
      </c>
      <c r="AK614" t="s">
        <v>71</v>
      </c>
      <c r="AL614" t="s">
        <v>72</v>
      </c>
      <c r="AM614">
        <v>346053</v>
      </c>
      <c r="AO614" s="16" t="s">
        <v>110</v>
      </c>
      <c r="AP614" s="17" t="str">
        <f t="shared" si="42"/>
        <v>Nest (foundress)</v>
      </c>
      <c r="AQ614" s="18">
        <v>1</v>
      </c>
      <c r="AT614" s="19" t="s">
        <v>104</v>
      </c>
      <c r="AX614" s="22" t="str">
        <f>IF(AND('[1]observations-276632'!W614&gt;'[1]Methods write-up'!$Q$16,'[1]observations-276632'!W614&lt;'[1]Methods write-up'!$R$16,'[1]observations-276632'!X614&gt;'[1]Methods write-up'!$S$16,'[1]observations-276632'!X614&lt;'[1]Methods write-up'!$T$16),"West and Central Africa","")</f>
        <v/>
      </c>
      <c r="AY614" s="22" t="str">
        <f>IF(AND('[1]observations-276632'!W614&gt;'[1]Methods write-up'!$Q$17,'[1]observations-276632'!W614&lt;'[1]Methods write-up'!$R$17,'[1]observations-276632'!X614&gt;'[1]Methods write-up'!$S$17,'[1]observations-276632'!X614&lt;'[1]Methods write-up'!$T$17),"Equatorial tropical forest","")</f>
        <v/>
      </c>
      <c r="AZ614" s="22" t="str">
        <f>IF(AND('[1]observations-276632'!W614&gt;'[1]Methods write-up'!$Q$18,'[1]observations-276632'!W614&lt;'[1]Methods write-up'!$R$18,'[1]observations-276632'!X614&gt;'[1]Methods write-up'!$S$18,'[1]observations-276632'!X614&lt;'[1]Methods write-up'!$T$18),"Somali peninsula","")</f>
        <v/>
      </c>
      <c r="BA614" s="22" t="str">
        <f>IF(AND('[1]observations-276632'!W614&gt;'[1]Methods write-up'!$Q$19,'[1]observations-276632'!W614&lt;'[1]Methods write-up'!$R$19,'[1]observations-276632'!X614&gt;'[1]Methods write-up'!$S$19,'[1]observations-276632'!X614&lt;'[1]Methods write-up'!$T$19),"East Africa","")</f>
        <v/>
      </c>
      <c r="BB614" s="22" t="str">
        <f>IF(AND('[1]observations-276632'!W614&gt;'[1]Methods write-up'!$Q$20,'[1]observations-276632'!W614&lt;'[1]Methods write-up'!$R$20,'[1]observations-276632'!X614&gt;'[1]Methods write-up'!$S$20,'[1]observations-276632'!X614&lt;'[1]Methods write-up'!$T$20),"Temperate seasonal","")</f>
        <v/>
      </c>
      <c r="BC614" s="22" t="str">
        <f>IF(AND('[1]observations-276632'!W614&gt;'[1]Methods write-up'!$Q$21,'[1]observations-276632'!W614&lt;'[1]Methods write-up'!$R$21,'[1]observations-276632'!X614&gt;'[1]Methods write-up'!$S$21,'[1]observations-276632'!X614&lt;'[1]Methods write-up'!$T$21),"Desert and high aridity","")</f>
        <v/>
      </c>
      <c r="BD614" s="23" t="str">
        <f t="shared" si="41"/>
        <v/>
      </c>
      <c r="BE614" s="24">
        <f t="shared" si="39"/>
        <v>17</v>
      </c>
      <c r="BF614" s="24">
        <f t="shared" si="40"/>
        <v>12</v>
      </c>
    </row>
    <row r="615" spans="1:58" ht="16.25" customHeight="1" x14ac:dyDescent="0.2">
      <c r="A615">
        <v>66957219</v>
      </c>
      <c r="B615" t="s">
        <v>4565</v>
      </c>
      <c r="C615" s="14">
        <v>44092</v>
      </c>
      <c r="D615" t="s">
        <v>4566</v>
      </c>
      <c r="E615" t="s">
        <v>113</v>
      </c>
      <c r="F615">
        <v>33443</v>
      </c>
      <c r="G615" t="s">
        <v>4567</v>
      </c>
      <c r="I615" t="s">
        <v>4568</v>
      </c>
      <c r="J615" t="s">
        <v>4569</v>
      </c>
      <c r="K615" t="s">
        <v>62</v>
      </c>
      <c r="L615" t="s">
        <v>63</v>
      </c>
      <c r="M615" t="s">
        <v>4570</v>
      </c>
      <c r="N615" t="s">
        <v>4571</v>
      </c>
      <c r="R615">
        <v>1</v>
      </c>
      <c r="S615">
        <v>0</v>
      </c>
      <c r="T615" t="b">
        <v>0</v>
      </c>
      <c r="U615">
        <v>2</v>
      </c>
      <c r="V615" t="s">
        <v>4572</v>
      </c>
      <c r="W615" s="15">
        <v>-3.3944444439999999</v>
      </c>
      <c r="X615" s="15">
        <v>29.375833329999999</v>
      </c>
      <c r="AF615" t="b">
        <v>0</v>
      </c>
      <c r="AG615" t="s">
        <v>350</v>
      </c>
      <c r="AH615" t="s">
        <v>350</v>
      </c>
      <c r="AI615" t="s">
        <v>71</v>
      </c>
      <c r="AJ615" t="s">
        <v>70</v>
      </c>
      <c r="AK615" t="s">
        <v>71</v>
      </c>
      <c r="AL615" t="s">
        <v>72</v>
      </c>
      <c r="AM615">
        <v>346053</v>
      </c>
      <c r="AO615" s="16" t="s">
        <v>73</v>
      </c>
      <c r="AP615" s="17" t="str">
        <f t="shared" si="42"/>
        <v>Off-nest female</v>
      </c>
      <c r="AX615" s="22" t="str">
        <f>IF(AND('[1]observations-276632'!W615&gt;'[1]Methods write-up'!$Q$16,'[1]observations-276632'!W615&lt;'[1]Methods write-up'!$R$16,'[1]observations-276632'!X615&gt;'[1]Methods write-up'!$S$16,'[1]observations-276632'!X615&lt;'[1]Methods write-up'!$T$16),"West and Central Africa","")</f>
        <v>West and Central Africa</v>
      </c>
      <c r="AY615" s="22" t="str">
        <f>IF(AND('[1]observations-276632'!W615&gt;'[1]Methods write-up'!$Q$17,'[1]observations-276632'!W615&lt;'[1]Methods write-up'!$R$17,'[1]observations-276632'!X615&gt;'[1]Methods write-up'!$S$17,'[1]observations-276632'!X615&lt;'[1]Methods write-up'!$T$17),"Equatorial tropical forest","")</f>
        <v/>
      </c>
      <c r="AZ615" s="22" t="str">
        <f>IF(AND('[1]observations-276632'!W615&gt;'[1]Methods write-up'!$Q$18,'[1]observations-276632'!W615&lt;'[1]Methods write-up'!$R$18,'[1]observations-276632'!X615&gt;'[1]Methods write-up'!$S$18,'[1]observations-276632'!X615&lt;'[1]Methods write-up'!$T$18),"Somali peninsula","")</f>
        <v/>
      </c>
      <c r="BA615" s="22" t="str">
        <f>IF(AND('[1]observations-276632'!W615&gt;'[1]Methods write-up'!$Q$19,'[1]observations-276632'!W615&lt;'[1]Methods write-up'!$R$19,'[1]observations-276632'!X615&gt;'[1]Methods write-up'!$S$19,'[1]observations-276632'!X615&lt;'[1]Methods write-up'!$T$19),"East Africa","")</f>
        <v/>
      </c>
      <c r="BB615" s="22" t="str">
        <f>IF(AND('[1]observations-276632'!W615&gt;'[1]Methods write-up'!$Q$20,'[1]observations-276632'!W615&lt;'[1]Methods write-up'!$R$20,'[1]observations-276632'!X615&gt;'[1]Methods write-up'!$S$20,'[1]observations-276632'!X615&lt;'[1]Methods write-up'!$T$20),"Temperate seasonal","")</f>
        <v/>
      </c>
      <c r="BC615" s="22" t="str">
        <f>IF(AND('[1]observations-276632'!W615&gt;'[1]Methods write-up'!$Q$21,'[1]observations-276632'!W615&lt;'[1]Methods write-up'!$R$21,'[1]observations-276632'!X615&gt;'[1]Methods write-up'!$S$21,'[1]observations-276632'!X615&lt;'[1]Methods write-up'!$T$21),"Desert and high aridity","")</f>
        <v/>
      </c>
      <c r="BD615" s="23" t="str">
        <f t="shared" si="41"/>
        <v>West and Central Africa</v>
      </c>
      <c r="BE615" s="24">
        <f t="shared" si="39"/>
        <v>18</v>
      </c>
      <c r="BF615" s="24">
        <f t="shared" si="40"/>
        <v>9</v>
      </c>
    </row>
    <row r="616" spans="1:58" ht="16.25" customHeight="1" x14ac:dyDescent="0.2">
      <c r="A616">
        <v>67019076</v>
      </c>
      <c r="B616" t="s">
        <v>4573</v>
      </c>
      <c r="C616" s="14">
        <v>40918</v>
      </c>
      <c r="D616" t="s">
        <v>4574</v>
      </c>
      <c r="E616" t="s">
        <v>4318</v>
      </c>
      <c r="F616">
        <v>29452</v>
      </c>
      <c r="G616" t="s">
        <v>4319</v>
      </c>
      <c r="I616" t="s">
        <v>4575</v>
      </c>
      <c r="J616" t="s">
        <v>4576</v>
      </c>
      <c r="K616" t="s">
        <v>62</v>
      </c>
      <c r="L616" t="s">
        <v>63</v>
      </c>
      <c r="M616" t="s">
        <v>4577</v>
      </c>
      <c r="N616" t="s">
        <v>4578</v>
      </c>
      <c r="R616">
        <v>2</v>
      </c>
      <c r="S616">
        <v>0</v>
      </c>
      <c r="T616" t="b">
        <v>0</v>
      </c>
      <c r="V616" t="s">
        <v>3037</v>
      </c>
      <c r="W616" s="15">
        <v>-3.2191863999999999</v>
      </c>
      <c r="X616" s="15">
        <v>40.116890599999998</v>
      </c>
      <c r="Y616">
        <v>8677</v>
      </c>
      <c r="AC616">
        <v>8677</v>
      </c>
      <c r="AF616" t="b">
        <v>0</v>
      </c>
      <c r="AI616" t="s">
        <v>71</v>
      </c>
      <c r="AJ616" t="s">
        <v>70</v>
      </c>
      <c r="AK616" t="s">
        <v>71</v>
      </c>
      <c r="AL616" t="s">
        <v>72</v>
      </c>
      <c r="AM616">
        <v>346053</v>
      </c>
      <c r="AO616" s="16" t="s">
        <v>73</v>
      </c>
      <c r="AP616" s="17" t="str">
        <f t="shared" si="42"/>
        <v>Off-nest female</v>
      </c>
      <c r="AX616" s="22" t="str">
        <f>IF(AND('[1]observations-276632'!W616&gt;'[1]Methods write-up'!$Q$16,'[1]observations-276632'!W616&lt;'[1]Methods write-up'!$R$16,'[1]observations-276632'!X616&gt;'[1]Methods write-up'!$S$16,'[1]observations-276632'!X616&lt;'[1]Methods write-up'!$T$16),"West and Central Africa","")</f>
        <v/>
      </c>
      <c r="AY616" s="22" t="str">
        <f>IF(AND('[1]observations-276632'!W616&gt;'[1]Methods write-up'!$Q$17,'[1]observations-276632'!W616&lt;'[1]Methods write-up'!$R$17,'[1]observations-276632'!X616&gt;'[1]Methods write-up'!$S$17,'[1]observations-276632'!X616&lt;'[1]Methods write-up'!$T$17),"Equatorial tropical forest","")</f>
        <v/>
      </c>
      <c r="AZ616" s="22" t="str">
        <f>IF(AND('[1]observations-276632'!W616&gt;'[1]Methods write-up'!$Q$18,'[1]observations-276632'!W616&lt;'[1]Methods write-up'!$R$18,'[1]observations-276632'!X616&gt;'[1]Methods write-up'!$S$18,'[1]observations-276632'!X616&lt;'[1]Methods write-up'!$T$18),"Somali peninsula","")</f>
        <v/>
      </c>
      <c r="BA616" s="22" t="str">
        <f>IF(AND('[1]observations-276632'!W616&gt;'[1]Methods write-up'!$Q$19,'[1]observations-276632'!W616&lt;'[1]Methods write-up'!$R$19,'[1]observations-276632'!X616&gt;'[1]Methods write-up'!$S$19,'[1]observations-276632'!X616&lt;'[1]Methods write-up'!$T$19),"East Africa","")</f>
        <v>East Africa</v>
      </c>
      <c r="BB616" s="22" t="str">
        <f>IF(AND('[1]observations-276632'!W616&gt;'[1]Methods write-up'!$Q$20,'[1]observations-276632'!W616&lt;'[1]Methods write-up'!$R$20,'[1]observations-276632'!X616&gt;'[1]Methods write-up'!$S$20,'[1]observations-276632'!X616&lt;'[1]Methods write-up'!$T$20),"Temperate seasonal","")</f>
        <v/>
      </c>
      <c r="BC616" s="22" t="str">
        <f>IF(AND('[1]observations-276632'!W616&gt;'[1]Methods write-up'!$Q$21,'[1]observations-276632'!W616&lt;'[1]Methods write-up'!$R$21,'[1]observations-276632'!X616&gt;'[1]Methods write-up'!$S$21,'[1]observations-276632'!X616&lt;'[1]Methods write-up'!$T$21),"Desert and high aridity","")</f>
        <v/>
      </c>
      <c r="BD616" s="23" t="str">
        <f t="shared" si="41"/>
        <v>East Africa</v>
      </c>
      <c r="BE616" s="24">
        <f t="shared" si="39"/>
        <v>10</v>
      </c>
      <c r="BF616" s="24">
        <f t="shared" si="40"/>
        <v>1</v>
      </c>
    </row>
    <row r="617" spans="1:58" ht="16.25" customHeight="1" x14ac:dyDescent="0.2">
      <c r="A617">
        <v>67075478</v>
      </c>
      <c r="B617" t="s">
        <v>4579</v>
      </c>
      <c r="C617" s="14">
        <v>44169</v>
      </c>
      <c r="D617" t="s">
        <v>4580</v>
      </c>
      <c r="E617" t="s">
        <v>57</v>
      </c>
      <c r="F617">
        <v>678008</v>
      </c>
      <c r="G617" t="s">
        <v>2315</v>
      </c>
      <c r="I617" t="s">
        <v>4581</v>
      </c>
      <c r="J617" t="s">
        <v>4582</v>
      </c>
      <c r="K617" t="s">
        <v>62</v>
      </c>
      <c r="L617" t="s">
        <v>63</v>
      </c>
      <c r="M617" t="s">
        <v>4583</v>
      </c>
      <c r="N617" t="s">
        <v>4584</v>
      </c>
      <c r="R617">
        <v>2</v>
      </c>
      <c r="S617">
        <v>0</v>
      </c>
      <c r="T617" t="b">
        <v>0</v>
      </c>
      <c r="V617" t="s">
        <v>2320</v>
      </c>
      <c r="W617" s="15">
        <v>-15.36985702</v>
      </c>
      <c r="X617" s="15">
        <v>28.315754519999999</v>
      </c>
      <c r="Y617">
        <v>46</v>
      </c>
      <c r="AC617">
        <v>46</v>
      </c>
      <c r="AF617" t="b">
        <v>0</v>
      </c>
      <c r="AI617" t="s">
        <v>71</v>
      </c>
      <c r="AJ617" t="s">
        <v>70</v>
      </c>
      <c r="AK617" t="s">
        <v>71</v>
      </c>
      <c r="AL617" t="s">
        <v>72</v>
      </c>
      <c r="AM617">
        <v>346053</v>
      </c>
      <c r="AO617" s="16" t="s">
        <v>73</v>
      </c>
      <c r="AP617" s="17" t="str">
        <f t="shared" si="42"/>
        <v>Off-nest female</v>
      </c>
      <c r="AX617" s="22" t="str">
        <f>IF(AND('[1]observations-276632'!W617&gt;'[1]Methods write-up'!$Q$16,'[1]observations-276632'!W617&lt;'[1]Methods write-up'!$R$16,'[1]observations-276632'!X617&gt;'[1]Methods write-up'!$S$16,'[1]observations-276632'!X617&lt;'[1]Methods write-up'!$T$16),"West and Central Africa","")</f>
        <v>West and Central Africa</v>
      </c>
      <c r="AY617" s="22" t="str">
        <f>IF(AND('[1]observations-276632'!W617&gt;'[1]Methods write-up'!$Q$17,'[1]observations-276632'!W617&lt;'[1]Methods write-up'!$R$17,'[1]observations-276632'!X617&gt;'[1]Methods write-up'!$S$17,'[1]observations-276632'!X617&lt;'[1]Methods write-up'!$T$17),"Equatorial tropical forest","")</f>
        <v/>
      </c>
      <c r="AZ617" s="22" t="str">
        <f>IF(AND('[1]observations-276632'!W617&gt;'[1]Methods write-up'!$Q$18,'[1]observations-276632'!W617&lt;'[1]Methods write-up'!$R$18,'[1]observations-276632'!X617&gt;'[1]Methods write-up'!$S$18,'[1]observations-276632'!X617&lt;'[1]Methods write-up'!$T$18),"Somali peninsula","")</f>
        <v/>
      </c>
      <c r="BA617" s="22" t="str">
        <f>IF(AND('[1]observations-276632'!W617&gt;'[1]Methods write-up'!$Q$19,'[1]observations-276632'!W617&lt;'[1]Methods write-up'!$R$19,'[1]observations-276632'!X617&gt;'[1]Methods write-up'!$S$19,'[1]observations-276632'!X617&lt;'[1]Methods write-up'!$T$19),"East Africa","")</f>
        <v/>
      </c>
      <c r="BB617" s="22" t="str">
        <f>IF(AND('[1]observations-276632'!W617&gt;'[1]Methods write-up'!$Q$20,'[1]observations-276632'!W617&lt;'[1]Methods write-up'!$R$20,'[1]observations-276632'!X617&gt;'[1]Methods write-up'!$S$20,'[1]observations-276632'!X617&lt;'[1]Methods write-up'!$T$20),"Temperate seasonal","")</f>
        <v/>
      </c>
      <c r="BC617" s="22" t="str">
        <f>IF(AND('[1]observations-276632'!W617&gt;'[1]Methods write-up'!$Q$21,'[1]observations-276632'!W617&lt;'[1]Methods write-up'!$R$21,'[1]observations-276632'!X617&gt;'[1]Methods write-up'!$S$21,'[1]observations-276632'!X617&lt;'[1]Methods write-up'!$T$21),"Desert and high aridity","")</f>
        <v/>
      </c>
      <c r="BD617" s="23" t="str">
        <f t="shared" si="41"/>
        <v>West and Central Africa</v>
      </c>
      <c r="BE617" s="24">
        <f t="shared" si="39"/>
        <v>4</v>
      </c>
      <c r="BF617" s="24">
        <f t="shared" si="40"/>
        <v>12</v>
      </c>
    </row>
    <row r="618" spans="1:58" ht="16.25" customHeight="1" x14ac:dyDescent="0.2">
      <c r="A618">
        <v>67298975</v>
      </c>
      <c r="B618" t="s">
        <v>4585</v>
      </c>
      <c r="C618" s="14">
        <v>40850</v>
      </c>
      <c r="D618" t="s">
        <v>4586</v>
      </c>
      <c r="E618" t="s">
        <v>193</v>
      </c>
      <c r="F618">
        <v>13787</v>
      </c>
      <c r="G618" t="s">
        <v>4587</v>
      </c>
      <c r="H618" t="s">
        <v>4588</v>
      </c>
      <c r="I618" t="s">
        <v>4589</v>
      </c>
      <c r="J618" t="s">
        <v>4590</v>
      </c>
      <c r="K618" t="s">
        <v>157</v>
      </c>
      <c r="L618" t="s">
        <v>63</v>
      </c>
      <c r="M618" t="s">
        <v>4591</v>
      </c>
      <c r="N618" t="s">
        <v>4592</v>
      </c>
      <c r="P618" t="s">
        <v>4593</v>
      </c>
      <c r="R618">
        <v>1</v>
      </c>
      <c r="S618">
        <v>0</v>
      </c>
      <c r="T618" t="b">
        <v>0</v>
      </c>
      <c r="V618" t="s">
        <v>2720</v>
      </c>
      <c r="W618" s="15">
        <v>-22.8417034</v>
      </c>
      <c r="X618" s="15">
        <v>44.681837700000003</v>
      </c>
      <c r="Y618">
        <v>5592</v>
      </c>
      <c r="AC618">
        <v>5592</v>
      </c>
      <c r="AF618" t="b">
        <v>0</v>
      </c>
      <c r="AI618" t="s">
        <v>2537</v>
      </c>
      <c r="AJ618" t="s">
        <v>2537</v>
      </c>
      <c r="AL618" t="s">
        <v>72</v>
      </c>
      <c r="AM618">
        <v>1098050</v>
      </c>
      <c r="AO618" s="16" t="s">
        <v>110</v>
      </c>
      <c r="AP618" s="17" t="str">
        <f t="shared" si="42"/>
        <v>Nest (foundress)</v>
      </c>
      <c r="AQ618" s="18">
        <v>1</v>
      </c>
      <c r="AT618" s="19" t="s">
        <v>104</v>
      </c>
      <c r="AX618" s="22" t="str">
        <f>IF(AND('[1]observations-276632'!W618&gt;'[1]Methods write-up'!$Q$16,'[1]observations-276632'!W618&lt;'[1]Methods write-up'!$R$16,'[1]observations-276632'!X618&gt;'[1]Methods write-up'!$S$16,'[1]observations-276632'!X618&lt;'[1]Methods write-up'!$T$16),"West and Central Africa","")</f>
        <v/>
      </c>
      <c r="AY618" s="22" t="str">
        <f>IF(AND('[1]observations-276632'!W618&gt;'[1]Methods write-up'!$Q$17,'[1]observations-276632'!W618&lt;'[1]Methods write-up'!$R$17,'[1]observations-276632'!X618&gt;'[1]Methods write-up'!$S$17,'[1]observations-276632'!X618&lt;'[1]Methods write-up'!$T$17),"Equatorial tropical forest","")</f>
        <v/>
      </c>
      <c r="AZ618" s="22" t="str">
        <f>IF(AND('[1]observations-276632'!W618&gt;'[1]Methods write-up'!$Q$18,'[1]observations-276632'!W618&lt;'[1]Methods write-up'!$R$18,'[1]observations-276632'!X618&gt;'[1]Methods write-up'!$S$18,'[1]observations-276632'!X618&lt;'[1]Methods write-up'!$T$18),"Somali peninsula","")</f>
        <v/>
      </c>
      <c r="BA618" s="22" t="str">
        <f>IF(AND('[1]observations-276632'!W618&gt;'[1]Methods write-up'!$Q$19,'[1]observations-276632'!W618&lt;'[1]Methods write-up'!$R$19,'[1]observations-276632'!X618&gt;'[1]Methods write-up'!$S$19,'[1]observations-276632'!X618&lt;'[1]Methods write-up'!$T$19),"East Africa","")</f>
        <v/>
      </c>
      <c r="BB618" s="22" t="str">
        <f>IF(AND('[1]observations-276632'!W618&gt;'[1]Methods write-up'!$Q$20,'[1]observations-276632'!W618&lt;'[1]Methods write-up'!$R$20,'[1]observations-276632'!X618&gt;'[1]Methods write-up'!$S$20,'[1]observations-276632'!X618&lt;'[1]Methods write-up'!$T$20),"Temperate seasonal","")</f>
        <v/>
      </c>
      <c r="BC618" s="22" t="str">
        <f>IF(AND('[1]observations-276632'!W618&gt;'[1]Methods write-up'!$Q$21,'[1]observations-276632'!W618&lt;'[1]Methods write-up'!$R$21,'[1]observations-276632'!X618&gt;'[1]Methods write-up'!$S$21,'[1]observations-276632'!X618&lt;'[1]Methods write-up'!$T$21),"Desert and high aridity","")</f>
        <v/>
      </c>
      <c r="BD618" s="23" t="str">
        <f t="shared" si="41"/>
        <v/>
      </c>
      <c r="BE618" s="24">
        <f t="shared" si="39"/>
        <v>3</v>
      </c>
      <c r="BF618" s="24">
        <f t="shared" si="40"/>
        <v>11</v>
      </c>
    </row>
    <row r="619" spans="1:58" ht="16.25" customHeight="1" x14ac:dyDescent="0.2">
      <c r="A619">
        <v>67365985</v>
      </c>
      <c r="B619" t="s">
        <v>4594</v>
      </c>
      <c r="C619" s="14">
        <v>42256</v>
      </c>
      <c r="D619" t="s">
        <v>4595</v>
      </c>
      <c r="E619" t="s">
        <v>1408</v>
      </c>
      <c r="F619">
        <v>340083</v>
      </c>
      <c r="G619" t="s">
        <v>4596</v>
      </c>
      <c r="H619" t="s">
        <v>4597</v>
      </c>
      <c r="I619" t="s">
        <v>4598</v>
      </c>
      <c r="J619" t="s">
        <v>4599</v>
      </c>
      <c r="K619" t="s">
        <v>62</v>
      </c>
      <c r="M619" t="s">
        <v>4600</v>
      </c>
      <c r="N619" t="s">
        <v>4601</v>
      </c>
      <c r="P619" t="s">
        <v>4602</v>
      </c>
      <c r="Q619" t="s">
        <v>4603</v>
      </c>
      <c r="R619">
        <v>2</v>
      </c>
      <c r="S619">
        <v>0</v>
      </c>
      <c r="T619" t="b">
        <v>0</v>
      </c>
      <c r="V619" t="s">
        <v>4604</v>
      </c>
      <c r="W619" s="15">
        <v>-1.6015550000000001</v>
      </c>
      <c r="X619" s="15">
        <v>35.384888330000003</v>
      </c>
      <c r="AF619" t="b">
        <v>0</v>
      </c>
      <c r="AI619" t="s">
        <v>70</v>
      </c>
      <c r="AJ619" t="s">
        <v>70</v>
      </c>
      <c r="AK619" t="s">
        <v>71</v>
      </c>
      <c r="AL619" t="s">
        <v>72</v>
      </c>
      <c r="AM619">
        <v>346053</v>
      </c>
      <c r="AO619" s="16" t="s">
        <v>110</v>
      </c>
      <c r="AP619" s="17" t="str">
        <f t="shared" si="42"/>
        <v>Nest (foundress)</v>
      </c>
      <c r="AQ619" s="18">
        <v>1</v>
      </c>
      <c r="AT619" s="19" t="s">
        <v>104</v>
      </c>
      <c r="AX619" s="22" t="str">
        <f>IF(AND('[1]observations-276632'!W619&gt;'[1]Methods write-up'!$Q$16,'[1]observations-276632'!W619&lt;'[1]Methods write-up'!$R$16,'[1]observations-276632'!X619&gt;'[1]Methods write-up'!$S$16,'[1]observations-276632'!X619&lt;'[1]Methods write-up'!$T$16),"West and Central Africa","")</f>
        <v/>
      </c>
      <c r="AY619" s="22" t="str">
        <f>IF(AND('[1]observations-276632'!W619&gt;'[1]Methods write-up'!$Q$17,'[1]observations-276632'!W619&lt;'[1]Methods write-up'!$R$17,'[1]observations-276632'!X619&gt;'[1]Methods write-up'!$S$17,'[1]observations-276632'!X619&lt;'[1]Methods write-up'!$T$17),"Equatorial tropical forest","")</f>
        <v/>
      </c>
      <c r="AZ619" s="22" t="str">
        <f>IF(AND('[1]observations-276632'!W619&gt;'[1]Methods write-up'!$Q$18,'[1]observations-276632'!W619&lt;'[1]Methods write-up'!$R$18,'[1]observations-276632'!X619&gt;'[1]Methods write-up'!$S$18,'[1]observations-276632'!X619&lt;'[1]Methods write-up'!$T$18),"Somali peninsula","")</f>
        <v/>
      </c>
      <c r="BA619" s="22" t="str">
        <f>IF(AND('[1]observations-276632'!W619&gt;'[1]Methods write-up'!$Q$19,'[1]observations-276632'!W619&lt;'[1]Methods write-up'!$R$19,'[1]observations-276632'!X619&gt;'[1]Methods write-up'!$S$19,'[1]observations-276632'!X619&lt;'[1]Methods write-up'!$T$19),"East Africa","")</f>
        <v>East Africa</v>
      </c>
      <c r="BB619" s="22" t="str">
        <f>IF(AND('[1]observations-276632'!W619&gt;'[1]Methods write-up'!$Q$20,'[1]observations-276632'!W619&lt;'[1]Methods write-up'!$R$20,'[1]observations-276632'!X619&gt;'[1]Methods write-up'!$S$20,'[1]observations-276632'!X619&lt;'[1]Methods write-up'!$T$20),"Temperate seasonal","")</f>
        <v/>
      </c>
      <c r="BC619" s="22" t="str">
        <f>IF(AND('[1]observations-276632'!W619&gt;'[1]Methods write-up'!$Q$21,'[1]observations-276632'!W619&lt;'[1]Methods write-up'!$R$21,'[1]observations-276632'!X619&gt;'[1]Methods write-up'!$S$21,'[1]observations-276632'!X619&lt;'[1]Methods write-up'!$T$21),"Desert and high aridity","")</f>
        <v/>
      </c>
      <c r="BD619" s="23" t="str">
        <f t="shared" si="41"/>
        <v>East Africa</v>
      </c>
      <c r="BE619" s="24">
        <f t="shared" si="39"/>
        <v>9</v>
      </c>
      <c r="BF619" s="24">
        <f t="shared" si="40"/>
        <v>9</v>
      </c>
    </row>
    <row r="620" spans="1:58" ht="16.25" customHeight="1" x14ac:dyDescent="0.2">
      <c r="A620">
        <v>67370813</v>
      </c>
      <c r="B620" t="s">
        <v>4605</v>
      </c>
      <c r="C620" s="14">
        <v>44196</v>
      </c>
      <c r="D620" t="s">
        <v>4606</v>
      </c>
      <c r="E620" t="s">
        <v>113</v>
      </c>
      <c r="F620">
        <v>611863</v>
      </c>
      <c r="G620" t="s">
        <v>825</v>
      </c>
      <c r="I620" t="s">
        <v>4607</v>
      </c>
      <c r="J620" t="s">
        <v>4608</v>
      </c>
      <c r="K620" t="s">
        <v>62</v>
      </c>
      <c r="L620" t="s">
        <v>98</v>
      </c>
      <c r="M620" t="s">
        <v>4609</v>
      </c>
      <c r="N620" t="s">
        <v>4610</v>
      </c>
      <c r="R620">
        <v>4</v>
      </c>
      <c r="S620">
        <v>0</v>
      </c>
      <c r="T620" t="b">
        <v>0</v>
      </c>
      <c r="U620">
        <v>3</v>
      </c>
      <c r="V620" t="s">
        <v>2544</v>
      </c>
      <c r="W620" s="15">
        <v>-29.845707999999998</v>
      </c>
      <c r="X620" s="15">
        <v>30.920462000000001</v>
      </c>
      <c r="Y620">
        <v>14</v>
      </c>
      <c r="AC620">
        <v>14</v>
      </c>
      <c r="AF620" t="b">
        <v>0</v>
      </c>
      <c r="AI620" t="s">
        <v>71</v>
      </c>
      <c r="AJ620" t="s">
        <v>70</v>
      </c>
      <c r="AK620" t="s">
        <v>71</v>
      </c>
      <c r="AL620" t="s">
        <v>72</v>
      </c>
      <c r="AM620">
        <v>346053</v>
      </c>
      <c r="AO620" s="16" t="s">
        <v>140</v>
      </c>
      <c r="AP620" s="17" t="str">
        <f t="shared" si="42"/>
        <v>Post-emergence nest</v>
      </c>
      <c r="AQ620" s="18">
        <v>3</v>
      </c>
      <c r="AT620" s="19" t="s">
        <v>141</v>
      </c>
      <c r="AU620" s="20" t="s">
        <v>104</v>
      </c>
      <c r="AX620" s="22" t="str">
        <f>IF(AND('[1]observations-276632'!W620&gt;'[1]Methods write-up'!$Q$16,'[1]observations-276632'!W620&lt;'[1]Methods write-up'!$R$16,'[1]observations-276632'!X620&gt;'[1]Methods write-up'!$S$16,'[1]observations-276632'!X620&lt;'[1]Methods write-up'!$T$16),"West and Central Africa","")</f>
        <v/>
      </c>
      <c r="AY620" s="22" t="str">
        <f>IF(AND('[1]observations-276632'!W620&gt;'[1]Methods write-up'!$Q$17,'[1]observations-276632'!W620&lt;'[1]Methods write-up'!$R$17,'[1]observations-276632'!X620&gt;'[1]Methods write-up'!$S$17,'[1]observations-276632'!X620&lt;'[1]Methods write-up'!$T$17),"Equatorial tropical forest","")</f>
        <v/>
      </c>
      <c r="AZ620" s="22" t="str">
        <f>IF(AND('[1]observations-276632'!W620&gt;'[1]Methods write-up'!$Q$18,'[1]observations-276632'!W620&lt;'[1]Methods write-up'!$R$18,'[1]observations-276632'!X620&gt;'[1]Methods write-up'!$S$18,'[1]observations-276632'!X620&lt;'[1]Methods write-up'!$T$18),"Somali peninsula","")</f>
        <v/>
      </c>
      <c r="BA620" s="22" t="str">
        <f>IF(AND('[1]observations-276632'!W620&gt;'[1]Methods write-up'!$Q$19,'[1]observations-276632'!W620&lt;'[1]Methods write-up'!$R$19,'[1]observations-276632'!X620&gt;'[1]Methods write-up'!$S$19,'[1]observations-276632'!X620&lt;'[1]Methods write-up'!$T$19),"East Africa","")</f>
        <v/>
      </c>
      <c r="BB620" s="22" t="str">
        <f>IF(AND('[1]observations-276632'!W620&gt;'[1]Methods write-up'!$Q$20,'[1]observations-276632'!W620&lt;'[1]Methods write-up'!$R$20,'[1]observations-276632'!X620&gt;'[1]Methods write-up'!$S$20,'[1]observations-276632'!X620&lt;'[1]Methods write-up'!$T$20),"Temperate seasonal","")</f>
        <v>Temperate seasonal</v>
      </c>
      <c r="BC620" s="22" t="str">
        <f>IF(AND('[1]observations-276632'!W620&gt;'[1]Methods write-up'!$Q$21,'[1]observations-276632'!W620&lt;'[1]Methods write-up'!$R$21,'[1]observations-276632'!X620&gt;'[1]Methods write-up'!$S$21,'[1]observations-276632'!X620&lt;'[1]Methods write-up'!$T$21),"Desert and high aridity","")</f>
        <v/>
      </c>
      <c r="BD620" s="23" t="str">
        <f t="shared" si="41"/>
        <v>Temperate seasonal</v>
      </c>
      <c r="BE620" s="24">
        <f t="shared" si="39"/>
        <v>31</v>
      </c>
      <c r="BF620" s="24">
        <f t="shared" si="40"/>
        <v>12</v>
      </c>
    </row>
    <row r="621" spans="1:58" ht="16.25" customHeight="1" x14ac:dyDescent="0.2">
      <c r="A621">
        <v>67397278</v>
      </c>
      <c r="B621" t="s">
        <v>4611</v>
      </c>
      <c r="C621" s="14">
        <v>44168</v>
      </c>
      <c r="D621" t="s">
        <v>4612</v>
      </c>
      <c r="E621" t="s">
        <v>1408</v>
      </c>
      <c r="F621">
        <v>3923787</v>
      </c>
      <c r="G621" t="s">
        <v>4613</v>
      </c>
      <c r="H621" t="s">
        <v>4614</v>
      </c>
      <c r="I621" t="s">
        <v>4615</v>
      </c>
      <c r="J621" t="s">
        <v>4616</v>
      </c>
      <c r="K621" t="s">
        <v>62</v>
      </c>
      <c r="L621" t="s">
        <v>63</v>
      </c>
      <c r="M621" t="s">
        <v>4617</v>
      </c>
      <c r="N621" t="s">
        <v>4618</v>
      </c>
      <c r="Q621" t="s">
        <v>4619</v>
      </c>
      <c r="R621">
        <v>2</v>
      </c>
      <c r="S621">
        <v>0</v>
      </c>
      <c r="T621" t="b">
        <v>0</v>
      </c>
      <c r="V621" t="s">
        <v>4620</v>
      </c>
      <c r="W621" s="15">
        <v>-18.868596719999999</v>
      </c>
      <c r="X621" s="15">
        <v>47.519034840000003</v>
      </c>
      <c r="AF621" t="b">
        <v>0</v>
      </c>
      <c r="AI621" t="s">
        <v>71</v>
      </c>
      <c r="AJ621" t="s">
        <v>70</v>
      </c>
      <c r="AK621" t="s">
        <v>71</v>
      </c>
      <c r="AL621" t="s">
        <v>72</v>
      </c>
      <c r="AM621">
        <v>346053</v>
      </c>
      <c r="AO621" s="16" t="s">
        <v>73</v>
      </c>
      <c r="AP621" s="17" t="str">
        <f t="shared" si="42"/>
        <v>Off-nest female</v>
      </c>
      <c r="AX621" s="22" t="str">
        <f>IF(AND('[1]observations-276632'!W621&gt;'[1]Methods write-up'!$Q$16,'[1]observations-276632'!W621&lt;'[1]Methods write-up'!$R$16,'[1]observations-276632'!X621&gt;'[1]Methods write-up'!$S$16,'[1]observations-276632'!X621&lt;'[1]Methods write-up'!$T$16),"West and Central Africa","")</f>
        <v/>
      </c>
      <c r="AY621" s="22" t="str">
        <f>IF(AND('[1]observations-276632'!W621&gt;'[1]Methods write-up'!$Q$17,'[1]observations-276632'!W621&lt;'[1]Methods write-up'!$R$17,'[1]observations-276632'!X621&gt;'[1]Methods write-up'!$S$17,'[1]observations-276632'!X621&lt;'[1]Methods write-up'!$T$17),"Equatorial tropical forest","")</f>
        <v/>
      </c>
      <c r="AZ621" s="22" t="str">
        <f>IF(AND('[1]observations-276632'!W621&gt;'[1]Methods write-up'!$Q$18,'[1]observations-276632'!W621&lt;'[1]Methods write-up'!$R$18,'[1]observations-276632'!X621&gt;'[1]Methods write-up'!$S$18,'[1]observations-276632'!X621&lt;'[1]Methods write-up'!$T$18),"Somali peninsula","")</f>
        <v/>
      </c>
      <c r="BA621" s="22" t="str">
        <f>IF(AND('[1]observations-276632'!W621&gt;'[1]Methods write-up'!$Q$19,'[1]observations-276632'!W621&lt;'[1]Methods write-up'!$R$19,'[1]observations-276632'!X621&gt;'[1]Methods write-up'!$S$19,'[1]observations-276632'!X621&lt;'[1]Methods write-up'!$T$19),"East Africa","")</f>
        <v/>
      </c>
      <c r="BB621" s="22" t="str">
        <f>IF(AND('[1]observations-276632'!W621&gt;'[1]Methods write-up'!$Q$20,'[1]observations-276632'!W621&lt;'[1]Methods write-up'!$R$20,'[1]observations-276632'!X621&gt;'[1]Methods write-up'!$S$20,'[1]observations-276632'!X621&lt;'[1]Methods write-up'!$T$20),"Temperate seasonal","")</f>
        <v/>
      </c>
      <c r="BC621" s="22" t="str">
        <f>IF(AND('[1]observations-276632'!W621&gt;'[1]Methods write-up'!$Q$21,'[1]observations-276632'!W621&lt;'[1]Methods write-up'!$R$21,'[1]observations-276632'!X621&gt;'[1]Methods write-up'!$S$21,'[1]observations-276632'!X621&lt;'[1]Methods write-up'!$T$21),"Desert and high aridity","")</f>
        <v/>
      </c>
      <c r="BD621" s="23" t="str">
        <f t="shared" si="41"/>
        <v/>
      </c>
      <c r="BE621" s="24">
        <f t="shared" si="39"/>
        <v>3</v>
      </c>
      <c r="BF621" s="24">
        <f t="shared" si="40"/>
        <v>12</v>
      </c>
    </row>
    <row r="622" spans="1:58" ht="16.25" customHeight="1" x14ac:dyDescent="0.2">
      <c r="A622">
        <v>67464732</v>
      </c>
      <c r="B622" t="s">
        <v>4621</v>
      </c>
      <c r="C622" s="14">
        <v>44189</v>
      </c>
      <c r="D622" t="s">
        <v>4622</v>
      </c>
      <c r="E622" t="s">
        <v>113</v>
      </c>
      <c r="F622">
        <v>121603</v>
      </c>
      <c r="G622" t="s">
        <v>1286</v>
      </c>
      <c r="I622" t="s">
        <v>4623</v>
      </c>
      <c r="J622" t="s">
        <v>4624</v>
      </c>
      <c r="K622" t="s">
        <v>62</v>
      </c>
      <c r="L622" t="s">
        <v>63</v>
      </c>
      <c r="M622" t="s">
        <v>4625</v>
      </c>
      <c r="N622" t="s">
        <v>4626</v>
      </c>
      <c r="R622">
        <v>2</v>
      </c>
      <c r="S622">
        <v>0</v>
      </c>
      <c r="T622" t="b">
        <v>0</v>
      </c>
      <c r="V622" t="s">
        <v>1831</v>
      </c>
      <c r="W622" s="15">
        <v>-15.75467956</v>
      </c>
      <c r="X622" s="15">
        <v>34.995825830000001</v>
      </c>
      <c r="Y622">
        <v>19</v>
      </c>
      <c r="AC622">
        <v>19</v>
      </c>
      <c r="AF622" t="b">
        <v>0</v>
      </c>
      <c r="AI622" t="s">
        <v>71</v>
      </c>
      <c r="AJ622" t="s">
        <v>70</v>
      </c>
      <c r="AK622" t="s">
        <v>71</v>
      </c>
      <c r="AL622" t="s">
        <v>72</v>
      </c>
      <c r="AM622">
        <v>346053</v>
      </c>
      <c r="AO622" s="16" t="s">
        <v>73</v>
      </c>
      <c r="AP622" s="17" t="str">
        <f t="shared" si="42"/>
        <v>Off-nest female</v>
      </c>
      <c r="AX622" s="22" t="str">
        <f>IF(AND('[1]observations-276632'!W622&gt;'[1]Methods write-up'!$Q$16,'[1]observations-276632'!W622&lt;'[1]Methods write-up'!$R$16,'[1]observations-276632'!X622&gt;'[1]Methods write-up'!$S$16,'[1]observations-276632'!X622&lt;'[1]Methods write-up'!$T$16),"West and Central Africa","")</f>
        <v/>
      </c>
      <c r="AY622" s="22" t="str">
        <f>IF(AND('[1]observations-276632'!W622&gt;'[1]Methods write-up'!$Q$17,'[1]observations-276632'!W622&lt;'[1]Methods write-up'!$R$17,'[1]observations-276632'!X622&gt;'[1]Methods write-up'!$S$17,'[1]observations-276632'!X622&lt;'[1]Methods write-up'!$T$17),"Equatorial tropical forest","")</f>
        <v/>
      </c>
      <c r="AZ622" s="22" t="str">
        <f>IF(AND('[1]observations-276632'!W622&gt;'[1]Methods write-up'!$Q$18,'[1]observations-276632'!W622&lt;'[1]Methods write-up'!$R$18,'[1]observations-276632'!X622&gt;'[1]Methods write-up'!$S$18,'[1]observations-276632'!X622&lt;'[1]Methods write-up'!$T$18),"Somali peninsula","")</f>
        <v/>
      </c>
      <c r="BA622" s="22" t="str">
        <f>IF(AND('[1]observations-276632'!W622&gt;'[1]Methods write-up'!$Q$19,'[1]observations-276632'!W622&lt;'[1]Methods write-up'!$R$19,'[1]observations-276632'!X622&gt;'[1]Methods write-up'!$S$19,'[1]observations-276632'!X622&lt;'[1]Methods write-up'!$T$19),"East Africa","")</f>
        <v/>
      </c>
      <c r="BB622" s="22" t="str">
        <f>IF(AND('[1]observations-276632'!W622&gt;'[1]Methods write-up'!$Q$20,'[1]observations-276632'!W622&lt;'[1]Methods write-up'!$R$20,'[1]observations-276632'!X622&gt;'[1]Methods write-up'!$S$20,'[1]observations-276632'!X622&lt;'[1]Methods write-up'!$T$20),"Temperate seasonal","")</f>
        <v/>
      </c>
      <c r="BC622" s="22" t="str">
        <f>IF(AND('[1]observations-276632'!W622&gt;'[1]Methods write-up'!$Q$21,'[1]observations-276632'!W622&lt;'[1]Methods write-up'!$R$21,'[1]observations-276632'!X622&gt;'[1]Methods write-up'!$S$21,'[1]observations-276632'!X622&lt;'[1]Methods write-up'!$T$21),"Desert and high aridity","")</f>
        <v/>
      </c>
      <c r="BD622" s="23" t="str">
        <f t="shared" si="41"/>
        <v/>
      </c>
      <c r="BE622" s="24">
        <f t="shared" si="39"/>
        <v>24</v>
      </c>
      <c r="BF622" s="24">
        <f t="shared" si="40"/>
        <v>12</v>
      </c>
    </row>
    <row r="623" spans="1:58" ht="16.25" customHeight="1" x14ac:dyDescent="0.2">
      <c r="A623">
        <v>67659010</v>
      </c>
      <c r="B623" t="s">
        <v>4627</v>
      </c>
      <c r="C623" s="14">
        <v>41115</v>
      </c>
      <c r="D623" t="s">
        <v>4628</v>
      </c>
      <c r="E623" t="s">
        <v>243</v>
      </c>
      <c r="F623">
        <v>3480148</v>
      </c>
      <c r="G623" t="s">
        <v>4502</v>
      </c>
      <c r="H623" t="s">
        <v>4503</v>
      </c>
      <c r="I623" t="s">
        <v>4629</v>
      </c>
      <c r="J623" t="s">
        <v>4630</v>
      </c>
      <c r="K623" t="s">
        <v>62</v>
      </c>
      <c r="L623" t="s">
        <v>63</v>
      </c>
      <c r="M623" t="s">
        <v>4631</v>
      </c>
      <c r="N623" t="s">
        <v>4632</v>
      </c>
      <c r="P623" t="s">
        <v>4633</v>
      </c>
      <c r="R623">
        <v>1</v>
      </c>
      <c r="S623">
        <v>0</v>
      </c>
      <c r="T623" t="b">
        <v>0</v>
      </c>
      <c r="V623" t="s">
        <v>4634</v>
      </c>
      <c r="W623" s="15">
        <v>5.3472103989999997</v>
      </c>
      <c r="X623" s="15">
        <v>-1.3830372</v>
      </c>
      <c r="Y623">
        <v>20</v>
      </c>
      <c r="AC623">
        <v>20</v>
      </c>
      <c r="AF623" t="b">
        <v>0</v>
      </c>
      <c r="AI623" t="s">
        <v>71</v>
      </c>
      <c r="AJ623" t="s">
        <v>70</v>
      </c>
      <c r="AK623" t="s">
        <v>71</v>
      </c>
      <c r="AL623" t="s">
        <v>72</v>
      </c>
      <c r="AM623">
        <v>346053</v>
      </c>
      <c r="AO623" s="16" t="s">
        <v>1574</v>
      </c>
      <c r="AP623" s="17" t="str">
        <f t="shared" si="42"/>
        <v>Nest (foundress)</v>
      </c>
      <c r="AQ623" s="18">
        <v>1</v>
      </c>
      <c r="AT623" s="19" t="s">
        <v>104</v>
      </c>
      <c r="AX623" s="22" t="str">
        <f>IF(AND('[1]observations-276632'!W623&gt;'[1]Methods write-up'!$Q$16,'[1]observations-276632'!W623&lt;'[1]Methods write-up'!$R$16,'[1]observations-276632'!X623&gt;'[1]Methods write-up'!$S$16,'[1]observations-276632'!X623&lt;'[1]Methods write-up'!$T$16),"West and Central Africa","")</f>
        <v>West and Central Africa</v>
      </c>
      <c r="AY623" s="22" t="str">
        <f>IF(AND('[1]observations-276632'!W623&gt;'[1]Methods write-up'!$Q$17,'[1]observations-276632'!W623&lt;'[1]Methods write-up'!$R$17,'[1]observations-276632'!X623&gt;'[1]Methods write-up'!$S$17,'[1]observations-276632'!X623&lt;'[1]Methods write-up'!$T$17),"Equatorial tropical forest","")</f>
        <v/>
      </c>
      <c r="AZ623" s="22" t="str">
        <f>IF(AND('[1]observations-276632'!W623&gt;'[1]Methods write-up'!$Q$18,'[1]observations-276632'!W623&lt;'[1]Methods write-up'!$R$18,'[1]observations-276632'!X623&gt;'[1]Methods write-up'!$S$18,'[1]observations-276632'!X623&lt;'[1]Methods write-up'!$T$18),"Somali peninsula","")</f>
        <v/>
      </c>
      <c r="BA623" s="22" t="str">
        <f>IF(AND('[1]observations-276632'!W623&gt;'[1]Methods write-up'!$Q$19,'[1]observations-276632'!W623&lt;'[1]Methods write-up'!$R$19,'[1]observations-276632'!X623&gt;'[1]Methods write-up'!$S$19,'[1]observations-276632'!X623&lt;'[1]Methods write-up'!$T$19),"East Africa","")</f>
        <v/>
      </c>
      <c r="BB623" s="22" t="str">
        <f>IF(AND('[1]observations-276632'!W623&gt;'[1]Methods write-up'!$Q$20,'[1]observations-276632'!W623&lt;'[1]Methods write-up'!$R$20,'[1]observations-276632'!X623&gt;'[1]Methods write-up'!$S$20,'[1]observations-276632'!X623&lt;'[1]Methods write-up'!$T$20),"Temperate seasonal","")</f>
        <v/>
      </c>
      <c r="BC623" s="22" t="str">
        <f>IF(AND('[1]observations-276632'!W623&gt;'[1]Methods write-up'!$Q$21,'[1]observations-276632'!W623&lt;'[1]Methods write-up'!$R$21,'[1]observations-276632'!X623&gt;'[1]Methods write-up'!$S$21,'[1]observations-276632'!X623&lt;'[1]Methods write-up'!$T$21),"Desert and high aridity","")</f>
        <v/>
      </c>
      <c r="BD623" s="23" t="str">
        <f t="shared" si="41"/>
        <v>West and Central Africa</v>
      </c>
      <c r="BE623" s="24">
        <f t="shared" si="39"/>
        <v>25</v>
      </c>
      <c r="BF623" s="24">
        <f t="shared" si="40"/>
        <v>7</v>
      </c>
    </row>
    <row r="624" spans="1:58" ht="16.25" customHeight="1" x14ac:dyDescent="0.2">
      <c r="A624">
        <v>67677709</v>
      </c>
      <c r="B624" t="s">
        <v>4635</v>
      </c>
      <c r="C624" s="14">
        <v>44202</v>
      </c>
      <c r="D624" t="s">
        <v>4636</v>
      </c>
      <c r="E624" t="s">
        <v>113</v>
      </c>
      <c r="F624">
        <v>1002209</v>
      </c>
      <c r="G624" t="s">
        <v>3418</v>
      </c>
      <c r="H624" t="s">
        <v>3419</v>
      </c>
      <c r="I624" t="s">
        <v>4637</v>
      </c>
      <c r="J624" t="s">
        <v>4638</v>
      </c>
      <c r="K624" t="s">
        <v>62</v>
      </c>
      <c r="L624" t="s">
        <v>63</v>
      </c>
      <c r="M624" t="s">
        <v>4639</v>
      </c>
      <c r="N624" t="s">
        <v>4640</v>
      </c>
      <c r="Q624" s="26" t="s">
        <v>4641</v>
      </c>
      <c r="R624">
        <v>3</v>
      </c>
      <c r="S624">
        <v>0</v>
      </c>
      <c r="T624" t="b">
        <v>0</v>
      </c>
      <c r="U624">
        <v>2</v>
      </c>
      <c r="V624" t="s">
        <v>4275</v>
      </c>
      <c r="W624" s="15">
        <v>-33.995424</v>
      </c>
      <c r="X624" s="15">
        <v>22.5484367</v>
      </c>
      <c r="AF624" t="b">
        <v>0</v>
      </c>
      <c r="AG624" t="s">
        <v>350</v>
      </c>
      <c r="AH624" t="s">
        <v>350</v>
      </c>
      <c r="AI624" t="s">
        <v>71</v>
      </c>
      <c r="AJ624" t="s">
        <v>70</v>
      </c>
      <c r="AK624" t="s">
        <v>71</v>
      </c>
      <c r="AL624" t="s">
        <v>72</v>
      </c>
      <c r="AM624">
        <v>346053</v>
      </c>
      <c r="AO624" s="16" t="s">
        <v>140</v>
      </c>
      <c r="AP624" s="17" t="str">
        <f t="shared" si="42"/>
        <v>Post-emergence nest</v>
      </c>
      <c r="AQ624" s="18">
        <v>1</v>
      </c>
      <c r="AT624" s="19" t="s">
        <v>104</v>
      </c>
      <c r="AU624" s="20" t="s">
        <v>104</v>
      </c>
      <c r="AX624" s="22" t="str">
        <f>IF(AND('[1]observations-276632'!W624&gt;'[1]Methods write-up'!$Q$16,'[1]observations-276632'!W624&lt;'[1]Methods write-up'!$R$16,'[1]observations-276632'!X624&gt;'[1]Methods write-up'!$S$16,'[1]observations-276632'!X624&lt;'[1]Methods write-up'!$T$16),"West and Central Africa","")</f>
        <v/>
      </c>
      <c r="AY624" s="22" t="str">
        <f>IF(AND('[1]observations-276632'!W624&gt;'[1]Methods write-up'!$Q$17,'[1]observations-276632'!W624&lt;'[1]Methods write-up'!$R$17,'[1]observations-276632'!X624&gt;'[1]Methods write-up'!$S$17,'[1]observations-276632'!X624&lt;'[1]Methods write-up'!$T$17),"Equatorial tropical forest","")</f>
        <v/>
      </c>
      <c r="AZ624" s="22" t="str">
        <f>IF(AND('[1]observations-276632'!W624&gt;'[1]Methods write-up'!$Q$18,'[1]observations-276632'!W624&lt;'[1]Methods write-up'!$R$18,'[1]observations-276632'!X624&gt;'[1]Methods write-up'!$S$18,'[1]observations-276632'!X624&lt;'[1]Methods write-up'!$T$18),"Somali peninsula","")</f>
        <v/>
      </c>
      <c r="BA624" s="22" t="str">
        <f>IF(AND('[1]observations-276632'!W624&gt;'[1]Methods write-up'!$Q$19,'[1]observations-276632'!W624&lt;'[1]Methods write-up'!$R$19,'[1]observations-276632'!X624&gt;'[1]Methods write-up'!$S$19,'[1]observations-276632'!X624&lt;'[1]Methods write-up'!$T$19),"East Africa","")</f>
        <v/>
      </c>
      <c r="BB624" s="22" t="str">
        <f>IF(AND('[1]observations-276632'!W624&gt;'[1]Methods write-up'!$Q$20,'[1]observations-276632'!W624&lt;'[1]Methods write-up'!$R$20,'[1]observations-276632'!X624&gt;'[1]Methods write-up'!$S$20,'[1]observations-276632'!X624&lt;'[1]Methods write-up'!$T$20),"Temperate seasonal","")</f>
        <v/>
      </c>
      <c r="BC624" s="22" t="str">
        <f>IF(AND('[1]observations-276632'!W624&gt;'[1]Methods write-up'!$Q$21,'[1]observations-276632'!W624&lt;'[1]Methods write-up'!$R$21,'[1]observations-276632'!X624&gt;'[1]Methods write-up'!$S$21,'[1]observations-276632'!X624&lt;'[1]Methods write-up'!$T$21),"Desert and high aridity","")</f>
        <v/>
      </c>
      <c r="BD624" s="23" t="str">
        <f t="shared" si="41"/>
        <v/>
      </c>
      <c r="BE624" s="24">
        <f t="shared" si="39"/>
        <v>6</v>
      </c>
      <c r="BF624" s="24">
        <f t="shared" si="40"/>
        <v>1</v>
      </c>
    </row>
    <row r="625" spans="1:58" ht="16.25" customHeight="1" x14ac:dyDescent="0.2">
      <c r="A625">
        <v>67781907</v>
      </c>
      <c r="B625" t="s">
        <v>4642</v>
      </c>
      <c r="C625" s="14">
        <v>44204</v>
      </c>
      <c r="D625" t="s">
        <v>4643</v>
      </c>
      <c r="E625" t="s">
        <v>113</v>
      </c>
      <c r="F625">
        <v>662724</v>
      </c>
      <c r="G625" t="s">
        <v>903</v>
      </c>
      <c r="H625" t="s">
        <v>904</v>
      </c>
      <c r="I625" t="s">
        <v>4644</v>
      </c>
      <c r="J625" t="s">
        <v>4645</v>
      </c>
      <c r="K625" t="s">
        <v>62</v>
      </c>
      <c r="L625" t="s">
        <v>63</v>
      </c>
      <c r="M625" t="s">
        <v>4646</v>
      </c>
      <c r="N625" t="s">
        <v>4647</v>
      </c>
      <c r="Q625" s="26" t="s">
        <v>4648</v>
      </c>
      <c r="R625">
        <v>2</v>
      </c>
      <c r="S625">
        <v>0</v>
      </c>
      <c r="T625" t="b">
        <v>0</v>
      </c>
      <c r="V625" t="s">
        <v>1146</v>
      </c>
      <c r="W625" s="15">
        <v>-30.301245860000002</v>
      </c>
      <c r="X625" s="15">
        <v>30.742667480000001</v>
      </c>
      <c r="Y625">
        <v>2</v>
      </c>
      <c r="AC625">
        <v>2</v>
      </c>
      <c r="AF625" t="b">
        <v>0</v>
      </c>
      <c r="AI625" t="s">
        <v>71</v>
      </c>
      <c r="AJ625" t="s">
        <v>70</v>
      </c>
      <c r="AK625" t="s">
        <v>71</v>
      </c>
      <c r="AL625" t="s">
        <v>72</v>
      </c>
      <c r="AM625">
        <v>346053</v>
      </c>
      <c r="AO625" s="16" t="s">
        <v>73</v>
      </c>
      <c r="AP625" s="17" t="str">
        <f t="shared" si="42"/>
        <v>Off-nest female</v>
      </c>
      <c r="AX625" s="22" t="str">
        <f>IF(AND('[1]observations-276632'!W625&gt;'[1]Methods write-up'!$Q$16,'[1]observations-276632'!W625&lt;'[1]Methods write-up'!$R$16,'[1]observations-276632'!X625&gt;'[1]Methods write-up'!$S$16,'[1]observations-276632'!X625&lt;'[1]Methods write-up'!$T$16),"West and Central Africa","")</f>
        <v/>
      </c>
      <c r="AY625" s="22" t="str">
        <f>IF(AND('[1]observations-276632'!W625&gt;'[1]Methods write-up'!$Q$17,'[1]observations-276632'!W625&lt;'[1]Methods write-up'!$R$17,'[1]observations-276632'!X625&gt;'[1]Methods write-up'!$S$17,'[1]observations-276632'!X625&lt;'[1]Methods write-up'!$T$17),"Equatorial tropical forest","")</f>
        <v/>
      </c>
      <c r="AZ625" s="22" t="str">
        <f>IF(AND('[1]observations-276632'!W625&gt;'[1]Methods write-up'!$Q$18,'[1]observations-276632'!W625&lt;'[1]Methods write-up'!$R$18,'[1]observations-276632'!X625&gt;'[1]Methods write-up'!$S$18,'[1]observations-276632'!X625&lt;'[1]Methods write-up'!$T$18),"Somali peninsula","")</f>
        <v/>
      </c>
      <c r="BA625" s="22" t="str">
        <f>IF(AND('[1]observations-276632'!W625&gt;'[1]Methods write-up'!$Q$19,'[1]observations-276632'!W625&lt;'[1]Methods write-up'!$R$19,'[1]observations-276632'!X625&gt;'[1]Methods write-up'!$S$19,'[1]observations-276632'!X625&lt;'[1]Methods write-up'!$T$19),"East Africa","")</f>
        <v/>
      </c>
      <c r="BB625" s="22" t="str">
        <f>IF(AND('[1]observations-276632'!W625&gt;'[1]Methods write-up'!$Q$20,'[1]observations-276632'!W625&lt;'[1]Methods write-up'!$R$20,'[1]observations-276632'!X625&gt;'[1]Methods write-up'!$S$20,'[1]observations-276632'!X625&lt;'[1]Methods write-up'!$T$20),"Temperate seasonal","")</f>
        <v>Temperate seasonal</v>
      </c>
      <c r="BC625" s="22" t="str">
        <f>IF(AND('[1]observations-276632'!W625&gt;'[1]Methods write-up'!$Q$21,'[1]observations-276632'!W625&lt;'[1]Methods write-up'!$R$21,'[1]observations-276632'!X625&gt;'[1]Methods write-up'!$S$21,'[1]observations-276632'!X625&lt;'[1]Methods write-up'!$T$21),"Desert and high aridity","")</f>
        <v/>
      </c>
      <c r="BD625" s="23" t="str">
        <f t="shared" si="41"/>
        <v>Temperate seasonal</v>
      </c>
      <c r="BE625" s="24">
        <f t="shared" si="39"/>
        <v>8</v>
      </c>
      <c r="BF625" s="24">
        <f t="shared" si="40"/>
        <v>1</v>
      </c>
    </row>
    <row r="626" spans="1:58" ht="16.25" customHeight="1" x14ac:dyDescent="0.2">
      <c r="A626">
        <v>67864180</v>
      </c>
      <c r="B626" t="s">
        <v>4649</v>
      </c>
      <c r="C626" s="14">
        <v>44192</v>
      </c>
      <c r="D626" t="s">
        <v>4650</v>
      </c>
      <c r="E626" t="s">
        <v>113</v>
      </c>
      <c r="F626">
        <v>121603</v>
      </c>
      <c r="G626" t="s">
        <v>1286</v>
      </c>
      <c r="I626" t="s">
        <v>4651</v>
      </c>
      <c r="J626" t="s">
        <v>4652</v>
      </c>
      <c r="K626" t="s">
        <v>62</v>
      </c>
      <c r="L626" t="s">
        <v>63</v>
      </c>
      <c r="M626" t="s">
        <v>4653</v>
      </c>
      <c r="N626" t="s">
        <v>4654</v>
      </c>
      <c r="R626">
        <v>2</v>
      </c>
      <c r="S626">
        <v>0</v>
      </c>
      <c r="T626" t="b">
        <v>0</v>
      </c>
      <c r="V626" t="s">
        <v>1831</v>
      </c>
      <c r="W626" s="15">
        <v>-15.75469644</v>
      </c>
      <c r="X626" s="15">
        <v>34.995833040000001</v>
      </c>
      <c r="Y626">
        <v>25</v>
      </c>
      <c r="AC626">
        <v>25</v>
      </c>
      <c r="AF626" t="b">
        <v>0</v>
      </c>
      <c r="AI626" t="s">
        <v>71</v>
      </c>
      <c r="AJ626" t="s">
        <v>70</v>
      </c>
      <c r="AK626" t="s">
        <v>71</v>
      </c>
      <c r="AL626" t="s">
        <v>72</v>
      </c>
      <c r="AM626">
        <v>346053</v>
      </c>
      <c r="AO626" s="16" t="s">
        <v>73</v>
      </c>
      <c r="AP626" s="17" t="str">
        <f t="shared" si="42"/>
        <v>Off-nest female</v>
      </c>
      <c r="AX626" s="22" t="str">
        <f>IF(AND('[1]observations-276632'!W626&gt;'[1]Methods write-up'!$Q$16,'[1]observations-276632'!W626&lt;'[1]Methods write-up'!$R$16,'[1]observations-276632'!X626&gt;'[1]Methods write-up'!$S$16,'[1]observations-276632'!X626&lt;'[1]Methods write-up'!$T$16),"West and Central Africa","")</f>
        <v/>
      </c>
      <c r="AY626" s="22" t="str">
        <f>IF(AND('[1]observations-276632'!W626&gt;'[1]Methods write-up'!$Q$17,'[1]observations-276632'!W626&lt;'[1]Methods write-up'!$R$17,'[1]observations-276632'!X626&gt;'[1]Methods write-up'!$S$17,'[1]observations-276632'!X626&lt;'[1]Methods write-up'!$T$17),"Equatorial tropical forest","")</f>
        <v/>
      </c>
      <c r="AZ626" s="22" t="str">
        <f>IF(AND('[1]observations-276632'!W626&gt;'[1]Methods write-up'!$Q$18,'[1]observations-276632'!W626&lt;'[1]Methods write-up'!$R$18,'[1]observations-276632'!X626&gt;'[1]Methods write-up'!$S$18,'[1]observations-276632'!X626&lt;'[1]Methods write-up'!$T$18),"Somali peninsula","")</f>
        <v/>
      </c>
      <c r="BA626" s="22" t="str">
        <f>IF(AND('[1]observations-276632'!W626&gt;'[1]Methods write-up'!$Q$19,'[1]observations-276632'!W626&lt;'[1]Methods write-up'!$R$19,'[1]observations-276632'!X626&gt;'[1]Methods write-up'!$S$19,'[1]observations-276632'!X626&lt;'[1]Methods write-up'!$T$19),"East Africa","")</f>
        <v/>
      </c>
      <c r="BB626" s="22" t="str">
        <f>IF(AND('[1]observations-276632'!W626&gt;'[1]Methods write-up'!$Q$20,'[1]observations-276632'!W626&lt;'[1]Methods write-up'!$R$20,'[1]observations-276632'!X626&gt;'[1]Methods write-up'!$S$20,'[1]observations-276632'!X626&lt;'[1]Methods write-up'!$T$20),"Temperate seasonal","")</f>
        <v/>
      </c>
      <c r="BC626" s="22" t="str">
        <f>IF(AND('[1]observations-276632'!W626&gt;'[1]Methods write-up'!$Q$21,'[1]observations-276632'!W626&lt;'[1]Methods write-up'!$R$21,'[1]observations-276632'!X626&gt;'[1]Methods write-up'!$S$21,'[1]observations-276632'!X626&lt;'[1]Methods write-up'!$T$21),"Desert and high aridity","")</f>
        <v/>
      </c>
      <c r="BD626" s="23" t="str">
        <f t="shared" si="41"/>
        <v/>
      </c>
      <c r="BE626" s="24">
        <f t="shared" si="39"/>
        <v>27</v>
      </c>
      <c r="BF626" s="24">
        <f t="shared" si="40"/>
        <v>12</v>
      </c>
    </row>
    <row r="627" spans="1:58" ht="16.25" customHeight="1" x14ac:dyDescent="0.2">
      <c r="A627">
        <v>67958289</v>
      </c>
      <c r="B627" t="s">
        <v>4655</v>
      </c>
      <c r="C627" s="14">
        <v>44208</v>
      </c>
      <c r="D627" t="s">
        <v>4656</v>
      </c>
      <c r="E627" t="s">
        <v>113</v>
      </c>
      <c r="F627">
        <v>3857722</v>
      </c>
      <c r="G627" t="s">
        <v>4422</v>
      </c>
      <c r="H627" t="s">
        <v>4423</v>
      </c>
      <c r="I627" t="s">
        <v>4657</v>
      </c>
      <c r="J627" t="s">
        <v>4658</v>
      </c>
      <c r="K627" t="s">
        <v>62</v>
      </c>
      <c r="L627" t="s">
        <v>63</v>
      </c>
      <c r="M627" t="s">
        <v>4659</v>
      </c>
      <c r="N627" t="s">
        <v>4660</v>
      </c>
      <c r="R627">
        <v>3</v>
      </c>
      <c r="S627">
        <v>0</v>
      </c>
      <c r="T627" t="b">
        <v>0</v>
      </c>
      <c r="U627">
        <v>3</v>
      </c>
      <c r="V627" t="s">
        <v>4428</v>
      </c>
      <c r="W627" s="15">
        <v>-15.75466333</v>
      </c>
      <c r="X627" s="15">
        <v>34.996761669999998</v>
      </c>
      <c r="Y627">
        <v>7</v>
      </c>
      <c r="AC627">
        <v>7</v>
      </c>
      <c r="AF627" t="b">
        <v>0</v>
      </c>
      <c r="AI627" t="s">
        <v>71</v>
      </c>
      <c r="AJ627" t="s">
        <v>70</v>
      </c>
      <c r="AK627" t="s">
        <v>71</v>
      </c>
      <c r="AL627" t="s">
        <v>72</v>
      </c>
      <c r="AM627">
        <v>346053</v>
      </c>
      <c r="AO627" s="16" t="s">
        <v>140</v>
      </c>
      <c r="AP627" s="17" t="str">
        <f t="shared" si="42"/>
        <v>Post-emergence nest</v>
      </c>
      <c r="AQ627" s="18">
        <v>3</v>
      </c>
      <c r="AT627" s="19" t="s">
        <v>141</v>
      </c>
      <c r="AU627" s="20" t="s">
        <v>104</v>
      </c>
      <c r="AX627" s="22" t="str">
        <f>IF(AND('[1]observations-276632'!W627&gt;'[1]Methods write-up'!$Q$16,'[1]observations-276632'!W627&lt;'[1]Methods write-up'!$R$16,'[1]observations-276632'!X627&gt;'[1]Methods write-up'!$S$16,'[1]observations-276632'!X627&lt;'[1]Methods write-up'!$T$16),"West and Central Africa","")</f>
        <v/>
      </c>
      <c r="AY627" s="22" t="str">
        <f>IF(AND('[1]observations-276632'!W627&gt;'[1]Methods write-up'!$Q$17,'[1]observations-276632'!W627&lt;'[1]Methods write-up'!$R$17,'[1]observations-276632'!X627&gt;'[1]Methods write-up'!$S$17,'[1]observations-276632'!X627&lt;'[1]Methods write-up'!$T$17),"Equatorial tropical forest","")</f>
        <v/>
      </c>
      <c r="AZ627" s="22" t="str">
        <f>IF(AND('[1]observations-276632'!W627&gt;'[1]Methods write-up'!$Q$18,'[1]observations-276632'!W627&lt;'[1]Methods write-up'!$R$18,'[1]observations-276632'!X627&gt;'[1]Methods write-up'!$S$18,'[1]observations-276632'!X627&lt;'[1]Methods write-up'!$T$18),"Somali peninsula","")</f>
        <v/>
      </c>
      <c r="BA627" s="22" t="str">
        <f>IF(AND('[1]observations-276632'!W627&gt;'[1]Methods write-up'!$Q$19,'[1]observations-276632'!W627&lt;'[1]Methods write-up'!$R$19,'[1]observations-276632'!X627&gt;'[1]Methods write-up'!$S$19,'[1]observations-276632'!X627&lt;'[1]Methods write-up'!$T$19),"East Africa","")</f>
        <v/>
      </c>
      <c r="BB627" s="22" t="str">
        <f>IF(AND('[1]observations-276632'!W627&gt;'[1]Methods write-up'!$Q$20,'[1]observations-276632'!W627&lt;'[1]Methods write-up'!$R$20,'[1]observations-276632'!X627&gt;'[1]Methods write-up'!$S$20,'[1]observations-276632'!X627&lt;'[1]Methods write-up'!$T$20),"Temperate seasonal","")</f>
        <v/>
      </c>
      <c r="BC627" s="22" t="str">
        <f>IF(AND('[1]observations-276632'!W627&gt;'[1]Methods write-up'!$Q$21,'[1]observations-276632'!W627&lt;'[1]Methods write-up'!$R$21,'[1]observations-276632'!X627&gt;'[1]Methods write-up'!$S$21,'[1]observations-276632'!X627&lt;'[1]Methods write-up'!$T$21),"Desert and high aridity","")</f>
        <v/>
      </c>
      <c r="BD627" s="23" t="str">
        <f t="shared" si="41"/>
        <v/>
      </c>
      <c r="BE627" s="24">
        <f t="shared" si="39"/>
        <v>12</v>
      </c>
      <c r="BF627" s="24">
        <f t="shared" si="40"/>
        <v>1</v>
      </c>
    </row>
    <row r="628" spans="1:58" ht="16.25" customHeight="1" x14ac:dyDescent="0.2">
      <c r="A628">
        <v>68005295</v>
      </c>
      <c r="B628" t="s">
        <v>4661</v>
      </c>
      <c r="C628" s="14">
        <v>44209</v>
      </c>
      <c r="D628" t="s">
        <v>4662</v>
      </c>
      <c r="E628" t="s">
        <v>113</v>
      </c>
      <c r="F628">
        <v>3857722</v>
      </c>
      <c r="G628" t="s">
        <v>4422</v>
      </c>
      <c r="H628" t="s">
        <v>4423</v>
      </c>
      <c r="I628" t="s">
        <v>4663</v>
      </c>
      <c r="J628" t="s">
        <v>4664</v>
      </c>
      <c r="K628" t="s">
        <v>62</v>
      </c>
      <c r="L628" t="s">
        <v>63</v>
      </c>
      <c r="M628" t="s">
        <v>4665</v>
      </c>
      <c r="N628" t="s">
        <v>4666</v>
      </c>
      <c r="R628">
        <v>2</v>
      </c>
      <c r="S628">
        <v>0</v>
      </c>
      <c r="T628" t="b">
        <v>0</v>
      </c>
      <c r="U628">
        <v>3</v>
      </c>
      <c r="V628" t="s">
        <v>4428</v>
      </c>
      <c r="W628" s="15">
        <v>-15.741728330000001</v>
      </c>
      <c r="X628" s="15">
        <v>34.994055000000003</v>
      </c>
      <c r="Y628">
        <v>14</v>
      </c>
      <c r="AC628">
        <v>14</v>
      </c>
      <c r="AF628" t="b">
        <v>0</v>
      </c>
      <c r="AI628" t="s">
        <v>71</v>
      </c>
      <c r="AJ628" t="s">
        <v>70</v>
      </c>
      <c r="AK628" t="s">
        <v>71</v>
      </c>
      <c r="AL628" t="s">
        <v>72</v>
      </c>
      <c r="AM628">
        <v>346053</v>
      </c>
      <c r="AO628" s="16" t="s">
        <v>73</v>
      </c>
      <c r="AP628" s="17" t="str">
        <f t="shared" si="42"/>
        <v>Off-nest female</v>
      </c>
      <c r="AX628" s="22" t="str">
        <f>IF(AND('[1]observations-276632'!W628&gt;'[1]Methods write-up'!$Q$16,'[1]observations-276632'!W628&lt;'[1]Methods write-up'!$R$16,'[1]observations-276632'!X628&gt;'[1]Methods write-up'!$S$16,'[1]observations-276632'!X628&lt;'[1]Methods write-up'!$T$16),"West and Central Africa","")</f>
        <v/>
      </c>
      <c r="AY628" s="22" t="str">
        <f>IF(AND('[1]observations-276632'!W628&gt;'[1]Methods write-up'!$Q$17,'[1]observations-276632'!W628&lt;'[1]Methods write-up'!$R$17,'[1]observations-276632'!X628&gt;'[1]Methods write-up'!$S$17,'[1]observations-276632'!X628&lt;'[1]Methods write-up'!$T$17),"Equatorial tropical forest","")</f>
        <v/>
      </c>
      <c r="AZ628" s="22" t="str">
        <f>IF(AND('[1]observations-276632'!W628&gt;'[1]Methods write-up'!$Q$18,'[1]observations-276632'!W628&lt;'[1]Methods write-up'!$R$18,'[1]observations-276632'!X628&gt;'[1]Methods write-up'!$S$18,'[1]observations-276632'!X628&lt;'[1]Methods write-up'!$T$18),"Somali peninsula","")</f>
        <v/>
      </c>
      <c r="BA628" s="22" t="str">
        <f>IF(AND('[1]observations-276632'!W628&gt;'[1]Methods write-up'!$Q$19,'[1]observations-276632'!W628&lt;'[1]Methods write-up'!$R$19,'[1]observations-276632'!X628&gt;'[1]Methods write-up'!$S$19,'[1]observations-276632'!X628&lt;'[1]Methods write-up'!$T$19),"East Africa","")</f>
        <v/>
      </c>
      <c r="BB628" s="22" t="str">
        <f>IF(AND('[1]observations-276632'!W628&gt;'[1]Methods write-up'!$Q$20,'[1]observations-276632'!W628&lt;'[1]Methods write-up'!$R$20,'[1]observations-276632'!X628&gt;'[1]Methods write-up'!$S$20,'[1]observations-276632'!X628&lt;'[1]Methods write-up'!$T$20),"Temperate seasonal","")</f>
        <v/>
      </c>
      <c r="BC628" s="22" t="str">
        <f>IF(AND('[1]observations-276632'!W628&gt;'[1]Methods write-up'!$Q$21,'[1]observations-276632'!W628&lt;'[1]Methods write-up'!$R$21,'[1]observations-276632'!X628&gt;'[1]Methods write-up'!$S$21,'[1]observations-276632'!X628&lt;'[1]Methods write-up'!$T$21),"Desert and high aridity","")</f>
        <v/>
      </c>
      <c r="BD628" s="23" t="str">
        <f t="shared" si="41"/>
        <v/>
      </c>
      <c r="BE628" s="24">
        <f t="shared" si="39"/>
        <v>13</v>
      </c>
      <c r="BF628" s="24">
        <f t="shared" si="40"/>
        <v>1</v>
      </c>
    </row>
    <row r="629" spans="1:58" ht="16.25" customHeight="1" x14ac:dyDescent="0.2">
      <c r="A629">
        <v>68140728</v>
      </c>
      <c r="B629" t="s">
        <v>4667</v>
      </c>
      <c r="C629" s="14">
        <v>44212</v>
      </c>
      <c r="D629" t="s">
        <v>4668</v>
      </c>
      <c r="E629" t="s">
        <v>113</v>
      </c>
      <c r="F629">
        <v>3949140</v>
      </c>
      <c r="G629" t="s">
        <v>4669</v>
      </c>
      <c r="I629" t="s">
        <v>4670</v>
      </c>
      <c r="J629" t="s">
        <v>4671</v>
      </c>
      <c r="K629" t="s">
        <v>62</v>
      </c>
      <c r="L629" t="s">
        <v>63</v>
      </c>
      <c r="M629" t="s">
        <v>4672</v>
      </c>
      <c r="N629" t="s">
        <v>4673</v>
      </c>
      <c r="R629">
        <v>2</v>
      </c>
      <c r="S629">
        <v>0</v>
      </c>
      <c r="T629" t="b">
        <v>0</v>
      </c>
      <c r="U629">
        <v>3</v>
      </c>
      <c r="V629" t="s">
        <v>4674</v>
      </c>
      <c r="W629" s="15">
        <v>-17.71874167</v>
      </c>
      <c r="X629" s="15">
        <v>31.18558333</v>
      </c>
      <c r="Y629">
        <v>6</v>
      </c>
      <c r="AC629">
        <v>6</v>
      </c>
      <c r="AF629" t="b">
        <v>0</v>
      </c>
      <c r="AI629" t="s">
        <v>71</v>
      </c>
      <c r="AJ629" t="s">
        <v>70</v>
      </c>
      <c r="AK629" t="s">
        <v>71</v>
      </c>
      <c r="AL629" t="s">
        <v>72</v>
      </c>
      <c r="AM629">
        <v>346053</v>
      </c>
      <c r="AO629" s="16" t="s">
        <v>73</v>
      </c>
      <c r="AP629" s="17" t="str">
        <f t="shared" si="42"/>
        <v>Off-nest female</v>
      </c>
      <c r="AX629" s="22" t="str">
        <f>IF(AND('[1]observations-276632'!W629&gt;'[1]Methods write-up'!$Q$16,'[1]observations-276632'!W629&lt;'[1]Methods write-up'!$R$16,'[1]observations-276632'!X629&gt;'[1]Methods write-up'!$S$16,'[1]observations-276632'!X629&lt;'[1]Methods write-up'!$T$16),"West and Central Africa","")</f>
        <v/>
      </c>
      <c r="AY629" s="22" t="str">
        <f>IF(AND('[1]observations-276632'!W629&gt;'[1]Methods write-up'!$Q$17,'[1]observations-276632'!W629&lt;'[1]Methods write-up'!$R$17,'[1]observations-276632'!X629&gt;'[1]Methods write-up'!$S$17,'[1]observations-276632'!X629&lt;'[1]Methods write-up'!$T$17),"Equatorial tropical forest","")</f>
        <v/>
      </c>
      <c r="AZ629" s="22" t="str">
        <f>IF(AND('[1]observations-276632'!W629&gt;'[1]Methods write-up'!$Q$18,'[1]observations-276632'!W629&lt;'[1]Methods write-up'!$R$18,'[1]observations-276632'!X629&gt;'[1]Methods write-up'!$S$18,'[1]observations-276632'!X629&lt;'[1]Methods write-up'!$T$18),"Somali peninsula","")</f>
        <v/>
      </c>
      <c r="BA629" s="22" t="str">
        <f>IF(AND('[1]observations-276632'!W629&gt;'[1]Methods write-up'!$Q$19,'[1]observations-276632'!W629&lt;'[1]Methods write-up'!$R$19,'[1]observations-276632'!X629&gt;'[1]Methods write-up'!$S$19,'[1]observations-276632'!X629&lt;'[1]Methods write-up'!$T$19),"East Africa","")</f>
        <v/>
      </c>
      <c r="BB629" s="22" t="str">
        <f>IF(AND('[1]observations-276632'!W629&gt;'[1]Methods write-up'!$Q$20,'[1]observations-276632'!W629&lt;'[1]Methods write-up'!$R$20,'[1]observations-276632'!X629&gt;'[1]Methods write-up'!$S$20,'[1]observations-276632'!X629&lt;'[1]Methods write-up'!$T$20),"Temperate seasonal","")</f>
        <v/>
      </c>
      <c r="BC629" s="22" t="str">
        <f>IF(AND('[1]observations-276632'!W629&gt;'[1]Methods write-up'!$Q$21,'[1]observations-276632'!W629&lt;'[1]Methods write-up'!$R$21,'[1]observations-276632'!X629&gt;'[1]Methods write-up'!$S$21,'[1]observations-276632'!X629&lt;'[1]Methods write-up'!$T$21),"Desert and high aridity","")</f>
        <v/>
      </c>
      <c r="BD629" s="23" t="str">
        <f t="shared" si="41"/>
        <v/>
      </c>
      <c r="BE629" s="24">
        <f t="shared" si="39"/>
        <v>16</v>
      </c>
      <c r="BF629" s="24">
        <f t="shared" si="40"/>
        <v>1</v>
      </c>
    </row>
    <row r="630" spans="1:58" ht="16.25" customHeight="1" x14ac:dyDescent="0.2">
      <c r="A630">
        <v>68143471</v>
      </c>
      <c r="B630" t="s">
        <v>4675</v>
      </c>
      <c r="C630" s="14">
        <v>44212</v>
      </c>
      <c r="D630" t="s">
        <v>4676</v>
      </c>
      <c r="E630" t="s">
        <v>113</v>
      </c>
      <c r="F630">
        <v>2629943</v>
      </c>
      <c r="G630" t="s">
        <v>4009</v>
      </c>
      <c r="H630" t="s">
        <v>4010</v>
      </c>
      <c r="I630" t="s">
        <v>4677</v>
      </c>
      <c r="J630" t="s">
        <v>4678</v>
      </c>
      <c r="K630" t="s">
        <v>62</v>
      </c>
      <c r="L630" t="s">
        <v>63</v>
      </c>
      <c r="M630" t="s">
        <v>4679</v>
      </c>
      <c r="N630" t="s">
        <v>4680</v>
      </c>
      <c r="R630">
        <v>1</v>
      </c>
      <c r="S630">
        <v>0</v>
      </c>
      <c r="T630" t="b">
        <v>0</v>
      </c>
      <c r="U630">
        <v>2</v>
      </c>
      <c r="V630" t="s">
        <v>4015</v>
      </c>
      <c r="W630" s="15">
        <v>-18.252549779999999</v>
      </c>
      <c r="X630" s="15">
        <v>32.01092105</v>
      </c>
      <c r="Y630">
        <v>446</v>
      </c>
      <c r="AC630">
        <v>446</v>
      </c>
      <c r="AF630" t="b">
        <v>0</v>
      </c>
      <c r="AG630" t="s">
        <v>350</v>
      </c>
      <c r="AH630" t="s">
        <v>350</v>
      </c>
      <c r="AI630" t="s">
        <v>71</v>
      </c>
      <c r="AJ630" t="s">
        <v>70</v>
      </c>
      <c r="AK630" t="s">
        <v>71</v>
      </c>
      <c r="AL630" t="s">
        <v>72</v>
      </c>
      <c r="AM630">
        <v>346053</v>
      </c>
      <c r="AO630" s="16" t="s">
        <v>1574</v>
      </c>
      <c r="AP630" s="17" t="str">
        <f t="shared" si="42"/>
        <v>Nest (foundress)</v>
      </c>
      <c r="AQ630" s="18">
        <v>2</v>
      </c>
      <c r="AT630" s="19" t="s">
        <v>104</v>
      </c>
      <c r="AX630" s="22" t="str">
        <f>IF(AND('[1]observations-276632'!W630&gt;'[1]Methods write-up'!$Q$16,'[1]observations-276632'!W630&lt;'[1]Methods write-up'!$R$16,'[1]observations-276632'!X630&gt;'[1]Methods write-up'!$S$16,'[1]observations-276632'!X630&lt;'[1]Methods write-up'!$T$16),"West and Central Africa","")</f>
        <v/>
      </c>
      <c r="AY630" s="22" t="str">
        <f>IF(AND('[1]observations-276632'!W630&gt;'[1]Methods write-up'!$Q$17,'[1]observations-276632'!W630&lt;'[1]Methods write-up'!$R$17,'[1]observations-276632'!X630&gt;'[1]Methods write-up'!$S$17,'[1]observations-276632'!X630&lt;'[1]Methods write-up'!$T$17),"Equatorial tropical forest","")</f>
        <v/>
      </c>
      <c r="AZ630" s="22" t="str">
        <f>IF(AND('[1]observations-276632'!W630&gt;'[1]Methods write-up'!$Q$18,'[1]observations-276632'!W630&lt;'[1]Methods write-up'!$R$18,'[1]observations-276632'!X630&gt;'[1]Methods write-up'!$S$18,'[1]observations-276632'!X630&lt;'[1]Methods write-up'!$T$18),"Somali peninsula","")</f>
        <v/>
      </c>
      <c r="BA630" s="22" t="str">
        <f>IF(AND('[1]observations-276632'!W630&gt;'[1]Methods write-up'!$Q$19,'[1]observations-276632'!W630&lt;'[1]Methods write-up'!$R$19,'[1]observations-276632'!X630&gt;'[1]Methods write-up'!$S$19,'[1]observations-276632'!X630&lt;'[1]Methods write-up'!$T$19),"East Africa","")</f>
        <v/>
      </c>
      <c r="BB630" s="22" t="str">
        <f>IF(AND('[1]observations-276632'!W630&gt;'[1]Methods write-up'!$Q$20,'[1]observations-276632'!W630&lt;'[1]Methods write-up'!$R$20,'[1]observations-276632'!X630&gt;'[1]Methods write-up'!$S$20,'[1]observations-276632'!X630&lt;'[1]Methods write-up'!$T$20),"Temperate seasonal","")</f>
        <v/>
      </c>
      <c r="BC630" s="22" t="str">
        <f>IF(AND('[1]observations-276632'!W630&gt;'[1]Methods write-up'!$Q$21,'[1]observations-276632'!W630&lt;'[1]Methods write-up'!$R$21,'[1]observations-276632'!X630&gt;'[1]Methods write-up'!$S$21,'[1]observations-276632'!X630&lt;'[1]Methods write-up'!$T$21),"Desert and high aridity","")</f>
        <v/>
      </c>
      <c r="BD630" s="23" t="str">
        <f t="shared" si="41"/>
        <v/>
      </c>
      <c r="BE630" s="24">
        <f t="shared" si="39"/>
        <v>16</v>
      </c>
      <c r="BF630" s="24">
        <f t="shared" si="40"/>
        <v>1</v>
      </c>
    </row>
    <row r="631" spans="1:58" ht="16.25" customHeight="1" x14ac:dyDescent="0.2">
      <c r="A631">
        <v>68144637</v>
      </c>
      <c r="B631" t="s">
        <v>4681</v>
      </c>
      <c r="C631" s="14">
        <v>44212</v>
      </c>
      <c r="D631" t="s">
        <v>4682</v>
      </c>
      <c r="E631" t="s">
        <v>1408</v>
      </c>
      <c r="F631">
        <v>1476026</v>
      </c>
      <c r="G631" t="s">
        <v>3989</v>
      </c>
      <c r="H631" t="s">
        <v>3990</v>
      </c>
      <c r="I631" t="s">
        <v>4683</v>
      </c>
      <c r="J631" t="s">
        <v>4684</v>
      </c>
      <c r="K631" t="s">
        <v>62</v>
      </c>
      <c r="L631" t="s">
        <v>373</v>
      </c>
      <c r="M631" t="s">
        <v>4685</v>
      </c>
      <c r="N631" t="s">
        <v>4686</v>
      </c>
      <c r="R631">
        <v>2</v>
      </c>
      <c r="S631">
        <v>0</v>
      </c>
      <c r="T631" t="b">
        <v>0</v>
      </c>
      <c r="V631" t="s">
        <v>4687</v>
      </c>
      <c r="W631" s="15">
        <v>-17.790145729999999</v>
      </c>
      <c r="X631" s="15">
        <v>31.12182279</v>
      </c>
      <c r="Y631">
        <v>207</v>
      </c>
      <c r="AC631">
        <v>207</v>
      </c>
      <c r="AF631" t="b">
        <v>0</v>
      </c>
      <c r="AI631" t="s">
        <v>71</v>
      </c>
      <c r="AJ631" t="s">
        <v>70</v>
      </c>
      <c r="AK631" t="s">
        <v>71</v>
      </c>
      <c r="AL631" t="s">
        <v>72</v>
      </c>
      <c r="AM631">
        <v>346053</v>
      </c>
      <c r="AO631" s="16" t="s">
        <v>73</v>
      </c>
      <c r="AP631" s="17" t="str">
        <f t="shared" si="42"/>
        <v>Off-nest female</v>
      </c>
      <c r="AX631" s="22" t="str">
        <f>IF(AND('[1]observations-276632'!W631&gt;'[1]Methods write-up'!$Q$16,'[1]observations-276632'!W631&lt;'[1]Methods write-up'!$R$16,'[1]observations-276632'!X631&gt;'[1]Methods write-up'!$S$16,'[1]observations-276632'!X631&lt;'[1]Methods write-up'!$T$16),"West and Central Africa","")</f>
        <v/>
      </c>
      <c r="AY631" s="22" t="str">
        <f>IF(AND('[1]observations-276632'!W631&gt;'[1]Methods write-up'!$Q$17,'[1]observations-276632'!W631&lt;'[1]Methods write-up'!$R$17,'[1]observations-276632'!X631&gt;'[1]Methods write-up'!$S$17,'[1]observations-276632'!X631&lt;'[1]Methods write-up'!$T$17),"Equatorial tropical forest","")</f>
        <v/>
      </c>
      <c r="AZ631" s="22" t="str">
        <f>IF(AND('[1]observations-276632'!W631&gt;'[1]Methods write-up'!$Q$18,'[1]observations-276632'!W631&lt;'[1]Methods write-up'!$R$18,'[1]observations-276632'!X631&gt;'[1]Methods write-up'!$S$18,'[1]observations-276632'!X631&lt;'[1]Methods write-up'!$T$18),"Somali peninsula","")</f>
        <v/>
      </c>
      <c r="BA631" s="22" t="str">
        <f>IF(AND('[1]observations-276632'!W631&gt;'[1]Methods write-up'!$Q$19,'[1]observations-276632'!W631&lt;'[1]Methods write-up'!$R$19,'[1]observations-276632'!X631&gt;'[1]Methods write-up'!$S$19,'[1]observations-276632'!X631&lt;'[1]Methods write-up'!$T$19),"East Africa","")</f>
        <v/>
      </c>
      <c r="BB631" s="22" t="str">
        <f>IF(AND('[1]observations-276632'!W631&gt;'[1]Methods write-up'!$Q$20,'[1]observations-276632'!W631&lt;'[1]Methods write-up'!$R$20,'[1]observations-276632'!X631&gt;'[1]Methods write-up'!$S$20,'[1]observations-276632'!X631&lt;'[1]Methods write-up'!$T$20),"Temperate seasonal","")</f>
        <v/>
      </c>
      <c r="BC631" s="22" t="str">
        <f>IF(AND('[1]observations-276632'!W631&gt;'[1]Methods write-up'!$Q$21,'[1]observations-276632'!W631&lt;'[1]Methods write-up'!$R$21,'[1]observations-276632'!X631&gt;'[1]Methods write-up'!$S$21,'[1]observations-276632'!X631&lt;'[1]Methods write-up'!$T$21),"Desert and high aridity","")</f>
        <v/>
      </c>
      <c r="BD631" s="23" t="str">
        <f t="shared" si="41"/>
        <v/>
      </c>
      <c r="BE631" s="24">
        <f t="shared" si="39"/>
        <v>16</v>
      </c>
      <c r="BF631" s="24">
        <f t="shared" si="40"/>
        <v>1</v>
      </c>
    </row>
    <row r="632" spans="1:58" ht="16.25" customHeight="1" x14ac:dyDescent="0.2">
      <c r="A632">
        <v>68149282</v>
      </c>
      <c r="B632" t="s">
        <v>4688</v>
      </c>
      <c r="C632" s="14">
        <v>44212</v>
      </c>
      <c r="D632" t="s">
        <v>4689</v>
      </c>
      <c r="E632" t="s">
        <v>113</v>
      </c>
      <c r="F632">
        <v>3064296</v>
      </c>
      <c r="G632" t="s">
        <v>4690</v>
      </c>
      <c r="H632" t="s">
        <v>4691</v>
      </c>
      <c r="I632" t="s">
        <v>4692</v>
      </c>
      <c r="J632" t="s">
        <v>4693</v>
      </c>
      <c r="K632" t="s">
        <v>62</v>
      </c>
      <c r="M632" t="s">
        <v>4694</v>
      </c>
      <c r="N632" t="s">
        <v>4695</v>
      </c>
      <c r="R632">
        <v>2</v>
      </c>
      <c r="S632">
        <v>0</v>
      </c>
      <c r="T632" t="b">
        <v>0</v>
      </c>
      <c r="U632">
        <v>2</v>
      </c>
      <c r="V632" t="s">
        <v>1839</v>
      </c>
      <c r="W632" s="15">
        <v>-25.745285299999999</v>
      </c>
      <c r="X632" s="15">
        <v>28.263921660000001</v>
      </c>
      <c r="Y632">
        <v>313</v>
      </c>
      <c r="AC632">
        <v>313</v>
      </c>
      <c r="AF632" t="b">
        <v>0</v>
      </c>
      <c r="AG632" t="s">
        <v>350</v>
      </c>
      <c r="AH632" t="s">
        <v>350</v>
      </c>
      <c r="AI632" t="s">
        <v>71</v>
      </c>
      <c r="AJ632" t="s">
        <v>70</v>
      </c>
      <c r="AK632" t="s">
        <v>71</v>
      </c>
      <c r="AL632" t="s">
        <v>72</v>
      </c>
      <c r="AM632">
        <v>346053</v>
      </c>
      <c r="AO632" s="16" t="s">
        <v>73</v>
      </c>
      <c r="AP632" s="17" t="str">
        <f t="shared" si="42"/>
        <v>Off-nest female</v>
      </c>
      <c r="AX632" s="22" t="str">
        <f>IF(AND('[1]observations-276632'!W632&gt;'[1]Methods write-up'!$Q$16,'[1]observations-276632'!W632&lt;'[1]Methods write-up'!$R$16,'[1]observations-276632'!X632&gt;'[1]Methods write-up'!$S$16,'[1]observations-276632'!X632&lt;'[1]Methods write-up'!$T$16),"West and Central Africa","")</f>
        <v/>
      </c>
      <c r="AY632" s="22" t="str">
        <f>IF(AND('[1]observations-276632'!W632&gt;'[1]Methods write-up'!$Q$17,'[1]observations-276632'!W632&lt;'[1]Methods write-up'!$R$17,'[1]observations-276632'!X632&gt;'[1]Methods write-up'!$S$17,'[1]observations-276632'!X632&lt;'[1]Methods write-up'!$T$17),"Equatorial tropical forest","")</f>
        <v/>
      </c>
      <c r="AZ632" s="22" t="str">
        <f>IF(AND('[1]observations-276632'!W632&gt;'[1]Methods write-up'!$Q$18,'[1]observations-276632'!W632&lt;'[1]Methods write-up'!$R$18,'[1]observations-276632'!X632&gt;'[1]Methods write-up'!$S$18,'[1]observations-276632'!X632&lt;'[1]Methods write-up'!$T$18),"Somali peninsula","")</f>
        <v/>
      </c>
      <c r="BA632" s="22" t="str">
        <f>IF(AND('[1]observations-276632'!W632&gt;'[1]Methods write-up'!$Q$19,'[1]observations-276632'!W632&lt;'[1]Methods write-up'!$R$19,'[1]observations-276632'!X632&gt;'[1]Methods write-up'!$S$19,'[1]observations-276632'!X632&lt;'[1]Methods write-up'!$T$19),"East Africa","")</f>
        <v/>
      </c>
      <c r="BB632" s="22" t="str">
        <f>IF(AND('[1]observations-276632'!W632&gt;'[1]Methods write-up'!$Q$20,'[1]observations-276632'!W632&lt;'[1]Methods write-up'!$R$20,'[1]observations-276632'!X632&gt;'[1]Methods write-up'!$S$20,'[1]observations-276632'!X632&lt;'[1]Methods write-up'!$T$20),"Temperate seasonal","")</f>
        <v>Temperate seasonal</v>
      </c>
      <c r="BC632" s="22" t="str">
        <f>IF(AND('[1]observations-276632'!W632&gt;'[1]Methods write-up'!$Q$21,'[1]observations-276632'!W632&lt;'[1]Methods write-up'!$R$21,'[1]observations-276632'!X632&gt;'[1]Methods write-up'!$S$21,'[1]observations-276632'!X632&lt;'[1]Methods write-up'!$T$21),"Desert and high aridity","")</f>
        <v/>
      </c>
      <c r="BD632" s="23" t="str">
        <f t="shared" si="41"/>
        <v>Temperate seasonal</v>
      </c>
      <c r="BE632" s="24">
        <f t="shared" si="39"/>
        <v>16</v>
      </c>
      <c r="BF632" s="24">
        <f t="shared" si="40"/>
        <v>1</v>
      </c>
    </row>
    <row r="633" spans="1:58" ht="16.25" customHeight="1" x14ac:dyDescent="0.2">
      <c r="A633">
        <v>68359638</v>
      </c>
      <c r="B633" t="s">
        <v>4696</v>
      </c>
      <c r="C633" s="14">
        <v>44198</v>
      </c>
      <c r="D633" t="s">
        <v>4697</v>
      </c>
      <c r="E633" t="s">
        <v>4698</v>
      </c>
      <c r="F633">
        <v>3905935</v>
      </c>
      <c r="G633" t="s">
        <v>4699</v>
      </c>
      <c r="H633" t="s">
        <v>4700</v>
      </c>
      <c r="I633" t="s">
        <v>4701</v>
      </c>
      <c r="J633" t="s">
        <v>4702</v>
      </c>
      <c r="K633" t="s">
        <v>62</v>
      </c>
      <c r="M633" t="s">
        <v>4703</v>
      </c>
      <c r="N633" t="s">
        <v>4704</v>
      </c>
      <c r="R633">
        <v>0</v>
      </c>
      <c r="S633">
        <v>0</v>
      </c>
      <c r="T633" t="b">
        <v>0</v>
      </c>
      <c r="U633">
        <v>2</v>
      </c>
      <c r="AC633">
        <v>29822</v>
      </c>
      <c r="AD633" t="s">
        <v>4705</v>
      </c>
      <c r="AF633" t="b">
        <v>1</v>
      </c>
      <c r="AG633" t="s">
        <v>350</v>
      </c>
      <c r="AH633" t="s">
        <v>350</v>
      </c>
      <c r="AI633" t="s">
        <v>71</v>
      </c>
      <c r="AJ633" t="s">
        <v>70</v>
      </c>
      <c r="AK633" t="s">
        <v>71</v>
      </c>
      <c r="AL633" t="s">
        <v>72</v>
      </c>
      <c r="AM633">
        <v>346053</v>
      </c>
      <c r="AO633" s="16" t="s">
        <v>2421</v>
      </c>
      <c r="AP633" s="16"/>
      <c r="AX633" s="22" t="str">
        <f>IF(AND('[1]observations-276632'!W633&gt;'[1]Methods write-up'!$Q$16,'[1]observations-276632'!W633&lt;'[1]Methods write-up'!$R$16,'[1]observations-276632'!X633&gt;'[1]Methods write-up'!$S$16,'[1]observations-276632'!X633&lt;'[1]Methods write-up'!$T$16),"West Africa","")</f>
        <v>West Africa</v>
      </c>
      <c r="AY633" s="22" t="str">
        <f>IF(AND('[1]observations-276632'!W633&gt;'[1]Methods write-up'!$Q$17,'[1]observations-276632'!W633&lt;'[1]Methods write-up'!$R$17,'[1]observations-276632'!X633&gt;'[1]Methods write-up'!$S$17,'[1]observations-276632'!X633&lt;'[1]Methods write-up'!$T$17),"Equatorial tropical forest","")</f>
        <v/>
      </c>
      <c r="AZ633" s="22" t="str">
        <f>IF(AND('[1]observations-276632'!W633&gt;'[1]Methods write-up'!$Q$18,'[1]observations-276632'!W633&lt;'[1]Methods write-up'!$R$18,'[1]observations-276632'!X633&gt;'[1]Methods write-up'!$S$18,'[1]observations-276632'!X633&lt;'[1]Methods write-up'!$T$18),"Somali peninsula","")</f>
        <v/>
      </c>
      <c r="BA633" s="22" t="str">
        <f>IF(AND('[1]observations-276632'!W633&gt;'[1]Methods write-up'!$Q$19,'[1]observations-276632'!W633&lt;'[1]Methods write-up'!$R$19,'[1]observations-276632'!X633&gt;'[1]Methods write-up'!$S$19,'[1]observations-276632'!X633&lt;'[1]Methods write-up'!$T$19),"East Africa","")</f>
        <v/>
      </c>
      <c r="BB633" s="22" t="str">
        <f>IF(AND('[1]observations-276632'!W633&gt;'[1]Methods write-up'!$Q$20,'[1]observations-276632'!W633&lt;'[1]Methods write-up'!$R$20,'[1]observations-276632'!X633&gt;'[1]Methods write-up'!$S$20,'[1]observations-276632'!X633&lt;'[1]Methods write-up'!$T$20),"Temperate seasonal","")</f>
        <v/>
      </c>
      <c r="BC633" s="22" t="str">
        <f>IF(AND('[1]observations-276632'!W633&gt;'[1]Methods write-up'!$Q$21,'[1]observations-276632'!W633&lt;'[1]Methods write-up'!$R$21,'[1]observations-276632'!X633&gt;'[1]Methods write-up'!$S$21,'[1]observations-276632'!X633&lt;'[1]Methods write-up'!$T$21),"Desert and high aridity","")</f>
        <v/>
      </c>
      <c r="BD633" s="23" t="str">
        <f t="shared" si="41"/>
        <v>West Africa</v>
      </c>
      <c r="BE633" s="24">
        <f t="shared" si="39"/>
        <v>2</v>
      </c>
      <c r="BF633" s="24">
        <f t="shared" si="40"/>
        <v>1</v>
      </c>
    </row>
    <row r="634" spans="1:58" ht="16.25" customHeight="1" x14ac:dyDescent="0.2">
      <c r="A634">
        <v>68372698</v>
      </c>
      <c r="B634" t="s">
        <v>4706</v>
      </c>
      <c r="C634" s="14">
        <v>43568</v>
      </c>
      <c r="D634" t="s">
        <v>4707</v>
      </c>
      <c r="E634" t="s">
        <v>243</v>
      </c>
      <c r="F634">
        <v>3962707</v>
      </c>
      <c r="G634" t="s">
        <v>4708</v>
      </c>
      <c r="H634" t="s">
        <v>4709</v>
      </c>
      <c r="I634" t="s">
        <v>4710</v>
      </c>
      <c r="J634" t="s">
        <v>4711</v>
      </c>
      <c r="K634" t="s">
        <v>157</v>
      </c>
      <c r="L634" t="s">
        <v>63</v>
      </c>
      <c r="M634" t="s">
        <v>4712</v>
      </c>
      <c r="N634" t="s">
        <v>4713</v>
      </c>
      <c r="R634">
        <v>2</v>
      </c>
      <c r="S634">
        <v>0</v>
      </c>
      <c r="T634" t="b">
        <v>0</v>
      </c>
      <c r="V634" t="s">
        <v>4714</v>
      </c>
      <c r="W634" s="15">
        <v>-24.872761390000001</v>
      </c>
      <c r="X634" s="15">
        <v>16.178176390000001</v>
      </c>
      <c r="AF634" t="b">
        <v>0</v>
      </c>
      <c r="AI634" t="s">
        <v>756</v>
      </c>
      <c r="AJ634" t="s">
        <v>756</v>
      </c>
      <c r="AL634" t="s">
        <v>72</v>
      </c>
      <c r="AM634">
        <v>652800</v>
      </c>
      <c r="AO634" s="16" t="s">
        <v>73</v>
      </c>
      <c r="AP634" s="17" t="str">
        <f t="shared" ref="AP634:AP697" si="43">IF(COUNTIF(AO634,"*foundress*"),"Nest (foundress)",AO634)</f>
        <v>Off-nest female</v>
      </c>
      <c r="AX634" s="22" t="str">
        <f>IF(AND('[1]observations-276632'!W634&gt;'[1]Methods write-up'!$Q$16,'[1]observations-276632'!W634&lt;'[1]Methods write-up'!$R$16,'[1]observations-276632'!X634&gt;'[1]Methods write-up'!$S$16,'[1]observations-276632'!X634&lt;'[1]Methods write-up'!$T$16),"West and Central Africa","")</f>
        <v/>
      </c>
      <c r="AY634" s="22" t="str">
        <f>IF(AND('[1]observations-276632'!W634&gt;'[1]Methods write-up'!$Q$17,'[1]observations-276632'!W634&lt;'[1]Methods write-up'!$R$17,'[1]observations-276632'!X634&gt;'[1]Methods write-up'!$S$17,'[1]observations-276632'!X634&lt;'[1]Methods write-up'!$T$17),"Equatorial tropical forest","")</f>
        <v/>
      </c>
      <c r="AZ634" s="22" t="str">
        <f>IF(AND('[1]observations-276632'!W634&gt;'[1]Methods write-up'!$Q$18,'[1]observations-276632'!W634&lt;'[1]Methods write-up'!$R$18,'[1]observations-276632'!X634&gt;'[1]Methods write-up'!$S$18,'[1]observations-276632'!X634&lt;'[1]Methods write-up'!$T$18),"Somali peninsula","")</f>
        <v/>
      </c>
      <c r="BA634" s="22" t="str">
        <f>IF(AND('[1]observations-276632'!W634&gt;'[1]Methods write-up'!$Q$19,'[1]observations-276632'!W634&lt;'[1]Methods write-up'!$R$19,'[1]observations-276632'!X634&gt;'[1]Methods write-up'!$S$19,'[1]observations-276632'!X634&lt;'[1]Methods write-up'!$T$19),"East Africa","")</f>
        <v/>
      </c>
      <c r="BB634" s="22" t="str">
        <f>IF(AND('[1]observations-276632'!W634&gt;'[1]Methods write-up'!$Q$20,'[1]observations-276632'!W634&lt;'[1]Methods write-up'!$R$20,'[1]observations-276632'!X634&gt;'[1]Methods write-up'!$S$20,'[1]observations-276632'!X634&lt;'[1]Methods write-up'!$T$20),"Temperate seasonal","")</f>
        <v/>
      </c>
      <c r="BC634" s="22" t="str">
        <f>IF(AND('[1]observations-276632'!W634&gt;'[1]Methods write-up'!$Q$21,'[1]observations-276632'!W634&lt;'[1]Methods write-up'!$R$21,'[1]observations-276632'!X634&gt;'[1]Methods write-up'!$S$21,'[1]observations-276632'!X634&lt;'[1]Methods write-up'!$T$21),"Desert and high aridity","")</f>
        <v>Desert and high aridity</v>
      </c>
      <c r="BD634" s="23" t="str">
        <f t="shared" si="41"/>
        <v>Desert and high aridity</v>
      </c>
      <c r="BE634" s="24">
        <f t="shared" si="39"/>
        <v>13</v>
      </c>
      <c r="BF634" s="24">
        <f t="shared" si="40"/>
        <v>4</v>
      </c>
    </row>
    <row r="635" spans="1:58" ht="16.25" customHeight="1" x14ac:dyDescent="0.2">
      <c r="A635">
        <v>68411524</v>
      </c>
      <c r="B635" t="s">
        <v>4715</v>
      </c>
      <c r="C635" s="14">
        <v>44217</v>
      </c>
      <c r="D635" t="s">
        <v>4716</v>
      </c>
      <c r="E635" t="s">
        <v>113</v>
      </c>
      <c r="F635">
        <v>2815647</v>
      </c>
      <c r="G635" t="s">
        <v>4717</v>
      </c>
      <c r="H635" t="s">
        <v>4718</v>
      </c>
      <c r="I635" t="s">
        <v>4719</v>
      </c>
      <c r="J635" t="s">
        <v>4720</v>
      </c>
      <c r="K635" t="s">
        <v>62</v>
      </c>
      <c r="M635" t="s">
        <v>4721</v>
      </c>
      <c r="N635" t="s">
        <v>4722</v>
      </c>
      <c r="R635">
        <v>2</v>
      </c>
      <c r="S635">
        <v>0</v>
      </c>
      <c r="T635" t="b">
        <v>0</v>
      </c>
      <c r="U635">
        <v>2</v>
      </c>
      <c r="V635" t="s">
        <v>4723</v>
      </c>
      <c r="W635" s="15">
        <v>-33.866292649999998</v>
      </c>
      <c r="X635" s="15">
        <v>25.090592470000001</v>
      </c>
      <c r="Y635">
        <v>197</v>
      </c>
      <c r="AC635">
        <v>197</v>
      </c>
      <c r="AF635" t="b">
        <v>0</v>
      </c>
      <c r="AG635" t="s">
        <v>350</v>
      </c>
      <c r="AH635" t="s">
        <v>350</v>
      </c>
      <c r="AI635" t="s">
        <v>71</v>
      </c>
      <c r="AJ635" t="s">
        <v>70</v>
      </c>
      <c r="AK635" t="s">
        <v>71</v>
      </c>
      <c r="AL635" t="s">
        <v>72</v>
      </c>
      <c r="AM635">
        <v>346053</v>
      </c>
      <c r="AO635" s="16" t="s">
        <v>73</v>
      </c>
      <c r="AP635" s="17" t="str">
        <f t="shared" si="43"/>
        <v>Off-nest female</v>
      </c>
      <c r="AX635" s="22" t="str">
        <f>IF(AND('[1]observations-276632'!W635&gt;'[1]Methods write-up'!$Q$16,'[1]observations-276632'!W635&lt;'[1]Methods write-up'!$R$16,'[1]observations-276632'!X635&gt;'[1]Methods write-up'!$S$16,'[1]observations-276632'!X635&lt;'[1]Methods write-up'!$T$16),"West and Central Africa","")</f>
        <v/>
      </c>
      <c r="AY635" s="22" t="str">
        <f>IF(AND('[1]observations-276632'!W635&gt;'[1]Methods write-up'!$Q$17,'[1]observations-276632'!W635&lt;'[1]Methods write-up'!$R$17,'[1]observations-276632'!X635&gt;'[1]Methods write-up'!$S$17,'[1]observations-276632'!X635&lt;'[1]Methods write-up'!$T$17),"Equatorial tropical forest","")</f>
        <v/>
      </c>
      <c r="AZ635" s="22" t="str">
        <f>IF(AND('[1]observations-276632'!W635&gt;'[1]Methods write-up'!$Q$18,'[1]observations-276632'!W635&lt;'[1]Methods write-up'!$R$18,'[1]observations-276632'!X635&gt;'[1]Methods write-up'!$S$18,'[1]observations-276632'!X635&lt;'[1]Methods write-up'!$T$18),"Somali peninsula","")</f>
        <v/>
      </c>
      <c r="BA635" s="22" t="str">
        <f>IF(AND('[1]observations-276632'!W635&gt;'[1]Methods write-up'!$Q$19,'[1]observations-276632'!W635&lt;'[1]Methods write-up'!$R$19,'[1]observations-276632'!X635&gt;'[1]Methods write-up'!$S$19,'[1]observations-276632'!X635&lt;'[1]Methods write-up'!$T$19),"East Africa","")</f>
        <v/>
      </c>
      <c r="BB635" s="22" t="str">
        <f>IF(AND('[1]observations-276632'!W635&gt;'[1]Methods write-up'!$Q$20,'[1]observations-276632'!W635&lt;'[1]Methods write-up'!$R$20,'[1]observations-276632'!X635&gt;'[1]Methods write-up'!$S$20,'[1]observations-276632'!X635&lt;'[1]Methods write-up'!$T$20),"Temperate seasonal","")</f>
        <v/>
      </c>
      <c r="BC635" s="22" t="str">
        <f>IF(AND('[1]observations-276632'!W635&gt;'[1]Methods write-up'!$Q$21,'[1]observations-276632'!W635&lt;'[1]Methods write-up'!$R$21,'[1]observations-276632'!X635&gt;'[1]Methods write-up'!$S$21,'[1]observations-276632'!X635&lt;'[1]Methods write-up'!$T$21),"Desert and high aridity","")</f>
        <v/>
      </c>
      <c r="BD635" s="23" t="str">
        <f t="shared" si="41"/>
        <v/>
      </c>
      <c r="BE635" s="24">
        <f t="shared" si="39"/>
        <v>21</v>
      </c>
      <c r="BF635" s="24">
        <f t="shared" si="40"/>
        <v>1</v>
      </c>
    </row>
    <row r="636" spans="1:58" ht="16.25" customHeight="1" x14ac:dyDescent="0.2">
      <c r="A636">
        <v>68413380</v>
      </c>
      <c r="B636" t="s">
        <v>4724</v>
      </c>
      <c r="C636" s="14">
        <v>44217</v>
      </c>
      <c r="D636" t="s">
        <v>4725</v>
      </c>
      <c r="E636" t="s">
        <v>193</v>
      </c>
      <c r="F636">
        <v>3857722</v>
      </c>
      <c r="G636" t="s">
        <v>4422</v>
      </c>
      <c r="H636" t="s">
        <v>4423</v>
      </c>
      <c r="I636" t="s">
        <v>4726</v>
      </c>
      <c r="J636" t="s">
        <v>4727</v>
      </c>
      <c r="K636" t="s">
        <v>62</v>
      </c>
      <c r="L636" t="s">
        <v>63</v>
      </c>
      <c r="M636" t="s">
        <v>4728</v>
      </c>
      <c r="N636" t="s">
        <v>4729</v>
      </c>
      <c r="R636">
        <v>2</v>
      </c>
      <c r="S636">
        <v>0</v>
      </c>
      <c r="T636" t="b">
        <v>0</v>
      </c>
      <c r="U636">
        <v>3</v>
      </c>
      <c r="V636" t="s">
        <v>4730</v>
      </c>
      <c r="W636" s="15">
        <v>3.978036667</v>
      </c>
      <c r="X636" s="15">
        <v>11.604495</v>
      </c>
      <c r="Y636">
        <v>4</v>
      </c>
      <c r="AC636">
        <v>4</v>
      </c>
      <c r="AF636" t="b">
        <v>0</v>
      </c>
      <c r="AI636" t="s">
        <v>71</v>
      </c>
      <c r="AJ636" t="s">
        <v>70</v>
      </c>
      <c r="AK636" t="s">
        <v>71</v>
      </c>
      <c r="AL636" t="s">
        <v>72</v>
      </c>
      <c r="AM636">
        <v>346053</v>
      </c>
      <c r="AO636" s="16" t="s">
        <v>73</v>
      </c>
      <c r="AP636" s="17" t="str">
        <f t="shared" si="43"/>
        <v>Off-nest female</v>
      </c>
      <c r="AX636" s="22" t="str">
        <f>IF(AND('[1]observations-276632'!W636&gt;'[1]Methods write-up'!$Q$16,'[1]observations-276632'!W636&lt;'[1]Methods write-up'!$R$16,'[1]observations-276632'!X636&gt;'[1]Methods write-up'!$S$16,'[1]observations-276632'!X636&lt;'[1]Methods write-up'!$T$16),"West and Central Africa","")</f>
        <v>West and Central Africa</v>
      </c>
      <c r="AY636" s="22" t="str">
        <f>IF(AND('[1]observations-276632'!W636&gt;'[1]Methods write-up'!$Q$17,'[1]observations-276632'!W636&lt;'[1]Methods write-up'!$R$17,'[1]observations-276632'!X636&gt;'[1]Methods write-up'!$S$17,'[1]observations-276632'!X636&lt;'[1]Methods write-up'!$T$17),"Equatorial tropical forest","")</f>
        <v/>
      </c>
      <c r="AZ636" s="22" t="str">
        <f>IF(AND('[1]observations-276632'!W636&gt;'[1]Methods write-up'!$Q$18,'[1]observations-276632'!W636&lt;'[1]Methods write-up'!$R$18,'[1]observations-276632'!X636&gt;'[1]Methods write-up'!$S$18,'[1]observations-276632'!X636&lt;'[1]Methods write-up'!$T$18),"Somali peninsula","")</f>
        <v/>
      </c>
      <c r="BA636" s="22" t="str">
        <f>IF(AND('[1]observations-276632'!W636&gt;'[1]Methods write-up'!$Q$19,'[1]observations-276632'!W636&lt;'[1]Methods write-up'!$R$19,'[1]observations-276632'!X636&gt;'[1]Methods write-up'!$S$19,'[1]observations-276632'!X636&lt;'[1]Methods write-up'!$T$19),"East Africa","")</f>
        <v/>
      </c>
      <c r="BB636" s="22" t="str">
        <f>IF(AND('[1]observations-276632'!W636&gt;'[1]Methods write-up'!$Q$20,'[1]observations-276632'!W636&lt;'[1]Methods write-up'!$R$20,'[1]observations-276632'!X636&gt;'[1]Methods write-up'!$S$20,'[1]observations-276632'!X636&lt;'[1]Methods write-up'!$T$20),"Temperate seasonal","")</f>
        <v/>
      </c>
      <c r="BC636" s="22" t="str">
        <f>IF(AND('[1]observations-276632'!W636&gt;'[1]Methods write-up'!$Q$21,'[1]observations-276632'!W636&lt;'[1]Methods write-up'!$R$21,'[1]observations-276632'!X636&gt;'[1]Methods write-up'!$S$21,'[1]observations-276632'!X636&lt;'[1]Methods write-up'!$T$21),"Desert and high aridity","")</f>
        <v/>
      </c>
      <c r="BD636" s="23" t="str">
        <f t="shared" si="41"/>
        <v>West and Central Africa</v>
      </c>
      <c r="BE636" s="24">
        <f t="shared" si="39"/>
        <v>21</v>
      </c>
      <c r="BF636" s="24">
        <f t="shared" si="40"/>
        <v>1</v>
      </c>
    </row>
    <row r="637" spans="1:58" ht="16.25" customHeight="1" x14ac:dyDescent="0.2">
      <c r="A637">
        <v>68415251</v>
      </c>
      <c r="B637" t="s">
        <v>4731</v>
      </c>
      <c r="C637" s="14">
        <v>39659</v>
      </c>
      <c r="D637" t="s">
        <v>4732</v>
      </c>
      <c r="E637" t="s">
        <v>113</v>
      </c>
      <c r="F637">
        <v>3550339</v>
      </c>
      <c r="G637" t="s">
        <v>4733</v>
      </c>
      <c r="H637" t="s">
        <v>4734</v>
      </c>
      <c r="I637" t="s">
        <v>4735</v>
      </c>
      <c r="J637" t="s">
        <v>4736</v>
      </c>
      <c r="K637" t="s">
        <v>62</v>
      </c>
      <c r="L637" t="s">
        <v>373</v>
      </c>
      <c r="M637" t="s">
        <v>4737</v>
      </c>
      <c r="N637" t="s">
        <v>4738</v>
      </c>
      <c r="R637">
        <v>2</v>
      </c>
      <c r="S637">
        <v>0</v>
      </c>
      <c r="T637" t="b">
        <v>0</v>
      </c>
      <c r="U637">
        <v>3</v>
      </c>
      <c r="V637" t="s">
        <v>4739</v>
      </c>
      <c r="W637" s="15">
        <v>-3.241905649</v>
      </c>
      <c r="X637" s="15">
        <v>37.338424959999998</v>
      </c>
      <c r="Y637">
        <v>554</v>
      </c>
      <c r="AC637">
        <v>554</v>
      </c>
      <c r="AF637" t="b">
        <v>0</v>
      </c>
      <c r="AI637" t="s">
        <v>71</v>
      </c>
      <c r="AJ637" t="s">
        <v>70</v>
      </c>
      <c r="AK637" t="s">
        <v>71</v>
      </c>
      <c r="AL637" t="s">
        <v>72</v>
      </c>
      <c r="AM637">
        <v>346053</v>
      </c>
      <c r="AO637" s="16" t="s">
        <v>73</v>
      </c>
      <c r="AP637" s="17" t="str">
        <f t="shared" si="43"/>
        <v>Off-nest female</v>
      </c>
      <c r="AX637" s="22" t="str">
        <f>IF(AND('[1]observations-276632'!W637&gt;'[1]Methods write-up'!$Q$16,'[1]observations-276632'!W637&lt;'[1]Methods write-up'!$R$16,'[1]observations-276632'!X637&gt;'[1]Methods write-up'!$S$16,'[1]observations-276632'!X637&lt;'[1]Methods write-up'!$T$16),"West and Central Africa","")</f>
        <v/>
      </c>
      <c r="AY637" s="22" t="str">
        <f>IF(AND('[1]observations-276632'!W637&gt;'[1]Methods write-up'!$Q$17,'[1]observations-276632'!W637&lt;'[1]Methods write-up'!$R$17,'[1]observations-276632'!X637&gt;'[1]Methods write-up'!$S$17,'[1]observations-276632'!X637&lt;'[1]Methods write-up'!$T$17),"Equatorial tropical forest","")</f>
        <v/>
      </c>
      <c r="AZ637" s="22" t="str">
        <f>IF(AND('[1]observations-276632'!W637&gt;'[1]Methods write-up'!$Q$18,'[1]observations-276632'!W637&lt;'[1]Methods write-up'!$R$18,'[1]observations-276632'!X637&gt;'[1]Methods write-up'!$S$18,'[1]observations-276632'!X637&lt;'[1]Methods write-up'!$T$18),"Somali peninsula","")</f>
        <v/>
      </c>
      <c r="BA637" s="22" t="str">
        <f>IF(AND('[1]observations-276632'!W637&gt;'[1]Methods write-up'!$Q$19,'[1]observations-276632'!W637&lt;'[1]Methods write-up'!$R$19,'[1]observations-276632'!X637&gt;'[1]Methods write-up'!$S$19,'[1]observations-276632'!X637&lt;'[1]Methods write-up'!$T$19),"East Africa","")</f>
        <v>East Africa</v>
      </c>
      <c r="BB637" s="22" t="str">
        <f>IF(AND('[1]observations-276632'!W637&gt;'[1]Methods write-up'!$Q$20,'[1]observations-276632'!W637&lt;'[1]Methods write-up'!$R$20,'[1]observations-276632'!X637&gt;'[1]Methods write-up'!$S$20,'[1]observations-276632'!X637&lt;'[1]Methods write-up'!$T$20),"Temperate seasonal","")</f>
        <v/>
      </c>
      <c r="BC637" s="22" t="str">
        <f>IF(AND('[1]observations-276632'!W637&gt;'[1]Methods write-up'!$Q$21,'[1]observations-276632'!W637&lt;'[1]Methods write-up'!$R$21,'[1]observations-276632'!X637&gt;'[1]Methods write-up'!$S$21,'[1]observations-276632'!X637&lt;'[1]Methods write-up'!$T$21),"Desert and high aridity","")</f>
        <v/>
      </c>
      <c r="BD637" s="23" t="str">
        <f t="shared" si="41"/>
        <v>East Africa</v>
      </c>
      <c r="BE637" s="24">
        <f t="shared" si="39"/>
        <v>30</v>
      </c>
      <c r="BF637" s="24">
        <f t="shared" si="40"/>
        <v>7</v>
      </c>
    </row>
    <row r="638" spans="1:58" ht="16.25" customHeight="1" x14ac:dyDescent="0.2">
      <c r="A638">
        <v>68443154</v>
      </c>
      <c r="B638" t="s">
        <v>4740</v>
      </c>
      <c r="C638" s="14">
        <v>44212</v>
      </c>
      <c r="D638" t="s">
        <v>4741</v>
      </c>
      <c r="E638" t="s">
        <v>193</v>
      </c>
      <c r="F638">
        <v>3967919</v>
      </c>
      <c r="G638" t="s">
        <v>4742</v>
      </c>
      <c r="H638" t="s">
        <v>4743</v>
      </c>
      <c r="I638" t="s">
        <v>4744</v>
      </c>
      <c r="J638" t="s">
        <v>4745</v>
      </c>
      <c r="K638" t="s">
        <v>62</v>
      </c>
      <c r="M638" t="s">
        <v>4746</v>
      </c>
      <c r="N638" t="s">
        <v>4747</v>
      </c>
      <c r="R638">
        <v>4</v>
      </c>
      <c r="S638">
        <v>1</v>
      </c>
      <c r="T638" t="b">
        <v>0</v>
      </c>
      <c r="U638">
        <v>3</v>
      </c>
      <c r="V638" t="s">
        <v>4748</v>
      </c>
      <c r="W638" s="15">
        <v>-4.7322840629999998</v>
      </c>
      <c r="X638" s="15">
        <v>14.88924613</v>
      </c>
      <c r="Y638">
        <v>632</v>
      </c>
      <c r="AC638">
        <v>632</v>
      </c>
      <c r="AF638" t="b">
        <v>0</v>
      </c>
      <c r="AI638" t="s">
        <v>71</v>
      </c>
      <c r="AJ638" t="s">
        <v>70</v>
      </c>
      <c r="AK638" t="s">
        <v>71</v>
      </c>
      <c r="AL638" t="s">
        <v>72</v>
      </c>
      <c r="AM638">
        <v>346053</v>
      </c>
      <c r="AO638" s="16" t="s">
        <v>140</v>
      </c>
      <c r="AP638" s="17" t="str">
        <f t="shared" si="43"/>
        <v>Post-emergence nest</v>
      </c>
      <c r="AQ638" s="18">
        <v>2</v>
      </c>
      <c r="AT638" s="19" t="s">
        <v>141</v>
      </c>
      <c r="AU638" s="20" t="s">
        <v>104</v>
      </c>
      <c r="AX638" s="22" t="str">
        <f>IF(AND('[1]observations-276632'!W638&gt;'[1]Methods write-up'!$Q$16,'[1]observations-276632'!W638&lt;'[1]Methods write-up'!$R$16,'[1]observations-276632'!X638&gt;'[1]Methods write-up'!$S$16,'[1]observations-276632'!X638&lt;'[1]Methods write-up'!$T$16),"West and Central Africa","")</f>
        <v>West and Central Africa</v>
      </c>
      <c r="AY638" s="22" t="str">
        <f>IF(AND('[1]observations-276632'!W638&gt;'[1]Methods write-up'!$Q$17,'[1]observations-276632'!W638&lt;'[1]Methods write-up'!$R$17,'[1]observations-276632'!X638&gt;'[1]Methods write-up'!$S$17,'[1]observations-276632'!X638&lt;'[1]Methods write-up'!$T$17),"Equatorial tropical forest","")</f>
        <v/>
      </c>
      <c r="AZ638" s="22" t="str">
        <f>IF(AND('[1]observations-276632'!W638&gt;'[1]Methods write-up'!$Q$18,'[1]observations-276632'!W638&lt;'[1]Methods write-up'!$R$18,'[1]observations-276632'!X638&gt;'[1]Methods write-up'!$S$18,'[1]observations-276632'!X638&lt;'[1]Methods write-up'!$T$18),"Somali peninsula","")</f>
        <v/>
      </c>
      <c r="BA638" s="22" t="str">
        <f>IF(AND('[1]observations-276632'!W638&gt;'[1]Methods write-up'!$Q$19,'[1]observations-276632'!W638&lt;'[1]Methods write-up'!$R$19,'[1]observations-276632'!X638&gt;'[1]Methods write-up'!$S$19,'[1]observations-276632'!X638&lt;'[1]Methods write-up'!$T$19),"East Africa","")</f>
        <v/>
      </c>
      <c r="BB638" s="22" t="str">
        <f>IF(AND('[1]observations-276632'!W638&gt;'[1]Methods write-up'!$Q$20,'[1]observations-276632'!W638&lt;'[1]Methods write-up'!$R$20,'[1]observations-276632'!X638&gt;'[1]Methods write-up'!$S$20,'[1]observations-276632'!X638&lt;'[1]Methods write-up'!$T$20),"Temperate seasonal","")</f>
        <v/>
      </c>
      <c r="BC638" s="22" t="str">
        <f>IF(AND('[1]observations-276632'!W638&gt;'[1]Methods write-up'!$Q$21,'[1]observations-276632'!W638&lt;'[1]Methods write-up'!$R$21,'[1]observations-276632'!X638&gt;'[1]Methods write-up'!$S$21,'[1]observations-276632'!X638&lt;'[1]Methods write-up'!$T$21),"Desert and high aridity","")</f>
        <v/>
      </c>
      <c r="BD638" s="23" t="str">
        <f t="shared" si="41"/>
        <v>West and Central Africa</v>
      </c>
      <c r="BE638" s="24">
        <f t="shared" si="39"/>
        <v>16</v>
      </c>
      <c r="BF638" s="24">
        <f t="shared" si="40"/>
        <v>1</v>
      </c>
    </row>
    <row r="639" spans="1:58" ht="16.25" customHeight="1" x14ac:dyDescent="0.2">
      <c r="A639">
        <v>68483726</v>
      </c>
      <c r="B639" t="s">
        <v>4749</v>
      </c>
      <c r="C639" s="14">
        <v>44218</v>
      </c>
      <c r="D639" t="s">
        <v>4750</v>
      </c>
      <c r="E639" t="s">
        <v>113</v>
      </c>
      <c r="F639">
        <v>662724</v>
      </c>
      <c r="G639" t="s">
        <v>903</v>
      </c>
      <c r="H639" t="s">
        <v>904</v>
      </c>
      <c r="I639" t="s">
        <v>4751</v>
      </c>
      <c r="J639" t="s">
        <v>4752</v>
      </c>
      <c r="K639" t="s">
        <v>62</v>
      </c>
      <c r="L639" t="s">
        <v>63</v>
      </c>
      <c r="M639" t="s">
        <v>4753</v>
      </c>
      <c r="N639" t="s">
        <v>4754</v>
      </c>
      <c r="Q639" s="26" t="s">
        <v>4755</v>
      </c>
      <c r="R639">
        <v>2</v>
      </c>
      <c r="S639">
        <v>0</v>
      </c>
      <c r="T639" t="b">
        <v>0</v>
      </c>
      <c r="V639" t="s">
        <v>1146</v>
      </c>
      <c r="W639" s="15">
        <v>-30.3025427</v>
      </c>
      <c r="X639" s="15">
        <v>30.74634434</v>
      </c>
      <c r="Y639">
        <v>7</v>
      </c>
      <c r="AC639">
        <v>7</v>
      </c>
      <c r="AF639" t="b">
        <v>0</v>
      </c>
      <c r="AI639" t="s">
        <v>71</v>
      </c>
      <c r="AJ639" t="s">
        <v>70</v>
      </c>
      <c r="AK639" t="s">
        <v>71</v>
      </c>
      <c r="AL639" t="s">
        <v>72</v>
      </c>
      <c r="AM639">
        <v>346053</v>
      </c>
      <c r="AO639" s="16" t="s">
        <v>73</v>
      </c>
      <c r="AP639" s="17" t="str">
        <f t="shared" si="43"/>
        <v>Off-nest female</v>
      </c>
      <c r="AX639" s="22" t="str">
        <f>IF(AND('[1]observations-276632'!W639&gt;'[1]Methods write-up'!$Q$16,'[1]observations-276632'!W639&lt;'[1]Methods write-up'!$R$16,'[1]observations-276632'!X639&gt;'[1]Methods write-up'!$S$16,'[1]observations-276632'!X639&lt;'[1]Methods write-up'!$T$16),"West and Central Africa","")</f>
        <v/>
      </c>
      <c r="AY639" s="22" t="str">
        <f>IF(AND('[1]observations-276632'!W639&gt;'[1]Methods write-up'!$Q$17,'[1]observations-276632'!W639&lt;'[1]Methods write-up'!$R$17,'[1]observations-276632'!X639&gt;'[1]Methods write-up'!$S$17,'[1]observations-276632'!X639&lt;'[1]Methods write-up'!$T$17),"Equatorial tropical forest","")</f>
        <v/>
      </c>
      <c r="AZ639" s="22" t="str">
        <f>IF(AND('[1]observations-276632'!W639&gt;'[1]Methods write-up'!$Q$18,'[1]observations-276632'!W639&lt;'[1]Methods write-up'!$R$18,'[1]observations-276632'!X639&gt;'[1]Methods write-up'!$S$18,'[1]observations-276632'!X639&lt;'[1]Methods write-up'!$T$18),"Somali peninsula","")</f>
        <v/>
      </c>
      <c r="BA639" s="22" t="str">
        <f>IF(AND('[1]observations-276632'!W639&gt;'[1]Methods write-up'!$Q$19,'[1]observations-276632'!W639&lt;'[1]Methods write-up'!$R$19,'[1]observations-276632'!X639&gt;'[1]Methods write-up'!$S$19,'[1]observations-276632'!X639&lt;'[1]Methods write-up'!$T$19),"East Africa","")</f>
        <v/>
      </c>
      <c r="BB639" s="22" t="str">
        <f>IF(AND('[1]observations-276632'!W639&gt;'[1]Methods write-up'!$Q$20,'[1]observations-276632'!W639&lt;'[1]Methods write-up'!$R$20,'[1]observations-276632'!X639&gt;'[1]Methods write-up'!$S$20,'[1]observations-276632'!X639&lt;'[1]Methods write-up'!$T$20),"Temperate seasonal","")</f>
        <v>Temperate seasonal</v>
      </c>
      <c r="BC639" s="22" t="str">
        <f>IF(AND('[1]observations-276632'!W639&gt;'[1]Methods write-up'!$Q$21,'[1]observations-276632'!W639&lt;'[1]Methods write-up'!$R$21,'[1]observations-276632'!X639&gt;'[1]Methods write-up'!$S$21,'[1]observations-276632'!X639&lt;'[1]Methods write-up'!$T$21),"Desert and high aridity","")</f>
        <v/>
      </c>
      <c r="BD639" s="23" t="str">
        <f t="shared" si="41"/>
        <v>Temperate seasonal</v>
      </c>
      <c r="BE639" s="24">
        <f t="shared" si="39"/>
        <v>22</v>
      </c>
      <c r="BF639" s="24">
        <f t="shared" si="40"/>
        <v>1</v>
      </c>
    </row>
    <row r="640" spans="1:58" ht="16.25" customHeight="1" x14ac:dyDescent="0.2">
      <c r="A640">
        <v>68548232</v>
      </c>
      <c r="B640" t="s">
        <v>4756</v>
      </c>
      <c r="C640" s="14">
        <v>44219</v>
      </c>
      <c r="D640" t="s">
        <v>4757</v>
      </c>
      <c r="E640" t="s">
        <v>113</v>
      </c>
      <c r="F640">
        <v>1010437</v>
      </c>
      <c r="G640" t="s">
        <v>4758</v>
      </c>
      <c r="H640" t="s">
        <v>4759</v>
      </c>
      <c r="I640" t="s">
        <v>4760</v>
      </c>
      <c r="J640" t="s">
        <v>4761</v>
      </c>
      <c r="K640" t="s">
        <v>62</v>
      </c>
      <c r="L640" t="s">
        <v>63</v>
      </c>
      <c r="M640" t="s">
        <v>4762</v>
      </c>
      <c r="N640" t="s">
        <v>4763</v>
      </c>
      <c r="R640">
        <v>2</v>
      </c>
      <c r="S640">
        <v>0</v>
      </c>
      <c r="T640" t="b">
        <v>0</v>
      </c>
      <c r="U640">
        <v>2</v>
      </c>
      <c r="V640" t="s">
        <v>4764</v>
      </c>
      <c r="W640" s="15">
        <v>-29.804444440000001</v>
      </c>
      <c r="X640" s="15">
        <v>31.016111110000001</v>
      </c>
      <c r="AF640" t="b">
        <v>0</v>
      </c>
      <c r="AG640" t="s">
        <v>350</v>
      </c>
      <c r="AH640" t="s">
        <v>350</v>
      </c>
      <c r="AI640" t="s">
        <v>71</v>
      </c>
      <c r="AJ640" t="s">
        <v>70</v>
      </c>
      <c r="AK640" t="s">
        <v>71</v>
      </c>
      <c r="AL640" t="s">
        <v>72</v>
      </c>
      <c r="AM640">
        <v>346053</v>
      </c>
      <c r="AO640" s="16" t="s">
        <v>1356</v>
      </c>
      <c r="AP640" s="17" t="str">
        <f t="shared" si="43"/>
        <v>Nest (foundress)</v>
      </c>
      <c r="AQ640" s="18">
        <v>2</v>
      </c>
      <c r="AT640" s="19" t="s">
        <v>104</v>
      </c>
      <c r="AX640" s="22" t="str">
        <f>IF(AND('[1]observations-276632'!W640&gt;'[1]Methods write-up'!$Q$16,'[1]observations-276632'!W640&lt;'[1]Methods write-up'!$R$16,'[1]observations-276632'!X640&gt;'[1]Methods write-up'!$S$16,'[1]observations-276632'!X640&lt;'[1]Methods write-up'!$T$16),"West and Central Africa","")</f>
        <v/>
      </c>
      <c r="AY640" s="22" t="str">
        <f>IF(AND('[1]observations-276632'!W640&gt;'[1]Methods write-up'!$Q$17,'[1]observations-276632'!W640&lt;'[1]Methods write-up'!$R$17,'[1]observations-276632'!X640&gt;'[1]Methods write-up'!$S$17,'[1]observations-276632'!X640&lt;'[1]Methods write-up'!$T$17),"Equatorial tropical forest","")</f>
        <v/>
      </c>
      <c r="AZ640" s="22" t="str">
        <f>IF(AND('[1]observations-276632'!W640&gt;'[1]Methods write-up'!$Q$18,'[1]observations-276632'!W640&lt;'[1]Methods write-up'!$R$18,'[1]observations-276632'!X640&gt;'[1]Methods write-up'!$S$18,'[1]observations-276632'!X640&lt;'[1]Methods write-up'!$T$18),"Somali peninsula","")</f>
        <v/>
      </c>
      <c r="BA640" s="22" t="str">
        <f>IF(AND('[1]observations-276632'!W640&gt;'[1]Methods write-up'!$Q$19,'[1]observations-276632'!W640&lt;'[1]Methods write-up'!$R$19,'[1]observations-276632'!X640&gt;'[1]Methods write-up'!$S$19,'[1]observations-276632'!X640&lt;'[1]Methods write-up'!$T$19),"East Africa","")</f>
        <v/>
      </c>
      <c r="BB640" s="22" t="str">
        <f>IF(AND('[1]observations-276632'!W640&gt;'[1]Methods write-up'!$Q$20,'[1]observations-276632'!W640&lt;'[1]Methods write-up'!$R$20,'[1]observations-276632'!X640&gt;'[1]Methods write-up'!$S$20,'[1]observations-276632'!X640&lt;'[1]Methods write-up'!$T$20),"Temperate seasonal","")</f>
        <v>Temperate seasonal</v>
      </c>
      <c r="BC640" s="22" t="str">
        <f>IF(AND('[1]observations-276632'!W640&gt;'[1]Methods write-up'!$Q$21,'[1]observations-276632'!W640&lt;'[1]Methods write-up'!$R$21,'[1]observations-276632'!X640&gt;'[1]Methods write-up'!$S$21,'[1]observations-276632'!X640&lt;'[1]Methods write-up'!$T$21),"Desert and high aridity","")</f>
        <v/>
      </c>
      <c r="BD640" s="23" t="str">
        <f t="shared" si="41"/>
        <v>Temperate seasonal</v>
      </c>
      <c r="BE640" s="24">
        <f t="shared" si="39"/>
        <v>23</v>
      </c>
      <c r="BF640" s="24">
        <f t="shared" si="40"/>
        <v>1</v>
      </c>
    </row>
    <row r="641" spans="1:58" ht="16.25" customHeight="1" x14ac:dyDescent="0.2">
      <c r="A641">
        <v>68614373</v>
      </c>
      <c r="B641" t="s">
        <v>4765</v>
      </c>
      <c r="C641" s="14">
        <v>44221</v>
      </c>
      <c r="D641" t="s">
        <v>4766</v>
      </c>
      <c r="E641" t="s">
        <v>113</v>
      </c>
      <c r="F641">
        <v>1002209</v>
      </c>
      <c r="G641" t="s">
        <v>3418</v>
      </c>
      <c r="H641" t="s">
        <v>3419</v>
      </c>
      <c r="I641" t="s">
        <v>4767</v>
      </c>
      <c r="J641" t="s">
        <v>4768</v>
      </c>
      <c r="K641" t="s">
        <v>62</v>
      </c>
      <c r="L641" t="s">
        <v>63</v>
      </c>
      <c r="M641" t="s">
        <v>4769</v>
      </c>
      <c r="N641" t="s">
        <v>4770</v>
      </c>
      <c r="R641">
        <v>2</v>
      </c>
      <c r="S641">
        <v>0</v>
      </c>
      <c r="T641" t="b">
        <v>0</v>
      </c>
      <c r="U641">
        <v>2</v>
      </c>
      <c r="V641" t="s">
        <v>4771</v>
      </c>
      <c r="W641" s="15">
        <v>-33.99541</v>
      </c>
      <c r="X641" s="15">
        <v>22.548545000000001</v>
      </c>
      <c r="Y641">
        <v>2</v>
      </c>
      <c r="AC641">
        <v>2</v>
      </c>
      <c r="AF641" t="b">
        <v>0</v>
      </c>
      <c r="AG641" t="s">
        <v>350</v>
      </c>
      <c r="AH641" t="s">
        <v>350</v>
      </c>
      <c r="AI641" t="s">
        <v>71</v>
      </c>
      <c r="AJ641" t="s">
        <v>70</v>
      </c>
      <c r="AK641" t="s">
        <v>71</v>
      </c>
      <c r="AL641" t="s">
        <v>72</v>
      </c>
      <c r="AM641">
        <v>346053</v>
      </c>
      <c r="AO641" s="16" t="s">
        <v>140</v>
      </c>
      <c r="AP641" s="17" t="str">
        <f t="shared" si="43"/>
        <v>Post-emergence nest</v>
      </c>
      <c r="AQ641" s="18">
        <v>2</v>
      </c>
      <c r="AT641" s="19" t="s">
        <v>141</v>
      </c>
      <c r="AU641" s="20" t="s">
        <v>104</v>
      </c>
      <c r="AX641" s="22" t="str">
        <f>IF(AND('[1]observations-276632'!W641&gt;'[1]Methods write-up'!$Q$16,'[1]observations-276632'!W641&lt;'[1]Methods write-up'!$R$16,'[1]observations-276632'!X641&gt;'[1]Methods write-up'!$S$16,'[1]observations-276632'!X641&lt;'[1]Methods write-up'!$T$16),"West and Central Africa","")</f>
        <v/>
      </c>
      <c r="AY641" s="22" t="str">
        <f>IF(AND('[1]observations-276632'!W641&gt;'[1]Methods write-up'!$Q$17,'[1]observations-276632'!W641&lt;'[1]Methods write-up'!$R$17,'[1]observations-276632'!X641&gt;'[1]Methods write-up'!$S$17,'[1]observations-276632'!X641&lt;'[1]Methods write-up'!$T$17),"Equatorial tropical forest","")</f>
        <v/>
      </c>
      <c r="AZ641" s="22" t="str">
        <f>IF(AND('[1]observations-276632'!W641&gt;'[1]Methods write-up'!$Q$18,'[1]observations-276632'!W641&lt;'[1]Methods write-up'!$R$18,'[1]observations-276632'!X641&gt;'[1]Methods write-up'!$S$18,'[1]observations-276632'!X641&lt;'[1]Methods write-up'!$T$18),"Somali peninsula","")</f>
        <v/>
      </c>
      <c r="BA641" s="22" t="str">
        <f>IF(AND('[1]observations-276632'!W641&gt;'[1]Methods write-up'!$Q$19,'[1]observations-276632'!W641&lt;'[1]Methods write-up'!$R$19,'[1]observations-276632'!X641&gt;'[1]Methods write-up'!$S$19,'[1]observations-276632'!X641&lt;'[1]Methods write-up'!$T$19),"East Africa","")</f>
        <v/>
      </c>
      <c r="BB641" s="22" t="str">
        <f>IF(AND('[1]observations-276632'!W641&gt;'[1]Methods write-up'!$Q$20,'[1]observations-276632'!W641&lt;'[1]Methods write-up'!$R$20,'[1]observations-276632'!X641&gt;'[1]Methods write-up'!$S$20,'[1]observations-276632'!X641&lt;'[1]Methods write-up'!$T$20),"Temperate seasonal","")</f>
        <v/>
      </c>
      <c r="BC641" s="22" t="str">
        <f>IF(AND('[1]observations-276632'!W641&gt;'[1]Methods write-up'!$Q$21,'[1]observations-276632'!W641&lt;'[1]Methods write-up'!$R$21,'[1]observations-276632'!X641&gt;'[1]Methods write-up'!$S$21,'[1]observations-276632'!X641&lt;'[1]Methods write-up'!$T$21),"Desert and high aridity","")</f>
        <v/>
      </c>
      <c r="BD641" s="23" t="str">
        <f t="shared" si="41"/>
        <v/>
      </c>
      <c r="BE641" s="24">
        <f t="shared" si="39"/>
        <v>25</v>
      </c>
      <c r="BF641" s="24">
        <f t="shared" si="40"/>
        <v>1</v>
      </c>
    </row>
    <row r="642" spans="1:58" ht="16.25" customHeight="1" x14ac:dyDescent="0.2">
      <c r="A642">
        <v>68877969</v>
      </c>
      <c r="B642" t="s">
        <v>4772</v>
      </c>
      <c r="C642" s="14">
        <v>43525</v>
      </c>
      <c r="D642" t="s">
        <v>4773</v>
      </c>
      <c r="E642" t="s">
        <v>122</v>
      </c>
      <c r="F642">
        <v>462158</v>
      </c>
      <c r="G642" t="s">
        <v>4774</v>
      </c>
      <c r="I642" t="s">
        <v>4775</v>
      </c>
      <c r="J642" t="s">
        <v>4776</v>
      </c>
      <c r="K642" t="s">
        <v>157</v>
      </c>
      <c r="L642" t="s">
        <v>63</v>
      </c>
      <c r="M642" t="s">
        <v>4777</v>
      </c>
      <c r="N642" t="s">
        <v>4778</v>
      </c>
      <c r="R642">
        <v>2</v>
      </c>
      <c r="S642">
        <v>0</v>
      </c>
      <c r="T642" t="b">
        <v>0</v>
      </c>
      <c r="V642" t="s">
        <v>4779</v>
      </c>
      <c r="W642" s="15">
        <v>-21.258379290000001</v>
      </c>
      <c r="X642" s="15">
        <v>47.419136100000003</v>
      </c>
      <c r="Y642">
        <v>1208</v>
      </c>
      <c r="AC642">
        <v>1208</v>
      </c>
      <c r="AF642" t="b">
        <v>0</v>
      </c>
      <c r="AI642" t="s">
        <v>1474</v>
      </c>
      <c r="AJ642" t="s">
        <v>1474</v>
      </c>
      <c r="AL642" t="s">
        <v>72</v>
      </c>
      <c r="AM642">
        <v>1391068</v>
      </c>
      <c r="AO642" s="16" t="s">
        <v>73</v>
      </c>
      <c r="AP642" s="17" t="str">
        <f t="shared" si="43"/>
        <v>Off-nest female</v>
      </c>
      <c r="AV642" s="21" t="s">
        <v>1069</v>
      </c>
      <c r="AX642" s="22" t="str">
        <f>IF(AND('[1]observations-276632'!W642&gt;'[1]Methods write-up'!$Q$16,'[1]observations-276632'!W642&lt;'[1]Methods write-up'!$R$16,'[1]observations-276632'!X642&gt;'[1]Methods write-up'!$S$16,'[1]observations-276632'!X642&lt;'[1]Methods write-up'!$T$16),"West and Central Africa","")</f>
        <v/>
      </c>
      <c r="AY642" s="22" t="str">
        <f>IF(AND('[1]observations-276632'!W642&gt;'[1]Methods write-up'!$Q$17,'[1]observations-276632'!W642&lt;'[1]Methods write-up'!$R$17,'[1]observations-276632'!X642&gt;'[1]Methods write-up'!$S$17,'[1]observations-276632'!X642&lt;'[1]Methods write-up'!$T$17),"Equatorial tropical forest","")</f>
        <v/>
      </c>
      <c r="AZ642" s="22" t="str">
        <f>IF(AND('[1]observations-276632'!W642&gt;'[1]Methods write-up'!$Q$18,'[1]observations-276632'!W642&lt;'[1]Methods write-up'!$R$18,'[1]observations-276632'!X642&gt;'[1]Methods write-up'!$S$18,'[1]observations-276632'!X642&lt;'[1]Methods write-up'!$T$18),"Somali peninsula","")</f>
        <v/>
      </c>
      <c r="BA642" s="22" t="str">
        <f>IF(AND('[1]observations-276632'!W642&gt;'[1]Methods write-up'!$Q$19,'[1]observations-276632'!W642&lt;'[1]Methods write-up'!$R$19,'[1]observations-276632'!X642&gt;'[1]Methods write-up'!$S$19,'[1]observations-276632'!X642&lt;'[1]Methods write-up'!$T$19),"East Africa","")</f>
        <v/>
      </c>
      <c r="BB642" s="22" t="str">
        <f>IF(AND('[1]observations-276632'!W642&gt;'[1]Methods write-up'!$Q$20,'[1]observations-276632'!W642&lt;'[1]Methods write-up'!$R$20,'[1]observations-276632'!X642&gt;'[1]Methods write-up'!$S$20,'[1]observations-276632'!X642&lt;'[1]Methods write-up'!$T$20),"Temperate seasonal","")</f>
        <v/>
      </c>
      <c r="BC642" s="22" t="str">
        <f>IF(AND('[1]observations-276632'!W642&gt;'[1]Methods write-up'!$Q$21,'[1]observations-276632'!W642&lt;'[1]Methods write-up'!$R$21,'[1]observations-276632'!X642&gt;'[1]Methods write-up'!$S$21,'[1]observations-276632'!X642&lt;'[1]Methods write-up'!$T$21),"Desert and high aridity","")</f>
        <v/>
      </c>
      <c r="BD642" s="23" t="str">
        <f t="shared" si="41"/>
        <v/>
      </c>
      <c r="BE642" s="24">
        <f t="shared" ref="BE642:BE705" si="44">DAY(C642)</f>
        <v>1</v>
      </c>
      <c r="BF642" s="24">
        <f t="shared" ref="BF642:BF705" si="45">MONTH(C642)</f>
        <v>3</v>
      </c>
    </row>
    <row r="643" spans="1:58" ht="16.25" customHeight="1" x14ac:dyDescent="0.2">
      <c r="A643">
        <v>68877971</v>
      </c>
      <c r="B643" t="s">
        <v>4780</v>
      </c>
      <c r="C643" s="14">
        <v>43525</v>
      </c>
      <c r="D643" t="s">
        <v>4781</v>
      </c>
      <c r="E643" t="s">
        <v>122</v>
      </c>
      <c r="F643">
        <v>462158</v>
      </c>
      <c r="G643" t="s">
        <v>4774</v>
      </c>
      <c r="I643" t="s">
        <v>4775</v>
      </c>
      <c r="J643" t="s">
        <v>4782</v>
      </c>
      <c r="K643" t="s">
        <v>62</v>
      </c>
      <c r="L643" t="s">
        <v>63</v>
      </c>
      <c r="M643" t="s">
        <v>4783</v>
      </c>
      <c r="N643" t="s">
        <v>4784</v>
      </c>
      <c r="R643">
        <v>2</v>
      </c>
      <c r="S643">
        <v>0</v>
      </c>
      <c r="T643" t="b">
        <v>0</v>
      </c>
      <c r="V643" t="s">
        <v>4779</v>
      </c>
      <c r="W643" s="15">
        <v>-21.258379290000001</v>
      </c>
      <c r="X643" s="15">
        <v>47.419136100000003</v>
      </c>
      <c r="Y643">
        <v>1208</v>
      </c>
      <c r="AC643">
        <v>1208</v>
      </c>
      <c r="AF643" t="b">
        <v>0</v>
      </c>
      <c r="AI643" t="s">
        <v>71</v>
      </c>
      <c r="AJ643" t="s">
        <v>70</v>
      </c>
      <c r="AK643" t="s">
        <v>71</v>
      </c>
      <c r="AL643" t="s">
        <v>72</v>
      </c>
      <c r="AM643">
        <v>346053</v>
      </c>
      <c r="AO643" s="16" t="s">
        <v>73</v>
      </c>
      <c r="AP643" s="17" t="str">
        <f t="shared" si="43"/>
        <v>Off-nest female</v>
      </c>
      <c r="AV643" s="21" t="s">
        <v>1069</v>
      </c>
      <c r="AX643" s="22" t="str">
        <f>IF(AND('[1]observations-276632'!W643&gt;'[1]Methods write-up'!$Q$16,'[1]observations-276632'!W643&lt;'[1]Methods write-up'!$R$16,'[1]observations-276632'!X643&gt;'[1]Methods write-up'!$S$16,'[1]observations-276632'!X643&lt;'[1]Methods write-up'!$T$16),"West and Central Africa","")</f>
        <v/>
      </c>
      <c r="AY643" s="22" t="str">
        <f>IF(AND('[1]observations-276632'!W643&gt;'[1]Methods write-up'!$Q$17,'[1]observations-276632'!W643&lt;'[1]Methods write-up'!$R$17,'[1]observations-276632'!X643&gt;'[1]Methods write-up'!$S$17,'[1]observations-276632'!X643&lt;'[1]Methods write-up'!$T$17),"Equatorial tropical forest","")</f>
        <v/>
      </c>
      <c r="AZ643" s="22" t="str">
        <f>IF(AND('[1]observations-276632'!W643&gt;'[1]Methods write-up'!$Q$18,'[1]observations-276632'!W643&lt;'[1]Methods write-up'!$R$18,'[1]observations-276632'!X643&gt;'[1]Methods write-up'!$S$18,'[1]observations-276632'!X643&lt;'[1]Methods write-up'!$T$18),"Somali peninsula","")</f>
        <v/>
      </c>
      <c r="BA643" s="22" t="str">
        <f>IF(AND('[1]observations-276632'!W643&gt;'[1]Methods write-up'!$Q$19,'[1]observations-276632'!W643&lt;'[1]Methods write-up'!$R$19,'[1]observations-276632'!X643&gt;'[1]Methods write-up'!$S$19,'[1]observations-276632'!X643&lt;'[1]Methods write-up'!$T$19),"East Africa","")</f>
        <v/>
      </c>
      <c r="BB643" s="22" t="str">
        <f>IF(AND('[1]observations-276632'!W643&gt;'[1]Methods write-up'!$Q$20,'[1]observations-276632'!W643&lt;'[1]Methods write-up'!$R$20,'[1]observations-276632'!X643&gt;'[1]Methods write-up'!$S$20,'[1]observations-276632'!X643&lt;'[1]Methods write-up'!$T$20),"Temperate seasonal","")</f>
        <v/>
      </c>
      <c r="BC643" s="22" t="str">
        <f>IF(AND('[1]observations-276632'!W643&gt;'[1]Methods write-up'!$Q$21,'[1]observations-276632'!W643&lt;'[1]Methods write-up'!$R$21,'[1]observations-276632'!X643&gt;'[1]Methods write-up'!$S$21,'[1]observations-276632'!X643&lt;'[1]Methods write-up'!$T$21),"Desert and high aridity","")</f>
        <v/>
      </c>
      <c r="BD643" s="23" t="str">
        <f t="shared" ref="BD643:BD706" si="46">AX643&amp;AY643&amp;AZ643&amp;BA643&amp;BB643&amp;BC643</f>
        <v/>
      </c>
      <c r="BE643" s="24">
        <f t="shared" si="44"/>
        <v>1</v>
      </c>
      <c r="BF643" s="24">
        <f t="shared" si="45"/>
        <v>3</v>
      </c>
    </row>
    <row r="644" spans="1:58" ht="16.25" customHeight="1" x14ac:dyDescent="0.2">
      <c r="A644">
        <v>68927523</v>
      </c>
      <c r="B644" t="s">
        <v>4785</v>
      </c>
      <c r="C644" s="14">
        <v>43534</v>
      </c>
      <c r="D644" t="s">
        <v>4786</v>
      </c>
      <c r="E644" t="s">
        <v>122</v>
      </c>
      <c r="F644">
        <v>462158</v>
      </c>
      <c r="G644" t="s">
        <v>4774</v>
      </c>
      <c r="I644" t="s">
        <v>4787</v>
      </c>
      <c r="J644" t="s">
        <v>4788</v>
      </c>
      <c r="K644" t="s">
        <v>62</v>
      </c>
      <c r="L644" t="s">
        <v>63</v>
      </c>
      <c r="M644" t="s">
        <v>4789</v>
      </c>
      <c r="N644" t="s">
        <v>4790</v>
      </c>
      <c r="R644">
        <v>2</v>
      </c>
      <c r="S644">
        <v>0</v>
      </c>
      <c r="T644" t="b">
        <v>0</v>
      </c>
      <c r="V644" t="s">
        <v>2610</v>
      </c>
      <c r="W644" s="15">
        <v>-12.52901228</v>
      </c>
      <c r="X644" s="15">
        <v>49.172184110000003</v>
      </c>
      <c r="Y644">
        <v>1383</v>
      </c>
      <c r="AC644">
        <v>1383</v>
      </c>
      <c r="AF644" t="b">
        <v>0</v>
      </c>
      <c r="AI644" t="s">
        <v>71</v>
      </c>
      <c r="AJ644" t="s">
        <v>70</v>
      </c>
      <c r="AK644" t="s">
        <v>71</v>
      </c>
      <c r="AL644" t="s">
        <v>72</v>
      </c>
      <c r="AM644">
        <v>346053</v>
      </c>
      <c r="AO644" s="16" t="s">
        <v>73</v>
      </c>
      <c r="AP644" s="17" t="str">
        <f t="shared" si="43"/>
        <v>Off-nest female</v>
      </c>
      <c r="AV644" s="21" t="s">
        <v>1069</v>
      </c>
      <c r="AX644" s="22" t="str">
        <f>IF(AND('[1]observations-276632'!W644&gt;'[1]Methods write-up'!$Q$16,'[1]observations-276632'!W644&lt;'[1]Methods write-up'!$R$16,'[1]observations-276632'!X644&gt;'[1]Methods write-up'!$S$16,'[1]observations-276632'!X644&lt;'[1]Methods write-up'!$T$16),"West and Central Africa","")</f>
        <v/>
      </c>
      <c r="AY644" s="22" t="str">
        <f>IF(AND('[1]observations-276632'!W644&gt;'[1]Methods write-up'!$Q$17,'[1]observations-276632'!W644&lt;'[1]Methods write-up'!$R$17,'[1]observations-276632'!X644&gt;'[1]Methods write-up'!$S$17,'[1]observations-276632'!X644&lt;'[1]Methods write-up'!$T$17),"Equatorial tropical forest","")</f>
        <v/>
      </c>
      <c r="AZ644" s="22" t="str">
        <f>IF(AND('[1]observations-276632'!W644&gt;'[1]Methods write-up'!$Q$18,'[1]observations-276632'!W644&lt;'[1]Methods write-up'!$R$18,'[1]observations-276632'!X644&gt;'[1]Methods write-up'!$S$18,'[1]observations-276632'!X644&lt;'[1]Methods write-up'!$T$18),"Somali peninsula","")</f>
        <v/>
      </c>
      <c r="BA644" s="22" t="str">
        <f>IF(AND('[1]observations-276632'!W644&gt;'[1]Methods write-up'!$Q$19,'[1]observations-276632'!W644&lt;'[1]Methods write-up'!$R$19,'[1]observations-276632'!X644&gt;'[1]Methods write-up'!$S$19,'[1]observations-276632'!X644&lt;'[1]Methods write-up'!$T$19),"East Africa","")</f>
        <v/>
      </c>
      <c r="BB644" s="22" t="str">
        <f>IF(AND('[1]observations-276632'!W644&gt;'[1]Methods write-up'!$Q$20,'[1]observations-276632'!W644&lt;'[1]Methods write-up'!$R$20,'[1]observations-276632'!X644&gt;'[1]Methods write-up'!$S$20,'[1]observations-276632'!X644&lt;'[1]Methods write-up'!$T$20),"Temperate seasonal","")</f>
        <v/>
      </c>
      <c r="BC644" s="22" t="str">
        <f>IF(AND('[1]observations-276632'!W644&gt;'[1]Methods write-up'!$Q$21,'[1]observations-276632'!W644&lt;'[1]Methods write-up'!$R$21,'[1]observations-276632'!X644&gt;'[1]Methods write-up'!$S$21,'[1]observations-276632'!X644&lt;'[1]Methods write-up'!$T$21),"Desert and high aridity","")</f>
        <v/>
      </c>
      <c r="BD644" s="23" t="str">
        <f t="shared" si="46"/>
        <v/>
      </c>
      <c r="BE644" s="24">
        <f t="shared" si="44"/>
        <v>10</v>
      </c>
      <c r="BF644" s="24">
        <f t="shared" si="45"/>
        <v>3</v>
      </c>
    </row>
    <row r="645" spans="1:58" ht="16.25" customHeight="1" x14ac:dyDescent="0.2">
      <c r="A645">
        <v>69061278</v>
      </c>
      <c r="B645" t="s">
        <v>4791</v>
      </c>
      <c r="C645" s="14">
        <v>43407</v>
      </c>
      <c r="D645" t="s">
        <v>4792</v>
      </c>
      <c r="E645" t="s">
        <v>122</v>
      </c>
      <c r="F645">
        <v>462158</v>
      </c>
      <c r="G645" t="s">
        <v>4774</v>
      </c>
      <c r="I645" t="s">
        <v>4793</v>
      </c>
      <c r="J645" t="s">
        <v>4794</v>
      </c>
      <c r="K645" t="s">
        <v>62</v>
      </c>
      <c r="L645" t="s">
        <v>63</v>
      </c>
      <c r="M645" t="s">
        <v>4795</v>
      </c>
      <c r="N645" t="s">
        <v>4796</v>
      </c>
      <c r="R645">
        <v>2</v>
      </c>
      <c r="S645">
        <v>0</v>
      </c>
      <c r="T645" t="b">
        <v>0</v>
      </c>
      <c r="V645" t="s">
        <v>4797</v>
      </c>
      <c r="W645" s="15">
        <v>0.44202931099999998</v>
      </c>
      <c r="X645" s="15">
        <v>32.954705660000002</v>
      </c>
      <c r="Y645">
        <v>709</v>
      </c>
      <c r="AC645">
        <v>709</v>
      </c>
      <c r="AF645" t="b">
        <v>0</v>
      </c>
      <c r="AI645" t="s">
        <v>71</v>
      </c>
      <c r="AJ645" t="s">
        <v>70</v>
      </c>
      <c r="AK645" t="s">
        <v>71</v>
      </c>
      <c r="AL645" t="s">
        <v>72</v>
      </c>
      <c r="AM645">
        <v>346053</v>
      </c>
      <c r="AO645" s="16" t="s">
        <v>73</v>
      </c>
      <c r="AP645" s="17" t="str">
        <f t="shared" si="43"/>
        <v>Off-nest female</v>
      </c>
      <c r="AV645" s="21" t="s">
        <v>1069</v>
      </c>
      <c r="AX645" s="22" t="str">
        <f>IF(AND('[1]observations-276632'!W645&gt;'[1]Methods write-up'!$Q$16,'[1]observations-276632'!W645&lt;'[1]Methods write-up'!$R$16,'[1]observations-276632'!X645&gt;'[1]Methods write-up'!$S$16,'[1]observations-276632'!X645&lt;'[1]Methods write-up'!$T$16),"West and Central Africa","")</f>
        <v/>
      </c>
      <c r="AY645" s="22" t="str">
        <f>IF(AND('[1]observations-276632'!W645&gt;'[1]Methods write-up'!$Q$17,'[1]observations-276632'!W645&lt;'[1]Methods write-up'!$R$17,'[1]observations-276632'!X645&gt;'[1]Methods write-up'!$S$17,'[1]observations-276632'!X645&lt;'[1]Methods write-up'!$T$17),"Equatorial tropical forest","")</f>
        <v/>
      </c>
      <c r="AZ645" s="22" t="str">
        <f>IF(AND('[1]observations-276632'!W645&gt;'[1]Methods write-up'!$Q$18,'[1]observations-276632'!W645&lt;'[1]Methods write-up'!$R$18,'[1]observations-276632'!X645&gt;'[1]Methods write-up'!$S$18,'[1]observations-276632'!X645&lt;'[1]Methods write-up'!$T$18),"Somali peninsula","")</f>
        <v/>
      </c>
      <c r="BA645" s="22" t="str">
        <f>IF(AND('[1]observations-276632'!W645&gt;'[1]Methods write-up'!$Q$19,'[1]observations-276632'!W645&lt;'[1]Methods write-up'!$R$19,'[1]observations-276632'!X645&gt;'[1]Methods write-up'!$S$19,'[1]observations-276632'!X645&lt;'[1]Methods write-up'!$T$19),"East Africa","")</f>
        <v>East Africa</v>
      </c>
      <c r="BB645" s="22" t="str">
        <f>IF(AND('[1]observations-276632'!W645&gt;'[1]Methods write-up'!$Q$20,'[1]observations-276632'!W645&lt;'[1]Methods write-up'!$R$20,'[1]observations-276632'!X645&gt;'[1]Methods write-up'!$S$20,'[1]observations-276632'!X645&lt;'[1]Methods write-up'!$T$20),"Temperate seasonal","")</f>
        <v/>
      </c>
      <c r="BC645" s="22" t="str">
        <f>IF(AND('[1]observations-276632'!W645&gt;'[1]Methods write-up'!$Q$21,'[1]observations-276632'!W645&lt;'[1]Methods write-up'!$R$21,'[1]observations-276632'!X645&gt;'[1]Methods write-up'!$S$21,'[1]observations-276632'!X645&lt;'[1]Methods write-up'!$T$21),"Desert and high aridity","")</f>
        <v/>
      </c>
      <c r="BD645" s="23" t="str">
        <f t="shared" si="46"/>
        <v>East Africa</v>
      </c>
      <c r="BE645" s="24">
        <f t="shared" si="44"/>
        <v>3</v>
      </c>
      <c r="BF645" s="24">
        <f t="shared" si="45"/>
        <v>11</v>
      </c>
    </row>
    <row r="646" spans="1:58" ht="16.25" customHeight="1" x14ac:dyDescent="0.2">
      <c r="A646">
        <v>69112143</v>
      </c>
      <c r="B646" t="s">
        <v>4798</v>
      </c>
      <c r="C646" s="14">
        <v>42218</v>
      </c>
      <c r="D646" t="s">
        <v>4799</v>
      </c>
      <c r="E646" t="s">
        <v>243</v>
      </c>
      <c r="F646">
        <v>3962707</v>
      </c>
      <c r="G646" t="s">
        <v>4708</v>
      </c>
      <c r="H646" t="s">
        <v>4709</v>
      </c>
      <c r="I646" t="s">
        <v>4800</v>
      </c>
      <c r="J646" t="s">
        <v>4801</v>
      </c>
      <c r="K646" t="s">
        <v>62</v>
      </c>
      <c r="L646" t="s">
        <v>63</v>
      </c>
      <c r="M646" t="s">
        <v>4802</v>
      </c>
      <c r="N646" t="s">
        <v>4803</v>
      </c>
      <c r="R646">
        <v>3</v>
      </c>
      <c r="S646">
        <v>0</v>
      </c>
      <c r="T646" t="b">
        <v>0</v>
      </c>
      <c r="V646" t="s">
        <v>4804</v>
      </c>
      <c r="W646" s="15">
        <v>-24.19017024</v>
      </c>
      <c r="X646" s="15">
        <v>30.593342790000001</v>
      </c>
      <c r="Y646">
        <v>244</v>
      </c>
      <c r="AC646">
        <v>244</v>
      </c>
      <c r="AF646" t="b">
        <v>0</v>
      </c>
      <c r="AI646" t="s">
        <v>71</v>
      </c>
      <c r="AJ646" t="s">
        <v>70</v>
      </c>
      <c r="AK646" t="s">
        <v>71</v>
      </c>
      <c r="AL646" t="s">
        <v>72</v>
      </c>
      <c r="AM646">
        <v>346053</v>
      </c>
      <c r="AO646" s="16" t="s">
        <v>73</v>
      </c>
      <c r="AP646" s="17" t="str">
        <f t="shared" si="43"/>
        <v>Off-nest female</v>
      </c>
      <c r="AX646" s="22" t="str">
        <f>IF(AND('[1]observations-276632'!W646&gt;'[1]Methods write-up'!$Q$16,'[1]observations-276632'!W646&lt;'[1]Methods write-up'!$R$16,'[1]observations-276632'!X646&gt;'[1]Methods write-up'!$S$16,'[1]observations-276632'!X646&lt;'[1]Methods write-up'!$T$16),"West and Central Africa","")</f>
        <v/>
      </c>
      <c r="AY646" s="22" t="str">
        <f>IF(AND('[1]observations-276632'!W646&gt;'[1]Methods write-up'!$Q$17,'[1]observations-276632'!W646&lt;'[1]Methods write-up'!$R$17,'[1]observations-276632'!X646&gt;'[1]Methods write-up'!$S$17,'[1]observations-276632'!X646&lt;'[1]Methods write-up'!$T$17),"Equatorial tropical forest","")</f>
        <v/>
      </c>
      <c r="AZ646" s="22" t="str">
        <f>IF(AND('[1]observations-276632'!W646&gt;'[1]Methods write-up'!$Q$18,'[1]observations-276632'!W646&lt;'[1]Methods write-up'!$R$18,'[1]observations-276632'!X646&gt;'[1]Methods write-up'!$S$18,'[1]observations-276632'!X646&lt;'[1]Methods write-up'!$T$18),"Somali peninsula","")</f>
        <v/>
      </c>
      <c r="BA646" s="22" t="str">
        <f>IF(AND('[1]observations-276632'!W646&gt;'[1]Methods write-up'!$Q$19,'[1]observations-276632'!W646&lt;'[1]Methods write-up'!$R$19,'[1]observations-276632'!X646&gt;'[1]Methods write-up'!$S$19,'[1]observations-276632'!X646&lt;'[1]Methods write-up'!$T$19),"East Africa","")</f>
        <v/>
      </c>
      <c r="BB646" s="22" t="str">
        <f>IF(AND('[1]observations-276632'!W646&gt;'[1]Methods write-up'!$Q$20,'[1]observations-276632'!W646&lt;'[1]Methods write-up'!$R$20,'[1]observations-276632'!X646&gt;'[1]Methods write-up'!$S$20,'[1]observations-276632'!X646&lt;'[1]Methods write-up'!$T$20),"Temperate seasonal","")</f>
        <v/>
      </c>
      <c r="BC646" s="22" t="str">
        <f>IF(AND('[1]observations-276632'!W646&gt;'[1]Methods write-up'!$Q$21,'[1]observations-276632'!W646&lt;'[1]Methods write-up'!$R$21,'[1]observations-276632'!X646&gt;'[1]Methods write-up'!$S$21,'[1]observations-276632'!X646&lt;'[1]Methods write-up'!$T$21),"Desert and high aridity","")</f>
        <v/>
      </c>
      <c r="BD646" s="23" t="str">
        <f t="shared" si="46"/>
        <v/>
      </c>
      <c r="BE646" s="24">
        <f t="shared" si="44"/>
        <v>2</v>
      </c>
      <c r="BF646" s="24">
        <f t="shared" si="45"/>
        <v>8</v>
      </c>
    </row>
    <row r="647" spans="1:58" ht="16.25" customHeight="1" x14ac:dyDescent="0.2">
      <c r="A647">
        <v>69112237</v>
      </c>
      <c r="B647" t="s">
        <v>4805</v>
      </c>
      <c r="C647" s="14">
        <v>42218</v>
      </c>
      <c r="D647" t="s">
        <v>4806</v>
      </c>
      <c r="E647" t="s">
        <v>243</v>
      </c>
      <c r="F647">
        <v>3962707</v>
      </c>
      <c r="G647" t="s">
        <v>4708</v>
      </c>
      <c r="H647" t="s">
        <v>4709</v>
      </c>
      <c r="I647" t="s">
        <v>4807</v>
      </c>
      <c r="J647" t="s">
        <v>4808</v>
      </c>
      <c r="K647" t="s">
        <v>62</v>
      </c>
      <c r="L647" t="s">
        <v>63</v>
      </c>
      <c r="M647" t="s">
        <v>4809</v>
      </c>
      <c r="N647" t="s">
        <v>4810</v>
      </c>
      <c r="R647">
        <v>6</v>
      </c>
      <c r="S647">
        <v>0</v>
      </c>
      <c r="T647" t="b">
        <v>0</v>
      </c>
      <c r="V647" t="s">
        <v>4804</v>
      </c>
      <c r="W647" s="15">
        <v>-24.19017024</v>
      </c>
      <c r="X647" s="15">
        <v>30.593342790000001</v>
      </c>
      <c r="Y647">
        <v>244</v>
      </c>
      <c r="AC647">
        <v>244</v>
      </c>
      <c r="AF647" t="b">
        <v>0</v>
      </c>
      <c r="AI647" t="s">
        <v>71</v>
      </c>
      <c r="AJ647" t="s">
        <v>70</v>
      </c>
      <c r="AK647" t="s">
        <v>71</v>
      </c>
      <c r="AL647" t="s">
        <v>72</v>
      </c>
      <c r="AM647">
        <v>346053</v>
      </c>
      <c r="AO647" s="16" t="s">
        <v>73</v>
      </c>
      <c r="AP647" s="17" t="str">
        <f t="shared" si="43"/>
        <v>Off-nest female</v>
      </c>
      <c r="AX647" s="22" t="str">
        <f>IF(AND('[1]observations-276632'!W647&gt;'[1]Methods write-up'!$Q$16,'[1]observations-276632'!W647&lt;'[1]Methods write-up'!$R$16,'[1]observations-276632'!X647&gt;'[1]Methods write-up'!$S$16,'[1]observations-276632'!X647&lt;'[1]Methods write-up'!$T$16),"West and Central Africa","")</f>
        <v/>
      </c>
      <c r="AY647" s="22" t="str">
        <f>IF(AND('[1]observations-276632'!W647&gt;'[1]Methods write-up'!$Q$17,'[1]observations-276632'!W647&lt;'[1]Methods write-up'!$R$17,'[1]observations-276632'!X647&gt;'[1]Methods write-up'!$S$17,'[1]observations-276632'!X647&lt;'[1]Methods write-up'!$T$17),"Equatorial tropical forest","")</f>
        <v/>
      </c>
      <c r="AZ647" s="22" t="str">
        <f>IF(AND('[1]observations-276632'!W647&gt;'[1]Methods write-up'!$Q$18,'[1]observations-276632'!W647&lt;'[1]Methods write-up'!$R$18,'[1]observations-276632'!X647&gt;'[1]Methods write-up'!$S$18,'[1]observations-276632'!X647&lt;'[1]Methods write-up'!$T$18),"Somali peninsula","")</f>
        <v/>
      </c>
      <c r="BA647" s="22" t="str">
        <f>IF(AND('[1]observations-276632'!W647&gt;'[1]Methods write-up'!$Q$19,'[1]observations-276632'!W647&lt;'[1]Methods write-up'!$R$19,'[1]observations-276632'!X647&gt;'[1]Methods write-up'!$S$19,'[1]observations-276632'!X647&lt;'[1]Methods write-up'!$T$19),"East Africa","")</f>
        <v/>
      </c>
      <c r="BB647" s="22" t="str">
        <f>IF(AND('[1]observations-276632'!W647&gt;'[1]Methods write-up'!$Q$20,'[1]observations-276632'!W647&lt;'[1]Methods write-up'!$R$20,'[1]observations-276632'!X647&gt;'[1]Methods write-up'!$S$20,'[1]observations-276632'!X647&lt;'[1]Methods write-up'!$T$20),"Temperate seasonal","")</f>
        <v/>
      </c>
      <c r="BC647" s="22" t="str">
        <f>IF(AND('[1]observations-276632'!W647&gt;'[1]Methods write-up'!$Q$21,'[1]observations-276632'!W647&lt;'[1]Methods write-up'!$R$21,'[1]observations-276632'!X647&gt;'[1]Methods write-up'!$S$21,'[1]observations-276632'!X647&lt;'[1]Methods write-up'!$T$21),"Desert and high aridity","")</f>
        <v/>
      </c>
      <c r="BD647" s="23" t="str">
        <f t="shared" si="46"/>
        <v/>
      </c>
      <c r="BE647" s="24">
        <f t="shared" si="44"/>
        <v>2</v>
      </c>
      <c r="BF647" s="24">
        <f t="shared" si="45"/>
        <v>8</v>
      </c>
    </row>
    <row r="648" spans="1:58" ht="16.25" customHeight="1" x14ac:dyDescent="0.2">
      <c r="A648">
        <v>69198412</v>
      </c>
      <c r="B648" t="s">
        <v>4811</v>
      </c>
      <c r="C648" s="14">
        <v>43789</v>
      </c>
      <c r="D648" t="s">
        <v>4812</v>
      </c>
      <c r="E648" t="s">
        <v>243</v>
      </c>
      <c r="F648">
        <v>2357668</v>
      </c>
      <c r="G648" t="s">
        <v>4813</v>
      </c>
      <c r="I648" t="s">
        <v>4814</v>
      </c>
      <c r="J648" t="s">
        <v>4814</v>
      </c>
      <c r="K648" t="s">
        <v>62</v>
      </c>
      <c r="L648" t="s">
        <v>63</v>
      </c>
      <c r="M648" t="s">
        <v>4815</v>
      </c>
      <c r="N648" t="s">
        <v>4816</v>
      </c>
      <c r="R648">
        <v>0</v>
      </c>
      <c r="S648">
        <v>0</v>
      </c>
      <c r="T648" t="b">
        <v>0</v>
      </c>
      <c r="V648" t="s">
        <v>4817</v>
      </c>
      <c r="W648" s="15">
        <v>-11.5922415</v>
      </c>
      <c r="X648" s="15">
        <v>31.655112209999999</v>
      </c>
      <c r="Y648">
        <v>7813</v>
      </c>
      <c r="AC648">
        <v>7813</v>
      </c>
      <c r="AF648" t="b">
        <v>0</v>
      </c>
      <c r="AI648" t="s">
        <v>161</v>
      </c>
      <c r="AJ648" t="s">
        <v>161</v>
      </c>
      <c r="AL648" t="s">
        <v>72</v>
      </c>
      <c r="AM648">
        <v>366867</v>
      </c>
      <c r="AO648" s="16" t="s">
        <v>73</v>
      </c>
      <c r="AP648" s="17" t="str">
        <f t="shared" si="43"/>
        <v>Off-nest female</v>
      </c>
      <c r="AX648" s="22" t="str">
        <f>IF(AND('[1]observations-276632'!W648&gt;'[1]Methods write-up'!$Q$16,'[1]observations-276632'!W648&lt;'[1]Methods write-up'!$R$16,'[1]observations-276632'!X648&gt;'[1]Methods write-up'!$S$16,'[1]observations-276632'!X648&lt;'[1]Methods write-up'!$T$16),"West and Central Africa","")</f>
        <v/>
      </c>
      <c r="AY648" s="22" t="str">
        <f>IF(AND('[1]observations-276632'!W648&gt;'[1]Methods write-up'!$Q$17,'[1]observations-276632'!W648&lt;'[1]Methods write-up'!$R$17,'[1]observations-276632'!X648&gt;'[1]Methods write-up'!$S$17,'[1]observations-276632'!X648&lt;'[1]Methods write-up'!$T$17),"Equatorial tropical forest","")</f>
        <v/>
      </c>
      <c r="AZ648" s="22" t="str">
        <f>IF(AND('[1]observations-276632'!W648&gt;'[1]Methods write-up'!$Q$18,'[1]observations-276632'!W648&lt;'[1]Methods write-up'!$R$18,'[1]observations-276632'!X648&gt;'[1]Methods write-up'!$S$18,'[1]observations-276632'!X648&lt;'[1]Methods write-up'!$T$18),"Somali peninsula","")</f>
        <v/>
      </c>
      <c r="BA648" s="22" t="str">
        <f>IF(AND('[1]observations-276632'!W648&gt;'[1]Methods write-up'!$Q$19,'[1]observations-276632'!W648&lt;'[1]Methods write-up'!$R$19,'[1]observations-276632'!X648&gt;'[1]Methods write-up'!$S$19,'[1]observations-276632'!X648&lt;'[1]Methods write-up'!$T$19),"East Africa","")</f>
        <v/>
      </c>
      <c r="BB648" s="22" t="str">
        <f>IF(AND('[1]observations-276632'!W648&gt;'[1]Methods write-up'!$Q$20,'[1]observations-276632'!W648&lt;'[1]Methods write-up'!$R$20,'[1]observations-276632'!X648&gt;'[1]Methods write-up'!$S$20,'[1]observations-276632'!X648&lt;'[1]Methods write-up'!$T$20),"Temperate seasonal","")</f>
        <v/>
      </c>
      <c r="BC648" s="22" t="str">
        <f>IF(AND('[1]observations-276632'!W648&gt;'[1]Methods write-up'!$Q$21,'[1]observations-276632'!W648&lt;'[1]Methods write-up'!$R$21,'[1]observations-276632'!X648&gt;'[1]Methods write-up'!$S$21,'[1]observations-276632'!X648&lt;'[1]Methods write-up'!$T$21),"Desert and high aridity","")</f>
        <v/>
      </c>
      <c r="BD648" s="23" t="str">
        <f t="shared" si="46"/>
        <v/>
      </c>
      <c r="BE648" s="24">
        <f t="shared" si="44"/>
        <v>20</v>
      </c>
      <c r="BF648" s="24">
        <f t="shared" si="45"/>
        <v>11</v>
      </c>
    </row>
    <row r="649" spans="1:58" ht="16.25" customHeight="1" x14ac:dyDescent="0.2">
      <c r="A649">
        <v>69243836</v>
      </c>
      <c r="B649" t="s">
        <v>4818</v>
      </c>
      <c r="C649" s="14">
        <v>44233</v>
      </c>
      <c r="D649" t="s">
        <v>4819</v>
      </c>
      <c r="E649" t="s">
        <v>113</v>
      </c>
      <c r="F649">
        <v>676977</v>
      </c>
      <c r="G649" t="s">
        <v>4820</v>
      </c>
      <c r="H649" t="s">
        <v>4821</v>
      </c>
      <c r="I649" t="s">
        <v>4822</v>
      </c>
      <c r="J649" t="s">
        <v>4823</v>
      </c>
      <c r="K649" t="s">
        <v>62</v>
      </c>
      <c r="L649" t="s">
        <v>261</v>
      </c>
      <c r="M649" t="s">
        <v>4824</v>
      </c>
      <c r="N649" t="s">
        <v>4825</v>
      </c>
      <c r="R649">
        <v>2</v>
      </c>
      <c r="S649">
        <v>0</v>
      </c>
      <c r="T649" t="b">
        <v>0</v>
      </c>
      <c r="V649" t="s">
        <v>4826</v>
      </c>
      <c r="W649" s="15">
        <v>-24.7031934</v>
      </c>
      <c r="X649" s="15">
        <v>28.3870778</v>
      </c>
      <c r="Y649">
        <v>1106</v>
      </c>
      <c r="AC649">
        <v>1106</v>
      </c>
      <c r="AF649" t="b">
        <v>0</v>
      </c>
      <c r="AI649" t="s">
        <v>71</v>
      </c>
      <c r="AJ649" t="s">
        <v>70</v>
      </c>
      <c r="AK649" t="s">
        <v>71</v>
      </c>
      <c r="AL649" t="s">
        <v>72</v>
      </c>
      <c r="AM649">
        <v>346053</v>
      </c>
      <c r="AO649" s="16" t="s">
        <v>150</v>
      </c>
      <c r="AP649" s="17" t="str">
        <f t="shared" si="43"/>
        <v>Male (off nest)</v>
      </c>
      <c r="AX649" s="22" t="str">
        <f>IF(AND('[1]observations-276632'!W649&gt;'[1]Methods write-up'!$Q$16,'[1]observations-276632'!W649&lt;'[1]Methods write-up'!$R$16,'[1]observations-276632'!X649&gt;'[1]Methods write-up'!$S$16,'[1]observations-276632'!X649&lt;'[1]Methods write-up'!$T$16),"West and Central Africa","")</f>
        <v/>
      </c>
      <c r="AY649" s="22" t="str">
        <f>IF(AND('[1]observations-276632'!W649&gt;'[1]Methods write-up'!$Q$17,'[1]observations-276632'!W649&lt;'[1]Methods write-up'!$R$17,'[1]observations-276632'!X649&gt;'[1]Methods write-up'!$S$17,'[1]observations-276632'!X649&lt;'[1]Methods write-up'!$T$17),"Equatorial tropical forest","")</f>
        <v/>
      </c>
      <c r="AZ649" s="22" t="str">
        <f>IF(AND('[1]observations-276632'!W649&gt;'[1]Methods write-up'!$Q$18,'[1]observations-276632'!W649&lt;'[1]Methods write-up'!$R$18,'[1]observations-276632'!X649&gt;'[1]Methods write-up'!$S$18,'[1]observations-276632'!X649&lt;'[1]Methods write-up'!$T$18),"Somali peninsula","")</f>
        <v/>
      </c>
      <c r="BA649" s="22" t="str">
        <f>IF(AND('[1]observations-276632'!W649&gt;'[1]Methods write-up'!$Q$19,'[1]observations-276632'!W649&lt;'[1]Methods write-up'!$R$19,'[1]observations-276632'!X649&gt;'[1]Methods write-up'!$S$19,'[1]observations-276632'!X649&lt;'[1]Methods write-up'!$T$19),"East Africa","")</f>
        <v/>
      </c>
      <c r="BB649" s="22" t="str">
        <f>IF(AND('[1]observations-276632'!W649&gt;'[1]Methods write-up'!$Q$20,'[1]observations-276632'!W649&lt;'[1]Methods write-up'!$R$20,'[1]observations-276632'!X649&gt;'[1]Methods write-up'!$S$20,'[1]observations-276632'!X649&lt;'[1]Methods write-up'!$T$20),"Temperate seasonal","")</f>
        <v/>
      </c>
      <c r="BC649" s="22" t="str">
        <f>IF(AND('[1]observations-276632'!W649&gt;'[1]Methods write-up'!$Q$21,'[1]observations-276632'!W649&lt;'[1]Methods write-up'!$R$21,'[1]observations-276632'!X649&gt;'[1]Methods write-up'!$S$21,'[1]observations-276632'!X649&lt;'[1]Methods write-up'!$T$21),"Desert and high aridity","")</f>
        <v/>
      </c>
      <c r="BD649" s="23" t="str">
        <f t="shared" si="46"/>
        <v/>
      </c>
      <c r="BE649" s="24">
        <f t="shared" si="44"/>
        <v>6</v>
      </c>
      <c r="BF649" s="24">
        <f t="shared" si="45"/>
        <v>2</v>
      </c>
    </row>
    <row r="650" spans="1:58" ht="16.25" customHeight="1" x14ac:dyDescent="0.2">
      <c r="A650">
        <v>69361341</v>
      </c>
      <c r="B650" t="s">
        <v>4827</v>
      </c>
      <c r="C650" s="14">
        <v>44236</v>
      </c>
      <c r="D650" t="s">
        <v>4828</v>
      </c>
      <c r="E650" t="s">
        <v>1408</v>
      </c>
      <c r="F650">
        <v>1476026</v>
      </c>
      <c r="G650" t="s">
        <v>3989</v>
      </c>
      <c r="H650" t="s">
        <v>3990</v>
      </c>
      <c r="I650" t="s">
        <v>4829</v>
      </c>
      <c r="J650" t="s">
        <v>4830</v>
      </c>
      <c r="K650" t="s">
        <v>62</v>
      </c>
      <c r="L650" t="s">
        <v>373</v>
      </c>
      <c r="M650" t="s">
        <v>4831</v>
      </c>
      <c r="N650" t="s">
        <v>4832</v>
      </c>
      <c r="R650">
        <v>3</v>
      </c>
      <c r="S650">
        <v>0</v>
      </c>
      <c r="T650" t="b">
        <v>0</v>
      </c>
      <c r="V650" t="s">
        <v>4833</v>
      </c>
      <c r="W650" s="15">
        <v>-17.790401930000002</v>
      </c>
      <c r="X650" s="15">
        <v>31.121023529999999</v>
      </c>
      <c r="Y650">
        <v>10</v>
      </c>
      <c r="AC650">
        <v>10</v>
      </c>
      <c r="AF650" t="b">
        <v>0</v>
      </c>
      <c r="AI650" t="s">
        <v>71</v>
      </c>
      <c r="AJ650" t="s">
        <v>70</v>
      </c>
      <c r="AK650" t="s">
        <v>71</v>
      </c>
      <c r="AL650" t="s">
        <v>72</v>
      </c>
      <c r="AM650">
        <v>346053</v>
      </c>
      <c r="AO650" s="16" t="s">
        <v>73</v>
      </c>
      <c r="AP650" s="17" t="str">
        <f t="shared" si="43"/>
        <v>Off-nest female</v>
      </c>
      <c r="AX650" s="22" t="str">
        <f>IF(AND('[1]observations-276632'!W650&gt;'[1]Methods write-up'!$Q$16,'[1]observations-276632'!W650&lt;'[1]Methods write-up'!$R$16,'[1]observations-276632'!X650&gt;'[1]Methods write-up'!$S$16,'[1]observations-276632'!X650&lt;'[1]Methods write-up'!$T$16),"West and Central Africa","")</f>
        <v/>
      </c>
      <c r="AY650" s="22" t="str">
        <f>IF(AND('[1]observations-276632'!W650&gt;'[1]Methods write-up'!$Q$17,'[1]observations-276632'!W650&lt;'[1]Methods write-up'!$R$17,'[1]observations-276632'!X650&gt;'[1]Methods write-up'!$S$17,'[1]observations-276632'!X650&lt;'[1]Methods write-up'!$T$17),"Equatorial tropical forest","")</f>
        <v/>
      </c>
      <c r="AZ650" s="22" t="str">
        <f>IF(AND('[1]observations-276632'!W650&gt;'[1]Methods write-up'!$Q$18,'[1]observations-276632'!W650&lt;'[1]Methods write-up'!$R$18,'[1]observations-276632'!X650&gt;'[1]Methods write-up'!$S$18,'[1]observations-276632'!X650&lt;'[1]Methods write-up'!$T$18),"Somali peninsula","")</f>
        <v/>
      </c>
      <c r="BA650" s="22" t="str">
        <f>IF(AND('[1]observations-276632'!W650&gt;'[1]Methods write-up'!$Q$19,'[1]observations-276632'!W650&lt;'[1]Methods write-up'!$R$19,'[1]observations-276632'!X650&gt;'[1]Methods write-up'!$S$19,'[1]observations-276632'!X650&lt;'[1]Methods write-up'!$T$19),"East Africa","")</f>
        <v/>
      </c>
      <c r="BB650" s="22" t="str">
        <f>IF(AND('[1]observations-276632'!W650&gt;'[1]Methods write-up'!$Q$20,'[1]observations-276632'!W650&lt;'[1]Methods write-up'!$R$20,'[1]observations-276632'!X650&gt;'[1]Methods write-up'!$S$20,'[1]observations-276632'!X650&lt;'[1]Methods write-up'!$T$20),"Temperate seasonal","")</f>
        <v/>
      </c>
      <c r="BC650" s="22" t="str">
        <f>IF(AND('[1]observations-276632'!W650&gt;'[1]Methods write-up'!$Q$21,'[1]observations-276632'!W650&lt;'[1]Methods write-up'!$R$21,'[1]observations-276632'!X650&gt;'[1]Methods write-up'!$S$21,'[1]observations-276632'!X650&lt;'[1]Methods write-up'!$T$21),"Desert and high aridity","")</f>
        <v/>
      </c>
      <c r="BD650" s="23" t="str">
        <f t="shared" si="46"/>
        <v/>
      </c>
      <c r="BE650" s="24">
        <f t="shared" si="44"/>
        <v>9</v>
      </c>
      <c r="BF650" s="24">
        <f t="shared" si="45"/>
        <v>2</v>
      </c>
    </row>
    <row r="651" spans="1:58" ht="16.25" customHeight="1" x14ac:dyDescent="0.2">
      <c r="A651">
        <v>69497511</v>
      </c>
      <c r="B651" t="s">
        <v>4834</v>
      </c>
      <c r="C651" s="14">
        <v>44240</v>
      </c>
      <c r="D651" t="s">
        <v>4835</v>
      </c>
      <c r="E651" t="s">
        <v>84</v>
      </c>
      <c r="F651">
        <v>3867729</v>
      </c>
      <c r="G651" t="s">
        <v>4836</v>
      </c>
      <c r="I651" t="s">
        <v>4837</v>
      </c>
      <c r="J651" t="s">
        <v>4838</v>
      </c>
      <c r="K651" t="s">
        <v>62</v>
      </c>
      <c r="L651" t="s">
        <v>63</v>
      </c>
      <c r="M651" t="s">
        <v>4839</v>
      </c>
      <c r="N651" t="s">
        <v>4840</v>
      </c>
      <c r="R651">
        <v>2</v>
      </c>
      <c r="S651">
        <v>0</v>
      </c>
      <c r="T651" t="b">
        <v>0</v>
      </c>
      <c r="U651">
        <v>333</v>
      </c>
      <c r="V651" t="s">
        <v>1333</v>
      </c>
      <c r="W651" s="15">
        <v>-1.3246892889999999</v>
      </c>
      <c r="X651" s="15">
        <v>36.771489819999999</v>
      </c>
      <c r="Y651">
        <v>65</v>
      </c>
      <c r="AC651">
        <v>31447</v>
      </c>
      <c r="AD651" t="s">
        <v>839</v>
      </c>
      <c r="AF651" t="b">
        <v>1</v>
      </c>
      <c r="AI651" t="s">
        <v>71</v>
      </c>
      <c r="AJ651" t="s">
        <v>70</v>
      </c>
      <c r="AK651" t="s">
        <v>71</v>
      </c>
      <c r="AL651" t="s">
        <v>72</v>
      </c>
      <c r="AM651">
        <v>346053</v>
      </c>
      <c r="AO651" s="16" t="s">
        <v>73</v>
      </c>
      <c r="AP651" s="17" t="str">
        <f t="shared" si="43"/>
        <v>Off-nest female</v>
      </c>
      <c r="AX651" s="22" t="str">
        <f>IF(AND('[1]observations-276632'!W651&gt;'[1]Methods write-up'!$Q$16,'[1]observations-276632'!W651&lt;'[1]Methods write-up'!$R$16,'[1]observations-276632'!X651&gt;'[1]Methods write-up'!$S$16,'[1]observations-276632'!X651&lt;'[1]Methods write-up'!$T$16),"West and Central Africa","")</f>
        <v/>
      </c>
      <c r="AY651" s="22" t="str">
        <f>IF(AND('[1]observations-276632'!W651&gt;'[1]Methods write-up'!$Q$17,'[1]observations-276632'!W651&lt;'[1]Methods write-up'!$R$17,'[1]observations-276632'!X651&gt;'[1]Methods write-up'!$S$17,'[1]observations-276632'!X651&lt;'[1]Methods write-up'!$T$17),"Equatorial tropical forest","")</f>
        <v/>
      </c>
      <c r="AZ651" s="22" t="str">
        <f>IF(AND('[1]observations-276632'!W651&gt;'[1]Methods write-up'!$Q$18,'[1]observations-276632'!W651&lt;'[1]Methods write-up'!$R$18,'[1]observations-276632'!X651&gt;'[1]Methods write-up'!$S$18,'[1]observations-276632'!X651&lt;'[1]Methods write-up'!$T$18),"Somali peninsula","")</f>
        <v/>
      </c>
      <c r="BA651" s="22" t="str">
        <f>IF(AND('[1]observations-276632'!W651&gt;'[1]Methods write-up'!$Q$19,'[1]observations-276632'!W651&lt;'[1]Methods write-up'!$R$19,'[1]observations-276632'!X651&gt;'[1]Methods write-up'!$S$19,'[1]observations-276632'!X651&lt;'[1]Methods write-up'!$T$19),"East Africa","")</f>
        <v>East Africa</v>
      </c>
      <c r="BB651" s="22" t="str">
        <f>IF(AND('[1]observations-276632'!W651&gt;'[1]Methods write-up'!$Q$20,'[1]observations-276632'!W651&lt;'[1]Methods write-up'!$R$20,'[1]observations-276632'!X651&gt;'[1]Methods write-up'!$S$20,'[1]observations-276632'!X651&lt;'[1]Methods write-up'!$T$20),"Temperate seasonal","")</f>
        <v/>
      </c>
      <c r="BC651" s="22" t="str">
        <f>IF(AND('[1]observations-276632'!W651&gt;'[1]Methods write-up'!$Q$21,'[1]observations-276632'!W651&lt;'[1]Methods write-up'!$R$21,'[1]observations-276632'!X651&gt;'[1]Methods write-up'!$S$21,'[1]observations-276632'!X651&lt;'[1]Methods write-up'!$T$21),"Desert and high aridity","")</f>
        <v/>
      </c>
      <c r="BD651" s="23" t="str">
        <f t="shared" si="46"/>
        <v>East Africa</v>
      </c>
      <c r="BE651" s="24">
        <f t="shared" si="44"/>
        <v>13</v>
      </c>
      <c r="BF651" s="24">
        <f t="shared" si="45"/>
        <v>2</v>
      </c>
    </row>
    <row r="652" spans="1:58" ht="16.25" customHeight="1" x14ac:dyDescent="0.2">
      <c r="A652">
        <v>69556524</v>
      </c>
      <c r="B652" t="s">
        <v>4841</v>
      </c>
      <c r="C652" s="14">
        <v>44060</v>
      </c>
      <c r="D652" t="s">
        <v>4842</v>
      </c>
      <c r="E652" t="s">
        <v>57</v>
      </c>
      <c r="F652">
        <v>87479</v>
      </c>
      <c r="G652" t="s">
        <v>4843</v>
      </c>
      <c r="H652" t="s">
        <v>4844</v>
      </c>
      <c r="I652" t="s">
        <v>4845</v>
      </c>
      <c r="J652" t="s">
        <v>4846</v>
      </c>
      <c r="K652" t="s">
        <v>62</v>
      </c>
      <c r="L652" t="s">
        <v>63</v>
      </c>
      <c r="M652" t="s">
        <v>4847</v>
      </c>
      <c r="N652" t="s">
        <v>4848</v>
      </c>
      <c r="R652">
        <v>2</v>
      </c>
      <c r="S652">
        <v>0</v>
      </c>
      <c r="T652" t="b">
        <v>0</v>
      </c>
      <c r="V652" t="s">
        <v>4849</v>
      </c>
      <c r="W652" s="15">
        <v>10.84976378</v>
      </c>
      <c r="X652" s="15">
        <v>1.4635867789999999</v>
      </c>
      <c r="Y652">
        <v>977</v>
      </c>
      <c r="AC652">
        <v>977</v>
      </c>
      <c r="AF652" t="b">
        <v>0</v>
      </c>
      <c r="AI652" t="s">
        <v>71</v>
      </c>
      <c r="AJ652" t="s">
        <v>70</v>
      </c>
      <c r="AK652" t="s">
        <v>71</v>
      </c>
      <c r="AL652" t="s">
        <v>72</v>
      </c>
      <c r="AM652">
        <v>346053</v>
      </c>
      <c r="AO652" s="16" t="s">
        <v>73</v>
      </c>
      <c r="AP652" s="17" t="str">
        <f t="shared" si="43"/>
        <v>Off-nest female</v>
      </c>
      <c r="AX652" s="22" t="str">
        <f>IF(AND('[1]observations-276632'!W652&gt;'[1]Methods write-up'!$Q$16,'[1]observations-276632'!W652&lt;'[1]Methods write-up'!$R$16,'[1]observations-276632'!X652&gt;'[1]Methods write-up'!$S$16,'[1]observations-276632'!X652&lt;'[1]Methods write-up'!$T$16),"West and Central Africa","")</f>
        <v>West and Central Africa</v>
      </c>
      <c r="AY652" s="22" t="str">
        <f>IF(AND('[1]observations-276632'!W652&gt;'[1]Methods write-up'!$Q$17,'[1]observations-276632'!W652&lt;'[1]Methods write-up'!$R$17,'[1]observations-276632'!X652&gt;'[1]Methods write-up'!$S$17,'[1]observations-276632'!X652&lt;'[1]Methods write-up'!$T$17),"Equatorial tropical forest","")</f>
        <v/>
      </c>
      <c r="AZ652" s="22" t="str">
        <f>IF(AND('[1]observations-276632'!W652&gt;'[1]Methods write-up'!$Q$18,'[1]observations-276632'!W652&lt;'[1]Methods write-up'!$R$18,'[1]observations-276632'!X652&gt;'[1]Methods write-up'!$S$18,'[1]observations-276632'!X652&lt;'[1]Methods write-up'!$T$18),"Somali peninsula","")</f>
        <v/>
      </c>
      <c r="BA652" s="22" t="str">
        <f>IF(AND('[1]observations-276632'!W652&gt;'[1]Methods write-up'!$Q$19,'[1]observations-276632'!W652&lt;'[1]Methods write-up'!$R$19,'[1]observations-276632'!X652&gt;'[1]Methods write-up'!$S$19,'[1]observations-276632'!X652&lt;'[1]Methods write-up'!$T$19),"East Africa","")</f>
        <v/>
      </c>
      <c r="BB652" s="22" t="str">
        <f>IF(AND('[1]observations-276632'!W652&gt;'[1]Methods write-up'!$Q$20,'[1]observations-276632'!W652&lt;'[1]Methods write-up'!$R$20,'[1]observations-276632'!X652&gt;'[1]Methods write-up'!$S$20,'[1]observations-276632'!X652&lt;'[1]Methods write-up'!$T$20),"Temperate seasonal","")</f>
        <v/>
      </c>
      <c r="BC652" s="22" t="str">
        <f>IF(AND('[1]observations-276632'!W652&gt;'[1]Methods write-up'!$Q$21,'[1]observations-276632'!W652&lt;'[1]Methods write-up'!$R$21,'[1]observations-276632'!X652&gt;'[1]Methods write-up'!$S$21,'[1]observations-276632'!X652&lt;'[1]Methods write-up'!$T$21),"Desert and high aridity","")</f>
        <v/>
      </c>
      <c r="BD652" s="23" t="str">
        <f t="shared" si="46"/>
        <v>West and Central Africa</v>
      </c>
      <c r="BE652" s="24">
        <f t="shared" si="44"/>
        <v>17</v>
      </c>
      <c r="BF652" s="24">
        <f t="shared" si="45"/>
        <v>8</v>
      </c>
    </row>
    <row r="653" spans="1:58" ht="16.25" customHeight="1" x14ac:dyDescent="0.2">
      <c r="A653">
        <v>69556525</v>
      </c>
      <c r="B653" t="s">
        <v>4850</v>
      </c>
      <c r="C653" s="14">
        <v>44060</v>
      </c>
      <c r="D653" t="s">
        <v>4851</v>
      </c>
      <c r="E653" t="s">
        <v>57</v>
      </c>
      <c r="F653">
        <v>87479</v>
      </c>
      <c r="G653" t="s">
        <v>4843</v>
      </c>
      <c r="H653" t="s">
        <v>4844</v>
      </c>
      <c r="I653" t="s">
        <v>4845</v>
      </c>
      <c r="J653" t="s">
        <v>4852</v>
      </c>
      <c r="K653" t="s">
        <v>62</v>
      </c>
      <c r="L653" t="s">
        <v>63</v>
      </c>
      <c r="M653" t="s">
        <v>4853</v>
      </c>
      <c r="N653" t="s">
        <v>4854</v>
      </c>
      <c r="R653">
        <v>2</v>
      </c>
      <c r="S653">
        <v>0</v>
      </c>
      <c r="T653" t="b">
        <v>0</v>
      </c>
      <c r="V653" t="s">
        <v>4855</v>
      </c>
      <c r="W653" s="15">
        <v>10.8492</v>
      </c>
      <c r="X653" s="15">
        <v>1.460793056</v>
      </c>
      <c r="AF653" t="b">
        <v>0</v>
      </c>
      <c r="AI653" t="s">
        <v>71</v>
      </c>
      <c r="AJ653" t="s">
        <v>70</v>
      </c>
      <c r="AK653" t="s">
        <v>71</v>
      </c>
      <c r="AL653" t="s">
        <v>72</v>
      </c>
      <c r="AM653">
        <v>346053</v>
      </c>
      <c r="AO653" s="16" t="s">
        <v>73</v>
      </c>
      <c r="AP653" s="17" t="str">
        <f t="shared" si="43"/>
        <v>Off-nest female</v>
      </c>
      <c r="AX653" s="22" t="str">
        <f>IF(AND('[1]observations-276632'!W653&gt;'[1]Methods write-up'!$Q$16,'[1]observations-276632'!W653&lt;'[1]Methods write-up'!$R$16,'[1]observations-276632'!X653&gt;'[1]Methods write-up'!$S$16,'[1]observations-276632'!X653&lt;'[1]Methods write-up'!$T$16),"West and Central Africa","")</f>
        <v>West and Central Africa</v>
      </c>
      <c r="AY653" s="22" t="str">
        <f>IF(AND('[1]observations-276632'!W653&gt;'[1]Methods write-up'!$Q$17,'[1]observations-276632'!W653&lt;'[1]Methods write-up'!$R$17,'[1]observations-276632'!X653&gt;'[1]Methods write-up'!$S$17,'[1]observations-276632'!X653&lt;'[1]Methods write-up'!$T$17),"Equatorial tropical forest","")</f>
        <v/>
      </c>
      <c r="AZ653" s="22" t="str">
        <f>IF(AND('[1]observations-276632'!W653&gt;'[1]Methods write-up'!$Q$18,'[1]observations-276632'!W653&lt;'[1]Methods write-up'!$R$18,'[1]observations-276632'!X653&gt;'[1]Methods write-up'!$S$18,'[1]observations-276632'!X653&lt;'[1]Methods write-up'!$T$18),"Somali peninsula","")</f>
        <v/>
      </c>
      <c r="BA653" s="22" t="str">
        <f>IF(AND('[1]observations-276632'!W653&gt;'[1]Methods write-up'!$Q$19,'[1]observations-276632'!W653&lt;'[1]Methods write-up'!$R$19,'[1]observations-276632'!X653&gt;'[1]Methods write-up'!$S$19,'[1]observations-276632'!X653&lt;'[1]Methods write-up'!$T$19),"East Africa","")</f>
        <v/>
      </c>
      <c r="BB653" s="22" t="str">
        <f>IF(AND('[1]observations-276632'!W653&gt;'[1]Methods write-up'!$Q$20,'[1]observations-276632'!W653&lt;'[1]Methods write-up'!$R$20,'[1]observations-276632'!X653&gt;'[1]Methods write-up'!$S$20,'[1]observations-276632'!X653&lt;'[1]Methods write-up'!$T$20),"Temperate seasonal","")</f>
        <v/>
      </c>
      <c r="BC653" s="22" t="str">
        <f>IF(AND('[1]observations-276632'!W653&gt;'[1]Methods write-up'!$Q$21,'[1]observations-276632'!W653&lt;'[1]Methods write-up'!$R$21,'[1]observations-276632'!X653&gt;'[1]Methods write-up'!$S$21,'[1]observations-276632'!X653&lt;'[1]Methods write-up'!$T$21),"Desert and high aridity","")</f>
        <v/>
      </c>
      <c r="BD653" s="23" t="str">
        <f t="shared" si="46"/>
        <v>West and Central Africa</v>
      </c>
      <c r="BE653" s="24">
        <f t="shared" si="44"/>
        <v>17</v>
      </c>
      <c r="BF653" s="24">
        <f t="shared" si="45"/>
        <v>8</v>
      </c>
    </row>
    <row r="654" spans="1:58" ht="16.25" customHeight="1" x14ac:dyDescent="0.2">
      <c r="A654">
        <v>69708444</v>
      </c>
      <c r="B654" t="s">
        <v>4856</v>
      </c>
      <c r="C654" s="14">
        <v>44206</v>
      </c>
      <c r="D654" t="s">
        <v>4857</v>
      </c>
      <c r="E654" t="s">
        <v>57</v>
      </c>
      <c r="F654">
        <v>432281</v>
      </c>
      <c r="G654" t="s">
        <v>4858</v>
      </c>
      <c r="I654" t="s">
        <v>4859</v>
      </c>
      <c r="J654" t="s">
        <v>4860</v>
      </c>
      <c r="K654" t="s">
        <v>62</v>
      </c>
      <c r="M654" t="s">
        <v>4861</v>
      </c>
      <c r="N654" t="s">
        <v>4862</v>
      </c>
      <c r="R654">
        <v>2</v>
      </c>
      <c r="S654">
        <v>0</v>
      </c>
      <c r="T654" t="b">
        <v>0</v>
      </c>
      <c r="V654" t="s">
        <v>4863</v>
      </c>
      <c r="W654" s="15">
        <v>-4.3385565039999996</v>
      </c>
      <c r="X654" s="15">
        <v>15.24184296</v>
      </c>
      <c r="Y654">
        <v>31</v>
      </c>
      <c r="AC654">
        <v>31</v>
      </c>
      <c r="AF654" t="b">
        <v>0</v>
      </c>
      <c r="AI654" t="s">
        <v>71</v>
      </c>
      <c r="AJ654" t="s">
        <v>70</v>
      </c>
      <c r="AK654" t="s">
        <v>71</v>
      </c>
      <c r="AL654" t="s">
        <v>72</v>
      </c>
      <c r="AM654">
        <v>346053</v>
      </c>
      <c r="AO654" s="16" t="s">
        <v>140</v>
      </c>
      <c r="AP654" s="17" t="str">
        <f t="shared" si="43"/>
        <v>Post-emergence nest</v>
      </c>
      <c r="AQ654" s="18">
        <v>3</v>
      </c>
      <c r="AT654" s="19" t="s">
        <v>141</v>
      </c>
      <c r="AU654" s="20" t="s">
        <v>104</v>
      </c>
      <c r="AX654" s="22" t="str">
        <f>IF(AND('[1]observations-276632'!W654&gt;'[1]Methods write-up'!$Q$16,'[1]observations-276632'!W654&lt;'[1]Methods write-up'!$R$16,'[1]observations-276632'!X654&gt;'[1]Methods write-up'!$S$16,'[1]observations-276632'!X654&lt;'[1]Methods write-up'!$T$16),"West and Central Africa","")</f>
        <v>West and Central Africa</v>
      </c>
      <c r="AY654" s="22" t="str">
        <f>IF(AND('[1]observations-276632'!W654&gt;'[1]Methods write-up'!$Q$17,'[1]observations-276632'!W654&lt;'[1]Methods write-up'!$R$17,'[1]observations-276632'!X654&gt;'[1]Methods write-up'!$S$17,'[1]observations-276632'!X654&lt;'[1]Methods write-up'!$T$17),"Equatorial tropical forest","")</f>
        <v/>
      </c>
      <c r="AZ654" s="22" t="str">
        <f>IF(AND('[1]observations-276632'!W654&gt;'[1]Methods write-up'!$Q$18,'[1]observations-276632'!W654&lt;'[1]Methods write-up'!$R$18,'[1]observations-276632'!X654&gt;'[1]Methods write-up'!$S$18,'[1]observations-276632'!X654&lt;'[1]Methods write-up'!$T$18),"Somali peninsula","")</f>
        <v/>
      </c>
      <c r="BA654" s="22" t="str">
        <f>IF(AND('[1]observations-276632'!W654&gt;'[1]Methods write-up'!$Q$19,'[1]observations-276632'!W654&lt;'[1]Methods write-up'!$R$19,'[1]observations-276632'!X654&gt;'[1]Methods write-up'!$S$19,'[1]observations-276632'!X654&lt;'[1]Methods write-up'!$T$19),"East Africa","")</f>
        <v/>
      </c>
      <c r="BB654" s="22" t="str">
        <f>IF(AND('[1]observations-276632'!W654&gt;'[1]Methods write-up'!$Q$20,'[1]observations-276632'!W654&lt;'[1]Methods write-up'!$R$20,'[1]observations-276632'!X654&gt;'[1]Methods write-up'!$S$20,'[1]observations-276632'!X654&lt;'[1]Methods write-up'!$T$20),"Temperate seasonal","")</f>
        <v/>
      </c>
      <c r="BC654" s="22" t="str">
        <f>IF(AND('[1]observations-276632'!W654&gt;'[1]Methods write-up'!$Q$21,'[1]observations-276632'!W654&lt;'[1]Methods write-up'!$R$21,'[1]observations-276632'!X654&gt;'[1]Methods write-up'!$S$21,'[1]observations-276632'!X654&lt;'[1]Methods write-up'!$T$21),"Desert and high aridity","")</f>
        <v/>
      </c>
      <c r="BD654" s="23" t="str">
        <f t="shared" si="46"/>
        <v>West and Central Africa</v>
      </c>
      <c r="BE654" s="24">
        <f t="shared" si="44"/>
        <v>10</v>
      </c>
      <c r="BF654" s="24">
        <f t="shared" si="45"/>
        <v>1</v>
      </c>
    </row>
    <row r="655" spans="1:58" ht="16.25" customHeight="1" x14ac:dyDescent="0.2">
      <c r="A655">
        <v>69710817</v>
      </c>
      <c r="B655" t="s">
        <v>4864</v>
      </c>
      <c r="C655" s="14">
        <v>44241</v>
      </c>
      <c r="D655" t="s">
        <v>4865</v>
      </c>
      <c r="E655" t="s">
        <v>113</v>
      </c>
      <c r="F655">
        <v>3465995</v>
      </c>
      <c r="G655" t="s">
        <v>4866</v>
      </c>
      <c r="H655" t="s">
        <v>4867</v>
      </c>
      <c r="I655" t="s">
        <v>4868</v>
      </c>
      <c r="J655" t="s">
        <v>4869</v>
      </c>
      <c r="K655" t="s">
        <v>62</v>
      </c>
      <c r="L655" t="s">
        <v>63</v>
      </c>
      <c r="M655" t="s">
        <v>4870</v>
      </c>
      <c r="N655" t="s">
        <v>4871</v>
      </c>
      <c r="R655">
        <v>2</v>
      </c>
      <c r="S655">
        <v>0</v>
      </c>
      <c r="T655" t="b">
        <v>0</v>
      </c>
      <c r="V655" t="s">
        <v>4872</v>
      </c>
      <c r="W655" s="15">
        <v>-20.66333333</v>
      </c>
      <c r="X655" s="15">
        <v>28.733333330000001</v>
      </c>
      <c r="Y655">
        <v>5126</v>
      </c>
      <c r="AC655">
        <v>5126</v>
      </c>
      <c r="AF655" t="b">
        <v>0</v>
      </c>
      <c r="AI655" t="s">
        <v>71</v>
      </c>
      <c r="AJ655" t="s">
        <v>70</v>
      </c>
      <c r="AK655" t="s">
        <v>71</v>
      </c>
      <c r="AL655" t="s">
        <v>72</v>
      </c>
      <c r="AM655">
        <v>346053</v>
      </c>
      <c r="AO655" s="16" t="s">
        <v>73</v>
      </c>
      <c r="AP655" s="17" t="str">
        <f t="shared" si="43"/>
        <v>Off-nest female</v>
      </c>
      <c r="AX655" s="22" t="str">
        <f>IF(AND('[1]observations-276632'!W655&gt;'[1]Methods write-up'!$Q$16,'[1]observations-276632'!W655&lt;'[1]Methods write-up'!$R$16,'[1]observations-276632'!X655&gt;'[1]Methods write-up'!$S$16,'[1]observations-276632'!X655&lt;'[1]Methods write-up'!$T$16),"West and Central Africa","")</f>
        <v/>
      </c>
      <c r="AY655" s="22" t="str">
        <f>IF(AND('[1]observations-276632'!W655&gt;'[1]Methods write-up'!$Q$17,'[1]observations-276632'!W655&lt;'[1]Methods write-up'!$R$17,'[1]observations-276632'!X655&gt;'[1]Methods write-up'!$S$17,'[1]observations-276632'!X655&lt;'[1]Methods write-up'!$T$17),"Equatorial tropical forest","")</f>
        <v/>
      </c>
      <c r="AZ655" s="22" t="str">
        <f>IF(AND('[1]observations-276632'!W655&gt;'[1]Methods write-up'!$Q$18,'[1]observations-276632'!W655&lt;'[1]Methods write-up'!$R$18,'[1]observations-276632'!X655&gt;'[1]Methods write-up'!$S$18,'[1]observations-276632'!X655&lt;'[1]Methods write-up'!$T$18),"Somali peninsula","")</f>
        <v/>
      </c>
      <c r="BA655" s="22" t="str">
        <f>IF(AND('[1]observations-276632'!W655&gt;'[1]Methods write-up'!$Q$19,'[1]observations-276632'!W655&lt;'[1]Methods write-up'!$R$19,'[1]observations-276632'!X655&gt;'[1]Methods write-up'!$S$19,'[1]observations-276632'!X655&lt;'[1]Methods write-up'!$T$19),"East Africa","")</f>
        <v/>
      </c>
      <c r="BB655" s="22" t="str">
        <f>IF(AND('[1]observations-276632'!W655&gt;'[1]Methods write-up'!$Q$20,'[1]observations-276632'!W655&lt;'[1]Methods write-up'!$R$20,'[1]observations-276632'!X655&gt;'[1]Methods write-up'!$S$20,'[1]observations-276632'!X655&lt;'[1]Methods write-up'!$T$20),"Temperate seasonal","")</f>
        <v/>
      </c>
      <c r="BC655" s="22" t="str">
        <f>IF(AND('[1]observations-276632'!W655&gt;'[1]Methods write-up'!$Q$21,'[1]observations-276632'!W655&lt;'[1]Methods write-up'!$R$21,'[1]observations-276632'!X655&gt;'[1]Methods write-up'!$S$21,'[1]observations-276632'!X655&lt;'[1]Methods write-up'!$T$21),"Desert and high aridity","")</f>
        <v/>
      </c>
      <c r="BD655" s="23" t="str">
        <f t="shared" si="46"/>
        <v/>
      </c>
      <c r="BE655" s="24">
        <f t="shared" si="44"/>
        <v>14</v>
      </c>
      <c r="BF655" s="24">
        <f t="shared" si="45"/>
        <v>2</v>
      </c>
    </row>
    <row r="656" spans="1:58" ht="16.25" customHeight="1" x14ac:dyDescent="0.2">
      <c r="A656">
        <v>69763245</v>
      </c>
      <c r="B656" t="s">
        <v>4873</v>
      </c>
      <c r="C656" s="14">
        <v>43189</v>
      </c>
      <c r="D656" t="s">
        <v>4874</v>
      </c>
      <c r="E656" t="s">
        <v>1408</v>
      </c>
      <c r="F656">
        <v>1636096</v>
      </c>
      <c r="G656" t="s">
        <v>4875</v>
      </c>
      <c r="H656" t="s">
        <v>4876</v>
      </c>
      <c r="I656" t="s">
        <v>4877</v>
      </c>
      <c r="J656" t="s">
        <v>4878</v>
      </c>
      <c r="K656" t="s">
        <v>62</v>
      </c>
      <c r="L656" t="s">
        <v>63</v>
      </c>
      <c r="M656" t="s">
        <v>4879</v>
      </c>
      <c r="N656" t="s">
        <v>4880</v>
      </c>
      <c r="R656">
        <v>2</v>
      </c>
      <c r="S656">
        <v>0</v>
      </c>
      <c r="T656" t="b">
        <v>0</v>
      </c>
      <c r="V656" t="s">
        <v>4881</v>
      </c>
      <c r="W656" s="15">
        <v>-25.539494399999999</v>
      </c>
      <c r="X656" s="15">
        <v>27.832358899999999</v>
      </c>
      <c r="Y656">
        <v>202</v>
      </c>
      <c r="AC656">
        <v>202</v>
      </c>
      <c r="AF656" t="b">
        <v>0</v>
      </c>
      <c r="AI656" t="s">
        <v>71</v>
      </c>
      <c r="AJ656" t="s">
        <v>70</v>
      </c>
      <c r="AK656" t="s">
        <v>71</v>
      </c>
      <c r="AL656" t="s">
        <v>72</v>
      </c>
      <c r="AM656">
        <v>346053</v>
      </c>
      <c r="AO656" s="16" t="s">
        <v>73</v>
      </c>
      <c r="AP656" s="17" t="str">
        <f t="shared" si="43"/>
        <v>Off-nest female</v>
      </c>
      <c r="AX656" s="22" t="str">
        <f>IF(AND('[1]observations-276632'!W656&gt;'[1]Methods write-up'!$Q$16,'[1]observations-276632'!W656&lt;'[1]Methods write-up'!$R$16,'[1]observations-276632'!X656&gt;'[1]Methods write-up'!$S$16,'[1]observations-276632'!X656&lt;'[1]Methods write-up'!$T$16),"West and Central Africa","")</f>
        <v/>
      </c>
      <c r="AY656" s="22" t="str">
        <f>IF(AND('[1]observations-276632'!W656&gt;'[1]Methods write-up'!$Q$17,'[1]observations-276632'!W656&lt;'[1]Methods write-up'!$R$17,'[1]observations-276632'!X656&gt;'[1]Methods write-up'!$S$17,'[1]observations-276632'!X656&lt;'[1]Methods write-up'!$T$17),"Equatorial tropical forest","")</f>
        <v/>
      </c>
      <c r="AZ656" s="22" t="str">
        <f>IF(AND('[1]observations-276632'!W656&gt;'[1]Methods write-up'!$Q$18,'[1]observations-276632'!W656&lt;'[1]Methods write-up'!$R$18,'[1]observations-276632'!X656&gt;'[1]Methods write-up'!$S$18,'[1]observations-276632'!X656&lt;'[1]Methods write-up'!$T$18),"Somali peninsula","")</f>
        <v/>
      </c>
      <c r="BA656" s="22" t="str">
        <f>IF(AND('[1]observations-276632'!W656&gt;'[1]Methods write-up'!$Q$19,'[1]observations-276632'!W656&lt;'[1]Methods write-up'!$R$19,'[1]observations-276632'!X656&gt;'[1]Methods write-up'!$S$19,'[1]observations-276632'!X656&lt;'[1]Methods write-up'!$T$19),"East Africa","")</f>
        <v/>
      </c>
      <c r="BB656" s="22" t="str">
        <f>IF(AND('[1]observations-276632'!W656&gt;'[1]Methods write-up'!$Q$20,'[1]observations-276632'!W656&lt;'[1]Methods write-up'!$R$20,'[1]observations-276632'!X656&gt;'[1]Methods write-up'!$S$20,'[1]observations-276632'!X656&lt;'[1]Methods write-up'!$T$20),"Temperate seasonal","")</f>
        <v>Temperate seasonal</v>
      </c>
      <c r="BC656" s="22" t="str">
        <f>IF(AND('[1]observations-276632'!W656&gt;'[1]Methods write-up'!$Q$21,'[1]observations-276632'!W656&lt;'[1]Methods write-up'!$R$21,'[1]observations-276632'!X656&gt;'[1]Methods write-up'!$S$21,'[1]observations-276632'!X656&lt;'[1]Methods write-up'!$T$21),"Desert and high aridity","")</f>
        <v/>
      </c>
      <c r="BD656" s="23" t="str">
        <f t="shared" si="46"/>
        <v>Temperate seasonal</v>
      </c>
      <c r="BE656" s="24">
        <f t="shared" si="44"/>
        <v>30</v>
      </c>
      <c r="BF656" s="24">
        <f t="shared" si="45"/>
        <v>3</v>
      </c>
    </row>
    <row r="657" spans="1:58" ht="16.25" customHeight="1" x14ac:dyDescent="0.2">
      <c r="A657">
        <v>69764214</v>
      </c>
      <c r="B657" s="13">
        <v>44245</v>
      </c>
      <c r="C657" s="14">
        <v>44245</v>
      </c>
      <c r="E657" t="s">
        <v>2921</v>
      </c>
      <c r="F657">
        <v>4029686</v>
      </c>
      <c r="G657" t="s">
        <v>4882</v>
      </c>
      <c r="I657" t="s">
        <v>4883</v>
      </c>
      <c r="J657" t="s">
        <v>4884</v>
      </c>
      <c r="K657" t="s">
        <v>62</v>
      </c>
      <c r="L657" t="s">
        <v>63</v>
      </c>
      <c r="M657" t="s">
        <v>4885</v>
      </c>
      <c r="N657" t="s">
        <v>4886</v>
      </c>
      <c r="Q657" t="s">
        <v>4887</v>
      </c>
      <c r="R657">
        <v>4</v>
      </c>
      <c r="S657">
        <v>0</v>
      </c>
      <c r="T657" t="b">
        <v>0</v>
      </c>
      <c r="U657">
        <v>2</v>
      </c>
      <c r="V657" t="s">
        <v>4888</v>
      </c>
      <c r="W657" s="15">
        <v>-34.020869689999998</v>
      </c>
      <c r="X657" s="15">
        <v>18.368263880000001</v>
      </c>
      <c r="Y657">
        <v>4243</v>
      </c>
      <c r="AC657">
        <v>4243</v>
      </c>
      <c r="AF657" t="b">
        <v>0</v>
      </c>
      <c r="AG657" t="s">
        <v>350</v>
      </c>
      <c r="AH657" t="s">
        <v>350</v>
      </c>
      <c r="AI657" t="s">
        <v>71</v>
      </c>
      <c r="AJ657" t="s">
        <v>70</v>
      </c>
      <c r="AK657" t="s">
        <v>71</v>
      </c>
      <c r="AL657" t="s">
        <v>72</v>
      </c>
      <c r="AM657">
        <v>346053</v>
      </c>
      <c r="AO657" s="16" t="s">
        <v>140</v>
      </c>
      <c r="AP657" s="17" t="str">
        <f t="shared" si="43"/>
        <v>Post-emergence nest</v>
      </c>
      <c r="AQ657" s="18">
        <v>3</v>
      </c>
      <c r="AT657" s="19" t="s">
        <v>104</v>
      </c>
      <c r="AU657" s="20" t="s">
        <v>104</v>
      </c>
      <c r="AX657" s="22" t="str">
        <f>IF(AND('[1]observations-276632'!W657&gt;'[1]Methods write-up'!$Q$16,'[1]observations-276632'!W657&lt;'[1]Methods write-up'!$R$16,'[1]observations-276632'!X657&gt;'[1]Methods write-up'!$S$16,'[1]observations-276632'!X657&lt;'[1]Methods write-up'!$T$16),"West and Central Africa","")</f>
        <v/>
      </c>
      <c r="AY657" s="22" t="str">
        <f>IF(AND('[1]observations-276632'!W657&gt;'[1]Methods write-up'!$Q$17,'[1]observations-276632'!W657&lt;'[1]Methods write-up'!$R$17,'[1]observations-276632'!X657&gt;'[1]Methods write-up'!$S$17,'[1]observations-276632'!X657&lt;'[1]Methods write-up'!$T$17),"Equatorial tropical forest","")</f>
        <v/>
      </c>
      <c r="AZ657" s="22" t="str">
        <f>IF(AND('[1]observations-276632'!W657&gt;'[1]Methods write-up'!$Q$18,'[1]observations-276632'!W657&lt;'[1]Methods write-up'!$R$18,'[1]observations-276632'!X657&gt;'[1]Methods write-up'!$S$18,'[1]observations-276632'!X657&lt;'[1]Methods write-up'!$T$18),"Somali peninsula","")</f>
        <v/>
      </c>
      <c r="BA657" s="22" t="str">
        <f>IF(AND('[1]observations-276632'!W657&gt;'[1]Methods write-up'!$Q$19,'[1]observations-276632'!W657&lt;'[1]Methods write-up'!$R$19,'[1]observations-276632'!X657&gt;'[1]Methods write-up'!$S$19,'[1]observations-276632'!X657&lt;'[1]Methods write-up'!$T$19),"East Africa","")</f>
        <v/>
      </c>
      <c r="BB657" s="22" t="str">
        <f>IF(AND('[1]observations-276632'!W657&gt;'[1]Methods write-up'!$Q$20,'[1]observations-276632'!W657&lt;'[1]Methods write-up'!$R$20,'[1]observations-276632'!X657&gt;'[1]Methods write-up'!$S$20,'[1]observations-276632'!X657&lt;'[1]Methods write-up'!$T$20),"Temperate seasonal","")</f>
        <v/>
      </c>
      <c r="BC657" s="22" t="str">
        <f>IF(AND('[1]observations-276632'!W657&gt;'[1]Methods write-up'!$Q$21,'[1]observations-276632'!W657&lt;'[1]Methods write-up'!$R$21,'[1]observations-276632'!X657&gt;'[1]Methods write-up'!$S$21,'[1]observations-276632'!X657&lt;'[1]Methods write-up'!$T$21),"Desert and high aridity","")</f>
        <v/>
      </c>
      <c r="BD657" s="23" t="str">
        <f t="shared" si="46"/>
        <v/>
      </c>
      <c r="BE657" s="24">
        <f t="shared" si="44"/>
        <v>18</v>
      </c>
      <c r="BF657" s="24">
        <f t="shared" si="45"/>
        <v>2</v>
      </c>
    </row>
    <row r="658" spans="1:58" ht="16.25" customHeight="1" x14ac:dyDescent="0.2">
      <c r="A658">
        <v>69805110</v>
      </c>
      <c r="B658" t="s">
        <v>4889</v>
      </c>
      <c r="C658" s="14">
        <v>43864</v>
      </c>
      <c r="D658" t="s">
        <v>4890</v>
      </c>
      <c r="E658" t="s">
        <v>113</v>
      </c>
      <c r="F658">
        <v>4023157</v>
      </c>
      <c r="G658" t="s">
        <v>4891</v>
      </c>
      <c r="H658" t="s">
        <v>4892</v>
      </c>
      <c r="I658" t="s">
        <v>4893</v>
      </c>
      <c r="J658" t="s">
        <v>4894</v>
      </c>
      <c r="K658" t="s">
        <v>62</v>
      </c>
      <c r="M658" t="s">
        <v>4895</v>
      </c>
      <c r="N658" t="s">
        <v>4896</v>
      </c>
      <c r="Q658" t="s">
        <v>4897</v>
      </c>
      <c r="R658">
        <v>4</v>
      </c>
      <c r="S658">
        <v>0</v>
      </c>
      <c r="T658" t="b">
        <v>0</v>
      </c>
      <c r="U658">
        <v>2</v>
      </c>
      <c r="V658" t="s">
        <v>4898</v>
      </c>
      <c r="W658" s="15">
        <v>-25.79744492</v>
      </c>
      <c r="X658" s="15">
        <v>28.298322670000001</v>
      </c>
      <c r="Y658">
        <v>200</v>
      </c>
      <c r="AC658">
        <v>200</v>
      </c>
      <c r="AF658" t="b">
        <v>0</v>
      </c>
      <c r="AG658" t="s">
        <v>350</v>
      </c>
      <c r="AH658" t="s">
        <v>350</v>
      </c>
      <c r="AI658" t="s">
        <v>71</v>
      </c>
      <c r="AJ658" t="s">
        <v>70</v>
      </c>
      <c r="AK658" t="s">
        <v>71</v>
      </c>
      <c r="AL658" t="s">
        <v>72</v>
      </c>
      <c r="AM658">
        <v>346053</v>
      </c>
      <c r="AO658" s="16" t="s">
        <v>110</v>
      </c>
      <c r="AP658" s="17" t="str">
        <f t="shared" si="43"/>
        <v>Nest (foundress)</v>
      </c>
      <c r="AQ658" s="18">
        <v>1</v>
      </c>
      <c r="AT658" s="19" t="s">
        <v>104</v>
      </c>
      <c r="AX658" s="22" t="str">
        <f>IF(AND('[1]observations-276632'!W658&gt;'[1]Methods write-up'!$Q$16,'[1]observations-276632'!W658&lt;'[1]Methods write-up'!$R$16,'[1]observations-276632'!X658&gt;'[1]Methods write-up'!$S$16,'[1]observations-276632'!X658&lt;'[1]Methods write-up'!$T$16),"West and Central Africa","")</f>
        <v/>
      </c>
      <c r="AY658" s="22" t="str">
        <f>IF(AND('[1]observations-276632'!W658&gt;'[1]Methods write-up'!$Q$17,'[1]observations-276632'!W658&lt;'[1]Methods write-up'!$R$17,'[1]observations-276632'!X658&gt;'[1]Methods write-up'!$S$17,'[1]observations-276632'!X658&lt;'[1]Methods write-up'!$T$17),"Equatorial tropical forest","")</f>
        <v/>
      </c>
      <c r="AZ658" s="22" t="str">
        <f>IF(AND('[1]observations-276632'!W658&gt;'[1]Methods write-up'!$Q$18,'[1]observations-276632'!W658&lt;'[1]Methods write-up'!$R$18,'[1]observations-276632'!X658&gt;'[1]Methods write-up'!$S$18,'[1]observations-276632'!X658&lt;'[1]Methods write-up'!$T$18),"Somali peninsula","")</f>
        <v/>
      </c>
      <c r="BA658" s="22" t="str">
        <f>IF(AND('[1]observations-276632'!W658&gt;'[1]Methods write-up'!$Q$19,'[1]observations-276632'!W658&lt;'[1]Methods write-up'!$R$19,'[1]observations-276632'!X658&gt;'[1]Methods write-up'!$S$19,'[1]observations-276632'!X658&lt;'[1]Methods write-up'!$T$19),"East Africa","")</f>
        <v/>
      </c>
      <c r="BB658" s="22" t="str">
        <f>IF(AND('[1]observations-276632'!W658&gt;'[1]Methods write-up'!$Q$20,'[1]observations-276632'!W658&lt;'[1]Methods write-up'!$R$20,'[1]observations-276632'!X658&gt;'[1]Methods write-up'!$S$20,'[1]observations-276632'!X658&lt;'[1]Methods write-up'!$T$20),"Temperate seasonal","")</f>
        <v>Temperate seasonal</v>
      </c>
      <c r="BC658" s="22" t="str">
        <f>IF(AND('[1]observations-276632'!W658&gt;'[1]Methods write-up'!$Q$21,'[1]observations-276632'!W658&lt;'[1]Methods write-up'!$R$21,'[1]observations-276632'!X658&gt;'[1]Methods write-up'!$S$21,'[1]observations-276632'!X658&lt;'[1]Methods write-up'!$T$21),"Desert and high aridity","")</f>
        <v/>
      </c>
      <c r="BD658" s="23" t="str">
        <f t="shared" si="46"/>
        <v>Temperate seasonal</v>
      </c>
      <c r="BE658" s="24">
        <f t="shared" si="44"/>
        <v>3</v>
      </c>
      <c r="BF658" s="24">
        <f t="shared" si="45"/>
        <v>2</v>
      </c>
    </row>
    <row r="659" spans="1:58" ht="16.25" customHeight="1" x14ac:dyDescent="0.2">
      <c r="A659">
        <v>69894587</v>
      </c>
      <c r="B659" t="s">
        <v>4899</v>
      </c>
      <c r="C659" s="14">
        <v>43022</v>
      </c>
      <c r="D659" t="s">
        <v>4900</v>
      </c>
      <c r="E659" t="s">
        <v>93</v>
      </c>
      <c r="F659">
        <v>691225</v>
      </c>
      <c r="G659" t="s">
        <v>4901</v>
      </c>
      <c r="H659" t="s">
        <v>4902</v>
      </c>
      <c r="I659" t="s">
        <v>4903</v>
      </c>
      <c r="J659" t="s">
        <v>4904</v>
      </c>
      <c r="K659" t="s">
        <v>62</v>
      </c>
      <c r="M659" t="s">
        <v>4905</v>
      </c>
      <c r="N659" t="s">
        <v>4906</v>
      </c>
      <c r="R659">
        <v>1</v>
      </c>
      <c r="S659">
        <v>0</v>
      </c>
      <c r="T659" t="b">
        <v>0</v>
      </c>
      <c r="V659" t="s">
        <v>4907</v>
      </c>
      <c r="W659" s="15">
        <v>-6.4507980109999998</v>
      </c>
      <c r="X659" s="15">
        <v>38.920936269999999</v>
      </c>
      <c r="Y659">
        <v>4</v>
      </c>
      <c r="AC659">
        <v>4</v>
      </c>
      <c r="AF659" t="b">
        <v>0</v>
      </c>
      <c r="AI659" t="s">
        <v>71</v>
      </c>
      <c r="AJ659" t="s">
        <v>70</v>
      </c>
      <c r="AK659" t="s">
        <v>71</v>
      </c>
      <c r="AL659" t="s">
        <v>72</v>
      </c>
      <c r="AM659">
        <v>346053</v>
      </c>
      <c r="AO659" s="16" t="s">
        <v>140</v>
      </c>
      <c r="AP659" s="17" t="str">
        <f t="shared" si="43"/>
        <v>Post-emergence nest</v>
      </c>
      <c r="AQ659" s="18">
        <v>4</v>
      </c>
      <c r="AT659" s="19" t="s">
        <v>141</v>
      </c>
      <c r="AU659" s="20" t="s">
        <v>104</v>
      </c>
      <c r="AX659" s="22" t="str">
        <f>IF(AND('[1]observations-276632'!W659&gt;'[1]Methods write-up'!$Q$16,'[1]observations-276632'!W659&lt;'[1]Methods write-up'!$R$16,'[1]observations-276632'!X659&gt;'[1]Methods write-up'!$S$16,'[1]observations-276632'!X659&lt;'[1]Methods write-up'!$T$16),"West and Central Africa","")</f>
        <v/>
      </c>
      <c r="AY659" s="22" t="str">
        <f>IF(AND('[1]observations-276632'!W659&gt;'[1]Methods write-up'!$Q$17,'[1]observations-276632'!W659&lt;'[1]Methods write-up'!$R$17,'[1]observations-276632'!X659&gt;'[1]Methods write-up'!$S$17,'[1]observations-276632'!X659&lt;'[1]Methods write-up'!$T$17),"Equatorial tropical forest","")</f>
        <v/>
      </c>
      <c r="AZ659" s="22" t="str">
        <f>IF(AND('[1]observations-276632'!W659&gt;'[1]Methods write-up'!$Q$18,'[1]observations-276632'!W659&lt;'[1]Methods write-up'!$R$18,'[1]observations-276632'!X659&gt;'[1]Methods write-up'!$S$18,'[1]observations-276632'!X659&lt;'[1]Methods write-up'!$T$18),"Somali peninsula","")</f>
        <v/>
      </c>
      <c r="BA659" s="22" t="str">
        <f>IF(AND('[1]observations-276632'!W659&gt;'[1]Methods write-up'!$Q$19,'[1]observations-276632'!W659&lt;'[1]Methods write-up'!$R$19,'[1]observations-276632'!X659&gt;'[1]Methods write-up'!$S$19,'[1]observations-276632'!X659&lt;'[1]Methods write-up'!$T$19),"East Africa","")</f>
        <v>East Africa</v>
      </c>
      <c r="BB659" s="22" t="str">
        <f>IF(AND('[1]observations-276632'!W659&gt;'[1]Methods write-up'!$Q$20,'[1]observations-276632'!W659&lt;'[1]Methods write-up'!$R$20,'[1]observations-276632'!X659&gt;'[1]Methods write-up'!$S$20,'[1]observations-276632'!X659&lt;'[1]Methods write-up'!$T$20),"Temperate seasonal","")</f>
        <v/>
      </c>
      <c r="BC659" s="22" t="str">
        <f>IF(AND('[1]observations-276632'!W659&gt;'[1]Methods write-up'!$Q$21,'[1]observations-276632'!W659&lt;'[1]Methods write-up'!$R$21,'[1]observations-276632'!X659&gt;'[1]Methods write-up'!$S$21,'[1]observations-276632'!X659&lt;'[1]Methods write-up'!$T$21),"Desert and high aridity","")</f>
        <v/>
      </c>
      <c r="BD659" s="23" t="str">
        <f t="shared" si="46"/>
        <v>East Africa</v>
      </c>
      <c r="BE659" s="24">
        <f t="shared" si="44"/>
        <v>14</v>
      </c>
      <c r="BF659" s="24">
        <f t="shared" si="45"/>
        <v>10</v>
      </c>
    </row>
    <row r="660" spans="1:58" ht="16.25" customHeight="1" x14ac:dyDescent="0.2">
      <c r="A660">
        <v>69906507</v>
      </c>
      <c r="B660" t="s">
        <v>4908</v>
      </c>
      <c r="C660" s="14">
        <v>44240</v>
      </c>
      <c r="D660" t="s">
        <v>4909</v>
      </c>
      <c r="E660" t="s">
        <v>93</v>
      </c>
      <c r="F660">
        <v>32124</v>
      </c>
      <c r="G660" t="s">
        <v>85</v>
      </c>
      <c r="H660" t="s">
        <v>86</v>
      </c>
      <c r="I660" t="s">
        <v>4910</v>
      </c>
      <c r="J660" t="s">
        <v>4911</v>
      </c>
      <c r="K660" t="s">
        <v>62</v>
      </c>
      <c r="L660" t="s">
        <v>63</v>
      </c>
      <c r="M660" t="s">
        <v>4912</v>
      </c>
      <c r="N660" t="s">
        <v>4913</v>
      </c>
      <c r="R660">
        <v>2</v>
      </c>
      <c r="S660">
        <v>0</v>
      </c>
      <c r="T660" t="b">
        <v>0</v>
      </c>
      <c r="V660" t="s">
        <v>4914</v>
      </c>
      <c r="W660" s="15">
        <v>-3.3800482129999998</v>
      </c>
      <c r="X660" s="15">
        <v>36.698151449999997</v>
      </c>
      <c r="Y660">
        <v>31</v>
      </c>
      <c r="AC660">
        <v>31</v>
      </c>
      <c r="AF660" t="b">
        <v>0</v>
      </c>
      <c r="AI660" t="s">
        <v>71</v>
      </c>
      <c r="AJ660" t="s">
        <v>70</v>
      </c>
      <c r="AK660" t="s">
        <v>71</v>
      </c>
      <c r="AL660" t="s">
        <v>72</v>
      </c>
      <c r="AM660">
        <v>346053</v>
      </c>
      <c r="AO660" s="16" t="s">
        <v>140</v>
      </c>
      <c r="AP660" s="17" t="str">
        <f t="shared" si="43"/>
        <v>Post-emergence nest</v>
      </c>
      <c r="AQ660" s="18">
        <v>3</v>
      </c>
      <c r="AT660" s="19" t="s">
        <v>141</v>
      </c>
      <c r="AU660" s="20" t="s">
        <v>104</v>
      </c>
      <c r="AX660" s="22" t="str">
        <f>IF(AND('[1]observations-276632'!W660&gt;'[1]Methods write-up'!$Q$16,'[1]observations-276632'!W660&lt;'[1]Methods write-up'!$R$16,'[1]observations-276632'!X660&gt;'[1]Methods write-up'!$S$16,'[1]observations-276632'!X660&lt;'[1]Methods write-up'!$T$16),"West and Central Africa","")</f>
        <v/>
      </c>
      <c r="AY660" s="22" t="str">
        <f>IF(AND('[1]observations-276632'!W660&gt;'[1]Methods write-up'!$Q$17,'[1]observations-276632'!W660&lt;'[1]Methods write-up'!$R$17,'[1]observations-276632'!X660&gt;'[1]Methods write-up'!$S$17,'[1]observations-276632'!X660&lt;'[1]Methods write-up'!$T$17),"Equatorial tropical forest","")</f>
        <v/>
      </c>
      <c r="AZ660" s="22" t="str">
        <f>IF(AND('[1]observations-276632'!W660&gt;'[1]Methods write-up'!$Q$18,'[1]observations-276632'!W660&lt;'[1]Methods write-up'!$R$18,'[1]observations-276632'!X660&gt;'[1]Methods write-up'!$S$18,'[1]observations-276632'!X660&lt;'[1]Methods write-up'!$T$18),"Somali peninsula","")</f>
        <v/>
      </c>
      <c r="BA660" s="22" t="str">
        <f>IF(AND('[1]observations-276632'!W660&gt;'[1]Methods write-up'!$Q$19,'[1]observations-276632'!W660&lt;'[1]Methods write-up'!$R$19,'[1]observations-276632'!X660&gt;'[1]Methods write-up'!$S$19,'[1]observations-276632'!X660&lt;'[1]Methods write-up'!$T$19),"East Africa","")</f>
        <v>East Africa</v>
      </c>
      <c r="BB660" s="22" t="str">
        <f>IF(AND('[1]observations-276632'!W660&gt;'[1]Methods write-up'!$Q$20,'[1]observations-276632'!W660&lt;'[1]Methods write-up'!$R$20,'[1]observations-276632'!X660&gt;'[1]Methods write-up'!$S$20,'[1]observations-276632'!X660&lt;'[1]Methods write-up'!$T$20),"Temperate seasonal","")</f>
        <v/>
      </c>
      <c r="BC660" s="22" t="str">
        <f>IF(AND('[1]observations-276632'!W660&gt;'[1]Methods write-up'!$Q$21,'[1]observations-276632'!W660&lt;'[1]Methods write-up'!$R$21,'[1]observations-276632'!X660&gt;'[1]Methods write-up'!$S$21,'[1]observations-276632'!X660&lt;'[1]Methods write-up'!$T$21),"Desert and high aridity","")</f>
        <v/>
      </c>
      <c r="BD660" s="23" t="str">
        <f t="shared" si="46"/>
        <v>East Africa</v>
      </c>
      <c r="BE660" s="24">
        <f t="shared" si="44"/>
        <v>13</v>
      </c>
      <c r="BF660" s="24">
        <f t="shared" si="45"/>
        <v>2</v>
      </c>
    </row>
    <row r="661" spans="1:58" ht="16.25" customHeight="1" x14ac:dyDescent="0.2">
      <c r="A661">
        <v>69916050</v>
      </c>
      <c r="B661" t="s">
        <v>4915</v>
      </c>
      <c r="C661" s="14">
        <v>44243</v>
      </c>
      <c r="D661" t="s">
        <v>4916</v>
      </c>
      <c r="E661" t="s">
        <v>84</v>
      </c>
      <c r="F661">
        <v>1300761</v>
      </c>
      <c r="G661" t="s">
        <v>4917</v>
      </c>
      <c r="I661" t="s">
        <v>4918</v>
      </c>
      <c r="J661" t="s">
        <v>4919</v>
      </c>
      <c r="K661" t="s">
        <v>62</v>
      </c>
      <c r="L661" t="s">
        <v>63</v>
      </c>
      <c r="M661" t="s">
        <v>4920</v>
      </c>
      <c r="N661" t="s">
        <v>4921</v>
      </c>
      <c r="R661">
        <v>2</v>
      </c>
      <c r="S661">
        <v>0</v>
      </c>
      <c r="T661" t="b">
        <v>0</v>
      </c>
      <c r="U661">
        <v>3</v>
      </c>
      <c r="V661" t="s">
        <v>4922</v>
      </c>
      <c r="W661" s="15">
        <v>-7.6862197339999998</v>
      </c>
      <c r="X661" s="15">
        <v>34.651346050000001</v>
      </c>
      <c r="Y661">
        <v>68</v>
      </c>
      <c r="AC661">
        <v>68</v>
      </c>
      <c r="AF661" t="b">
        <v>0</v>
      </c>
      <c r="AI661" t="s">
        <v>71</v>
      </c>
      <c r="AJ661" t="s">
        <v>70</v>
      </c>
      <c r="AK661" t="s">
        <v>71</v>
      </c>
      <c r="AL661" t="s">
        <v>72</v>
      </c>
      <c r="AM661">
        <v>346053</v>
      </c>
      <c r="AO661" s="16" t="s">
        <v>73</v>
      </c>
      <c r="AP661" s="17" t="str">
        <f t="shared" si="43"/>
        <v>Off-nest female</v>
      </c>
      <c r="AX661" s="22" t="str">
        <f>IF(AND('[1]observations-276632'!W661&gt;'[1]Methods write-up'!$Q$16,'[1]observations-276632'!W661&lt;'[1]Methods write-up'!$R$16,'[1]observations-276632'!X661&gt;'[1]Methods write-up'!$S$16,'[1]observations-276632'!X661&lt;'[1]Methods write-up'!$T$16),"West and Central Africa","")</f>
        <v/>
      </c>
      <c r="AY661" s="22" t="str">
        <f>IF(AND('[1]observations-276632'!W661&gt;'[1]Methods write-up'!$Q$17,'[1]observations-276632'!W661&lt;'[1]Methods write-up'!$R$17,'[1]observations-276632'!X661&gt;'[1]Methods write-up'!$S$17,'[1]observations-276632'!X661&lt;'[1]Methods write-up'!$T$17),"Equatorial tropical forest","")</f>
        <v/>
      </c>
      <c r="AZ661" s="22" t="str">
        <f>IF(AND('[1]observations-276632'!W661&gt;'[1]Methods write-up'!$Q$18,'[1]observations-276632'!W661&lt;'[1]Methods write-up'!$R$18,'[1]observations-276632'!X661&gt;'[1]Methods write-up'!$S$18,'[1]observations-276632'!X661&lt;'[1]Methods write-up'!$T$18),"Somali peninsula","")</f>
        <v/>
      </c>
      <c r="BA661" s="22" t="str">
        <f>IF(AND('[1]observations-276632'!W661&gt;'[1]Methods write-up'!$Q$19,'[1]observations-276632'!W661&lt;'[1]Methods write-up'!$R$19,'[1]observations-276632'!X661&gt;'[1]Methods write-up'!$S$19,'[1]observations-276632'!X661&lt;'[1]Methods write-up'!$T$19),"East Africa","")</f>
        <v>East Africa</v>
      </c>
      <c r="BB661" s="22" t="str">
        <f>IF(AND('[1]observations-276632'!W661&gt;'[1]Methods write-up'!$Q$20,'[1]observations-276632'!W661&lt;'[1]Methods write-up'!$R$20,'[1]observations-276632'!X661&gt;'[1]Methods write-up'!$S$20,'[1]observations-276632'!X661&lt;'[1]Methods write-up'!$T$20),"Temperate seasonal","")</f>
        <v/>
      </c>
      <c r="BC661" s="22" t="str">
        <f>IF(AND('[1]observations-276632'!W661&gt;'[1]Methods write-up'!$Q$21,'[1]observations-276632'!W661&lt;'[1]Methods write-up'!$R$21,'[1]observations-276632'!X661&gt;'[1]Methods write-up'!$S$21,'[1]observations-276632'!X661&lt;'[1]Methods write-up'!$T$21),"Desert and high aridity","")</f>
        <v/>
      </c>
      <c r="BD661" s="23" t="str">
        <f t="shared" si="46"/>
        <v>East Africa</v>
      </c>
      <c r="BE661" s="24">
        <f t="shared" si="44"/>
        <v>16</v>
      </c>
      <c r="BF661" s="24">
        <f t="shared" si="45"/>
        <v>2</v>
      </c>
    </row>
    <row r="662" spans="1:58" ht="16.25" customHeight="1" x14ac:dyDescent="0.2">
      <c r="A662">
        <v>69918050</v>
      </c>
      <c r="B662" t="s">
        <v>4923</v>
      </c>
      <c r="C662" s="14">
        <v>44248</v>
      </c>
      <c r="D662" t="s">
        <v>4924</v>
      </c>
      <c r="E662" t="s">
        <v>113</v>
      </c>
      <c r="F662">
        <v>3974309</v>
      </c>
      <c r="G662" t="s">
        <v>4925</v>
      </c>
      <c r="H662" t="s">
        <v>4926</v>
      </c>
      <c r="I662" t="s">
        <v>4927</v>
      </c>
      <c r="J662" t="s">
        <v>4928</v>
      </c>
      <c r="K662" t="s">
        <v>62</v>
      </c>
      <c r="L662" t="s">
        <v>63</v>
      </c>
      <c r="M662" t="s">
        <v>4929</v>
      </c>
      <c r="N662" t="s">
        <v>4930</v>
      </c>
      <c r="R662">
        <v>1</v>
      </c>
      <c r="S662">
        <v>0</v>
      </c>
      <c r="T662" t="b">
        <v>0</v>
      </c>
      <c r="U662">
        <v>3</v>
      </c>
      <c r="V662" t="s">
        <v>4931</v>
      </c>
      <c r="W662" s="15">
        <v>-15.96032522</v>
      </c>
      <c r="X662" s="15">
        <v>35.652821279999998</v>
      </c>
      <c r="Y662">
        <v>1294</v>
      </c>
      <c r="AC662">
        <v>1294</v>
      </c>
      <c r="AF662" t="b">
        <v>0</v>
      </c>
      <c r="AI662" t="s">
        <v>71</v>
      </c>
      <c r="AJ662" t="s">
        <v>70</v>
      </c>
      <c r="AK662" t="s">
        <v>71</v>
      </c>
      <c r="AL662" t="s">
        <v>72</v>
      </c>
      <c r="AM662">
        <v>346053</v>
      </c>
      <c r="AO662" s="16" t="s">
        <v>73</v>
      </c>
      <c r="AP662" s="17" t="str">
        <f t="shared" si="43"/>
        <v>Off-nest female</v>
      </c>
      <c r="AX662" s="22" t="str">
        <f>IF(AND('[1]observations-276632'!W662&gt;'[1]Methods write-up'!$Q$16,'[1]observations-276632'!W662&lt;'[1]Methods write-up'!$R$16,'[1]observations-276632'!X662&gt;'[1]Methods write-up'!$S$16,'[1]observations-276632'!X662&lt;'[1]Methods write-up'!$T$16),"West and Central Africa","")</f>
        <v/>
      </c>
      <c r="AY662" s="22" t="str">
        <f>IF(AND('[1]observations-276632'!W662&gt;'[1]Methods write-up'!$Q$17,'[1]observations-276632'!W662&lt;'[1]Methods write-up'!$R$17,'[1]observations-276632'!X662&gt;'[1]Methods write-up'!$S$17,'[1]observations-276632'!X662&lt;'[1]Methods write-up'!$T$17),"Equatorial tropical forest","")</f>
        <v/>
      </c>
      <c r="AZ662" s="22" t="str">
        <f>IF(AND('[1]observations-276632'!W662&gt;'[1]Methods write-up'!$Q$18,'[1]observations-276632'!W662&lt;'[1]Methods write-up'!$R$18,'[1]observations-276632'!X662&gt;'[1]Methods write-up'!$S$18,'[1]observations-276632'!X662&lt;'[1]Methods write-up'!$T$18),"Somali peninsula","")</f>
        <v/>
      </c>
      <c r="BA662" s="22" t="str">
        <f>IF(AND('[1]observations-276632'!W662&gt;'[1]Methods write-up'!$Q$19,'[1]observations-276632'!W662&lt;'[1]Methods write-up'!$R$19,'[1]observations-276632'!X662&gt;'[1]Methods write-up'!$S$19,'[1]observations-276632'!X662&lt;'[1]Methods write-up'!$T$19),"East Africa","")</f>
        <v/>
      </c>
      <c r="BB662" s="22" t="str">
        <f>IF(AND('[1]observations-276632'!W662&gt;'[1]Methods write-up'!$Q$20,'[1]observations-276632'!W662&lt;'[1]Methods write-up'!$R$20,'[1]observations-276632'!X662&gt;'[1]Methods write-up'!$S$20,'[1]observations-276632'!X662&lt;'[1]Methods write-up'!$T$20),"Temperate seasonal","")</f>
        <v/>
      </c>
      <c r="BC662" s="22" t="str">
        <f>IF(AND('[1]observations-276632'!W662&gt;'[1]Methods write-up'!$Q$21,'[1]observations-276632'!W662&lt;'[1]Methods write-up'!$R$21,'[1]observations-276632'!X662&gt;'[1]Methods write-up'!$S$21,'[1]observations-276632'!X662&lt;'[1]Methods write-up'!$T$21),"Desert and high aridity","")</f>
        <v/>
      </c>
      <c r="BD662" s="23" t="str">
        <f t="shared" si="46"/>
        <v/>
      </c>
      <c r="BE662" s="24">
        <f t="shared" si="44"/>
        <v>21</v>
      </c>
      <c r="BF662" s="24">
        <f t="shared" si="45"/>
        <v>2</v>
      </c>
    </row>
    <row r="663" spans="1:58" ht="16.25" customHeight="1" x14ac:dyDescent="0.2">
      <c r="A663">
        <v>69950483</v>
      </c>
      <c r="B663" t="s">
        <v>4932</v>
      </c>
      <c r="C663" s="14">
        <v>44248</v>
      </c>
      <c r="D663" t="s">
        <v>4933</v>
      </c>
      <c r="E663" t="s">
        <v>193</v>
      </c>
      <c r="F663">
        <v>3857722</v>
      </c>
      <c r="G663" t="s">
        <v>4422</v>
      </c>
      <c r="H663" t="s">
        <v>4423</v>
      </c>
      <c r="I663" t="s">
        <v>4934</v>
      </c>
      <c r="J663" t="s">
        <v>4935</v>
      </c>
      <c r="K663" t="s">
        <v>62</v>
      </c>
      <c r="L663" t="s">
        <v>63</v>
      </c>
      <c r="M663" t="s">
        <v>4936</v>
      </c>
      <c r="N663" t="s">
        <v>4937</v>
      </c>
      <c r="R663">
        <v>2</v>
      </c>
      <c r="S663">
        <v>0</v>
      </c>
      <c r="T663" t="b">
        <v>0</v>
      </c>
      <c r="U663">
        <v>3</v>
      </c>
      <c r="V663" t="s">
        <v>4730</v>
      </c>
      <c r="W663" s="15">
        <v>3.976536667</v>
      </c>
      <c r="X663" s="15">
        <v>11.603991669999999</v>
      </c>
      <c r="Y663">
        <v>4</v>
      </c>
      <c r="AC663">
        <v>4</v>
      </c>
      <c r="AF663" t="b">
        <v>0</v>
      </c>
      <c r="AI663" t="s">
        <v>71</v>
      </c>
      <c r="AJ663" t="s">
        <v>70</v>
      </c>
      <c r="AK663" t="s">
        <v>71</v>
      </c>
      <c r="AL663" t="s">
        <v>72</v>
      </c>
      <c r="AM663">
        <v>346053</v>
      </c>
      <c r="AO663" s="16" t="s">
        <v>140</v>
      </c>
      <c r="AP663" s="17" t="str">
        <f t="shared" si="43"/>
        <v>Post-emergence nest</v>
      </c>
      <c r="AQ663" s="18">
        <v>4</v>
      </c>
      <c r="AT663" s="19" t="s">
        <v>141</v>
      </c>
      <c r="AU663" s="20" t="s">
        <v>104</v>
      </c>
      <c r="AX663" s="22" t="str">
        <f>IF(AND('[1]observations-276632'!W663&gt;'[1]Methods write-up'!$Q$16,'[1]observations-276632'!W663&lt;'[1]Methods write-up'!$R$16,'[1]observations-276632'!X663&gt;'[1]Methods write-up'!$S$16,'[1]observations-276632'!X663&lt;'[1]Methods write-up'!$T$16),"West and Central Africa","")</f>
        <v>West and Central Africa</v>
      </c>
      <c r="AY663" s="22" t="str">
        <f>IF(AND('[1]observations-276632'!W663&gt;'[1]Methods write-up'!$Q$17,'[1]observations-276632'!W663&lt;'[1]Methods write-up'!$R$17,'[1]observations-276632'!X663&gt;'[1]Methods write-up'!$S$17,'[1]observations-276632'!X663&lt;'[1]Methods write-up'!$T$17),"Equatorial tropical forest","")</f>
        <v/>
      </c>
      <c r="AZ663" s="22" t="str">
        <f>IF(AND('[1]observations-276632'!W663&gt;'[1]Methods write-up'!$Q$18,'[1]observations-276632'!W663&lt;'[1]Methods write-up'!$R$18,'[1]observations-276632'!X663&gt;'[1]Methods write-up'!$S$18,'[1]observations-276632'!X663&lt;'[1]Methods write-up'!$T$18),"Somali peninsula","")</f>
        <v/>
      </c>
      <c r="BA663" s="22" t="str">
        <f>IF(AND('[1]observations-276632'!W663&gt;'[1]Methods write-up'!$Q$19,'[1]observations-276632'!W663&lt;'[1]Methods write-up'!$R$19,'[1]observations-276632'!X663&gt;'[1]Methods write-up'!$S$19,'[1]observations-276632'!X663&lt;'[1]Methods write-up'!$T$19),"East Africa","")</f>
        <v/>
      </c>
      <c r="BB663" s="22" t="str">
        <f>IF(AND('[1]observations-276632'!W663&gt;'[1]Methods write-up'!$Q$20,'[1]observations-276632'!W663&lt;'[1]Methods write-up'!$R$20,'[1]observations-276632'!X663&gt;'[1]Methods write-up'!$S$20,'[1]observations-276632'!X663&lt;'[1]Methods write-up'!$T$20),"Temperate seasonal","")</f>
        <v/>
      </c>
      <c r="BC663" s="22" t="str">
        <f>IF(AND('[1]observations-276632'!W663&gt;'[1]Methods write-up'!$Q$21,'[1]observations-276632'!W663&lt;'[1]Methods write-up'!$R$21,'[1]observations-276632'!X663&gt;'[1]Methods write-up'!$S$21,'[1]observations-276632'!X663&lt;'[1]Methods write-up'!$T$21),"Desert and high aridity","")</f>
        <v/>
      </c>
      <c r="BD663" s="23" t="str">
        <f t="shared" si="46"/>
        <v>West and Central Africa</v>
      </c>
      <c r="BE663" s="24">
        <f t="shared" si="44"/>
        <v>21</v>
      </c>
      <c r="BF663" s="24">
        <f t="shared" si="45"/>
        <v>2</v>
      </c>
    </row>
    <row r="664" spans="1:58" ht="16.25" customHeight="1" x14ac:dyDescent="0.2">
      <c r="A664">
        <v>70000997</v>
      </c>
      <c r="B664" t="s">
        <v>4938</v>
      </c>
      <c r="C664" s="14">
        <v>44246</v>
      </c>
      <c r="D664" t="s">
        <v>4939</v>
      </c>
      <c r="E664" t="s">
        <v>113</v>
      </c>
      <c r="F664">
        <v>4027290</v>
      </c>
      <c r="G664" t="s">
        <v>4940</v>
      </c>
      <c r="H664" t="s">
        <v>4940</v>
      </c>
      <c r="I664" t="s">
        <v>4941</v>
      </c>
      <c r="J664" t="s">
        <v>4942</v>
      </c>
      <c r="K664" t="s">
        <v>62</v>
      </c>
      <c r="L664" t="s">
        <v>63</v>
      </c>
      <c r="M664" t="s">
        <v>4943</v>
      </c>
      <c r="N664" t="s">
        <v>4944</v>
      </c>
      <c r="R664">
        <v>2</v>
      </c>
      <c r="S664">
        <v>0</v>
      </c>
      <c r="T664" t="b">
        <v>0</v>
      </c>
      <c r="U664">
        <v>2</v>
      </c>
      <c r="V664" t="s">
        <v>4723</v>
      </c>
      <c r="W664" s="15">
        <v>-34.117968500000003</v>
      </c>
      <c r="X664" s="15">
        <v>24.802904430000002</v>
      </c>
      <c r="Y664">
        <v>196</v>
      </c>
      <c r="AC664">
        <v>196</v>
      </c>
      <c r="AF664" t="b">
        <v>0</v>
      </c>
      <c r="AG664" t="s">
        <v>350</v>
      </c>
      <c r="AH664" t="s">
        <v>350</v>
      </c>
      <c r="AI664" t="s">
        <v>71</v>
      </c>
      <c r="AJ664" t="s">
        <v>70</v>
      </c>
      <c r="AK664" t="s">
        <v>71</v>
      </c>
      <c r="AL664" t="s">
        <v>72</v>
      </c>
      <c r="AM664">
        <v>346053</v>
      </c>
      <c r="AO664" s="16" t="s">
        <v>150</v>
      </c>
      <c r="AP664" s="17" t="str">
        <f t="shared" si="43"/>
        <v>Male (off nest)</v>
      </c>
      <c r="AX664" s="22" t="str">
        <f>IF(AND('[1]observations-276632'!W664&gt;'[1]Methods write-up'!$Q$16,'[1]observations-276632'!W664&lt;'[1]Methods write-up'!$R$16,'[1]observations-276632'!X664&gt;'[1]Methods write-up'!$S$16,'[1]observations-276632'!X664&lt;'[1]Methods write-up'!$T$16),"West and Central Africa","")</f>
        <v/>
      </c>
      <c r="AY664" s="22" t="str">
        <f>IF(AND('[1]observations-276632'!W664&gt;'[1]Methods write-up'!$Q$17,'[1]observations-276632'!W664&lt;'[1]Methods write-up'!$R$17,'[1]observations-276632'!X664&gt;'[1]Methods write-up'!$S$17,'[1]observations-276632'!X664&lt;'[1]Methods write-up'!$T$17),"Equatorial tropical forest","")</f>
        <v/>
      </c>
      <c r="AZ664" s="22" t="str">
        <f>IF(AND('[1]observations-276632'!W664&gt;'[1]Methods write-up'!$Q$18,'[1]observations-276632'!W664&lt;'[1]Methods write-up'!$R$18,'[1]observations-276632'!X664&gt;'[1]Methods write-up'!$S$18,'[1]observations-276632'!X664&lt;'[1]Methods write-up'!$T$18),"Somali peninsula","")</f>
        <v/>
      </c>
      <c r="BA664" s="22" t="str">
        <f>IF(AND('[1]observations-276632'!W664&gt;'[1]Methods write-up'!$Q$19,'[1]observations-276632'!W664&lt;'[1]Methods write-up'!$R$19,'[1]observations-276632'!X664&gt;'[1]Methods write-up'!$S$19,'[1]observations-276632'!X664&lt;'[1]Methods write-up'!$T$19),"East Africa","")</f>
        <v/>
      </c>
      <c r="BB664" s="22" t="str">
        <f>IF(AND('[1]observations-276632'!W664&gt;'[1]Methods write-up'!$Q$20,'[1]observations-276632'!W664&lt;'[1]Methods write-up'!$R$20,'[1]observations-276632'!X664&gt;'[1]Methods write-up'!$S$20,'[1]observations-276632'!X664&lt;'[1]Methods write-up'!$T$20),"Temperate seasonal","")</f>
        <v/>
      </c>
      <c r="BC664" s="22" t="str">
        <f>IF(AND('[1]observations-276632'!W664&gt;'[1]Methods write-up'!$Q$21,'[1]observations-276632'!W664&lt;'[1]Methods write-up'!$R$21,'[1]observations-276632'!X664&gt;'[1]Methods write-up'!$S$21,'[1]observations-276632'!X664&lt;'[1]Methods write-up'!$T$21),"Desert and high aridity","")</f>
        <v/>
      </c>
      <c r="BD664" s="23" t="str">
        <f t="shared" si="46"/>
        <v/>
      </c>
      <c r="BE664" s="24">
        <f t="shared" si="44"/>
        <v>19</v>
      </c>
      <c r="BF664" s="24">
        <f t="shared" si="45"/>
        <v>2</v>
      </c>
    </row>
    <row r="665" spans="1:58" ht="16.25" customHeight="1" x14ac:dyDescent="0.2">
      <c r="A665">
        <v>70023591</v>
      </c>
      <c r="B665" t="s">
        <v>4945</v>
      </c>
      <c r="C665" s="14">
        <v>44240</v>
      </c>
      <c r="D665" t="s">
        <v>4946</v>
      </c>
      <c r="E665" t="s">
        <v>93</v>
      </c>
      <c r="F665">
        <v>32124</v>
      </c>
      <c r="G665" t="s">
        <v>85</v>
      </c>
      <c r="H665" t="s">
        <v>86</v>
      </c>
      <c r="I665" t="s">
        <v>4947</v>
      </c>
      <c r="J665" t="s">
        <v>4948</v>
      </c>
      <c r="K665" t="s">
        <v>62</v>
      </c>
      <c r="L665" t="s">
        <v>63</v>
      </c>
      <c r="M665" t="s">
        <v>4949</v>
      </c>
      <c r="N665" t="s">
        <v>4950</v>
      </c>
      <c r="R665">
        <v>1</v>
      </c>
      <c r="S665">
        <v>0</v>
      </c>
      <c r="T665" t="b">
        <v>0</v>
      </c>
      <c r="V665" t="s">
        <v>4951</v>
      </c>
      <c r="W665" s="15">
        <v>-4.2203787119999996</v>
      </c>
      <c r="X665" s="15">
        <v>33.199707289999999</v>
      </c>
      <c r="Y665">
        <v>31</v>
      </c>
      <c r="AC665">
        <v>31</v>
      </c>
      <c r="AF665" t="b">
        <v>0</v>
      </c>
      <c r="AI665" t="s">
        <v>71</v>
      </c>
      <c r="AJ665" t="s">
        <v>70</v>
      </c>
      <c r="AK665" t="s">
        <v>71</v>
      </c>
      <c r="AL665" t="s">
        <v>72</v>
      </c>
      <c r="AM665">
        <v>346053</v>
      </c>
      <c r="AO665" s="16" t="s">
        <v>140</v>
      </c>
      <c r="AP665" s="17" t="str">
        <f t="shared" si="43"/>
        <v>Post-emergence nest</v>
      </c>
      <c r="AQ665" s="18">
        <v>7</v>
      </c>
      <c r="AT665" s="19" t="s">
        <v>141</v>
      </c>
      <c r="AU665" s="20" t="s">
        <v>104</v>
      </c>
      <c r="AX665" s="22" t="str">
        <f>IF(AND('[1]observations-276632'!W665&gt;'[1]Methods write-up'!$Q$16,'[1]observations-276632'!W665&lt;'[1]Methods write-up'!$R$16,'[1]observations-276632'!X665&gt;'[1]Methods write-up'!$S$16,'[1]observations-276632'!X665&lt;'[1]Methods write-up'!$T$16),"West and Central Africa","")</f>
        <v/>
      </c>
      <c r="AY665" s="22" t="str">
        <f>IF(AND('[1]observations-276632'!W665&gt;'[1]Methods write-up'!$Q$17,'[1]observations-276632'!W665&lt;'[1]Methods write-up'!$R$17,'[1]observations-276632'!X665&gt;'[1]Methods write-up'!$S$17,'[1]observations-276632'!X665&lt;'[1]Methods write-up'!$T$17),"Equatorial tropical forest","")</f>
        <v/>
      </c>
      <c r="AZ665" s="22" t="str">
        <f>IF(AND('[1]observations-276632'!W665&gt;'[1]Methods write-up'!$Q$18,'[1]observations-276632'!W665&lt;'[1]Methods write-up'!$R$18,'[1]observations-276632'!X665&gt;'[1]Methods write-up'!$S$18,'[1]observations-276632'!X665&lt;'[1]Methods write-up'!$T$18),"Somali peninsula","")</f>
        <v/>
      </c>
      <c r="BA665" s="22" t="str">
        <f>IF(AND('[1]observations-276632'!W665&gt;'[1]Methods write-up'!$Q$19,'[1]observations-276632'!W665&lt;'[1]Methods write-up'!$R$19,'[1]observations-276632'!X665&gt;'[1]Methods write-up'!$S$19,'[1]observations-276632'!X665&lt;'[1]Methods write-up'!$T$19),"East Africa","")</f>
        <v>East Africa</v>
      </c>
      <c r="BB665" s="22" t="str">
        <f>IF(AND('[1]observations-276632'!W665&gt;'[1]Methods write-up'!$Q$20,'[1]observations-276632'!W665&lt;'[1]Methods write-up'!$R$20,'[1]observations-276632'!X665&gt;'[1]Methods write-up'!$S$20,'[1]observations-276632'!X665&lt;'[1]Methods write-up'!$T$20),"Temperate seasonal","")</f>
        <v/>
      </c>
      <c r="BC665" s="22" t="str">
        <f>IF(AND('[1]observations-276632'!W665&gt;'[1]Methods write-up'!$Q$21,'[1]observations-276632'!W665&lt;'[1]Methods write-up'!$R$21,'[1]observations-276632'!X665&gt;'[1]Methods write-up'!$S$21,'[1]observations-276632'!X665&lt;'[1]Methods write-up'!$T$21),"Desert and high aridity","")</f>
        <v/>
      </c>
      <c r="BD665" s="23" t="str">
        <f t="shared" si="46"/>
        <v>East Africa</v>
      </c>
      <c r="BE665" s="24">
        <f t="shared" si="44"/>
        <v>13</v>
      </c>
      <c r="BF665" s="24">
        <f t="shared" si="45"/>
        <v>2</v>
      </c>
    </row>
    <row r="666" spans="1:58" ht="16.25" customHeight="1" x14ac:dyDescent="0.2">
      <c r="A666">
        <v>70029042</v>
      </c>
      <c r="B666" t="s">
        <v>4952</v>
      </c>
      <c r="C666" s="14">
        <v>44245</v>
      </c>
      <c r="D666" t="s">
        <v>4953</v>
      </c>
      <c r="E666" t="s">
        <v>113</v>
      </c>
      <c r="F666">
        <v>4040214</v>
      </c>
      <c r="G666" t="s">
        <v>4954</v>
      </c>
      <c r="H666" t="s">
        <v>4955</v>
      </c>
      <c r="I666" t="s">
        <v>4956</v>
      </c>
      <c r="J666" t="s">
        <v>4957</v>
      </c>
      <c r="K666" t="s">
        <v>62</v>
      </c>
      <c r="L666" t="s">
        <v>63</v>
      </c>
      <c r="M666" t="s">
        <v>4958</v>
      </c>
      <c r="N666" t="s">
        <v>4959</v>
      </c>
      <c r="R666">
        <v>3</v>
      </c>
      <c r="S666">
        <v>0</v>
      </c>
      <c r="T666" t="b">
        <v>0</v>
      </c>
      <c r="V666" t="s">
        <v>4960</v>
      </c>
      <c r="W666" s="15">
        <v>-24.247706489999999</v>
      </c>
      <c r="X666" s="15">
        <v>30.631099649999999</v>
      </c>
      <c r="Y666">
        <v>97</v>
      </c>
      <c r="AC666">
        <v>97</v>
      </c>
      <c r="AF666" t="b">
        <v>0</v>
      </c>
      <c r="AI666" t="s">
        <v>71</v>
      </c>
      <c r="AJ666" t="s">
        <v>70</v>
      </c>
      <c r="AK666" t="s">
        <v>71</v>
      </c>
      <c r="AL666" t="s">
        <v>72</v>
      </c>
      <c r="AM666">
        <v>346053</v>
      </c>
      <c r="AO666" s="16" t="s">
        <v>140</v>
      </c>
      <c r="AP666" s="17" t="str">
        <f t="shared" si="43"/>
        <v>Post-emergence nest</v>
      </c>
      <c r="AQ666" s="18">
        <v>14</v>
      </c>
      <c r="AT666" s="19" t="s">
        <v>141</v>
      </c>
      <c r="AU666" s="20" t="s">
        <v>104</v>
      </c>
      <c r="AX666" s="22" t="str">
        <f>IF(AND('[1]observations-276632'!W666&gt;'[1]Methods write-up'!$Q$16,'[1]observations-276632'!W666&lt;'[1]Methods write-up'!$R$16,'[1]observations-276632'!X666&gt;'[1]Methods write-up'!$S$16,'[1]observations-276632'!X666&lt;'[1]Methods write-up'!$T$16),"West and Central Africa","")</f>
        <v/>
      </c>
      <c r="AY666" s="22" t="str">
        <f>IF(AND('[1]observations-276632'!W666&gt;'[1]Methods write-up'!$Q$17,'[1]observations-276632'!W666&lt;'[1]Methods write-up'!$R$17,'[1]observations-276632'!X666&gt;'[1]Methods write-up'!$S$17,'[1]observations-276632'!X666&lt;'[1]Methods write-up'!$T$17),"Equatorial tropical forest","")</f>
        <v/>
      </c>
      <c r="AZ666" s="22" t="str">
        <f>IF(AND('[1]observations-276632'!W666&gt;'[1]Methods write-up'!$Q$18,'[1]observations-276632'!W666&lt;'[1]Methods write-up'!$R$18,'[1]observations-276632'!X666&gt;'[1]Methods write-up'!$S$18,'[1]observations-276632'!X666&lt;'[1]Methods write-up'!$T$18),"Somali peninsula","")</f>
        <v/>
      </c>
      <c r="BA666" s="22" t="str">
        <f>IF(AND('[1]observations-276632'!W666&gt;'[1]Methods write-up'!$Q$19,'[1]observations-276632'!W666&lt;'[1]Methods write-up'!$R$19,'[1]observations-276632'!X666&gt;'[1]Methods write-up'!$S$19,'[1]observations-276632'!X666&lt;'[1]Methods write-up'!$T$19),"East Africa","")</f>
        <v/>
      </c>
      <c r="BB666" s="22" t="str">
        <f>IF(AND('[1]observations-276632'!W666&gt;'[1]Methods write-up'!$Q$20,'[1]observations-276632'!W666&lt;'[1]Methods write-up'!$R$20,'[1]observations-276632'!X666&gt;'[1]Methods write-up'!$S$20,'[1]observations-276632'!X666&lt;'[1]Methods write-up'!$T$20),"Temperate seasonal","")</f>
        <v/>
      </c>
      <c r="BC666" s="22" t="str">
        <f>IF(AND('[1]observations-276632'!W666&gt;'[1]Methods write-up'!$Q$21,'[1]observations-276632'!W666&lt;'[1]Methods write-up'!$R$21,'[1]observations-276632'!X666&gt;'[1]Methods write-up'!$S$21,'[1]observations-276632'!X666&lt;'[1]Methods write-up'!$T$21),"Desert and high aridity","")</f>
        <v/>
      </c>
      <c r="BD666" s="23" t="str">
        <f t="shared" si="46"/>
        <v/>
      </c>
      <c r="BE666" s="24">
        <f t="shared" si="44"/>
        <v>18</v>
      </c>
      <c r="BF666" s="24">
        <f t="shared" si="45"/>
        <v>2</v>
      </c>
    </row>
    <row r="667" spans="1:58" ht="16.25" customHeight="1" x14ac:dyDescent="0.2">
      <c r="A667">
        <v>70079160</v>
      </c>
      <c r="B667" t="s">
        <v>4961</v>
      </c>
      <c r="C667" s="14">
        <v>44250</v>
      </c>
      <c r="D667" t="s">
        <v>4962</v>
      </c>
      <c r="E667" t="s">
        <v>113</v>
      </c>
      <c r="F667">
        <v>3465995</v>
      </c>
      <c r="G667" t="s">
        <v>4866</v>
      </c>
      <c r="H667" t="s">
        <v>4867</v>
      </c>
      <c r="I667" t="s">
        <v>4963</v>
      </c>
      <c r="J667" t="s">
        <v>4964</v>
      </c>
      <c r="K667" t="s">
        <v>62</v>
      </c>
      <c r="L667" t="s">
        <v>63</v>
      </c>
      <c r="M667" t="s">
        <v>4965</v>
      </c>
      <c r="N667" t="s">
        <v>4966</v>
      </c>
      <c r="R667">
        <v>1</v>
      </c>
      <c r="S667">
        <v>0</v>
      </c>
      <c r="T667" t="b">
        <v>0</v>
      </c>
      <c r="V667" t="s">
        <v>4967</v>
      </c>
      <c r="W667" s="15">
        <v>-20.20826856</v>
      </c>
      <c r="X667" s="15">
        <v>28.577963860000001</v>
      </c>
      <c r="Y667">
        <v>20</v>
      </c>
      <c r="AC667">
        <v>20</v>
      </c>
      <c r="AF667" t="b">
        <v>0</v>
      </c>
      <c r="AI667" t="s">
        <v>70</v>
      </c>
      <c r="AJ667" t="s">
        <v>70</v>
      </c>
      <c r="AK667" t="s">
        <v>71</v>
      </c>
      <c r="AL667" t="s">
        <v>72</v>
      </c>
      <c r="AM667">
        <v>346053</v>
      </c>
      <c r="AO667" s="16" t="s">
        <v>73</v>
      </c>
      <c r="AP667" s="17" t="str">
        <f t="shared" si="43"/>
        <v>Off-nest female</v>
      </c>
      <c r="AX667" s="22" t="str">
        <f>IF(AND('[1]observations-276632'!W667&gt;'[1]Methods write-up'!$Q$16,'[1]observations-276632'!W667&lt;'[1]Methods write-up'!$R$16,'[1]observations-276632'!X667&gt;'[1]Methods write-up'!$S$16,'[1]observations-276632'!X667&lt;'[1]Methods write-up'!$T$16),"West and Central Africa","")</f>
        <v/>
      </c>
      <c r="AY667" s="22" t="str">
        <f>IF(AND('[1]observations-276632'!W667&gt;'[1]Methods write-up'!$Q$17,'[1]observations-276632'!W667&lt;'[1]Methods write-up'!$R$17,'[1]observations-276632'!X667&gt;'[1]Methods write-up'!$S$17,'[1]observations-276632'!X667&lt;'[1]Methods write-up'!$T$17),"Equatorial tropical forest","")</f>
        <v/>
      </c>
      <c r="AZ667" s="22" t="str">
        <f>IF(AND('[1]observations-276632'!W667&gt;'[1]Methods write-up'!$Q$18,'[1]observations-276632'!W667&lt;'[1]Methods write-up'!$R$18,'[1]observations-276632'!X667&gt;'[1]Methods write-up'!$S$18,'[1]observations-276632'!X667&lt;'[1]Methods write-up'!$T$18),"Somali peninsula","")</f>
        <v/>
      </c>
      <c r="BA667" s="22" t="str">
        <f>IF(AND('[1]observations-276632'!W667&gt;'[1]Methods write-up'!$Q$19,'[1]observations-276632'!W667&lt;'[1]Methods write-up'!$R$19,'[1]observations-276632'!X667&gt;'[1]Methods write-up'!$S$19,'[1]observations-276632'!X667&lt;'[1]Methods write-up'!$T$19),"East Africa","")</f>
        <v/>
      </c>
      <c r="BB667" s="22" t="str">
        <f>IF(AND('[1]observations-276632'!W667&gt;'[1]Methods write-up'!$Q$20,'[1]observations-276632'!W667&lt;'[1]Methods write-up'!$R$20,'[1]observations-276632'!X667&gt;'[1]Methods write-up'!$S$20,'[1]observations-276632'!X667&lt;'[1]Methods write-up'!$T$20),"Temperate seasonal","")</f>
        <v/>
      </c>
      <c r="BC667" s="22" t="str">
        <f>IF(AND('[1]observations-276632'!W667&gt;'[1]Methods write-up'!$Q$21,'[1]observations-276632'!W667&lt;'[1]Methods write-up'!$R$21,'[1]observations-276632'!X667&gt;'[1]Methods write-up'!$S$21,'[1]observations-276632'!X667&lt;'[1]Methods write-up'!$T$21),"Desert and high aridity","")</f>
        <v/>
      </c>
      <c r="BD667" s="23" t="str">
        <f t="shared" si="46"/>
        <v/>
      </c>
      <c r="BE667" s="24">
        <f t="shared" si="44"/>
        <v>23</v>
      </c>
      <c r="BF667" s="24">
        <f t="shared" si="45"/>
        <v>2</v>
      </c>
    </row>
    <row r="668" spans="1:58" ht="16.25" customHeight="1" x14ac:dyDescent="0.2">
      <c r="A668">
        <v>70146820</v>
      </c>
      <c r="B668" t="s">
        <v>4968</v>
      </c>
      <c r="C668" s="14">
        <v>44248</v>
      </c>
      <c r="D668" t="s">
        <v>4969</v>
      </c>
      <c r="E668" t="s">
        <v>113</v>
      </c>
      <c r="F668">
        <v>1112666</v>
      </c>
      <c r="G668" t="s">
        <v>4970</v>
      </c>
      <c r="H668" t="s">
        <v>4971</v>
      </c>
      <c r="I668" t="s">
        <v>4972</v>
      </c>
      <c r="J668" t="s">
        <v>4973</v>
      </c>
      <c r="K668" t="s">
        <v>62</v>
      </c>
      <c r="L668" t="s">
        <v>63</v>
      </c>
      <c r="M668" t="s">
        <v>4974</v>
      </c>
      <c r="N668" t="s">
        <v>4975</v>
      </c>
      <c r="R668">
        <v>2</v>
      </c>
      <c r="S668">
        <v>0</v>
      </c>
      <c r="T668" t="b">
        <v>0</v>
      </c>
      <c r="V668" t="s">
        <v>4976</v>
      </c>
      <c r="W668" s="15">
        <v>-30.602804110000001</v>
      </c>
      <c r="X668" s="15">
        <v>22.126854380000001</v>
      </c>
      <c r="Y668">
        <v>89</v>
      </c>
      <c r="AC668">
        <v>89</v>
      </c>
      <c r="AF668" t="b">
        <v>0</v>
      </c>
      <c r="AI668" t="s">
        <v>71</v>
      </c>
      <c r="AJ668" t="s">
        <v>70</v>
      </c>
      <c r="AK668" t="s">
        <v>71</v>
      </c>
      <c r="AL668" t="s">
        <v>72</v>
      </c>
      <c r="AM668">
        <v>346053</v>
      </c>
      <c r="AO668" s="16" t="s">
        <v>73</v>
      </c>
      <c r="AP668" s="17" t="str">
        <f t="shared" si="43"/>
        <v>Off-nest female</v>
      </c>
      <c r="AX668" s="22" t="str">
        <f>IF(AND('[1]observations-276632'!W668&gt;'[1]Methods write-up'!$Q$16,'[1]observations-276632'!W668&lt;'[1]Methods write-up'!$R$16,'[1]observations-276632'!X668&gt;'[1]Methods write-up'!$S$16,'[1]observations-276632'!X668&lt;'[1]Methods write-up'!$T$16),"West and Central Africa","")</f>
        <v/>
      </c>
      <c r="AY668" s="22" t="str">
        <f>IF(AND('[1]observations-276632'!W668&gt;'[1]Methods write-up'!$Q$17,'[1]observations-276632'!W668&lt;'[1]Methods write-up'!$R$17,'[1]observations-276632'!X668&gt;'[1]Methods write-up'!$S$17,'[1]observations-276632'!X668&lt;'[1]Methods write-up'!$T$17),"Equatorial tropical forest","")</f>
        <v/>
      </c>
      <c r="AZ668" s="22" t="str">
        <f>IF(AND('[1]observations-276632'!W668&gt;'[1]Methods write-up'!$Q$18,'[1]observations-276632'!W668&lt;'[1]Methods write-up'!$R$18,'[1]observations-276632'!X668&gt;'[1]Methods write-up'!$S$18,'[1]observations-276632'!X668&lt;'[1]Methods write-up'!$T$18),"Somali peninsula","")</f>
        <v/>
      </c>
      <c r="BA668" s="22" t="str">
        <f>IF(AND('[1]observations-276632'!W668&gt;'[1]Methods write-up'!$Q$19,'[1]observations-276632'!W668&lt;'[1]Methods write-up'!$R$19,'[1]observations-276632'!X668&gt;'[1]Methods write-up'!$S$19,'[1]observations-276632'!X668&lt;'[1]Methods write-up'!$T$19),"East Africa","")</f>
        <v/>
      </c>
      <c r="BB668" s="22" t="str">
        <f>IF(AND('[1]observations-276632'!W668&gt;'[1]Methods write-up'!$Q$20,'[1]observations-276632'!W668&lt;'[1]Methods write-up'!$R$20,'[1]observations-276632'!X668&gt;'[1]Methods write-up'!$S$20,'[1]observations-276632'!X668&lt;'[1]Methods write-up'!$T$20),"Temperate seasonal","")</f>
        <v/>
      </c>
      <c r="BC668" s="22" t="str">
        <f>IF(AND('[1]observations-276632'!W668&gt;'[1]Methods write-up'!$Q$21,'[1]observations-276632'!W668&lt;'[1]Methods write-up'!$R$21,'[1]observations-276632'!X668&gt;'[1]Methods write-up'!$S$21,'[1]observations-276632'!X668&lt;'[1]Methods write-up'!$T$21),"Desert and high aridity","")</f>
        <v/>
      </c>
      <c r="BD668" s="23" t="str">
        <f t="shared" si="46"/>
        <v/>
      </c>
      <c r="BE668" s="24">
        <f t="shared" si="44"/>
        <v>21</v>
      </c>
      <c r="BF668" s="24">
        <f t="shared" si="45"/>
        <v>2</v>
      </c>
    </row>
    <row r="669" spans="1:58" ht="16.25" customHeight="1" x14ac:dyDescent="0.2">
      <c r="A669">
        <v>70189694</v>
      </c>
      <c r="B669" t="s">
        <v>4977</v>
      </c>
      <c r="C669" s="14">
        <v>44253</v>
      </c>
      <c r="D669" t="s">
        <v>4978</v>
      </c>
      <c r="E669" t="s">
        <v>113</v>
      </c>
      <c r="F669">
        <v>3871446</v>
      </c>
      <c r="G669" t="s">
        <v>4979</v>
      </c>
      <c r="H669" t="s">
        <v>4980</v>
      </c>
      <c r="I669" t="s">
        <v>4981</v>
      </c>
      <c r="J669" t="s">
        <v>4982</v>
      </c>
      <c r="K669" t="s">
        <v>62</v>
      </c>
      <c r="L669" t="s">
        <v>373</v>
      </c>
      <c r="M669" t="s">
        <v>4983</v>
      </c>
      <c r="N669" t="s">
        <v>4984</v>
      </c>
      <c r="R669">
        <v>3</v>
      </c>
      <c r="S669">
        <v>0</v>
      </c>
      <c r="T669" t="b">
        <v>0</v>
      </c>
      <c r="V669" t="s">
        <v>4985</v>
      </c>
      <c r="W669" s="15">
        <v>-29.822272099999999</v>
      </c>
      <c r="X669" s="15">
        <v>30.930914210000001</v>
      </c>
      <c r="Y669">
        <v>100</v>
      </c>
      <c r="AC669">
        <v>100</v>
      </c>
      <c r="AF669" t="b">
        <v>0</v>
      </c>
      <c r="AI669" t="s">
        <v>71</v>
      </c>
      <c r="AJ669" t="s">
        <v>70</v>
      </c>
      <c r="AK669" t="s">
        <v>71</v>
      </c>
      <c r="AL669" t="s">
        <v>72</v>
      </c>
      <c r="AM669">
        <v>346053</v>
      </c>
      <c r="AO669" s="16" t="s">
        <v>110</v>
      </c>
      <c r="AP669" s="17" t="str">
        <f t="shared" si="43"/>
        <v>Nest (foundress)</v>
      </c>
      <c r="AQ669" s="18">
        <v>1</v>
      </c>
      <c r="AT669" s="19" t="s">
        <v>104</v>
      </c>
      <c r="AX669" s="22" t="str">
        <f>IF(AND('[1]observations-276632'!W669&gt;'[1]Methods write-up'!$Q$16,'[1]observations-276632'!W669&lt;'[1]Methods write-up'!$R$16,'[1]observations-276632'!X669&gt;'[1]Methods write-up'!$S$16,'[1]observations-276632'!X669&lt;'[1]Methods write-up'!$T$16),"West and Central Africa","")</f>
        <v/>
      </c>
      <c r="AY669" s="22" t="str">
        <f>IF(AND('[1]observations-276632'!W669&gt;'[1]Methods write-up'!$Q$17,'[1]observations-276632'!W669&lt;'[1]Methods write-up'!$R$17,'[1]observations-276632'!X669&gt;'[1]Methods write-up'!$S$17,'[1]observations-276632'!X669&lt;'[1]Methods write-up'!$T$17),"Equatorial tropical forest","")</f>
        <v/>
      </c>
      <c r="AZ669" s="22" t="str">
        <f>IF(AND('[1]observations-276632'!W669&gt;'[1]Methods write-up'!$Q$18,'[1]observations-276632'!W669&lt;'[1]Methods write-up'!$R$18,'[1]observations-276632'!X669&gt;'[1]Methods write-up'!$S$18,'[1]observations-276632'!X669&lt;'[1]Methods write-up'!$T$18),"Somali peninsula","")</f>
        <v/>
      </c>
      <c r="BA669" s="22" t="str">
        <f>IF(AND('[1]observations-276632'!W669&gt;'[1]Methods write-up'!$Q$19,'[1]observations-276632'!W669&lt;'[1]Methods write-up'!$R$19,'[1]observations-276632'!X669&gt;'[1]Methods write-up'!$S$19,'[1]observations-276632'!X669&lt;'[1]Methods write-up'!$T$19),"East Africa","")</f>
        <v/>
      </c>
      <c r="BB669" s="22" t="str">
        <f>IF(AND('[1]observations-276632'!W669&gt;'[1]Methods write-up'!$Q$20,'[1]observations-276632'!W669&lt;'[1]Methods write-up'!$R$20,'[1]observations-276632'!X669&gt;'[1]Methods write-up'!$S$20,'[1]observations-276632'!X669&lt;'[1]Methods write-up'!$T$20),"Temperate seasonal","")</f>
        <v>Temperate seasonal</v>
      </c>
      <c r="BC669" s="22" t="str">
        <f>IF(AND('[1]observations-276632'!W669&gt;'[1]Methods write-up'!$Q$21,'[1]observations-276632'!W669&lt;'[1]Methods write-up'!$R$21,'[1]observations-276632'!X669&gt;'[1]Methods write-up'!$S$21,'[1]observations-276632'!X669&lt;'[1]Methods write-up'!$T$21),"Desert and high aridity","")</f>
        <v/>
      </c>
      <c r="BD669" s="23" t="str">
        <f t="shared" si="46"/>
        <v>Temperate seasonal</v>
      </c>
      <c r="BE669" s="24">
        <f t="shared" si="44"/>
        <v>26</v>
      </c>
      <c r="BF669" s="24">
        <f t="shared" si="45"/>
        <v>2</v>
      </c>
    </row>
    <row r="670" spans="1:58" ht="16.25" customHeight="1" x14ac:dyDescent="0.2">
      <c r="A670">
        <v>70247417</v>
      </c>
      <c r="B670" t="s">
        <v>4986</v>
      </c>
      <c r="C670" s="14">
        <v>44254</v>
      </c>
      <c r="D670" t="s">
        <v>4987</v>
      </c>
      <c r="E670" t="s">
        <v>1408</v>
      </c>
      <c r="F670">
        <v>3683633</v>
      </c>
      <c r="G670" t="s">
        <v>4988</v>
      </c>
      <c r="H670" t="s">
        <v>4989</v>
      </c>
      <c r="I670" t="s">
        <v>4990</v>
      </c>
      <c r="J670" t="s">
        <v>4991</v>
      </c>
      <c r="K670" t="s">
        <v>62</v>
      </c>
      <c r="L670" t="s">
        <v>63</v>
      </c>
      <c r="M670" t="s">
        <v>4992</v>
      </c>
      <c r="N670" t="s">
        <v>4993</v>
      </c>
      <c r="R670">
        <v>2</v>
      </c>
      <c r="S670">
        <v>0</v>
      </c>
      <c r="T670" t="b">
        <v>0</v>
      </c>
      <c r="V670" t="s">
        <v>4994</v>
      </c>
      <c r="W670" s="15">
        <v>-20.639586649999998</v>
      </c>
      <c r="X670" s="15">
        <v>32.023894230000003</v>
      </c>
      <c r="Y670">
        <v>8</v>
      </c>
      <c r="AC670">
        <v>8</v>
      </c>
      <c r="AF670" t="b">
        <v>0</v>
      </c>
      <c r="AI670" t="s">
        <v>71</v>
      </c>
      <c r="AJ670" t="s">
        <v>70</v>
      </c>
      <c r="AK670" t="s">
        <v>71</v>
      </c>
      <c r="AL670" t="s">
        <v>72</v>
      </c>
      <c r="AM670">
        <v>346053</v>
      </c>
      <c r="AO670" s="16" t="s">
        <v>140</v>
      </c>
      <c r="AP670" s="17" t="str">
        <f t="shared" si="43"/>
        <v>Post-emergence nest</v>
      </c>
      <c r="AQ670" s="18">
        <v>8</v>
      </c>
      <c r="AT670" s="19" t="s">
        <v>141</v>
      </c>
      <c r="AU670" s="20" t="s">
        <v>104</v>
      </c>
      <c r="AX670" s="22" t="str">
        <f>IF(AND('[1]observations-276632'!W670&gt;'[1]Methods write-up'!$Q$16,'[1]observations-276632'!W670&lt;'[1]Methods write-up'!$R$16,'[1]observations-276632'!X670&gt;'[1]Methods write-up'!$S$16,'[1]observations-276632'!X670&lt;'[1]Methods write-up'!$T$16),"West and Central Africa","")</f>
        <v/>
      </c>
      <c r="AY670" s="22" t="str">
        <f>IF(AND('[1]observations-276632'!W670&gt;'[1]Methods write-up'!$Q$17,'[1]observations-276632'!W670&lt;'[1]Methods write-up'!$R$17,'[1]observations-276632'!X670&gt;'[1]Methods write-up'!$S$17,'[1]observations-276632'!X670&lt;'[1]Methods write-up'!$T$17),"Equatorial tropical forest","")</f>
        <v/>
      </c>
      <c r="AZ670" s="22" t="str">
        <f>IF(AND('[1]observations-276632'!W670&gt;'[1]Methods write-up'!$Q$18,'[1]observations-276632'!W670&lt;'[1]Methods write-up'!$R$18,'[1]observations-276632'!X670&gt;'[1]Methods write-up'!$S$18,'[1]observations-276632'!X670&lt;'[1]Methods write-up'!$T$18),"Somali peninsula","")</f>
        <v/>
      </c>
      <c r="BA670" s="22" t="str">
        <f>IF(AND('[1]observations-276632'!W670&gt;'[1]Methods write-up'!$Q$19,'[1]observations-276632'!W670&lt;'[1]Methods write-up'!$R$19,'[1]observations-276632'!X670&gt;'[1]Methods write-up'!$S$19,'[1]observations-276632'!X670&lt;'[1]Methods write-up'!$T$19),"East Africa","")</f>
        <v/>
      </c>
      <c r="BB670" s="22" t="str">
        <f>IF(AND('[1]observations-276632'!W670&gt;'[1]Methods write-up'!$Q$20,'[1]observations-276632'!W670&lt;'[1]Methods write-up'!$R$20,'[1]observations-276632'!X670&gt;'[1]Methods write-up'!$S$20,'[1]observations-276632'!X670&lt;'[1]Methods write-up'!$T$20),"Temperate seasonal","")</f>
        <v/>
      </c>
      <c r="BC670" s="22" t="str">
        <f>IF(AND('[1]observations-276632'!W670&gt;'[1]Methods write-up'!$Q$21,'[1]observations-276632'!W670&lt;'[1]Methods write-up'!$R$21,'[1]observations-276632'!X670&gt;'[1]Methods write-up'!$S$21,'[1]observations-276632'!X670&lt;'[1]Methods write-up'!$T$21),"Desert and high aridity","")</f>
        <v/>
      </c>
      <c r="BD670" s="23" t="str">
        <f t="shared" si="46"/>
        <v/>
      </c>
      <c r="BE670" s="24">
        <f t="shared" si="44"/>
        <v>27</v>
      </c>
      <c r="BF670" s="24">
        <f t="shared" si="45"/>
        <v>2</v>
      </c>
    </row>
    <row r="671" spans="1:58" ht="16.25" customHeight="1" x14ac:dyDescent="0.2">
      <c r="A671">
        <v>70269337</v>
      </c>
      <c r="B671" t="s">
        <v>4995</v>
      </c>
      <c r="C671" s="14">
        <v>44204</v>
      </c>
      <c r="D671" t="s">
        <v>4996</v>
      </c>
      <c r="E671" t="s">
        <v>113</v>
      </c>
      <c r="F671">
        <v>2534793</v>
      </c>
      <c r="G671" t="s">
        <v>4997</v>
      </c>
      <c r="I671" t="s">
        <v>4998</v>
      </c>
      <c r="J671" t="s">
        <v>4999</v>
      </c>
      <c r="K671" t="s">
        <v>62</v>
      </c>
      <c r="L671" t="s">
        <v>63</v>
      </c>
      <c r="M671" t="s">
        <v>5000</v>
      </c>
      <c r="N671" t="s">
        <v>5001</v>
      </c>
      <c r="R671">
        <v>3</v>
      </c>
      <c r="S671">
        <v>0</v>
      </c>
      <c r="T671" t="b">
        <v>0</v>
      </c>
      <c r="V671" t="s">
        <v>5002</v>
      </c>
      <c r="W671" s="15">
        <v>-33.980990439999999</v>
      </c>
      <c r="X671" s="15">
        <v>23.549501790000001</v>
      </c>
      <c r="Y671">
        <v>10</v>
      </c>
      <c r="AC671">
        <v>10</v>
      </c>
      <c r="AF671" t="b">
        <v>0</v>
      </c>
      <c r="AI671" t="s">
        <v>71</v>
      </c>
      <c r="AJ671" t="s">
        <v>70</v>
      </c>
      <c r="AK671" t="s">
        <v>71</v>
      </c>
      <c r="AL671" t="s">
        <v>72</v>
      </c>
      <c r="AM671">
        <v>346053</v>
      </c>
      <c r="AO671" s="16" t="s">
        <v>1574</v>
      </c>
      <c r="AP671" s="17" t="str">
        <f t="shared" si="43"/>
        <v>Nest (foundress)</v>
      </c>
      <c r="AQ671" s="18">
        <v>1</v>
      </c>
      <c r="AT671" s="19" t="s">
        <v>104</v>
      </c>
      <c r="AX671" s="22" t="str">
        <f>IF(AND('[1]observations-276632'!W671&gt;'[1]Methods write-up'!$Q$16,'[1]observations-276632'!W671&lt;'[1]Methods write-up'!$R$16,'[1]observations-276632'!X671&gt;'[1]Methods write-up'!$S$16,'[1]observations-276632'!X671&lt;'[1]Methods write-up'!$T$16),"West and Central Africa","")</f>
        <v/>
      </c>
      <c r="AY671" s="22" t="str">
        <f>IF(AND('[1]observations-276632'!W671&gt;'[1]Methods write-up'!$Q$17,'[1]observations-276632'!W671&lt;'[1]Methods write-up'!$R$17,'[1]observations-276632'!X671&gt;'[1]Methods write-up'!$S$17,'[1]observations-276632'!X671&lt;'[1]Methods write-up'!$T$17),"Equatorial tropical forest","")</f>
        <v/>
      </c>
      <c r="AZ671" s="22" t="str">
        <f>IF(AND('[1]observations-276632'!W671&gt;'[1]Methods write-up'!$Q$18,'[1]observations-276632'!W671&lt;'[1]Methods write-up'!$R$18,'[1]observations-276632'!X671&gt;'[1]Methods write-up'!$S$18,'[1]observations-276632'!X671&lt;'[1]Methods write-up'!$T$18),"Somali peninsula","")</f>
        <v/>
      </c>
      <c r="BA671" s="22" t="str">
        <f>IF(AND('[1]observations-276632'!W671&gt;'[1]Methods write-up'!$Q$19,'[1]observations-276632'!W671&lt;'[1]Methods write-up'!$R$19,'[1]observations-276632'!X671&gt;'[1]Methods write-up'!$S$19,'[1]observations-276632'!X671&lt;'[1]Methods write-up'!$T$19),"East Africa","")</f>
        <v/>
      </c>
      <c r="BB671" s="22" t="str">
        <f>IF(AND('[1]observations-276632'!W671&gt;'[1]Methods write-up'!$Q$20,'[1]observations-276632'!W671&lt;'[1]Methods write-up'!$R$20,'[1]observations-276632'!X671&gt;'[1]Methods write-up'!$S$20,'[1]observations-276632'!X671&lt;'[1]Methods write-up'!$T$20),"Temperate seasonal","")</f>
        <v/>
      </c>
      <c r="BC671" s="22" t="str">
        <f>IF(AND('[1]observations-276632'!W671&gt;'[1]Methods write-up'!$Q$21,'[1]observations-276632'!W671&lt;'[1]Methods write-up'!$R$21,'[1]observations-276632'!X671&gt;'[1]Methods write-up'!$S$21,'[1]observations-276632'!X671&lt;'[1]Methods write-up'!$T$21),"Desert and high aridity","")</f>
        <v/>
      </c>
      <c r="BD671" s="23" t="str">
        <f t="shared" si="46"/>
        <v/>
      </c>
      <c r="BE671" s="24">
        <f t="shared" si="44"/>
        <v>8</v>
      </c>
      <c r="BF671" s="24">
        <f t="shared" si="45"/>
        <v>1</v>
      </c>
    </row>
    <row r="672" spans="1:58" ht="16.25" customHeight="1" x14ac:dyDescent="0.2">
      <c r="A672">
        <v>70488357</v>
      </c>
      <c r="B672" t="s">
        <v>5003</v>
      </c>
      <c r="C672" s="14">
        <v>43743</v>
      </c>
      <c r="D672" t="s">
        <v>5004</v>
      </c>
      <c r="E672" t="s">
        <v>3050</v>
      </c>
      <c r="F672">
        <v>1829749</v>
      </c>
      <c r="G672" t="s">
        <v>5005</v>
      </c>
      <c r="H672" t="s">
        <v>5006</v>
      </c>
      <c r="I672" t="s">
        <v>5007</v>
      </c>
      <c r="J672" t="s">
        <v>5008</v>
      </c>
      <c r="K672" t="s">
        <v>62</v>
      </c>
      <c r="M672" t="s">
        <v>5009</v>
      </c>
      <c r="N672" t="s">
        <v>5010</v>
      </c>
      <c r="P672" t="s">
        <v>5011</v>
      </c>
      <c r="R672">
        <v>1</v>
      </c>
      <c r="S672">
        <v>0</v>
      </c>
      <c r="T672" t="b">
        <v>0</v>
      </c>
      <c r="V672" t="s">
        <v>4779</v>
      </c>
      <c r="W672" s="15">
        <v>-21.375011669999999</v>
      </c>
      <c r="X672" s="15">
        <v>47.446936669999999</v>
      </c>
      <c r="AF672" t="b">
        <v>0</v>
      </c>
      <c r="AI672" t="s">
        <v>71</v>
      </c>
      <c r="AJ672" t="s">
        <v>70</v>
      </c>
      <c r="AK672" t="s">
        <v>71</v>
      </c>
      <c r="AL672" t="s">
        <v>72</v>
      </c>
      <c r="AM672">
        <v>346053</v>
      </c>
      <c r="AO672" s="16" t="s">
        <v>110</v>
      </c>
      <c r="AP672" s="17" t="str">
        <f t="shared" si="43"/>
        <v>Nest (foundress)</v>
      </c>
      <c r="AQ672" s="18">
        <v>1</v>
      </c>
      <c r="AT672" s="19" t="s">
        <v>104</v>
      </c>
      <c r="AX672" s="22" t="str">
        <f>IF(AND('[1]observations-276632'!W672&gt;'[1]Methods write-up'!$Q$16,'[1]observations-276632'!W672&lt;'[1]Methods write-up'!$R$16,'[1]observations-276632'!X672&gt;'[1]Methods write-up'!$S$16,'[1]observations-276632'!X672&lt;'[1]Methods write-up'!$T$16),"West and Central Africa","")</f>
        <v/>
      </c>
      <c r="AY672" s="22" t="str">
        <f>IF(AND('[1]observations-276632'!W672&gt;'[1]Methods write-up'!$Q$17,'[1]observations-276632'!W672&lt;'[1]Methods write-up'!$R$17,'[1]observations-276632'!X672&gt;'[1]Methods write-up'!$S$17,'[1]observations-276632'!X672&lt;'[1]Methods write-up'!$T$17),"Equatorial tropical forest","")</f>
        <v/>
      </c>
      <c r="AZ672" s="22" t="str">
        <f>IF(AND('[1]observations-276632'!W672&gt;'[1]Methods write-up'!$Q$18,'[1]observations-276632'!W672&lt;'[1]Methods write-up'!$R$18,'[1]observations-276632'!X672&gt;'[1]Methods write-up'!$S$18,'[1]observations-276632'!X672&lt;'[1]Methods write-up'!$T$18),"Somali peninsula","")</f>
        <v/>
      </c>
      <c r="BA672" s="22" t="str">
        <f>IF(AND('[1]observations-276632'!W672&gt;'[1]Methods write-up'!$Q$19,'[1]observations-276632'!W672&lt;'[1]Methods write-up'!$R$19,'[1]observations-276632'!X672&gt;'[1]Methods write-up'!$S$19,'[1]observations-276632'!X672&lt;'[1]Methods write-up'!$T$19),"East Africa","")</f>
        <v/>
      </c>
      <c r="BB672" s="22" t="str">
        <f>IF(AND('[1]observations-276632'!W672&gt;'[1]Methods write-up'!$Q$20,'[1]observations-276632'!W672&lt;'[1]Methods write-up'!$R$20,'[1]observations-276632'!X672&gt;'[1]Methods write-up'!$S$20,'[1]observations-276632'!X672&lt;'[1]Methods write-up'!$T$20),"Temperate seasonal","")</f>
        <v/>
      </c>
      <c r="BC672" s="22" t="str">
        <f>IF(AND('[1]observations-276632'!W672&gt;'[1]Methods write-up'!$Q$21,'[1]observations-276632'!W672&lt;'[1]Methods write-up'!$R$21,'[1]observations-276632'!X672&gt;'[1]Methods write-up'!$S$21,'[1]observations-276632'!X672&lt;'[1]Methods write-up'!$T$21),"Desert and high aridity","")</f>
        <v/>
      </c>
      <c r="BD672" s="23" t="str">
        <f t="shared" si="46"/>
        <v/>
      </c>
      <c r="BE672" s="24">
        <f t="shared" si="44"/>
        <v>5</v>
      </c>
      <c r="BF672" s="24">
        <f t="shared" si="45"/>
        <v>10</v>
      </c>
    </row>
    <row r="673" spans="1:58" ht="16.25" customHeight="1" x14ac:dyDescent="0.2">
      <c r="A673">
        <v>70772147</v>
      </c>
      <c r="B673" t="s">
        <v>5012</v>
      </c>
      <c r="C673" s="14">
        <v>44224</v>
      </c>
      <c r="D673" t="s">
        <v>5013</v>
      </c>
      <c r="E673" t="s">
        <v>113</v>
      </c>
      <c r="F673">
        <v>775700</v>
      </c>
      <c r="G673" t="s">
        <v>5014</v>
      </c>
      <c r="I673" t="s">
        <v>5015</v>
      </c>
      <c r="J673" t="s">
        <v>5016</v>
      </c>
      <c r="K673" t="s">
        <v>62</v>
      </c>
      <c r="L673" t="s">
        <v>63</v>
      </c>
      <c r="M673" t="s">
        <v>5017</v>
      </c>
      <c r="N673" t="s">
        <v>5018</v>
      </c>
      <c r="R673">
        <v>3</v>
      </c>
      <c r="S673">
        <v>0</v>
      </c>
      <c r="T673" t="b">
        <v>0</v>
      </c>
      <c r="V673" t="s">
        <v>5019</v>
      </c>
      <c r="W673" s="15">
        <v>-33.990900000000003</v>
      </c>
      <c r="X673" s="15">
        <v>22.578900000000001</v>
      </c>
      <c r="AF673" t="b">
        <v>0</v>
      </c>
      <c r="AI673" t="s">
        <v>71</v>
      </c>
      <c r="AJ673" t="s">
        <v>70</v>
      </c>
      <c r="AK673" t="s">
        <v>71</v>
      </c>
      <c r="AL673" t="s">
        <v>72</v>
      </c>
      <c r="AM673">
        <v>346053</v>
      </c>
      <c r="AO673" s="16" t="s">
        <v>140</v>
      </c>
      <c r="AP673" s="17" t="str">
        <f t="shared" si="43"/>
        <v>Post-emergence nest</v>
      </c>
      <c r="AQ673" s="18">
        <v>7</v>
      </c>
      <c r="AT673" s="19" t="s">
        <v>141</v>
      </c>
      <c r="AU673" s="20" t="s">
        <v>104</v>
      </c>
      <c r="AX673" s="22" t="str">
        <f>IF(AND('[1]observations-276632'!W673&gt;'[1]Methods write-up'!$Q$16,'[1]observations-276632'!W673&lt;'[1]Methods write-up'!$R$16,'[1]observations-276632'!X673&gt;'[1]Methods write-up'!$S$16,'[1]observations-276632'!X673&lt;'[1]Methods write-up'!$T$16),"West and Central Africa","")</f>
        <v/>
      </c>
      <c r="AY673" s="22" t="str">
        <f>IF(AND('[1]observations-276632'!W673&gt;'[1]Methods write-up'!$Q$17,'[1]observations-276632'!W673&lt;'[1]Methods write-up'!$R$17,'[1]observations-276632'!X673&gt;'[1]Methods write-up'!$S$17,'[1]observations-276632'!X673&lt;'[1]Methods write-up'!$T$17),"Equatorial tropical forest","")</f>
        <v/>
      </c>
      <c r="AZ673" s="22" t="str">
        <f>IF(AND('[1]observations-276632'!W673&gt;'[1]Methods write-up'!$Q$18,'[1]observations-276632'!W673&lt;'[1]Methods write-up'!$R$18,'[1]observations-276632'!X673&gt;'[1]Methods write-up'!$S$18,'[1]observations-276632'!X673&lt;'[1]Methods write-up'!$T$18),"Somali peninsula","")</f>
        <v/>
      </c>
      <c r="BA673" s="22" t="str">
        <f>IF(AND('[1]observations-276632'!W673&gt;'[1]Methods write-up'!$Q$19,'[1]observations-276632'!W673&lt;'[1]Methods write-up'!$R$19,'[1]observations-276632'!X673&gt;'[1]Methods write-up'!$S$19,'[1]observations-276632'!X673&lt;'[1]Methods write-up'!$T$19),"East Africa","")</f>
        <v/>
      </c>
      <c r="BB673" s="22" t="str">
        <f>IF(AND('[1]observations-276632'!W673&gt;'[1]Methods write-up'!$Q$20,'[1]observations-276632'!W673&lt;'[1]Methods write-up'!$R$20,'[1]observations-276632'!X673&gt;'[1]Methods write-up'!$S$20,'[1]observations-276632'!X673&lt;'[1]Methods write-up'!$T$20),"Temperate seasonal","")</f>
        <v/>
      </c>
      <c r="BC673" s="22" t="str">
        <f>IF(AND('[1]observations-276632'!W673&gt;'[1]Methods write-up'!$Q$21,'[1]observations-276632'!W673&lt;'[1]Methods write-up'!$R$21,'[1]observations-276632'!X673&gt;'[1]Methods write-up'!$S$21,'[1]observations-276632'!X673&lt;'[1]Methods write-up'!$T$21),"Desert and high aridity","")</f>
        <v/>
      </c>
      <c r="BD673" s="23" t="str">
        <f t="shared" si="46"/>
        <v/>
      </c>
      <c r="BE673" s="24">
        <f t="shared" si="44"/>
        <v>28</v>
      </c>
      <c r="BF673" s="24">
        <f t="shared" si="45"/>
        <v>1</v>
      </c>
    </row>
    <row r="674" spans="1:58" ht="16.25" customHeight="1" x14ac:dyDescent="0.2">
      <c r="A674">
        <v>70799051</v>
      </c>
      <c r="B674" t="s">
        <v>5020</v>
      </c>
      <c r="C674" s="14">
        <v>44262</v>
      </c>
      <c r="D674" t="s">
        <v>5021</v>
      </c>
      <c r="E674" t="s">
        <v>5022</v>
      </c>
      <c r="F674">
        <v>3182997</v>
      </c>
      <c r="G674" t="s">
        <v>5023</v>
      </c>
      <c r="H674" t="s">
        <v>5024</v>
      </c>
      <c r="I674" t="s">
        <v>5025</v>
      </c>
      <c r="J674" t="s">
        <v>5026</v>
      </c>
      <c r="K674" t="s">
        <v>62</v>
      </c>
      <c r="L674" t="s">
        <v>63</v>
      </c>
      <c r="M674" t="s">
        <v>5027</v>
      </c>
      <c r="N674" t="s">
        <v>5028</v>
      </c>
      <c r="R674">
        <v>1</v>
      </c>
      <c r="S674">
        <v>0</v>
      </c>
      <c r="T674" t="b">
        <v>0</v>
      </c>
      <c r="V674" t="s">
        <v>5029</v>
      </c>
      <c r="W674" s="15">
        <v>-7.4031767999999998</v>
      </c>
      <c r="X674" s="15">
        <v>36.991712499999998</v>
      </c>
      <c r="Y674">
        <v>2520</v>
      </c>
      <c r="AC674">
        <v>2520</v>
      </c>
      <c r="AF674" t="b">
        <v>0</v>
      </c>
      <c r="AI674" t="s">
        <v>71</v>
      </c>
      <c r="AJ674" t="s">
        <v>70</v>
      </c>
      <c r="AK674" t="s">
        <v>71</v>
      </c>
      <c r="AL674" t="s">
        <v>72</v>
      </c>
      <c r="AM674">
        <v>346053</v>
      </c>
      <c r="AO674" s="16" t="s">
        <v>140</v>
      </c>
      <c r="AP674" s="17" t="str">
        <f t="shared" si="43"/>
        <v>Post-emergence nest</v>
      </c>
      <c r="AQ674" s="18">
        <v>5</v>
      </c>
      <c r="AT674" s="19" t="s">
        <v>141</v>
      </c>
      <c r="AU674" s="20" t="s">
        <v>104</v>
      </c>
      <c r="AX674" s="22" t="str">
        <f>IF(AND('[1]observations-276632'!W674&gt;'[1]Methods write-up'!$Q$16,'[1]observations-276632'!W674&lt;'[1]Methods write-up'!$R$16,'[1]observations-276632'!X674&gt;'[1]Methods write-up'!$S$16,'[1]observations-276632'!X674&lt;'[1]Methods write-up'!$T$16),"West and Central Africa","")</f>
        <v/>
      </c>
      <c r="AY674" s="22" t="str">
        <f>IF(AND('[1]observations-276632'!W674&gt;'[1]Methods write-up'!$Q$17,'[1]observations-276632'!W674&lt;'[1]Methods write-up'!$R$17,'[1]observations-276632'!X674&gt;'[1]Methods write-up'!$S$17,'[1]observations-276632'!X674&lt;'[1]Methods write-up'!$T$17),"Equatorial tropical forest","")</f>
        <v/>
      </c>
      <c r="AZ674" s="22" t="str">
        <f>IF(AND('[1]observations-276632'!W674&gt;'[1]Methods write-up'!$Q$18,'[1]observations-276632'!W674&lt;'[1]Methods write-up'!$R$18,'[1]observations-276632'!X674&gt;'[1]Methods write-up'!$S$18,'[1]observations-276632'!X674&lt;'[1]Methods write-up'!$T$18),"Somali peninsula","")</f>
        <v/>
      </c>
      <c r="BA674" s="22" t="str">
        <f>IF(AND('[1]observations-276632'!W674&gt;'[1]Methods write-up'!$Q$19,'[1]observations-276632'!W674&lt;'[1]Methods write-up'!$R$19,'[1]observations-276632'!X674&gt;'[1]Methods write-up'!$S$19,'[1]observations-276632'!X674&lt;'[1]Methods write-up'!$T$19),"East Africa","")</f>
        <v>East Africa</v>
      </c>
      <c r="BB674" s="22" t="str">
        <f>IF(AND('[1]observations-276632'!W674&gt;'[1]Methods write-up'!$Q$20,'[1]observations-276632'!W674&lt;'[1]Methods write-up'!$R$20,'[1]observations-276632'!X674&gt;'[1]Methods write-up'!$S$20,'[1]observations-276632'!X674&lt;'[1]Methods write-up'!$T$20),"Temperate seasonal","")</f>
        <v/>
      </c>
      <c r="BC674" s="22" t="str">
        <f>IF(AND('[1]observations-276632'!W674&gt;'[1]Methods write-up'!$Q$21,'[1]observations-276632'!W674&lt;'[1]Methods write-up'!$R$21,'[1]observations-276632'!X674&gt;'[1]Methods write-up'!$S$21,'[1]observations-276632'!X674&lt;'[1]Methods write-up'!$T$21),"Desert and high aridity","")</f>
        <v/>
      </c>
      <c r="BD674" s="23" t="str">
        <f t="shared" si="46"/>
        <v>East Africa</v>
      </c>
      <c r="BE674" s="24">
        <f t="shared" si="44"/>
        <v>7</v>
      </c>
      <c r="BF674" s="24">
        <f t="shared" si="45"/>
        <v>3</v>
      </c>
    </row>
    <row r="675" spans="1:58" ht="16.25" customHeight="1" x14ac:dyDescent="0.2">
      <c r="A675">
        <v>70825702</v>
      </c>
      <c r="B675" t="s">
        <v>5030</v>
      </c>
      <c r="C675" s="14">
        <v>44261</v>
      </c>
      <c r="D675" t="s">
        <v>5031</v>
      </c>
      <c r="E675" t="s">
        <v>113</v>
      </c>
      <c r="F675">
        <v>2815647</v>
      </c>
      <c r="G675" t="s">
        <v>4717</v>
      </c>
      <c r="H675" t="s">
        <v>4718</v>
      </c>
      <c r="I675" t="s">
        <v>5032</v>
      </c>
      <c r="J675" t="s">
        <v>5033</v>
      </c>
      <c r="K675" t="s">
        <v>157</v>
      </c>
      <c r="M675" t="s">
        <v>5034</v>
      </c>
      <c r="N675" t="s">
        <v>5035</v>
      </c>
      <c r="R675">
        <v>3</v>
      </c>
      <c r="S675">
        <v>0</v>
      </c>
      <c r="T675" t="b">
        <v>0</v>
      </c>
      <c r="U675">
        <v>2</v>
      </c>
      <c r="V675" t="s">
        <v>3703</v>
      </c>
      <c r="W675" s="15">
        <v>-28.758582329999999</v>
      </c>
      <c r="X675" s="15">
        <v>18.87554269</v>
      </c>
      <c r="Y675">
        <v>11</v>
      </c>
      <c r="AC675">
        <v>11</v>
      </c>
      <c r="AF675" t="b">
        <v>0</v>
      </c>
      <c r="AG675" t="s">
        <v>350</v>
      </c>
      <c r="AH675" t="s">
        <v>350</v>
      </c>
      <c r="AI675" t="s">
        <v>756</v>
      </c>
      <c r="AJ675" t="s">
        <v>756</v>
      </c>
      <c r="AL675" t="s">
        <v>72</v>
      </c>
      <c r="AM675">
        <v>652800</v>
      </c>
      <c r="AO675" s="16" t="s">
        <v>140</v>
      </c>
      <c r="AP675" s="17" t="str">
        <f t="shared" si="43"/>
        <v>Post-emergence nest</v>
      </c>
      <c r="AQ675" s="18">
        <v>6</v>
      </c>
      <c r="AT675" s="19" t="s">
        <v>141</v>
      </c>
      <c r="AU675" s="20" t="s">
        <v>104</v>
      </c>
      <c r="AX675" s="22" t="str">
        <f>IF(AND('[1]observations-276632'!W675&gt;'[1]Methods write-up'!$Q$16,'[1]observations-276632'!W675&lt;'[1]Methods write-up'!$R$16,'[1]observations-276632'!X675&gt;'[1]Methods write-up'!$S$16,'[1]observations-276632'!X675&lt;'[1]Methods write-up'!$T$16),"West and Central Africa","")</f>
        <v/>
      </c>
      <c r="AY675" s="22" t="str">
        <f>IF(AND('[1]observations-276632'!W675&gt;'[1]Methods write-up'!$Q$17,'[1]observations-276632'!W675&lt;'[1]Methods write-up'!$R$17,'[1]observations-276632'!X675&gt;'[1]Methods write-up'!$S$17,'[1]observations-276632'!X675&lt;'[1]Methods write-up'!$T$17),"Equatorial tropical forest","")</f>
        <v/>
      </c>
      <c r="AZ675" s="22" t="str">
        <f>IF(AND('[1]observations-276632'!W675&gt;'[1]Methods write-up'!$Q$18,'[1]observations-276632'!W675&lt;'[1]Methods write-up'!$R$18,'[1]observations-276632'!X675&gt;'[1]Methods write-up'!$S$18,'[1]observations-276632'!X675&lt;'[1]Methods write-up'!$T$18),"Somali peninsula","")</f>
        <v/>
      </c>
      <c r="BA675" s="22" t="str">
        <f>IF(AND('[1]observations-276632'!W675&gt;'[1]Methods write-up'!$Q$19,'[1]observations-276632'!W675&lt;'[1]Methods write-up'!$R$19,'[1]observations-276632'!X675&gt;'[1]Methods write-up'!$S$19,'[1]observations-276632'!X675&lt;'[1]Methods write-up'!$T$19),"East Africa","")</f>
        <v/>
      </c>
      <c r="BB675" s="22" t="str">
        <f>IF(AND('[1]observations-276632'!W675&gt;'[1]Methods write-up'!$Q$20,'[1]observations-276632'!W675&lt;'[1]Methods write-up'!$R$20,'[1]observations-276632'!X675&gt;'[1]Methods write-up'!$S$20,'[1]observations-276632'!X675&lt;'[1]Methods write-up'!$T$20),"Temperate seasonal","")</f>
        <v/>
      </c>
      <c r="BC675" s="22" t="str">
        <f>IF(AND('[1]observations-276632'!W675&gt;'[1]Methods write-up'!$Q$21,'[1]observations-276632'!W675&lt;'[1]Methods write-up'!$R$21,'[1]observations-276632'!X675&gt;'[1]Methods write-up'!$S$21,'[1]observations-276632'!X675&lt;'[1]Methods write-up'!$T$21),"Desert and high aridity","")</f>
        <v>Desert and high aridity</v>
      </c>
      <c r="BD675" s="23" t="str">
        <f t="shared" si="46"/>
        <v>Desert and high aridity</v>
      </c>
      <c r="BE675" s="24">
        <f t="shared" si="44"/>
        <v>6</v>
      </c>
      <c r="BF675" s="24">
        <f t="shared" si="45"/>
        <v>3</v>
      </c>
    </row>
    <row r="676" spans="1:58" ht="16.25" customHeight="1" x14ac:dyDescent="0.2">
      <c r="A676">
        <v>71156417</v>
      </c>
      <c r="B676" t="s">
        <v>5036</v>
      </c>
      <c r="C676" s="14">
        <v>42303</v>
      </c>
      <c r="D676" t="s">
        <v>5037</v>
      </c>
      <c r="E676" t="s">
        <v>243</v>
      </c>
      <c r="F676">
        <v>3993078</v>
      </c>
      <c r="G676" t="s">
        <v>5038</v>
      </c>
      <c r="H676" t="s">
        <v>5039</v>
      </c>
      <c r="I676" t="s">
        <v>5040</v>
      </c>
      <c r="J676" t="s">
        <v>5041</v>
      </c>
      <c r="K676" t="s">
        <v>62</v>
      </c>
      <c r="L676" t="s">
        <v>63</v>
      </c>
      <c r="M676" t="s">
        <v>5042</v>
      </c>
      <c r="N676" t="s">
        <v>5043</v>
      </c>
      <c r="R676">
        <v>2</v>
      </c>
      <c r="S676">
        <v>0</v>
      </c>
      <c r="T676" t="b">
        <v>0</v>
      </c>
      <c r="V676" t="s">
        <v>5044</v>
      </c>
      <c r="W676" s="15">
        <v>17.09732035</v>
      </c>
      <c r="X676" s="15">
        <v>54.280680060000002</v>
      </c>
      <c r="Y676">
        <v>8</v>
      </c>
      <c r="AC676">
        <v>8</v>
      </c>
      <c r="AF676" t="b">
        <v>0</v>
      </c>
      <c r="AI676" t="s">
        <v>71</v>
      </c>
      <c r="AJ676" t="s">
        <v>70</v>
      </c>
      <c r="AK676" t="s">
        <v>71</v>
      </c>
      <c r="AL676" t="s">
        <v>72</v>
      </c>
      <c r="AM676">
        <v>346053</v>
      </c>
      <c r="AO676" s="16" t="s">
        <v>73</v>
      </c>
      <c r="AP676" s="17" t="str">
        <f t="shared" si="43"/>
        <v>Off-nest female</v>
      </c>
      <c r="AX676" s="22" t="str">
        <f>IF(AND('[1]observations-276632'!W676&gt;'[1]Methods write-up'!$Q$16,'[1]observations-276632'!W676&lt;'[1]Methods write-up'!$R$16,'[1]observations-276632'!X676&gt;'[1]Methods write-up'!$S$16,'[1]observations-276632'!X676&lt;'[1]Methods write-up'!$T$16),"West and Central Africa","")</f>
        <v/>
      </c>
      <c r="AY676" s="22" t="str">
        <f>IF(AND('[1]observations-276632'!W676&gt;'[1]Methods write-up'!$Q$17,'[1]observations-276632'!W676&lt;'[1]Methods write-up'!$R$17,'[1]observations-276632'!X676&gt;'[1]Methods write-up'!$S$17,'[1]observations-276632'!X676&lt;'[1]Methods write-up'!$T$17),"Equatorial tropical forest","")</f>
        <v/>
      </c>
      <c r="AZ676" s="22" t="str">
        <f>IF(AND('[1]observations-276632'!W676&gt;'[1]Methods write-up'!$Q$18,'[1]observations-276632'!W676&lt;'[1]Methods write-up'!$R$18,'[1]observations-276632'!X676&gt;'[1]Methods write-up'!$S$18,'[1]observations-276632'!X676&lt;'[1]Methods write-up'!$T$18),"Somali peninsula","")</f>
        <v/>
      </c>
      <c r="BA676" s="22" t="str">
        <f>IF(AND('[1]observations-276632'!W676&gt;'[1]Methods write-up'!$Q$19,'[1]observations-276632'!W676&lt;'[1]Methods write-up'!$R$19,'[1]observations-276632'!X676&gt;'[1]Methods write-up'!$S$19,'[1]observations-276632'!X676&lt;'[1]Methods write-up'!$T$19),"East Africa","")</f>
        <v/>
      </c>
      <c r="BB676" s="22" t="str">
        <f>IF(AND('[1]observations-276632'!W676&gt;'[1]Methods write-up'!$Q$20,'[1]observations-276632'!W676&lt;'[1]Methods write-up'!$R$20,'[1]observations-276632'!X676&gt;'[1]Methods write-up'!$S$20,'[1]observations-276632'!X676&lt;'[1]Methods write-up'!$T$20),"Temperate seasonal","")</f>
        <v/>
      </c>
      <c r="BC676" s="22" t="str">
        <f>IF(AND('[1]observations-276632'!W676&gt;'[1]Methods write-up'!$Q$21,'[1]observations-276632'!W676&lt;'[1]Methods write-up'!$R$21,'[1]observations-276632'!X676&gt;'[1]Methods write-up'!$S$21,'[1]observations-276632'!X676&lt;'[1]Methods write-up'!$T$21),"Desert and high aridity","")</f>
        <v/>
      </c>
      <c r="BD676" s="23" t="str">
        <f t="shared" si="46"/>
        <v/>
      </c>
      <c r="BE676" s="24">
        <f t="shared" si="44"/>
        <v>26</v>
      </c>
      <c r="BF676" s="24">
        <f t="shared" si="45"/>
        <v>10</v>
      </c>
    </row>
    <row r="677" spans="1:58" ht="16.25" customHeight="1" x14ac:dyDescent="0.2">
      <c r="A677">
        <v>71466745</v>
      </c>
      <c r="B677" t="s">
        <v>5045</v>
      </c>
      <c r="C677" s="14">
        <v>44272</v>
      </c>
      <c r="D677" t="s">
        <v>5046</v>
      </c>
      <c r="E677" t="s">
        <v>1408</v>
      </c>
      <c r="F677">
        <v>3087997</v>
      </c>
      <c r="G677" t="s">
        <v>5047</v>
      </c>
      <c r="H677" t="s">
        <v>5048</v>
      </c>
      <c r="I677" t="s">
        <v>5049</v>
      </c>
      <c r="J677" t="s">
        <v>5050</v>
      </c>
      <c r="K677" t="s">
        <v>62</v>
      </c>
      <c r="L677" t="s">
        <v>63</v>
      </c>
      <c r="M677" t="s">
        <v>5051</v>
      </c>
      <c r="N677" t="s">
        <v>5052</v>
      </c>
      <c r="R677">
        <v>1</v>
      </c>
      <c r="S677">
        <v>0</v>
      </c>
      <c r="T677" t="b">
        <v>0</v>
      </c>
      <c r="V677" t="s">
        <v>5053</v>
      </c>
      <c r="W677" s="15">
        <v>-1.2671309980000001</v>
      </c>
      <c r="X677" s="15">
        <v>36.821008820000003</v>
      </c>
      <c r="Y677">
        <v>15</v>
      </c>
      <c r="AC677">
        <v>15</v>
      </c>
      <c r="AF677" t="b">
        <v>0</v>
      </c>
      <c r="AI677" t="s">
        <v>71</v>
      </c>
      <c r="AJ677" t="s">
        <v>70</v>
      </c>
      <c r="AK677" t="s">
        <v>71</v>
      </c>
      <c r="AL677" t="s">
        <v>72</v>
      </c>
      <c r="AM677">
        <v>346053</v>
      </c>
      <c r="AO677" s="16" t="s">
        <v>73</v>
      </c>
      <c r="AP677" s="17" t="str">
        <f t="shared" si="43"/>
        <v>Off-nest female</v>
      </c>
      <c r="AX677" s="22" t="str">
        <f>IF(AND('[1]observations-276632'!W677&gt;'[1]Methods write-up'!$Q$16,'[1]observations-276632'!W677&lt;'[1]Methods write-up'!$R$16,'[1]observations-276632'!X677&gt;'[1]Methods write-up'!$S$16,'[1]observations-276632'!X677&lt;'[1]Methods write-up'!$T$16),"West and Central Africa","")</f>
        <v/>
      </c>
      <c r="AY677" s="22" t="str">
        <f>IF(AND('[1]observations-276632'!W677&gt;'[1]Methods write-up'!$Q$17,'[1]observations-276632'!W677&lt;'[1]Methods write-up'!$R$17,'[1]observations-276632'!X677&gt;'[1]Methods write-up'!$S$17,'[1]observations-276632'!X677&lt;'[1]Methods write-up'!$T$17),"Equatorial tropical forest","")</f>
        <v/>
      </c>
      <c r="AZ677" s="22" t="str">
        <f>IF(AND('[1]observations-276632'!W677&gt;'[1]Methods write-up'!$Q$18,'[1]observations-276632'!W677&lt;'[1]Methods write-up'!$R$18,'[1]observations-276632'!X677&gt;'[1]Methods write-up'!$S$18,'[1]observations-276632'!X677&lt;'[1]Methods write-up'!$T$18),"Somali peninsula","")</f>
        <v/>
      </c>
      <c r="BA677" s="22" t="str">
        <f>IF(AND('[1]observations-276632'!W677&gt;'[1]Methods write-up'!$Q$19,'[1]observations-276632'!W677&lt;'[1]Methods write-up'!$R$19,'[1]observations-276632'!X677&gt;'[1]Methods write-up'!$S$19,'[1]observations-276632'!X677&lt;'[1]Methods write-up'!$T$19),"East Africa","")</f>
        <v>East Africa</v>
      </c>
      <c r="BB677" s="22" t="str">
        <f>IF(AND('[1]observations-276632'!W677&gt;'[1]Methods write-up'!$Q$20,'[1]observations-276632'!W677&lt;'[1]Methods write-up'!$R$20,'[1]observations-276632'!X677&gt;'[1]Methods write-up'!$S$20,'[1]observations-276632'!X677&lt;'[1]Methods write-up'!$T$20),"Temperate seasonal","")</f>
        <v/>
      </c>
      <c r="BC677" s="22" t="str">
        <f>IF(AND('[1]observations-276632'!W677&gt;'[1]Methods write-up'!$Q$21,'[1]observations-276632'!W677&lt;'[1]Methods write-up'!$R$21,'[1]observations-276632'!X677&gt;'[1]Methods write-up'!$S$21,'[1]observations-276632'!X677&lt;'[1]Methods write-up'!$T$21),"Desert and high aridity","")</f>
        <v/>
      </c>
      <c r="BD677" s="23" t="str">
        <f t="shared" si="46"/>
        <v>East Africa</v>
      </c>
      <c r="BE677" s="24">
        <f t="shared" si="44"/>
        <v>17</v>
      </c>
      <c r="BF677" s="24">
        <f t="shared" si="45"/>
        <v>3</v>
      </c>
    </row>
    <row r="678" spans="1:58" ht="16.25" customHeight="1" x14ac:dyDescent="0.2">
      <c r="A678">
        <v>71540278</v>
      </c>
      <c r="B678" t="s">
        <v>5054</v>
      </c>
      <c r="C678" s="14">
        <v>44274</v>
      </c>
      <c r="D678" t="s">
        <v>5055</v>
      </c>
      <c r="E678" t="s">
        <v>113</v>
      </c>
      <c r="F678">
        <v>3465995</v>
      </c>
      <c r="G678" t="s">
        <v>4866</v>
      </c>
      <c r="H678" t="s">
        <v>4867</v>
      </c>
      <c r="I678" t="s">
        <v>5056</v>
      </c>
      <c r="J678" t="s">
        <v>5057</v>
      </c>
      <c r="K678" t="s">
        <v>62</v>
      </c>
      <c r="L678" t="s">
        <v>63</v>
      </c>
      <c r="M678" t="s">
        <v>5058</v>
      </c>
      <c r="N678" t="s">
        <v>5059</v>
      </c>
      <c r="R678">
        <v>2</v>
      </c>
      <c r="S678">
        <v>0</v>
      </c>
      <c r="T678" t="b">
        <v>0</v>
      </c>
      <c r="V678" t="s">
        <v>4967</v>
      </c>
      <c r="W678" s="15">
        <v>-20.20826856</v>
      </c>
      <c r="X678" s="15">
        <v>28.577963860000001</v>
      </c>
      <c r="Y678">
        <v>7813</v>
      </c>
      <c r="AC678">
        <v>7813</v>
      </c>
      <c r="AF678" t="b">
        <v>0</v>
      </c>
      <c r="AI678" t="s">
        <v>71</v>
      </c>
      <c r="AJ678" t="s">
        <v>70</v>
      </c>
      <c r="AK678" t="s">
        <v>71</v>
      </c>
      <c r="AL678" t="s">
        <v>72</v>
      </c>
      <c r="AM678">
        <v>346053</v>
      </c>
      <c r="AO678" s="16" t="s">
        <v>73</v>
      </c>
      <c r="AP678" s="17" t="str">
        <f t="shared" si="43"/>
        <v>Off-nest female</v>
      </c>
      <c r="AX678" s="22" t="str">
        <f>IF(AND('[1]observations-276632'!W678&gt;'[1]Methods write-up'!$Q$16,'[1]observations-276632'!W678&lt;'[1]Methods write-up'!$R$16,'[1]observations-276632'!X678&gt;'[1]Methods write-up'!$S$16,'[1]observations-276632'!X678&lt;'[1]Methods write-up'!$T$16),"West and Central Africa","")</f>
        <v/>
      </c>
      <c r="AY678" s="22" t="str">
        <f>IF(AND('[1]observations-276632'!W678&gt;'[1]Methods write-up'!$Q$17,'[1]observations-276632'!W678&lt;'[1]Methods write-up'!$R$17,'[1]observations-276632'!X678&gt;'[1]Methods write-up'!$S$17,'[1]observations-276632'!X678&lt;'[1]Methods write-up'!$T$17),"Equatorial tropical forest","")</f>
        <v/>
      </c>
      <c r="AZ678" s="22" t="str">
        <f>IF(AND('[1]observations-276632'!W678&gt;'[1]Methods write-up'!$Q$18,'[1]observations-276632'!W678&lt;'[1]Methods write-up'!$R$18,'[1]observations-276632'!X678&gt;'[1]Methods write-up'!$S$18,'[1]observations-276632'!X678&lt;'[1]Methods write-up'!$T$18),"Somali peninsula","")</f>
        <v/>
      </c>
      <c r="BA678" s="22" t="str">
        <f>IF(AND('[1]observations-276632'!W678&gt;'[1]Methods write-up'!$Q$19,'[1]observations-276632'!W678&lt;'[1]Methods write-up'!$R$19,'[1]observations-276632'!X678&gt;'[1]Methods write-up'!$S$19,'[1]observations-276632'!X678&lt;'[1]Methods write-up'!$T$19),"East Africa","")</f>
        <v/>
      </c>
      <c r="BB678" s="22" t="str">
        <f>IF(AND('[1]observations-276632'!W678&gt;'[1]Methods write-up'!$Q$20,'[1]observations-276632'!W678&lt;'[1]Methods write-up'!$R$20,'[1]observations-276632'!X678&gt;'[1]Methods write-up'!$S$20,'[1]observations-276632'!X678&lt;'[1]Methods write-up'!$T$20),"Temperate seasonal","")</f>
        <v/>
      </c>
      <c r="BC678" s="22" t="str">
        <f>IF(AND('[1]observations-276632'!W678&gt;'[1]Methods write-up'!$Q$21,'[1]observations-276632'!W678&lt;'[1]Methods write-up'!$R$21,'[1]observations-276632'!X678&gt;'[1]Methods write-up'!$S$21,'[1]observations-276632'!X678&lt;'[1]Methods write-up'!$T$21),"Desert and high aridity","")</f>
        <v/>
      </c>
      <c r="BD678" s="23" t="str">
        <f t="shared" si="46"/>
        <v/>
      </c>
      <c r="BE678" s="24">
        <f t="shared" si="44"/>
        <v>19</v>
      </c>
      <c r="BF678" s="24">
        <f t="shared" si="45"/>
        <v>3</v>
      </c>
    </row>
    <row r="679" spans="1:58" ht="16.25" customHeight="1" x14ac:dyDescent="0.2">
      <c r="A679">
        <v>71725783</v>
      </c>
      <c r="B679" t="s">
        <v>5060</v>
      </c>
      <c r="C679" s="14">
        <v>39898</v>
      </c>
      <c r="D679" t="s">
        <v>5061</v>
      </c>
      <c r="E679" t="s">
        <v>243</v>
      </c>
      <c r="F679">
        <v>1990461</v>
      </c>
      <c r="G679" t="s">
        <v>5062</v>
      </c>
      <c r="H679" t="s">
        <v>5063</v>
      </c>
      <c r="I679" t="s">
        <v>5064</v>
      </c>
      <c r="J679" t="s">
        <v>5065</v>
      </c>
      <c r="K679" t="s">
        <v>62</v>
      </c>
      <c r="L679" t="s">
        <v>63</v>
      </c>
      <c r="M679" t="s">
        <v>5066</v>
      </c>
      <c r="N679" t="s">
        <v>5067</v>
      </c>
      <c r="R679">
        <v>2</v>
      </c>
      <c r="S679">
        <v>0</v>
      </c>
      <c r="T679" t="b">
        <v>0</v>
      </c>
      <c r="V679" t="s">
        <v>5068</v>
      </c>
      <c r="W679" s="15">
        <v>-8.7596615490000005</v>
      </c>
      <c r="X679" s="15">
        <v>31.11489263</v>
      </c>
      <c r="Y679">
        <v>52</v>
      </c>
      <c r="AC679">
        <v>52</v>
      </c>
      <c r="AF679" t="b">
        <v>0</v>
      </c>
      <c r="AI679" t="s">
        <v>71</v>
      </c>
      <c r="AJ679" t="s">
        <v>70</v>
      </c>
      <c r="AK679" t="s">
        <v>71</v>
      </c>
      <c r="AL679" t="s">
        <v>72</v>
      </c>
      <c r="AM679">
        <v>346053</v>
      </c>
      <c r="AO679" s="16" t="s">
        <v>73</v>
      </c>
      <c r="AP679" s="17" t="str">
        <f t="shared" si="43"/>
        <v>Off-nest female</v>
      </c>
      <c r="AX679" s="22" t="str">
        <f>IF(AND('[1]observations-276632'!W679&gt;'[1]Methods write-up'!$Q$16,'[1]observations-276632'!W679&lt;'[1]Methods write-up'!$R$16,'[1]observations-276632'!X679&gt;'[1]Methods write-up'!$S$16,'[1]observations-276632'!X679&lt;'[1]Methods write-up'!$T$16),"West and Central Africa","")</f>
        <v/>
      </c>
      <c r="AY679" s="22" t="str">
        <f>IF(AND('[1]observations-276632'!W679&gt;'[1]Methods write-up'!$Q$17,'[1]observations-276632'!W679&lt;'[1]Methods write-up'!$R$17,'[1]observations-276632'!X679&gt;'[1]Methods write-up'!$S$17,'[1]observations-276632'!X679&lt;'[1]Methods write-up'!$T$17),"Equatorial tropical forest","")</f>
        <v/>
      </c>
      <c r="AZ679" s="22" t="str">
        <f>IF(AND('[1]observations-276632'!W679&gt;'[1]Methods write-up'!$Q$18,'[1]observations-276632'!W679&lt;'[1]Methods write-up'!$R$18,'[1]observations-276632'!X679&gt;'[1]Methods write-up'!$S$18,'[1]observations-276632'!X679&lt;'[1]Methods write-up'!$T$18),"Somali peninsula","")</f>
        <v/>
      </c>
      <c r="BA679" s="22" t="str">
        <f>IF(AND('[1]observations-276632'!W679&gt;'[1]Methods write-up'!$Q$19,'[1]observations-276632'!W679&lt;'[1]Methods write-up'!$R$19,'[1]observations-276632'!X679&gt;'[1]Methods write-up'!$S$19,'[1]observations-276632'!X679&lt;'[1]Methods write-up'!$T$19),"East Africa","")</f>
        <v/>
      </c>
      <c r="BB679" s="22" t="str">
        <f>IF(AND('[1]observations-276632'!W679&gt;'[1]Methods write-up'!$Q$20,'[1]observations-276632'!W679&lt;'[1]Methods write-up'!$R$20,'[1]observations-276632'!X679&gt;'[1]Methods write-up'!$S$20,'[1]observations-276632'!X679&lt;'[1]Methods write-up'!$T$20),"Temperate seasonal","")</f>
        <v/>
      </c>
      <c r="BC679" s="22" t="str">
        <f>IF(AND('[1]observations-276632'!W679&gt;'[1]Methods write-up'!$Q$21,'[1]observations-276632'!W679&lt;'[1]Methods write-up'!$R$21,'[1]observations-276632'!X679&gt;'[1]Methods write-up'!$S$21,'[1]observations-276632'!X679&lt;'[1]Methods write-up'!$T$21),"Desert and high aridity","")</f>
        <v/>
      </c>
      <c r="BD679" s="23" t="str">
        <f t="shared" si="46"/>
        <v/>
      </c>
      <c r="BE679" s="24">
        <f t="shared" si="44"/>
        <v>26</v>
      </c>
      <c r="BF679" s="24">
        <f t="shared" si="45"/>
        <v>3</v>
      </c>
    </row>
    <row r="680" spans="1:58" ht="16.25" customHeight="1" x14ac:dyDescent="0.2">
      <c r="A680">
        <v>71795321</v>
      </c>
      <c r="B680" t="s">
        <v>5069</v>
      </c>
      <c r="C680" s="14">
        <v>44277</v>
      </c>
      <c r="D680" t="s">
        <v>5070</v>
      </c>
      <c r="E680" t="s">
        <v>113</v>
      </c>
      <c r="F680">
        <v>4011361</v>
      </c>
      <c r="G680" t="s">
        <v>5071</v>
      </c>
      <c r="H680" t="s">
        <v>5072</v>
      </c>
      <c r="I680" t="s">
        <v>5073</v>
      </c>
      <c r="J680" t="s">
        <v>5074</v>
      </c>
      <c r="K680" t="s">
        <v>157</v>
      </c>
      <c r="L680" t="s">
        <v>63</v>
      </c>
      <c r="M680" t="s">
        <v>5075</v>
      </c>
      <c r="N680" t="s">
        <v>5076</v>
      </c>
      <c r="R680">
        <v>2</v>
      </c>
      <c r="S680">
        <v>0</v>
      </c>
      <c r="T680" t="b">
        <v>0</v>
      </c>
      <c r="V680" t="s">
        <v>5077</v>
      </c>
      <c r="W680" s="15">
        <v>-22.560106709999999</v>
      </c>
      <c r="X680" s="15">
        <v>17.062769339999999</v>
      </c>
      <c r="Y680">
        <v>816</v>
      </c>
      <c r="AC680">
        <v>816</v>
      </c>
      <c r="AF680" t="b">
        <v>0</v>
      </c>
      <c r="AI680" t="s">
        <v>756</v>
      </c>
      <c r="AJ680" t="s">
        <v>756</v>
      </c>
      <c r="AL680" t="s">
        <v>72</v>
      </c>
      <c r="AM680">
        <v>652800</v>
      </c>
      <c r="AO680" s="16" t="s">
        <v>73</v>
      </c>
      <c r="AP680" s="17" t="str">
        <f t="shared" si="43"/>
        <v>Off-nest female</v>
      </c>
      <c r="AX680" s="22" t="str">
        <f>IF(AND('[1]observations-276632'!W680&gt;'[1]Methods write-up'!$Q$16,'[1]observations-276632'!W680&lt;'[1]Methods write-up'!$R$16,'[1]observations-276632'!X680&gt;'[1]Methods write-up'!$S$16,'[1]observations-276632'!X680&lt;'[1]Methods write-up'!$T$16),"West and Central Africa","")</f>
        <v/>
      </c>
      <c r="AY680" s="22" t="str">
        <f>IF(AND('[1]observations-276632'!W680&gt;'[1]Methods write-up'!$Q$17,'[1]observations-276632'!W680&lt;'[1]Methods write-up'!$R$17,'[1]observations-276632'!X680&gt;'[1]Methods write-up'!$S$17,'[1]observations-276632'!X680&lt;'[1]Methods write-up'!$T$17),"Equatorial tropical forest","")</f>
        <v/>
      </c>
      <c r="AZ680" s="22" t="str">
        <f>IF(AND('[1]observations-276632'!W680&gt;'[1]Methods write-up'!$Q$18,'[1]observations-276632'!W680&lt;'[1]Methods write-up'!$R$18,'[1]observations-276632'!X680&gt;'[1]Methods write-up'!$S$18,'[1]observations-276632'!X680&lt;'[1]Methods write-up'!$T$18),"Somali peninsula","")</f>
        <v/>
      </c>
      <c r="BA680" s="22" t="str">
        <f>IF(AND('[1]observations-276632'!W680&gt;'[1]Methods write-up'!$Q$19,'[1]observations-276632'!W680&lt;'[1]Methods write-up'!$R$19,'[1]observations-276632'!X680&gt;'[1]Methods write-up'!$S$19,'[1]observations-276632'!X680&lt;'[1]Methods write-up'!$T$19),"East Africa","")</f>
        <v/>
      </c>
      <c r="BB680" s="22" t="str">
        <f>IF(AND('[1]observations-276632'!W680&gt;'[1]Methods write-up'!$Q$20,'[1]observations-276632'!W680&lt;'[1]Methods write-up'!$R$20,'[1]observations-276632'!X680&gt;'[1]Methods write-up'!$S$20,'[1]observations-276632'!X680&lt;'[1]Methods write-up'!$T$20),"Temperate seasonal","")</f>
        <v/>
      </c>
      <c r="BC680" s="22" t="str">
        <f>IF(AND('[1]observations-276632'!W680&gt;'[1]Methods write-up'!$Q$21,'[1]observations-276632'!W680&lt;'[1]Methods write-up'!$R$21,'[1]observations-276632'!X680&gt;'[1]Methods write-up'!$S$21,'[1]observations-276632'!X680&lt;'[1]Methods write-up'!$T$21),"Desert and high aridity","")</f>
        <v>Desert and high aridity</v>
      </c>
      <c r="BD680" s="23" t="str">
        <f t="shared" si="46"/>
        <v>Desert and high aridity</v>
      </c>
      <c r="BE680" s="24">
        <f t="shared" si="44"/>
        <v>22</v>
      </c>
      <c r="BF680" s="24">
        <f t="shared" si="45"/>
        <v>3</v>
      </c>
    </row>
    <row r="681" spans="1:58" ht="16.25" customHeight="1" x14ac:dyDescent="0.2">
      <c r="A681">
        <v>71947732</v>
      </c>
      <c r="B681" t="s">
        <v>5078</v>
      </c>
      <c r="C681" s="14">
        <v>44279</v>
      </c>
      <c r="D681" t="s">
        <v>5079</v>
      </c>
      <c r="E681" t="s">
        <v>84</v>
      </c>
      <c r="F681">
        <v>1462270</v>
      </c>
      <c r="G681" t="s">
        <v>5080</v>
      </c>
      <c r="H681" t="s">
        <v>5081</v>
      </c>
      <c r="I681" t="s">
        <v>5082</v>
      </c>
      <c r="J681" t="s">
        <v>5083</v>
      </c>
      <c r="K681" t="s">
        <v>62</v>
      </c>
      <c r="L681" t="s">
        <v>63</v>
      </c>
      <c r="M681" t="s">
        <v>5084</v>
      </c>
      <c r="N681" t="s">
        <v>5085</v>
      </c>
      <c r="R681">
        <v>3</v>
      </c>
      <c r="S681">
        <v>0</v>
      </c>
      <c r="T681" t="b">
        <v>0</v>
      </c>
      <c r="U681">
        <v>2</v>
      </c>
      <c r="V681" t="s">
        <v>5086</v>
      </c>
      <c r="W681" s="15">
        <v>-7.7460622490000004</v>
      </c>
      <c r="X681" s="15">
        <v>35.135410909999997</v>
      </c>
      <c r="Y681">
        <v>492</v>
      </c>
      <c r="AC681">
        <v>492</v>
      </c>
      <c r="AF681" t="b">
        <v>0</v>
      </c>
      <c r="AG681" t="s">
        <v>350</v>
      </c>
      <c r="AH681" t="s">
        <v>350</v>
      </c>
      <c r="AI681" t="s">
        <v>71</v>
      </c>
      <c r="AJ681" t="s">
        <v>70</v>
      </c>
      <c r="AK681" t="s">
        <v>71</v>
      </c>
      <c r="AL681" t="s">
        <v>72</v>
      </c>
      <c r="AM681">
        <v>346053</v>
      </c>
      <c r="AO681" s="16" t="s">
        <v>1356</v>
      </c>
      <c r="AP681" s="17" t="str">
        <f t="shared" si="43"/>
        <v>Nest (foundress)</v>
      </c>
      <c r="AQ681" s="18">
        <v>2</v>
      </c>
      <c r="AT681" s="19" t="s">
        <v>104</v>
      </c>
      <c r="AX681" s="22" t="str">
        <f>IF(AND('[1]observations-276632'!W681&gt;'[1]Methods write-up'!$Q$16,'[1]observations-276632'!W681&lt;'[1]Methods write-up'!$R$16,'[1]observations-276632'!X681&gt;'[1]Methods write-up'!$S$16,'[1]observations-276632'!X681&lt;'[1]Methods write-up'!$T$16),"West and Central Africa","")</f>
        <v/>
      </c>
      <c r="AY681" s="22" t="str">
        <f>IF(AND('[1]observations-276632'!W681&gt;'[1]Methods write-up'!$Q$17,'[1]observations-276632'!W681&lt;'[1]Methods write-up'!$R$17,'[1]observations-276632'!X681&gt;'[1]Methods write-up'!$S$17,'[1]observations-276632'!X681&lt;'[1]Methods write-up'!$T$17),"Equatorial tropical forest","")</f>
        <v/>
      </c>
      <c r="AZ681" s="22" t="str">
        <f>IF(AND('[1]observations-276632'!W681&gt;'[1]Methods write-up'!$Q$18,'[1]observations-276632'!W681&lt;'[1]Methods write-up'!$R$18,'[1]observations-276632'!X681&gt;'[1]Methods write-up'!$S$18,'[1]observations-276632'!X681&lt;'[1]Methods write-up'!$T$18),"Somali peninsula","")</f>
        <v/>
      </c>
      <c r="BA681" s="22" t="str">
        <f>IF(AND('[1]observations-276632'!W681&gt;'[1]Methods write-up'!$Q$19,'[1]observations-276632'!W681&lt;'[1]Methods write-up'!$R$19,'[1]observations-276632'!X681&gt;'[1]Methods write-up'!$S$19,'[1]observations-276632'!X681&lt;'[1]Methods write-up'!$T$19),"East Africa","")</f>
        <v>East Africa</v>
      </c>
      <c r="BB681" s="22" t="str">
        <f>IF(AND('[1]observations-276632'!W681&gt;'[1]Methods write-up'!$Q$20,'[1]observations-276632'!W681&lt;'[1]Methods write-up'!$R$20,'[1]observations-276632'!X681&gt;'[1]Methods write-up'!$S$20,'[1]observations-276632'!X681&lt;'[1]Methods write-up'!$T$20),"Temperate seasonal","")</f>
        <v/>
      </c>
      <c r="BC681" s="22" t="str">
        <f>IF(AND('[1]observations-276632'!W681&gt;'[1]Methods write-up'!$Q$21,'[1]observations-276632'!W681&lt;'[1]Methods write-up'!$R$21,'[1]observations-276632'!X681&gt;'[1]Methods write-up'!$S$21,'[1]observations-276632'!X681&lt;'[1]Methods write-up'!$T$21),"Desert and high aridity","")</f>
        <v/>
      </c>
      <c r="BD681" s="23" t="str">
        <f t="shared" si="46"/>
        <v>East Africa</v>
      </c>
      <c r="BE681" s="24">
        <f t="shared" si="44"/>
        <v>24</v>
      </c>
      <c r="BF681" s="24">
        <f t="shared" si="45"/>
        <v>3</v>
      </c>
    </row>
    <row r="682" spans="1:58" ht="16.25" customHeight="1" x14ac:dyDescent="0.2">
      <c r="A682">
        <v>72075148</v>
      </c>
      <c r="B682" t="s">
        <v>5087</v>
      </c>
      <c r="C682" s="14">
        <v>44273</v>
      </c>
      <c r="D682" t="s">
        <v>5088</v>
      </c>
      <c r="E682" t="s">
        <v>113</v>
      </c>
      <c r="F682">
        <v>1229109</v>
      </c>
      <c r="G682" t="s">
        <v>2631</v>
      </c>
      <c r="H682" t="s">
        <v>2632</v>
      </c>
      <c r="I682" t="s">
        <v>5089</v>
      </c>
      <c r="J682" t="s">
        <v>5090</v>
      </c>
      <c r="K682" t="s">
        <v>62</v>
      </c>
      <c r="L682" t="s">
        <v>63</v>
      </c>
      <c r="M682" t="s">
        <v>5091</v>
      </c>
      <c r="N682" t="s">
        <v>5092</v>
      </c>
      <c r="R682">
        <v>3</v>
      </c>
      <c r="S682">
        <v>0</v>
      </c>
      <c r="T682" t="b">
        <v>0</v>
      </c>
      <c r="V682" t="s">
        <v>5093</v>
      </c>
      <c r="W682" s="15">
        <v>-25.84700522</v>
      </c>
      <c r="X682" s="15">
        <v>28.337170539999999</v>
      </c>
      <c r="Y682">
        <v>385</v>
      </c>
      <c r="AC682">
        <v>385</v>
      </c>
      <c r="AF682" t="b">
        <v>0</v>
      </c>
      <c r="AI682" t="s">
        <v>71</v>
      </c>
      <c r="AJ682" t="s">
        <v>70</v>
      </c>
      <c r="AK682" t="s">
        <v>71</v>
      </c>
      <c r="AL682" t="s">
        <v>72</v>
      </c>
      <c r="AM682">
        <v>346053</v>
      </c>
      <c r="AO682" s="16" t="s">
        <v>140</v>
      </c>
      <c r="AP682" s="17" t="str">
        <f t="shared" si="43"/>
        <v>Post-emergence nest</v>
      </c>
      <c r="AQ682" s="18">
        <v>25</v>
      </c>
      <c r="AT682" s="19" t="s">
        <v>141</v>
      </c>
      <c r="AU682" s="20" t="s">
        <v>141</v>
      </c>
      <c r="AX682" s="22" t="str">
        <f>IF(AND('[1]observations-276632'!W682&gt;'[1]Methods write-up'!$Q$16,'[1]observations-276632'!W682&lt;'[1]Methods write-up'!$R$16,'[1]observations-276632'!X682&gt;'[1]Methods write-up'!$S$16,'[1]observations-276632'!X682&lt;'[1]Methods write-up'!$T$16),"West and Central Africa","")</f>
        <v/>
      </c>
      <c r="AY682" s="22" t="str">
        <f>IF(AND('[1]observations-276632'!W682&gt;'[1]Methods write-up'!$Q$17,'[1]observations-276632'!W682&lt;'[1]Methods write-up'!$R$17,'[1]observations-276632'!X682&gt;'[1]Methods write-up'!$S$17,'[1]observations-276632'!X682&lt;'[1]Methods write-up'!$T$17),"Equatorial tropical forest","")</f>
        <v/>
      </c>
      <c r="AZ682" s="22" t="str">
        <f>IF(AND('[1]observations-276632'!W682&gt;'[1]Methods write-up'!$Q$18,'[1]observations-276632'!W682&lt;'[1]Methods write-up'!$R$18,'[1]observations-276632'!X682&gt;'[1]Methods write-up'!$S$18,'[1]observations-276632'!X682&lt;'[1]Methods write-up'!$T$18),"Somali peninsula","")</f>
        <v/>
      </c>
      <c r="BA682" s="22" t="str">
        <f>IF(AND('[1]observations-276632'!W682&gt;'[1]Methods write-up'!$Q$19,'[1]observations-276632'!W682&lt;'[1]Methods write-up'!$R$19,'[1]observations-276632'!X682&gt;'[1]Methods write-up'!$S$19,'[1]observations-276632'!X682&lt;'[1]Methods write-up'!$T$19),"East Africa","")</f>
        <v/>
      </c>
      <c r="BB682" s="22" t="str">
        <f>IF(AND('[1]observations-276632'!W682&gt;'[1]Methods write-up'!$Q$20,'[1]observations-276632'!W682&lt;'[1]Methods write-up'!$R$20,'[1]observations-276632'!X682&gt;'[1]Methods write-up'!$S$20,'[1]observations-276632'!X682&lt;'[1]Methods write-up'!$T$20),"Temperate seasonal","")</f>
        <v>Temperate seasonal</v>
      </c>
      <c r="BC682" s="22" t="str">
        <f>IF(AND('[1]observations-276632'!W682&gt;'[1]Methods write-up'!$Q$21,'[1]observations-276632'!W682&lt;'[1]Methods write-up'!$R$21,'[1]observations-276632'!X682&gt;'[1]Methods write-up'!$S$21,'[1]observations-276632'!X682&lt;'[1]Methods write-up'!$T$21),"Desert and high aridity","")</f>
        <v/>
      </c>
      <c r="BD682" s="23" t="str">
        <f t="shared" si="46"/>
        <v>Temperate seasonal</v>
      </c>
      <c r="BE682" s="24">
        <f t="shared" si="44"/>
        <v>18</v>
      </c>
      <c r="BF682" s="24">
        <f t="shared" si="45"/>
        <v>3</v>
      </c>
    </row>
    <row r="683" spans="1:58" ht="16.25" customHeight="1" x14ac:dyDescent="0.2">
      <c r="A683">
        <v>72086803</v>
      </c>
      <c r="B683" t="s">
        <v>5094</v>
      </c>
      <c r="C683" s="14">
        <v>44281</v>
      </c>
      <c r="D683" t="s">
        <v>5095</v>
      </c>
      <c r="E683" t="s">
        <v>113</v>
      </c>
      <c r="F683">
        <v>1478024</v>
      </c>
      <c r="G683" t="s">
        <v>5096</v>
      </c>
      <c r="H683" t="s">
        <v>5097</v>
      </c>
      <c r="I683" t="s">
        <v>5098</v>
      </c>
      <c r="J683" t="s">
        <v>5099</v>
      </c>
      <c r="K683" t="s">
        <v>62</v>
      </c>
      <c r="L683" t="s">
        <v>63</v>
      </c>
      <c r="M683" t="s">
        <v>5100</v>
      </c>
      <c r="N683" t="s">
        <v>5101</v>
      </c>
      <c r="R683">
        <v>2</v>
      </c>
      <c r="S683">
        <v>0</v>
      </c>
      <c r="T683" t="b">
        <v>0</v>
      </c>
      <c r="V683" t="s">
        <v>5102</v>
      </c>
      <c r="W683" s="15">
        <v>-24.7740261</v>
      </c>
      <c r="X683" s="15">
        <v>27.738803399999998</v>
      </c>
      <c r="Y683">
        <v>1171</v>
      </c>
      <c r="AC683">
        <v>1171</v>
      </c>
      <c r="AF683" t="b">
        <v>0</v>
      </c>
      <c r="AI683" t="s">
        <v>71</v>
      </c>
      <c r="AJ683" t="s">
        <v>70</v>
      </c>
      <c r="AK683" t="s">
        <v>71</v>
      </c>
      <c r="AL683" t="s">
        <v>72</v>
      </c>
      <c r="AM683">
        <v>346053</v>
      </c>
      <c r="AO683" s="16" t="s">
        <v>150</v>
      </c>
      <c r="AP683" s="17" t="str">
        <f t="shared" si="43"/>
        <v>Male (off nest)</v>
      </c>
      <c r="AX683" s="22" t="str">
        <f>IF(AND('[1]observations-276632'!W683&gt;'[1]Methods write-up'!$Q$16,'[1]observations-276632'!W683&lt;'[1]Methods write-up'!$R$16,'[1]observations-276632'!X683&gt;'[1]Methods write-up'!$S$16,'[1]observations-276632'!X683&lt;'[1]Methods write-up'!$T$16),"West and Central Africa","")</f>
        <v/>
      </c>
      <c r="AY683" s="22" t="str">
        <f>IF(AND('[1]observations-276632'!W683&gt;'[1]Methods write-up'!$Q$17,'[1]observations-276632'!W683&lt;'[1]Methods write-up'!$R$17,'[1]observations-276632'!X683&gt;'[1]Methods write-up'!$S$17,'[1]observations-276632'!X683&lt;'[1]Methods write-up'!$T$17),"Equatorial tropical forest","")</f>
        <v/>
      </c>
      <c r="AZ683" s="22" t="str">
        <f>IF(AND('[1]observations-276632'!W683&gt;'[1]Methods write-up'!$Q$18,'[1]observations-276632'!W683&lt;'[1]Methods write-up'!$R$18,'[1]observations-276632'!X683&gt;'[1]Methods write-up'!$S$18,'[1]observations-276632'!X683&lt;'[1]Methods write-up'!$T$18),"Somali peninsula","")</f>
        <v/>
      </c>
      <c r="BA683" s="22" t="str">
        <f>IF(AND('[1]observations-276632'!W683&gt;'[1]Methods write-up'!$Q$19,'[1]observations-276632'!W683&lt;'[1]Methods write-up'!$R$19,'[1]observations-276632'!X683&gt;'[1]Methods write-up'!$S$19,'[1]observations-276632'!X683&lt;'[1]Methods write-up'!$T$19),"East Africa","")</f>
        <v/>
      </c>
      <c r="BB683" s="22" t="str">
        <f>IF(AND('[1]observations-276632'!W683&gt;'[1]Methods write-up'!$Q$20,'[1]observations-276632'!W683&lt;'[1]Methods write-up'!$R$20,'[1]observations-276632'!X683&gt;'[1]Methods write-up'!$S$20,'[1]observations-276632'!X683&lt;'[1]Methods write-up'!$T$20),"Temperate seasonal","")</f>
        <v/>
      </c>
      <c r="BC683" s="22" t="str">
        <f>IF(AND('[1]observations-276632'!W683&gt;'[1]Methods write-up'!$Q$21,'[1]observations-276632'!W683&lt;'[1]Methods write-up'!$R$21,'[1]observations-276632'!X683&gt;'[1]Methods write-up'!$S$21,'[1]observations-276632'!X683&lt;'[1]Methods write-up'!$T$21),"Desert and high aridity","")</f>
        <v/>
      </c>
      <c r="BD683" s="23" t="str">
        <f t="shared" si="46"/>
        <v/>
      </c>
      <c r="BE683" s="24">
        <f t="shared" si="44"/>
        <v>26</v>
      </c>
      <c r="BF683" s="24">
        <f t="shared" si="45"/>
        <v>3</v>
      </c>
    </row>
    <row r="684" spans="1:58" ht="16.25" customHeight="1" x14ac:dyDescent="0.2">
      <c r="A684">
        <v>72158485</v>
      </c>
      <c r="B684" t="s">
        <v>5103</v>
      </c>
      <c r="C684" s="14">
        <v>41969</v>
      </c>
      <c r="D684" t="s">
        <v>5104</v>
      </c>
      <c r="E684" t="s">
        <v>57</v>
      </c>
      <c r="F684">
        <v>23072</v>
      </c>
      <c r="G684" t="s">
        <v>184</v>
      </c>
      <c r="I684" t="s">
        <v>5105</v>
      </c>
      <c r="J684" t="s">
        <v>5106</v>
      </c>
      <c r="K684" t="s">
        <v>62</v>
      </c>
      <c r="L684" t="s">
        <v>98</v>
      </c>
      <c r="M684" t="s">
        <v>5107</v>
      </c>
      <c r="N684" t="s">
        <v>5108</v>
      </c>
      <c r="P684" t="s">
        <v>5109</v>
      </c>
      <c r="R684">
        <v>2</v>
      </c>
      <c r="S684">
        <v>0</v>
      </c>
      <c r="T684" t="b">
        <v>0</v>
      </c>
      <c r="V684" t="s">
        <v>5110</v>
      </c>
      <c r="W684" s="15">
        <v>-18.040997999999998</v>
      </c>
      <c r="X684" s="15">
        <v>35.199607999999998</v>
      </c>
      <c r="Y684">
        <v>5</v>
      </c>
      <c r="AC684">
        <v>5</v>
      </c>
      <c r="AF684" t="b">
        <v>0</v>
      </c>
      <c r="AI684" t="s">
        <v>71</v>
      </c>
      <c r="AJ684" t="s">
        <v>70</v>
      </c>
      <c r="AK684" t="s">
        <v>71</v>
      </c>
      <c r="AL684" t="s">
        <v>72</v>
      </c>
      <c r="AM684">
        <v>346053</v>
      </c>
      <c r="AO684" s="16" t="s">
        <v>73</v>
      </c>
      <c r="AP684" s="17" t="str">
        <f t="shared" si="43"/>
        <v>Off-nest female</v>
      </c>
      <c r="AX684" s="22" t="str">
        <f>IF(AND('[1]observations-276632'!W684&gt;'[1]Methods write-up'!$Q$16,'[1]observations-276632'!W684&lt;'[1]Methods write-up'!$R$16,'[1]observations-276632'!X684&gt;'[1]Methods write-up'!$S$16,'[1]observations-276632'!X684&lt;'[1]Methods write-up'!$T$16),"West and Central Africa","")</f>
        <v/>
      </c>
      <c r="AY684" s="22" t="str">
        <f>IF(AND('[1]observations-276632'!W684&gt;'[1]Methods write-up'!$Q$17,'[1]observations-276632'!W684&lt;'[1]Methods write-up'!$R$17,'[1]observations-276632'!X684&gt;'[1]Methods write-up'!$S$17,'[1]observations-276632'!X684&lt;'[1]Methods write-up'!$T$17),"Equatorial tropical forest","")</f>
        <v/>
      </c>
      <c r="AZ684" s="22" t="str">
        <f>IF(AND('[1]observations-276632'!W684&gt;'[1]Methods write-up'!$Q$18,'[1]observations-276632'!W684&lt;'[1]Methods write-up'!$R$18,'[1]observations-276632'!X684&gt;'[1]Methods write-up'!$S$18,'[1]observations-276632'!X684&lt;'[1]Methods write-up'!$T$18),"Somali peninsula","")</f>
        <v/>
      </c>
      <c r="BA684" s="22" t="str">
        <f>IF(AND('[1]observations-276632'!W684&gt;'[1]Methods write-up'!$Q$19,'[1]observations-276632'!W684&lt;'[1]Methods write-up'!$R$19,'[1]observations-276632'!X684&gt;'[1]Methods write-up'!$S$19,'[1]observations-276632'!X684&lt;'[1]Methods write-up'!$T$19),"East Africa","")</f>
        <v/>
      </c>
      <c r="BB684" s="22" t="str">
        <f>IF(AND('[1]observations-276632'!W684&gt;'[1]Methods write-up'!$Q$20,'[1]observations-276632'!W684&lt;'[1]Methods write-up'!$R$20,'[1]observations-276632'!X684&gt;'[1]Methods write-up'!$S$20,'[1]observations-276632'!X684&lt;'[1]Methods write-up'!$T$20),"Temperate seasonal","")</f>
        <v/>
      </c>
      <c r="BC684" s="22" t="str">
        <f>IF(AND('[1]observations-276632'!W684&gt;'[1]Methods write-up'!$Q$21,'[1]observations-276632'!W684&lt;'[1]Methods write-up'!$R$21,'[1]observations-276632'!X684&gt;'[1]Methods write-up'!$S$21,'[1]observations-276632'!X684&lt;'[1]Methods write-up'!$T$21),"Desert and high aridity","")</f>
        <v/>
      </c>
      <c r="BD684" s="23" t="str">
        <f t="shared" si="46"/>
        <v/>
      </c>
      <c r="BE684" s="24">
        <f t="shared" si="44"/>
        <v>26</v>
      </c>
      <c r="BF684" s="24">
        <f t="shared" si="45"/>
        <v>11</v>
      </c>
    </row>
    <row r="685" spans="1:58" ht="16.25" customHeight="1" x14ac:dyDescent="0.2">
      <c r="A685">
        <v>72244695</v>
      </c>
      <c r="B685" t="s">
        <v>5111</v>
      </c>
      <c r="C685" s="14">
        <v>44278</v>
      </c>
      <c r="D685" t="s">
        <v>5112</v>
      </c>
      <c r="E685" t="s">
        <v>113</v>
      </c>
      <c r="F685">
        <v>528390</v>
      </c>
      <c r="G685" t="s">
        <v>843</v>
      </c>
      <c r="H685" t="s">
        <v>844</v>
      </c>
      <c r="I685" t="s">
        <v>5113</v>
      </c>
      <c r="J685" t="s">
        <v>5114</v>
      </c>
      <c r="K685" t="s">
        <v>62</v>
      </c>
      <c r="L685" t="s">
        <v>63</v>
      </c>
      <c r="M685" t="s">
        <v>5115</v>
      </c>
      <c r="N685" t="s">
        <v>5116</v>
      </c>
      <c r="R685">
        <v>4</v>
      </c>
      <c r="S685">
        <v>0</v>
      </c>
      <c r="T685" t="b">
        <v>0</v>
      </c>
      <c r="V685" t="s">
        <v>5117</v>
      </c>
      <c r="W685" s="15">
        <v>-33.968040000000002</v>
      </c>
      <c r="X685" s="15">
        <v>22.094280000000001</v>
      </c>
      <c r="Y685">
        <v>20</v>
      </c>
      <c r="AC685">
        <v>20</v>
      </c>
      <c r="AF685" t="b">
        <v>0</v>
      </c>
      <c r="AI685" t="s">
        <v>71</v>
      </c>
      <c r="AJ685" t="s">
        <v>70</v>
      </c>
      <c r="AK685" t="s">
        <v>71</v>
      </c>
      <c r="AL685" t="s">
        <v>72</v>
      </c>
      <c r="AM685">
        <v>346053</v>
      </c>
      <c r="AO685" s="16" t="s">
        <v>150</v>
      </c>
      <c r="AP685" s="17" t="str">
        <f t="shared" si="43"/>
        <v>Male (off nest)</v>
      </c>
      <c r="AX685" s="22" t="str">
        <f>IF(AND('[1]observations-276632'!W685&gt;'[1]Methods write-up'!$Q$16,'[1]observations-276632'!W685&lt;'[1]Methods write-up'!$R$16,'[1]observations-276632'!X685&gt;'[1]Methods write-up'!$S$16,'[1]observations-276632'!X685&lt;'[1]Methods write-up'!$T$16),"West and Central Africa","")</f>
        <v/>
      </c>
      <c r="AY685" s="22" t="str">
        <f>IF(AND('[1]observations-276632'!W685&gt;'[1]Methods write-up'!$Q$17,'[1]observations-276632'!W685&lt;'[1]Methods write-up'!$R$17,'[1]observations-276632'!X685&gt;'[1]Methods write-up'!$S$17,'[1]observations-276632'!X685&lt;'[1]Methods write-up'!$T$17),"Equatorial tropical forest","")</f>
        <v/>
      </c>
      <c r="AZ685" s="22" t="str">
        <f>IF(AND('[1]observations-276632'!W685&gt;'[1]Methods write-up'!$Q$18,'[1]observations-276632'!W685&lt;'[1]Methods write-up'!$R$18,'[1]observations-276632'!X685&gt;'[1]Methods write-up'!$S$18,'[1]observations-276632'!X685&lt;'[1]Methods write-up'!$T$18),"Somali peninsula","")</f>
        <v/>
      </c>
      <c r="BA685" s="22" t="str">
        <f>IF(AND('[1]observations-276632'!W685&gt;'[1]Methods write-up'!$Q$19,'[1]observations-276632'!W685&lt;'[1]Methods write-up'!$R$19,'[1]observations-276632'!X685&gt;'[1]Methods write-up'!$S$19,'[1]observations-276632'!X685&lt;'[1]Methods write-up'!$T$19),"East Africa","")</f>
        <v/>
      </c>
      <c r="BB685" s="22" t="str">
        <f>IF(AND('[1]observations-276632'!W685&gt;'[1]Methods write-up'!$Q$20,'[1]observations-276632'!W685&lt;'[1]Methods write-up'!$R$20,'[1]observations-276632'!X685&gt;'[1]Methods write-up'!$S$20,'[1]observations-276632'!X685&lt;'[1]Methods write-up'!$T$20),"Temperate seasonal","")</f>
        <v/>
      </c>
      <c r="BC685" s="22" t="str">
        <f>IF(AND('[1]observations-276632'!W685&gt;'[1]Methods write-up'!$Q$21,'[1]observations-276632'!W685&lt;'[1]Methods write-up'!$R$21,'[1]observations-276632'!X685&gt;'[1]Methods write-up'!$S$21,'[1]observations-276632'!X685&lt;'[1]Methods write-up'!$T$21),"Desert and high aridity","")</f>
        <v/>
      </c>
      <c r="BD685" s="23" t="str">
        <f t="shared" si="46"/>
        <v/>
      </c>
      <c r="BE685" s="24">
        <f t="shared" si="44"/>
        <v>23</v>
      </c>
      <c r="BF685" s="24">
        <f t="shared" si="45"/>
        <v>3</v>
      </c>
    </row>
    <row r="686" spans="1:58" ht="16.25" customHeight="1" x14ac:dyDescent="0.2">
      <c r="A686">
        <v>72258813</v>
      </c>
      <c r="B686" t="s">
        <v>5118</v>
      </c>
      <c r="C686" s="14">
        <v>44281</v>
      </c>
      <c r="D686" t="s">
        <v>5119</v>
      </c>
      <c r="E686" t="s">
        <v>57</v>
      </c>
      <c r="F686">
        <v>23072</v>
      </c>
      <c r="G686" t="s">
        <v>184</v>
      </c>
      <c r="I686" t="s">
        <v>5120</v>
      </c>
      <c r="J686" t="s">
        <v>5121</v>
      </c>
      <c r="K686" t="s">
        <v>62</v>
      </c>
      <c r="L686" t="s">
        <v>98</v>
      </c>
      <c r="M686" t="s">
        <v>5122</v>
      </c>
      <c r="N686" t="s">
        <v>5123</v>
      </c>
      <c r="P686" t="s">
        <v>5124</v>
      </c>
      <c r="R686">
        <v>2</v>
      </c>
      <c r="S686">
        <v>0</v>
      </c>
      <c r="T686" t="b">
        <v>0</v>
      </c>
      <c r="V686" t="s">
        <v>189</v>
      </c>
      <c r="W686" s="15">
        <v>-17.811527000000002</v>
      </c>
      <c r="X686" s="15">
        <v>31.080939000000001</v>
      </c>
      <c r="Y686">
        <v>2</v>
      </c>
      <c r="AC686">
        <v>2</v>
      </c>
      <c r="AF686" t="b">
        <v>0</v>
      </c>
      <c r="AI686" t="s">
        <v>71</v>
      </c>
      <c r="AJ686" t="s">
        <v>70</v>
      </c>
      <c r="AK686" t="s">
        <v>71</v>
      </c>
      <c r="AL686" t="s">
        <v>72</v>
      </c>
      <c r="AM686">
        <v>346053</v>
      </c>
      <c r="AO686" s="16" t="s">
        <v>140</v>
      </c>
      <c r="AP686" s="17" t="str">
        <f t="shared" si="43"/>
        <v>Post-emergence nest</v>
      </c>
      <c r="AQ686" s="18">
        <v>2</v>
      </c>
      <c r="AT686" s="19" t="s">
        <v>141</v>
      </c>
      <c r="AU686" s="20" t="s">
        <v>104</v>
      </c>
      <c r="AX686" s="22" t="str">
        <f>IF(AND('[1]observations-276632'!W686&gt;'[1]Methods write-up'!$Q$16,'[1]observations-276632'!W686&lt;'[1]Methods write-up'!$R$16,'[1]observations-276632'!X686&gt;'[1]Methods write-up'!$S$16,'[1]observations-276632'!X686&lt;'[1]Methods write-up'!$T$16),"West and Central Africa","")</f>
        <v/>
      </c>
      <c r="AY686" s="22" t="str">
        <f>IF(AND('[1]observations-276632'!W686&gt;'[1]Methods write-up'!$Q$17,'[1]observations-276632'!W686&lt;'[1]Methods write-up'!$R$17,'[1]observations-276632'!X686&gt;'[1]Methods write-up'!$S$17,'[1]observations-276632'!X686&lt;'[1]Methods write-up'!$T$17),"Equatorial tropical forest","")</f>
        <v/>
      </c>
      <c r="AZ686" s="22" t="str">
        <f>IF(AND('[1]observations-276632'!W686&gt;'[1]Methods write-up'!$Q$18,'[1]observations-276632'!W686&lt;'[1]Methods write-up'!$R$18,'[1]observations-276632'!X686&gt;'[1]Methods write-up'!$S$18,'[1]observations-276632'!X686&lt;'[1]Methods write-up'!$T$18),"Somali peninsula","")</f>
        <v/>
      </c>
      <c r="BA686" s="22" t="str">
        <f>IF(AND('[1]observations-276632'!W686&gt;'[1]Methods write-up'!$Q$19,'[1]observations-276632'!W686&lt;'[1]Methods write-up'!$R$19,'[1]observations-276632'!X686&gt;'[1]Methods write-up'!$S$19,'[1]observations-276632'!X686&lt;'[1]Methods write-up'!$T$19),"East Africa","")</f>
        <v/>
      </c>
      <c r="BB686" s="22" t="str">
        <f>IF(AND('[1]observations-276632'!W686&gt;'[1]Methods write-up'!$Q$20,'[1]observations-276632'!W686&lt;'[1]Methods write-up'!$R$20,'[1]observations-276632'!X686&gt;'[1]Methods write-up'!$S$20,'[1]observations-276632'!X686&lt;'[1]Methods write-up'!$T$20),"Temperate seasonal","")</f>
        <v/>
      </c>
      <c r="BC686" s="22" t="str">
        <f>IF(AND('[1]observations-276632'!W686&gt;'[1]Methods write-up'!$Q$21,'[1]observations-276632'!W686&lt;'[1]Methods write-up'!$R$21,'[1]observations-276632'!X686&gt;'[1]Methods write-up'!$S$21,'[1]observations-276632'!X686&lt;'[1]Methods write-up'!$T$21),"Desert and high aridity","")</f>
        <v/>
      </c>
      <c r="BD686" s="23" t="str">
        <f t="shared" si="46"/>
        <v/>
      </c>
      <c r="BE686" s="24">
        <f t="shared" si="44"/>
        <v>26</v>
      </c>
      <c r="BF686" s="24">
        <f t="shared" si="45"/>
        <v>3</v>
      </c>
    </row>
    <row r="687" spans="1:58" ht="16.25" customHeight="1" x14ac:dyDescent="0.2">
      <c r="A687">
        <v>72296952</v>
      </c>
      <c r="B687" t="s">
        <v>5125</v>
      </c>
      <c r="C687" s="14">
        <v>44268</v>
      </c>
      <c r="D687" t="s">
        <v>5126</v>
      </c>
      <c r="E687" t="s">
        <v>113</v>
      </c>
      <c r="F687">
        <v>1010437</v>
      </c>
      <c r="G687" t="s">
        <v>4758</v>
      </c>
      <c r="H687" t="s">
        <v>4759</v>
      </c>
      <c r="I687" t="s">
        <v>5127</v>
      </c>
      <c r="J687" t="s">
        <v>5128</v>
      </c>
      <c r="K687" t="s">
        <v>62</v>
      </c>
      <c r="L687" t="s">
        <v>63</v>
      </c>
      <c r="M687" t="s">
        <v>5129</v>
      </c>
      <c r="N687" t="s">
        <v>5130</v>
      </c>
      <c r="R687">
        <v>2</v>
      </c>
      <c r="S687">
        <v>0</v>
      </c>
      <c r="T687" t="b">
        <v>0</v>
      </c>
      <c r="U687">
        <v>2</v>
      </c>
      <c r="V687" t="s">
        <v>4764</v>
      </c>
      <c r="W687" s="15">
        <v>-29.804722219999999</v>
      </c>
      <c r="X687" s="15">
        <v>31.01277778</v>
      </c>
      <c r="AF687" t="b">
        <v>0</v>
      </c>
      <c r="AG687" t="s">
        <v>350</v>
      </c>
      <c r="AH687" t="s">
        <v>350</v>
      </c>
      <c r="AI687" t="s">
        <v>71</v>
      </c>
      <c r="AJ687" t="s">
        <v>70</v>
      </c>
      <c r="AK687" t="s">
        <v>71</v>
      </c>
      <c r="AL687" t="s">
        <v>72</v>
      </c>
      <c r="AM687">
        <v>346053</v>
      </c>
      <c r="AO687" s="16" t="s">
        <v>1356</v>
      </c>
      <c r="AP687" s="17" t="str">
        <f t="shared" si="43"/>
        <v>Nest (foundress)</v>
      </c>
      <c r="AQ687" s="18">
        <v>5</v>
      </c>
      <c r="AT687" s="19" t="s">
        <v>104</v>
      </c>
      <c r="AX687" s="22" t="str">
        <f>IF(AND('[1]observations-276632'!W687&gt;'[1]Methods write-up'!$Q$16,'[1]observations-276632'!W687&lt;'[1]Methods write-up'!$R$16,'[1]observations-276632'!X687&gt;'[1]Methods write-up'!$S$16,'[1]observations-276632'!X687&lt;'[1]Methods write-up'!$T$16),"West and Central Africa","")</f>
        <v/>
      </c>
      <c r="AY687" s="22" t="str">
        <f>IF(AND('[1]observations-276632'!W687&gt;'[1]Methods write-up'!$Q$17,'[1]observations-276632'!W687&lt;'[1]Methods write-up'!$R$17,'[1]observations-276632'!X687&gt;'[1]Methods write-up'!$S$17,'[1]observations-276632'!X687&lt;'[1]Methods write-up'!$T$17),"Equatorial tropical forest","")</f>
        <v/>
      </c>
      <c r="AZ687" s="22" t="str">
        <f>IF(AND('[1]observations-276632'!W687&gt;'[1]Methods write-up'!$Q$18,'[1]observations-276632'!W687&lt;'[1]Methods write-up'!$R$18,'[1]observations-276632'!X687&gt;'[1]Methods write-up'!$S$18,'[1]observations-276632'!X687&lt;'[1]Methods write-up'!$T$18),"Somali peninsula","")</f>
        <v/>
      </c>
      <c r="BA687" s="22" t="str">
        <f>IF(AND('[1]observations-276632'!W687&gt;'[1]Methods write-up'!$Q$19,'[1]observations-276632'!W687&lt;'[1]Methods write-up'!$R$19,'[1]observations-276632'!X687&gt;'[1]Methods write-up'!$S$19,'[1]observations-276632'!X687&lt;'[1]Methods write-up'!$T$19),"East Africa","")</f>
        <v/>
      </c>
      <c r="BB687" s="22" t="str">
        <f>IF(AND('[1]observations-276632'!W687&gt;'[1]Methods write-up'!$Q$20,'[1]observations-276632'!W687&lt;'[1]Methods write-up'!$R$20,'[1]observations-276632'!X687&gt;'[1]Methods write-up'!$S$20,'[1]observations-276632'!X687&lt;'[1]Methods write-up'!$T$20),"Temperate seasonal","")</f>
        <v>Temperate seasonal</v>
      </c>
      <c r="BC687" s="22" t="str">
        <f>IF(AND('[1]observations-276632'!W687&gt;'[1]Methods write-up'!$Q$21,'[1]observations-276632'!W687&lt;'[1]Methods write-up'!$R$21,'[1]observations-276632'!X687&gt;'[1]Methods write-up'!$S$21,'[1]observations-276632'!X687&lt;'[1]Methods write-up'!$T$21),"Desert and high aridity","")</f>
        <v/>
      </c>
      <c r="BD687" s="23" t="str">
        <f t="shared" si="46"/>
        <v>Temperate seasonal</v>
      </c>
      <c r="BE687" s="24">
        <f t="shared" si="44"/>
        <v>13</v>
      </c>
      <c r="BF687" s="24">
        <f t="shared" si="45"/>
        <v>3</v>
      </c>
    </row>
    <row r="688" spans="1:58" ht="16.25" customHeight="1" x14ac:dyDescent="0.2">
      <c r="A688">
        <v>72387092</v>
      </c>
      <c r="B688" t="s">
        <v>5131</v>
      </c>
      <c r="C688" s="14">
        <v>43148</v>
      </c>
      <c r="D688" t="s">
        <v>5132</v>
      </c>
      <c r="E688" t="s">
        <v>193</v>
      </c>
      <c r="F688">
        <v>4153960</v>
      </c>
      <c r="G688" t="s">
        <v>5133</v>
      </c>
      <c r="H688" t="s">
        <v>5134</v>
      </c>
      <c r="I688" t="s">
        <v>5135</v>
      </c>
      <c r="J688" t="s">
        <v>5136</v>
      </c>
      <c r="K688" t="s">
        <v>62</v>
      </c>
      <c r="M688" t="s">
        <v>5137</v>
      </c>
      <c r="N688" t="s">
        <v>5138</v>
      </c>
      <c r="R688">
        <v>2</v>
      </c>
      <c r="S688">
        <v>0</v>
      </c>
      <c r="T688" t="b">
        <v>0</v>
      </c>
      <c r="U688">
        <v>2</v>
      </c>
      <c r="V688" t="s">
        <v>5139</v>
      </c>
      <c r="W688" s="15">
        <v>-1.6616107710000001</v>
      </c>
      <c r="X688" s="15">
        <v>37.580432180000003</v>
      </c>
      <c r="Y688">
        <v>192232</v>
      </c>
      <c r="AC688">
        <v>192232</v>
      </c>
      <c r="AF688" t="b">
        <v>0</v>
      </c>
      <c r="AG688" t="s">
        <v>350</v>
      </c>
      <c r="AH688" t="s">
        <v>350</v>
      </c>
      <c r="AI688" t="s">
        <v>71</v>
      </c>
      <c r="AJ688" t="s">
        <v>70</v>
      </c>
      <c r="AK688" t="s">
        <v>71</v>
      </c>
      <c r="AL688" t="s">
        <v>72</v>
      </c>
      <c r="AM688">
        <v>346053</v>
      </c>
      <c r="AO688" s="16" t="s">
        <v>73</v>
      </c>
      <c r="AP688" s="17" t="str">
        <f t="shared" si="43"/>
        <v>Off-nest female</v>
      </c>
      <c r="AX688" s="22" t="str">
        <f>IF(AND('[1]observations-276632'!W688&gt;'[1]Methods write-up'!$Q$16,'[1]observations-276632'!W688&lt;'[1]Methods write-up'!$R$16,'[1]observations-276632'!X688&gt;'[1]Methods write-up'!$S$16,'[1]observations-276632'!X688&lt;'[1]Methods write-up'!$T$16),"West and Central Africa","")</f>
        <v/>
      </c>
      <c r="AY688" s="22" t="str">
        <f>IF(AND('[1]observations-276632'!W688&gt;'[1]Methods write-up'!$Q$17,'[1]observations-276632'!W688&lt;'[1]Methods write-up'!$R$17,'[1]observations-276632'!X688&gt;'[1]Methods write-up'!$S$17,'[1]observations-276632'!X688&lt;'[1]Methods write-up'!$T$17),"Equatorial tropical forest","")</f>
        <v/>
      </c>
      <c r="AZ688" s="22" t="str">
        <f>IF(AND('[1]observations-276632'!W688&gt;'[1]Methods write-up'!$Q$18,'[1]observations-276632'!W688&lt;'[1]Methods write-up'!$R$18,'[1]observations-276632'!X688&gt;'[1]Methods write-up'!$S$18,'[1]observations-276632'!X688&lt;'[1]Methods write-up'!$T$18),"Somali peninsula","")</f>
        <v/>
      </c>
      <c r="BA688" s="22" t="str">
        <f>IF(AND('[1]observations-276632'!W688&gt;'[1]Methods write-up'!$Q$19,'[1]observations-276632'!W688&lt;'[1]Methods write-up'!$R$19,'[1]observations-276632'!X688&gt;'[1]Methods write-up'!$S$19,'[1]observations-276632'!X688&lt;'[1]Methods write-up'!$T$19),"East Africa","")</f>
        <v>East Africa</v>
      </c>
      <c r="BB688" s="22" t="str">
        <f>IF(AND('[1]observations-276632'!W688&gt;'[1]Methods write-up'!$Q$20,'[1]observations-276632'!W688&lt;'[1]Methods write-up'!$R$20,'[1]observations-276632'!X688&gt;'[1]Methods write-up'!$S$20,'[1]observations-276632'!X688&lt;'[1]Methods write-up'!$T$20),"Temperate seasonal","")</f>
        <v/>
      </c>
      <c r="BC688" s="22" t="str">
        <f>IF(AND('[1]observations-276632'!W688&gt;'[1]Methods write-up'!$Q$21,'[1]observations-276632'!W688&lt;'[1]Methods write-up'!$R$21,'[1]observations-276632'!X688&gt;'[1]Methods write-up'!$S$21,'[1]observations-276632'!X688&lt;'[1]Methods write-up'!$T$21),"Desert and high aridity","")</f>
        <v/>
      </c>
      <c r="BD688" s="23" t="str">
        <f t="shared" si="46"/>
        <v>East Africa</v>
      </c>
      <c r="BE688" s="24">
        <f t="shared" si="44"/>
        <v>17</v>
      </c>
      <c r="BF688" s="24">
        <f t="shared" si="45"/>
        <v>2</v>
      </c>
    </row>
    <row r="689" spans="1:58" ht="16.25" customHeight="1" x14ac:dyDescent="0.2">
      <c r="A689">
        <v>72707223</v>
      </c>
      <c r="B689" t="s">
        <v>5140</v>
      </c>
      <c r="C689" s="14">
        <v>44286</v>
      </c>
      <c r="D689" t="s">
        <v>5141</v>
      </c>
      <c r="E689" t="s">
        <v>113</v>
      </c>
      <c r="F689">
        <v>4097380</v>
      </c>
      <c r="G689" t="s">
        <v>5142</v>
      </c>
      <c r="I689" t="s">
        <v>5143</v>
      </c>
      <c r="J689" t="s">
        <v>5144</v>
      </c>
      <c r="K689" t="s">
        <v>62</v>
      </c>
      <c r="L689" t="s">
        <v>63</v>
      </c>
      <c r="M689" t="s">
        <v>5145</v>
      </c>
      <c r="N689" t="s">
        <v>5146</v>
      </c>
      <c r="R689">
        <v>3</v>
      </c>
      <c r="S689">
        <v>0</v>
      </c>
      <c r="T689" t="b">
        <v>0</v>
      </c>
      <c r="U689">
        <v>2</v>
      </c>
      <c r="V689" t="s">
        <v>5147</v>
      </c>
      <c r="W689" s="15">
        <v>-29.556250479999999</v>
      </c>
      <c r="X689" s="15">
        <v>30.344786790000001</v>
      </c>
      <c r="Y689">
        <v>199</v>
      </c>
      <c r="AC689">
        <v>199</v>
      </c>
      <c r="AF689" t="b">
        <v>0</v>
      </c>
      <c r="AG689" t="s">
        <v>350</v>
      </c>
      <c r="AH689" t="s">
        <v>350</v>
      </c>
      <c r="AI689" t="s">
        <v>71</v>
      </c>
      <c r="AJ689" t="s">
        <v>70</v>
      </c>
      <c r="AK689" t="s">
        <v>71</v>
      </c>
      <c r="AL689" t="s">
        <v>72</v>
      </c>
      <c r="AM689">
        <v>346053</v>
      </c>
      <c r="AO689" s="16" t="s">
        <v>73</v>
      </c>
      <c r="AP689" s="17" t="str">
        <f t="shared" si="43"/>
        <v>Off-nest female</v>
      </c>
      <c r="AX689" s="22" t="str">
        <f>IF(AND('[1]observations-276632'!W689&gt;'[1]Methods write-up'!$Q$16,'[1]observations-276632'!W689&lt;'[1]Methods write-up'!$R$16,'[1]observations-276632'!X689&gt;'[1]Methods write-up'!$S$16,'[1]observations-276632'!X689&lt;'[1]Methods write-up'!$T$16),"West and Central Africa","")</f>
        <v/>
      </c>
      <c r="AY689" s="22" t="str">
        <f>IF(AND('[1]observations-276632'!W689&gt;'[1]Methods write-up'!$Q$17,'[1]observations-276632'!W689&lt;'[1]Methods write-up'!$R$17,'[1]observations-276632'!X689&gt;'[1]Methods write-up'!$S$17,'[1]observations-276632'!X689&lt;'[1]Methods write-up'!$T$17),"Equatorial tropical forest","")</f>
        <v/>
      </c>
      <c r="AZ689" s="22" t="str">
        <f>IF(AND('[1]observations-276632'!W689&gt;'[1]Methods write-up'!$Q$18,'[1]observations-276632'!W689&lt;'[1]Methods write-up'!$R$18,'[1]observations-276632'!X689&gt;'[1]Methods write-up'!$S$18,'[1]observations-276632'!X689&lt;'[1]Methods write-up'!$T$18),"Somali peninsula","")</f>
        <v/>
      </c>
      <c r="BA689" s="22" t="str">
        <f>IF(AND('[1]observations-276632'!W689&gt;'[1]Methods write-up'!$Q$19,'[1]observations-276632'!W689&lt;'[1]Methods write-up'!$R$19,'[1]observations-276632'!X689&gt;'[1]Methods write-up'!$S$19,'[1]observations-276632'!X689&lt;'[1]Methods write-up'!$T$19),"East Africa","")</f>
        <v/>
      </c>
      <c r="BB689" s="22" t="str">
        <f>IF(AND('[1]observations-276632'!W689&gt;'[1]Methods write-up'!$Q$20,'[1]observations-276632'!W689&lt;'[1]Methods write-up'!$R$20,'[1]observations-276632'!X689&gt;'[1]Methods write-up'!$S$20,'[1]observations-276632'!X689&lt;'[1]Methods write-up'!$T$20),"Temperate seasonal","")</f>
        <v>Temperate seasonal</v>
      </c>
      <c r="BC689" s="22" t="str">
        <f>IF(AND('[1]observations-276632'!W689&gt;'[1]Methods write-up'!$Q$21,'[1]observations-276632'!W689&lt;'[1]Methods write-up'!$R$21,'[1]observations-276632'!X689&gt;'[1]Methods write-up'!$S$21,'[1]observations-276632'!X689&lt;'[1]Methods write-up'!$T$21),"Desert and high aridity","")</f>
        <v/>
      </c>
      <c r="BD689" s="23" t="str">
        <f t="shared" si="46"/>
        <v>Temperate seasonal</v>
      </c>
      <c r="BE689" s="24">
        <f t="shared" si="44"/>
        <v>31</v>
      </c>
      <c r="BF689" s="24">
        <f t="shared" si="45"/>
        <v>3</v>
      </c>
    </row>
    <row r="690" spans="1:58" ht="16.25" customHeight="1" x14ac:dyDescent="0.2">
      <c r="A690">
        <v>72779118</v>
      </c>
      <c r="B690" t="s">
        <v>5148</v>
      </c>
      <c r="C690" s="14">
        <v>44288</v>
      </c>
      <c r="D690" t="s">
        <v>5149</v>
      </c>
      <c r="E690" t="s">
        <v>57</v>
      </c>
      <c r="F690">
        <v>23072</v>
      </c>
      <c r="G690" t="s">
        <v>184</v>
      </c>
      <c r="I690" t="s">
        <v>5150</v>
      </c>
      <c r="J690" t="s">
        <v>5151</v>
      </c>
      <c r="K690" t="s">
        <v>62</v>
      </c>
      <c r="L690" t="s">
        <v>98</v>
      </c>
      <c r="M690" t="s">
        <v>5152</v>
      </c>
      <c r="N690" t="s">
        <v>5153</v>
      </c>
      <c r="P690" t="s">
        <v>5154</v>
      </c>
      <c r="R690">
        <v>3</v>
      </c>
      <c r="S690">
        <v>0</v>
      </c>
      <c r="T690" t="b">
        <v>0</v>
      </c>
      <c r="V690" t="s">
        <v>189</v>
      </c>
      <c r="W690" s="15">
        <v>-17.811527999999999</v>
      </c>
      <c r="X690" s="15">
        <v>31.080942</v>
      </c>
      <c r="Y690">
        <v>2</v>
      </c>
      <c r="AC690">
        <v>2</v>
      </c>
      <c r="AF690" t="b">
        <v>0</v>
      </c>
      <c r="AI690" t="s">
        <v>71</v>
      </c>
      <c r="AJ690" t="s">
        <v>70</v>
      </c>
      <c r="AK690" t="s">
        <v>71</v>
      </c>
      <c r="AL690" t="s">
        <v>72</v>
      </c>
      <c r="AM690">
        <v>346053</v>
      </c>
      <c r="AO690" s="16" t="s">
        <v>140</v>
      </c>
      <c r="AP690" s="17" t="str">
        <f t="shared" si="43"/>
        <v>Post-emergence nest</v>
      </c>
      <c r="AQ690" s="18">
        <v>5</v>
      </c>
      <c r="AX690" s="22" t="str">
        <f>IF(AND('[1]observations-276632'!W690&gt;'[1]Methods write-up'!$Q$16,'[1]observations-276632'!W690&lt;'[1]Methods write-up'!$R$16,'[1]observations-276632'!X690&gt;'[1]Methods write-up'!$S$16,'[1]observations-276632'!X690&lt;'[1]Methods write-up'!$T$16),"West and Central Africa","")</f>
        <v/>
      </c>
      <c r="AY690" s="22" t="str">
        <f>IF(AND('[1]observations-276632'!W690&gt;'[1]Methods write-up'!$Q$17,'[1]observations-276632'!W690&lt;'[1]Methods write-up'!$R$17,'[1]observations-276632'!X690&gt;'[1]Methods write-up'!$S$17,'[1]observations-276632'!X690&lt;'[1]Methods write-up'!$T$17),"Equatorial tropical forest","")</f>
        <v/>
      </c>
      <c r="AZ690" s="22" t="str">
        <f>IF(AND('[1]observations-276632'!W690&gt;'[1]Methods write-up'!$Q$18,'[1]observations-276632'!W690&lt;'[1]Methods write-up'!$R$18,'[1]observations-276632'!X690&gt;'[1]Methods write-up'!$S$18,'[1]observations-276632'!X690&lt;'[1]Methods write-up'!$T$18),"Somali peninsula","")</f>
        <v/>
      </c>
      <c r="BA690" s="22" t="str">
        <f>IF(AND('[1]observations-276632'!W690&gt;'[1]Methods write-up'!$Q$19,'[1]observations-276632'!W690&lt;'[1]Methods write-up'!$R$19,'[1]observations-276632'!X690&gt;'[1]Methods write-up'!$S$19,'[1]observations-276632'!X690&lt;'[1]Methods write-up'!$T$19),"East Africa","")</f>
        <v/>
      </c>
      <c r="BB690" s="22" t="str">
        <f>IF(AND('[1]observations-276632'!W690&gt;'[1]Methods write-up'!$Q$20,'[1]observations-276632'!W690&lt;'[1]Methods write-up'!$R$20,'[1]observations-276632'!X690&gt;'[1]Methods write-up'!$S$20,'[1]observations-276632'!X690&lt;'[1]Methods write-up'!$T$20),"Temperate seasonal","")</f>
        <v/>
      </c>
      <c r="BC690" s="22" t="str">
        <f>IF(AND('[1]observations-276632'!W690&gt;'[1]Methods write-up'!$Q$21,'[1]observations-276632'!W690&lt;'[1]Methods write-up'!$R$21,'[1]observations-276632'!X690&gt;'[1]Methods write-up'!$S$21,'[1]observations-276632'!X690&lt;'[1]Methods write-up'!$T$21),"Desert and high aridity","")</f>
        <v/>
      </c>
      <c r="BD690" s="23" t="str">
        <f t="shared" si="46"/>
        <v/>
      </c>
      <c r="BE690" s="24">
        <f t="shared" si="44"/>
        <v>2</v>
      </c>
      <c r="BF690" s="24">
        <f t="shared" si="45"/>
        <v>4</v>
      </c>
    </row>
    <row r="691" spans="1:58" ht="16.25" customHeight="1" x14ac:dyDescent="0.2">
      <c r="A691">
        <v>73005320</v>
      </c>
      <c r="B691" t="s">
        <v>5155</v>
      </c>
      <c r="C691" s="14">
        <v>44291</v>
      </c>
      <c r="D691" t="s">
        <v>5156</v>
      </c>
      <c r="E691" t="s">
        <v>113</v>
      </c>
      <c r="F691">
        <v>1010437</v>
      </c>
      <c r="G691" t="s">
        <v>4758</v>
      </c>
      <c r="H691" t="s">
        <v>4759</v>
      </c>
      <c r="I691" t="s">
        <v>5157</v>
      </c>
      <c r="J691" t="s">
        <v>5158</v>
      </c>
      <c r="K691" t="s">
        <v>62</v>
      </c>
      <c r="L691" t="s">
        <v>63</v>
      </c>
      <c r="M691" t="s">
        <v>5159</v>
      </c>
      <c r="N691" t="s">
        <v>5160</v>
      </c>
      <c r="R691">
        <v>3</v>
      </c>
      <c r="S691">
        <v>0</v>
      </c>
      <c r="T691" t="b">
        <v>0</v>
      </c>
      <c r="U691">
        <v>2</v>
      </c>
      <c r="V691" t="s">
        <v>4764</v>
      </c>
      <c r="W691" s="15">
        <v>-29.804242550000001</v>
      </c>
      <c r="X691" s="15">
        <v>31.015777249999999</v>
      </c>
      <c r="Y691">
        <v>212</v>
      </c>
      <c r="AC691">
        <v>212</v>
      </c>
      <c r="AF691" t="b">
        <v>0</v>
      </c>
      <c r="AG691" t="s">
        <v>350</v>
      </c>
      <c r="AH691" t="s">
        <v>350</v>
      </c>
      <c r="AI691" t="s">
        <v>71</v>
      </c>
      <c r="AJ691" t="s">
        <v>70</v>
      </c>
      <c r="AK691" t="s">
        <v>71</v>
      </c>
      <c r="AL691" t="s">
        <v>72</v>
      </c>
      <c r="AM691">
        <v>346053</v>
      </c>
      <c r="AO691" s="16" t="s">
        <v>140</v>
      </c>
      <c r="AP691" s="17" t="str">
        <f t="shared" si="43"/>
        <v>Post-emergence nest</v>
      </c>
      <c r="AQ691" s="18">
        <v>9</v>
      </c>
      <c r="AT691" s="19" t="s">
        <v>104</v>
      </c>
      <c r="AU691" s="20" t="s">
        <v>104</v>
      </c>
      <c r="AX691" s="22" t="str">
        <f>IF(AND('[1]observations-276632'!W691&gt;'[1]Methods write-up'!$Q$16,'[1]observations-276632'!W691&lt;'[1]Methods write-up'!$R$16,'[1]observations-276632'!X691&gt;'[1]Methods write-up'!$S$16,'[1]observations-276632'!X691&lt;'[1]Methods write-up'!$T$16),"West and Central Africa","")</f>
        <v/>
      </c>
      <c r="AY691" s="22" t="str">
        <f>IF(AND('[1]observations-276632'!W691&gt;'[1]Methods write-up'!$Q$17,'[1]observations-276632'!W691&lt;'[1]Methods write-up'!$R$17,'[1]observations-276632'!X691&gt;'[1]Methods write-up'!$S$17,'[1]observations-276632'!X691&lt;'[1]Methods write-up'!$T$17),"Equatorial tropical forest","")</f>
        <v/>
      </c>
      <c r="AZ691" s="22" t="str">
        <f>IF(AND('[1]observations-276632'!W691&gt;'[1]Methods write-up'!$Q$18,'[1]observations-276632'!W691&lt;'[1]Methods write-up'!$R$18,'[1]observations-276632'!X691&gt;'[1]Methods write-up'!$S$18,'[1]observations-276632'!X691&lt;'[1]Methods write-up'!$T$18),"Somali peninsula","")</f>
        <v/>
      </c>
      <c r="BA691" s="22" t="str">
        <f>IF(AND('[1]observations-276632'!W691&gt;'[1]Methods write-up'!$Q$19,'[1]observations-276632'!W691&lt;'[1]Methods write-up'!$R$19,'[1]observations-276632'!X691&gt;'[1]Methods write-up'!$S$19,'[1]observations-276632'!X691&lt;'[1]Methods write-up'!$T$19),"East Africa","")</f>
        <v/>
      </c>
      <c r="BB691" s="22" t="str">
        <f>IF(AND('[1]observations-276632'!W691&gt;'[1]Methods write-up'!$Q$20,'[1]observations-276632'!W691&lt;'[1]Methods write-up'!$R$20,'[1]observations-276632'!X691&gt;'[1]Methods write-up'!$S$20,'[1]observations-276632'!X691&lt;'[1]Methods write-up'!$T$20),"Temperate seasonal","")</f>
        <v>Temperate seasonal</v>
      </c>
      <c r="BC691" s="22" t="str">
        <f>IF(AND('[1]observations-276632'!W691&gt;'[1]Methods write-up'!$Q$21,'[1]observations-276632'!W691&lt;'[1]Methods write-up'!$R$21,'[1]observations-276632'!X691&gt;'[1]Methods write-up'!$S$21,'[1]observations-276632'!X691&lt;'[1]Methods write-up'!$T$21),"Desert and high aridity","")</f>
        <v/>
      </c>
      <c r="BD691" s="23" t="str">
        <f t="shared" si="46"/>
        <v>Temperate seasonal</v>
      </c>
      <c r="BE691" s="24">
        <f t="shared" si="44"/>
        <v>5</v>
      </c>
      <c r="BF691" s="24">
        <f t="shared" si="45"/>
        <v>4</v>
      </c>
    </row>
    <row r="692" spans="1:58" ht="16.25" customHeight="1" x14ac:dyDescent="0.2">
      <c r="A692">
        <v>73018341</v>
      </c>
      <c r="B692" t="s">
        <v>5161</v>
      </c>
      <c r="C692" s="14">
        <v>44288</v>
      </c>
      <c r="D692" t="s">
        <v>5162</v>
      </c>
      <c r="E692" t="s">
        <v>201</v>
      </c>
      <c r="F692">
        <v>773999</v>
      </c>
      <c r="G692" t="s">
        <v>5163</v>
      </c>
      <c r="I692" t="s">
        <v>5164</v>
      </c>
      <c r="J692" t="s">
        <v>5165</v>
      </c>
      <c r="K692" t="s">
        <v>62</v>
      </c>
      <c r="L692" t="s">
        <v>63</v>
      </c>
      <c r="M692" t="s">
        <v>5166</v>
      </c>
      <c r="N692" t="s">
        <v>5167</v>
      </c>
      <c r="R692">
        <v>3</v>
      </c>
      <c r="S692">
        <v>0</v>
      </c>
      <c r="T692" t="b">
        <v>0</v>
      </c>
      <c r="V692" t="s">
        <v>1522</v>
      </c>
      <c r="W692" s="15">
        <v>-27.995098519999999</v>
      </c>
      <c r="X692" s="15">
        <v>32.364909900000001</v>
      </c>
      <c r="Y692">
        <v>244</v>
      </c>
      <c r="AC692">
        <v>244</v>
      </c>
      <c r="AF692" t="b">
        <v>0</v>
      </c>
      <c r="AI692" t="s">
        <v>71</v>
      </c>
      <c r="AJ692" t="s">
        <v>70</v>
      </c>
      <c r="AK692" t="s">
        <v>71</v>
      </c>
      <c r="AL692" t="s">
        <v>72</v>
      </c>
      <c r="AM692">
        <v>346053</v>
      </c>
      <c r="AO692" s="16" t="s">
        <v>73</v>
      </c>
      <c r="AP692" s="17" t="str">
        <f t="shared" si="43"/>
        <v>Off-nest female</v>
      </c>
      <c r="AX692" s="22" t="str">
        <f>IF(AND('[1]observations-276632'!W692&gt;'[1]Methods write-up'!$Q$16,'[1]observations-276632'!W692&lt;'[1]Methods write-up'!$R$16,'[1]observations-276632'!X692&gt;'[1]Methods write-up'!$S$16,'[1]observations-276632'!X692&lt;'[1]Methods write-up'!$T$16),"West and Central Africa","")</f>
        <v/>
      </c>
      <c r="AY692" s="22" t="str">
        <f>IF(AND('[1]observations-276632'!W692&gt;'[1]Methods write-up'!$Q$17,'[1]observations-276632'!W692&lt;'[1]Methods write-up'!$R$17,'[1]observations-276632'!X692&gt;'[1]Methods write-up'!$S$17,'[1]observations-276632'!X692&lt;'[1]Methods write-up'!$T$17),"Equatorial tropical forest","")</f>
        <v/>
      </c>
      <c r="AZ692" s="22" t="str">
        <f>IF(AND('[1]observations-276632'!W692&gt;'[1]Methods write-up'!$Q$18,'[1]observations-276632'!W692&lt;'[1]Methods write-up'!$R$18,'[1]observations-276632'!X692&gt;'[1]Methods write-up'!$S$18,'[1]observations-276632'!X692&lt;'[1]Methods write-up'!$T$18),"Somali peninsula","")</f>
        <v/>
      </c>
      <c r="BA692" s="22" t="str">
        <f>IF(AND('[1]observations-276632'!W692&gt;'[1]Methods write-up'!$Q$19,'[1]observations-276632'!W692&lt;'[1]Methods write-up'!$R$19,'[1]observations-276632'!X692&gt;'[1]Methods write-up'!$S$19,'[1]observations-276632'!X692&lt;'[1]Methods write-up'!$T$19),"East Africa","")</f>
        <v/>
      </c>
      <c r="BB692" s="22" t="str">
        <f>IF(AND('[1]observations-276632'!W692&gt;'[1]Methods write-up'!$Q$20,'[1]observations-276632'!W692&lt;'[1]Methods write-up'!$R$20,'[1]observations-276632'!X692&gt;'[1]Methods write-up'!$S$20,'[1]observations-276632'!X692&lt;'[1]Methods write-up'!$T$20),"Temperate seasonal","")</f>
        <v>Temperate seasonal</v>
      </c>
      <c r="BC692" s="22" t="str">
        <f>IF(AND('[1]observations-276632'!W692&gt;'[1]Methods write-up'!$Q$21,'[1]observations-276632'!W692&lt;'[1]Methods write-up'!$R$21,'[1]observations-276632'!X692&gt;'[1]Methods write-up'!$S$21,'[1]observations-276632'!X692&lt;'[1]Methods write-up'!$T$21),"Desert and high aridity","")</f>
        <v/>
      </c>
      <c r="BD692" s="23" t="str">
        <f t="shared" si="46"/>
        <v>Temperate seasonal</v>
      </c>
      <c r="BE692" s="24">
        <f t="shared" si="44"/>
        <v>2</v>
      </c>
      <c r="BF692" s="24">
        <f t="shared" si="45"/>
        <v>4</v>
      </c>
    </row>
    <row r="693" spans="1:58" ht="16.25" customHeight="1" x14ac:dyDescent="0.2">
      <c r="A693">
        <v>73271813</v>
      </c>
      <c r="B693" t="s">
        <v>5168</v>
      </c>
      <c r="C693" s="14">
        <v>44293</v>
      </c>
      <c r="D693" t="s">
        <v>5169</v>
      </c>
      <c r="E693" t="s">
        <v>113</v>
      </c>
      <c r="F693">
        <v>3959799</v>
      </c>
      <c r="G693" t="s">
        <v>5170</v>
      </c>
      <c r="I693" t="s">
        <v>5171</v>
      </c>
      <c r="J693" t="s">
        <v>5172</v>
      </c>
      <c r="K693" t="s">
        <v>62</v>
      </c>
      <c r="L693" t="s">
        <v>63</v>
      </c>
      <c r="M693" t="s">
        <v>5173</v>
      </c>
      <c r="N693" t="s">
        <v>5174</v>
      </c>
      <c r="R693">
        <v>6</v>
      </c>
      <c r="S693">
        <v>0</v>
      </c>
      <c r="T693" t="b">
        <v>0</v>
      </c>
      <c r="U693">
        <v>2</v>
      </c>
      <c r="V693" t="s">
        <v>5175</v>
      </c>
      <c r="W693" s="15">
        <v>-24.98793336</v>
      </c>
      <c r="X693" s="15">
        <v>25.343020190000001</v>
      </c>
      <c r="Y693">
        <v>5885</v>
      </c>
      <c r="AC693">
        <v>5885</v>
      </c>
      <c r="AF693" t="b">
        <v>0</v>
      </c>
      <c r="AG693" t="s">
        <v>350</v>
      </c>
      <c r="AH693" t="s">
        <v>350</v>
      </c>
      <c r="AI693" t="s">
        <v>102</v>
      </c>
      <c r="AJ693" t="s">
        <v>70</v>
      </c>
      <c r="AK693" t="s">
        <v>71</v>
      </c>
      <c r="AL693" t="s">
        <v>72</v>
      </c>
      <c r="AM693">
        <v>346053</v>
      </c>
      <c r="AO693" s="16" t="s">
        <v>150</v>
      </c>
      <c r="AP693" s="17" t="str">
        <f t="shared" si="43"/>
        <v>Male (off nest)</v>
      </c>
      <c r="AX693" s="22" t="str">
        <f>IF(AND('[1]observations-276632'!W693&gt;'[1]Methods write-up'!$Q$16,'[1]observations-276632'!W693&lt;'[1]Methods write-up'!$R$16,'[1]observations-276632'!X693&gt;'[1]Methods write-up'!$S$16,'[1]observations-276632'!X693&lt;'[1]Methods write-up'!$T$16),"West and Central Africa","")</f>
        <v/>
      </c>
      <c r="AY693" s="22" t="str">
        <f>IF(AND('[1]observations-276632'!W693&gt;'[1]Methods write-up'!$Q$17,'[1]observations-276632'!W693&lt;'[1]Methods write-up'!$R$17,'[1]observations-276632'!X693&gt;'[1]Methods write-up'!$S$17,'[1]observations-276632'!X693&lt;'[1]Methods write-up'!$T$17),"Equatorial tropical forest","")</f>
        <v/>
      </c>
      <c r="AZ693" s="22" t="str">
        <f>IF(AND('[1]observations-276632'!W693&gt;'[1]Methods write-up'!$Q$18,'[1]observations-276632'!W693&lt;'[1]Methods write-up'!$R$18,'[1]observations-276632'!X693&gt;'[1]Methods write-up'!$S$18,'[1]observations-276632'!X693&lt;'[1]Methods write-up'!$T$18),"Somali peninsula","")</f>
        <v/>
      </c>
      <c r="BA693" s="22" t="str">
        <f>IF(AND('[1]observations-276632'!W693&gt;'[1]Methods write-up'!$Q$19,'[1]observations-276632'!W693&lt;'[1]Methods write-up'!$R$19,'[1]observations-276632'!X693&gt;'[1]Methods write-up'!$S$19,'[1]observations-276632'!X693&lt;'[1]Methods write-up'!$T$19),"East Africa","")</f>
        <v/>
      </c>
      <c r="BB693" s="22" t="str">
        <f>IF(AND('[1]observations-276632'!W693&gt;'[1]Methods write-up'!$Q$20,'[1]observations-276632'!W693&lt;'[1]Methods write-up'!$R$20,'[1]observations-276632'!X693&gt;'[1]Methods write-up'!$S$20,'[1]observations-276632'!X693&lt;'[1]Methods write-up'!$T$20),"Temperate seasonal","")</f>
        <v/>
      </c>
      <c r="BC693" s="22" t="str">
        <f>IF(AND('[1]observations-276632'!W693&gt;'[1]Methods write-up'!$Q$21,'[1]observations-276632'!W693&lt;'[1]Methods write-up'!$R$21,'[1]observations-276632'!X693&gt;'[1]Methods write-up'!$S$21,'[1]observations-276632'!X693&lt;'[1]Methods write-up'!$T$21),"Desert and high aridity","")</f>
        <v/>
      </c>
      <c r="BD693" s="23" t="str">
        <f t="shared" si="46"/>
        <v/>
      </c>
      <c r="BE693" s="24">
        <f t="shared" si="44"/>
        <v>7</v>
      </c>
      <c r="BF693" s="24">
        <f t="shared" si="45"/>
        <v>4</v>
      </c>
    </row>
    <row r="694" spans="1:58" ht="16.25" customHeight="1" x14ac:dyDescent="0.2">
      <c r="A694">
        <v>73294982</v>
      </c>
      <c r="B694" t="s">
        <v>5176</v>
      </c>
      <c r="C694" s="14">
        <v>43881</v>
      </c>
      <c r="D694" t="s">
        <v>5177</v>
      </c>
      <c r="E694" t="s">
        <v>243</v>
      </c>
      <c r="F694">
        <v>3896034</v>
      </c>
      <c r="G694" t="s">
        <v>5178</v>
      </c>
      <c r="H694" t="s">
        <v>5179</v>
      </c>
      <c r="I694" t="s">
        <v>5180</v>
      </c>
      <c r="J694" t="s">
        <v>5181</v>
      </c>
      <c r="K694" t="s">
        <v>62</v>
      </c>
      <c r="L694" t="s">
        <v>63</v>
      </c>
      <c r="M694" t="s">
        <v>5182</v>
      </c>
      <c r="N694" t="s">
        <v>5183</v>
      </c>
      <c r="R694">
        <v>3</v>
      </c>
      <c r="S694">
        <v>0</v>
      </c>
      <c r="T694" t="b">
        <v>0</v>
      </c>
      <c r="V694" t="s">
        <v>5184</v>
      </c>
      <c r="W694" s="15">
        <v>-25.39817828</v>
      </c>
      <c r="X694" s="15">
        <v>28.343791329999998</v>
      </c>
      <c r="Y694">
        <v>3590</v>
      </c>
      <c r="AC694">
        <v>3590</v>
      </c>
      <c r="AF694" t="b">
        <v>0</v>
      </c>
      <c r="AI694" t="s">
        <v>71</v>
      </c>
      <c r="AJ694" t="s">
        <v>70</v>
      </c>
      <c r="AK694" t="s">
        <v>71</v>
      </c>
      <c r="AL694" t="s">
        <v>72</v>
      </c>
      <c r="AM694">
        <v>346053</v>
      </c>
      <c r="AO694" s="16" t="s">
        <v>140</v>
      </c>
      <c r="AP694" s="17" t="str">
        <f t="shared" si="43"/>
        <v>Post-emergence nest</v>
      </c>
      <c r="AQ694" s="18">
        <v>6</v>
      </c>
      <c r="AT694" s="19" t="s">
        <v>141</v>
      </c>
      <c r="AU694" s="20" t="s">
        <v>104</v>
      </c>
      <c r="AX694" s="22" t="str">
        <f>IF(AND('[1]observations-276632'!W694&gt;'[1]Methods write-up'!$Q$16,'[1]observations-276632'!W694&lt;'[1]Methods write-up'!$R$16,'[1]observations-276632'!X694&gt;'[1]Methods write-up'!$S$16,'[1]observations-276632'!X694&lt;'[1]Methods write-up'!$T$16),"West and Central Africa","")</f>
        <v/>
      </c>
      <c r="AY694" s="22" t="str">
        <f>IF(AND('[1]observations-276632'!W694&gt;'[1]Methods write-up'!$Q$17,'[1]observations-276632'!W694&lt;'[1]Methods write-up'!$R$17,'[1]observations-276632'!X694&gt;'[1]Methods write-up'!$S$17,'[1]observations-276632'!X694&lt;'[1]Methods write-up'!$T$17),"Equatorial tropical forest","")</f>
        <v/>
      </c>
      <c r="AZ694" s="22" t="str">
        <f>IF(AND('[1]observations-276632'!W694&gt;'[1]Methods write-up'!$Q$18,'[1]observations-276632'!W694&lt;'[1]Methods write-up'!$R$18,'[1]observations-276632'!X694&gt;'[1]Methods write-up'!$S$18,'[1]observations-276632'!X694&lt;'[1]Methods write-up'!$T$18),"Somali peninsula","")</f>
        <v/>
      </c>
      <c r="BA694" s="22" t="str">
        <f>IF(AND('[1]observations-276632'!W694&gt;'[1]Methods write-up'!$Q$19,'[1]observations-276632'!W694&lt;'[1]Methods write-up'!$R$19,'[1]observations-276632'!X694&gt;'[1]Methods write-up'!$S$19,'[1]observations-276632'!X694&lt;'[1]Methods write-up'!$T$19),"East Africa","")</f>
        <v/>
      </c>
      <c r="BB694" s="22" t="str">
        <f>IF(AND('[1]observations-276632'!W694&gt;'[1]Methods write-up'!$Q$20,'[1]observations-276632'!W694&lt;'[1]Methods write-up'!$R$20,'[1]observations-276632'!X694&gt;'[1]Methods write-up'!$S$20,'[1]observations-276632'!X694&lt;'[1]Methods write-up'!$T$20),"Temperate seasonal","")</f>
        <v>Temperate seasonal</v>
      </c>
      <c r="BC694" s="22" t="str">
        <f>IF(AND('[1]observations-276632'!W694&gt;'[1]Methods write-up'!$Q$21,'[1]observations-276632'!W694&lt;'[1]Methods write-up'!$R$21,'[1]observations-276632'!X694&gt;'[1]Methods write-up'!$S$21,'[1]observations-276632'!X694&lt;'[1]Methods write-up'!$T$21),"Desert and high aridity","")</f>
        <v/>
      </c>
      <c r="BD694" s="23" t="str">
        <f t="shared" si="46"/>
        <v>Temperate seasonal</v>
      </c>
      <c r="BE694" s="24">
        <f t="shared" si="44"/>
        <v>20</v>
      </c>
      <c r="BF694" s="24">
        <f t="shared" si="45"/>
        <v>2</v>
      </c>
    </row>
    <row r="695" spans="1:58" ht="16.25" customHeight="1" x14ac:dyDescent="0.2">
      <c r="A695">
        <v>73522462</v>
      </c>
      <c r="B695" t="s">
        <v>5185</v>
      </c>
      <c r="C695" s="14">
        <v>44296</v>
      </c>
      <c r="D695" t="s">
        <v>5186</v>
      </c>
      <c r="E695" t="s">
        <v>1408</v>
      </c>
      <c r="F695">
        <v>3974309</v>
      </c>
      <c r="G695" t="s">
        <v>4925</v>
      </c>
      <c r="H695" t="s">
        <v>4926</v>
      </c>
      <c r="I695" t="s">
        <v>5187</v>
      </c>
      <c r="J695" t="s">
        <v>5188</v>
      </c>
      <c r="K695" t="s">
        <v>62</v>
      </c>
      <c r="L695" t="s">
        <v>63</v>
      </c>
      <c r="M695" t="s">
        <v>5189</v>
      </c>
      <c r="N695" t="s">
        <v>5190</v>
      </c>
      <c r="R695">
        <v>3</v>
      </c>
      <c r="S695">
        <v>0</v>
      </c>
      <c r="T695" t="b">
        <v>0</v>
      </c>
      <c r="V695" t="s">
        <v>5191</v>
      </c>
      <c r="W695" s="15">
        <v>-15.69266036</v>
      </c>
      <c r="X695" s="15">
        <v>35.137628829999997</v>
      </c>
      <c r="Y695">
        <v>61</v>
      </c>
      <c r="AC695">
        <v>30870</v>
      </c>
      <c r="AD695" t="s">
        <v>839</v>
      </c>
      <c r="AF695" t="b">
        <v>1</v>
      </c>
      <c r="AI695" t="s">
        <v>71</v>
      </c>
      <c r="AJ695" t="s">
        <v>70</v>
      </c>
      <c r="AK695" t="s">
        <v>71</v>
      </c>
      <c r="AL695" t="s">
        <v>72</v>
      </c>
      <c r="AM695">
        <v>346053</v>
      </c>
      <c r="AO695" s="16" t="s">
        <v>73</v>
      </c>
      <c r="AP695" s="17" t="str">
        <f t="shared" si="43"/>
        <v>Off-nest female</v>
      </c>
      <c r="AX695" s="22" t="str">
        <f>IF(AND('[1]observations-276632'!W695&gt;'[1]Methods write-up'!$Q$16,'[1]observations-276632'!W695&lt;'[1]Methods write-up'!$R$16,'[1]observations-276632'!X695&gt;'[1]Methods write-up'!$S$16,'[1]observations-276632'!X695&lt;'[1]Methods write-up'!$T$16),"West and Central Africa","")</f>
        <v/>
      </c>
      <c r="AY695" s="22" t="str">
        <f>IF(AND('[1]observations-276632'!W695&gt;'[1]Methods write-up'!$Q$17,'[1]observations-276632'!W695&lt;'[1]Methods write-up'!$R$17,'[1]observations-276632'!X695&gt;'[1]Methods write-up'!$S$17,'[1]observations-276632'!X695&lt;'[1]Methods write-up'!$T$17),"Equatorial tropical forest","")</f>
        <v/>
      </c>
      <c r="AZ695" s="22" t="str">
        <f>IF(AND('[1]observations-276632'!W695&gt;'[1]Methods write-up'!$Q$18,'[1]observations-276632'!W695&lt;'[1]Methods write-up'!$R$18,'[1]observations-276632'!X695&gt;'[1]Methods write-up'!$S$18,'[1]observations-276632'!X695&lt;'[1]Methods write-up'!$T$18),"Somali peninsula","")</f>
        <v/>
      </c>
      <c r="BA695" s="22" t="str">
        <f>IF(AND('[1]observations-276632'!W695&gt;'[1]Methods write-up'!$Q$19,'[1]observations-276632'!W695&lt;'[1]Methods write-up'!$R$19,'[1]observations-276632'!X695&gt;'[1]Methods write-up'!$S$19,'[1]observations-276632'!X695&lt;'[1]Methods write-up'!$T$19),"East Africa","")</f>
        <v/>
      </c>
      <c r="BB695" s="22" t="str">
        <f>IF(AND('[1]observations-276632'!W695&gt;'[1]Methods write-up'!$Q$20,'[1]observations-276632'!W695&lt;'[1]Methods write-up'!$R$20,'[1]observations-276632'!X695&gt;'[1]Methods write-up'!$S$20,'[1]observations-276632'!X695&lt;'[1]Methods write-up'!$T$20),"Temperate seasonal","")</f>
        <v/>
      </c>
      <c r="BC695" s="22" t="str">
        <f>IF(AND('[1]observations-276632'!W695&gt;'[1]Methods write-up'!$Q$21,'[1]observations-276632'!W695&lt;'[1]Methods write-up'!$R$21,'[1]observations-276632'!X695&gt;'[1]Methods write-up'!$S$21,'[1]observations-276632'!X695&lt;'[1]Methods write-up'!$T$21),"Desert and high aridity","")</f>
        <v/>
      </c>
      <c r="BD695" s="23" t="str">
        <f t="shared" si="46"/>
        <v/>
      </c>
      <c r="BE695" s="24">
        <f t="shared" si="44"/>
        <v>10</v>
      </c>
      <c r="BF695" s="24">
        <f t="shared" si="45"/>
        <v>4</v>
      </c>
    </row>
    <row r="696" spans="1:58" ht="16.25" customHeight="1" x14ac:dyDescent="0.2">
      <c r="A696">
        <v>73533576</v>
      </c>
      <c r="B696" t="s">
        <v>5192</v>
      </c>
      <c r="C696" s="14">
        <v>44291</v>
      </c>
      <c r="D696" t="s">
        <v>5193</v>
      </c>
      <c r="E696" t="s">
        <v>1408</v>
      </c>
      <c r="F696">
        <v>3974309</v>
      </c>
      <c r="G696" t="s">
        <v>4925</v>
      </c>
      <c r="H696" t="s">
        <v>4926</v>
      </c>
      <c r="I696" t="s">
        <v>5194</v>
      </c>
      <c r="J696" t="s">
        <v>5195</v>
      </c>
      <c r="K696" t="s">
        <v>62</v>
      </c>
      <c r="L696" t="s">
        <v>63</v>
      </c>
      <c r="M696" t="s">
        <v>5196</v>
      </c>
      <c r="N696" t="s">
        <v>5197</v>
      </c>
      <c r="R696">
        <v>4</v>
      </c>
      <c r="S696">
        <v>0</v>
      </c>
      <c r="T696" t="b">
        <v>0</v>
      </c>
      <c r="V696" t="s">
        <v>5198</v>
      </c>
      <c r="W696" s="15">
        <v>-12.08761883</v>
      </c>
      <c r="X696" s="15">
        <v>34.71755186</v>
      </c>
      <c r="Y696">
        <v>122</v>
      </c>
      <c r="AC696">
        <v>122</v>
      </c>
      <c r="AF696" t="b">
        <v>0</v>
      </c>
      <c r="AI696" t="s">
        <v>71</v>
      </c>
      <c r="AJ696" t="s">
        <v>70</v>
      </c>
      <c r="AK696" t="s">
        <v>71</v>
      </c>
      <c r="AL696" t="s">
        <v>72</v>
      </c>
      <c r="AM696">
        <v>346053</v>
      </c>
      <c r="AO696" s="16" t="s">
        <v>73</v>
      </c>
      <c r="AP696" s="17" t="str">
        <f t="shared" si="43"/>
        <v>Off-nest female</v>
      </c>
      <c r="AX696" s="22" t="str">
        <f>IF(AND('[1]observations-276632'!W696&gt;'[1]Methods write-up'!$Q$16,'[1]observations-276632'!W696&lt;'[1]Methods write-up'!$R$16,'[1]observations-276632'!X696&gt;'[1]Methods write-up'!$S$16,'[1]observations-276632'!X696&lt;'[1]Methods write-up'!$T$16),"West and Central Africa","")</f>
        <v/>
      </c>
      <c r="AY696" s="22" t="str">
        <f>IF(AND('[1]observations-276632'!W696&gt;'[1]Methods write-up'!$Q$17,'[1]observations-276632'!W696&lt;'[1]Methods write-up'!$R$17,'[1]observations-276632'!X696&gt;'[1]Methods write-up'!$S$17,'[1]observations-276632'!X696&lt;'[1]Methods write-up'!$T$17),"Equatorial tropical forest","")</f>
        <v/>
      </c>
      <c r="AZ696" s="22" t="str">
        <f>IF(AND('[1]observations-276632'!W696&gt;'[1]Methods write-up'!$Q$18,'[1]observations-276632'!W696&lt;'[1]Methods write-up'!$R$18,'[1]observations-276632'!X696&gt;'[1]Methods write-up'!$S$18,'[1]observations-276632'!X696&lt;'[1]Methods write-up'!$T$18),"Somali peninsula","")</f>
        <v/>
      </c>
      <c r="BA696" s="22" t="str">
        <f>IF(AND('[1]observations-276632'!W696&gt;'[1]Methods write-up'!$Q$19,'[1]observations-276632'!W696&lt;'[1]Methods write-up'!$R$19,'[1]observations-276632'!X696&gt;'[1]Methods write-up'!$S$19,'[1]observations-276632'!X696&lt;'[1]Methods write-up'!$T$19),"East Africa","")</f>
        <v/>
      </c>
      <c r="BB696" s="22" t="str">
        <f>IF(AND('[1]observations-276632'!W696&gt;'[1]Methods write-up'!$Q$20,'[1]observations-276632'!W696&lt;'[1]Methods write-up'!$R$20,'[1]observations-276632'!X696&gt;'[1]Methods write-up'!$S$20,'[1]observations-276632'!X696&lt;'[1]Methods write-up'!$T$20),"Temperate seasonal","")</f>
        <v/>
      </c>
      <c r="BC696" s="22" t="str">
        <f>IF(AND('[1]observations-276632'!W696&gt;'[1]Methods write-up'!$Q$21,'[1]observations-276632'!W696&lt;'[1]Methods write-up'!$R$21,'[1]observations-276632'!X696&gt;'[1]Methods write-up'!$S$21,'[1]observations-276632'!X696&lt;'[1]Methods write-up'!$T$21),"Desert and high aridity","")</f>
        <v/>
      </c>
      <c r="BD696" s="23" t="str">
        <f t="shared" si="46"/>
        <v/>
      </c>
      <c r="BE696" s="24">
        <f t="shared" si="44"/>
        <v>5</v>
      </c>
      <c r="BF696" s="24">
        <f t="shared" si="45"/>
        <v>4</v>
      </c>
    </row>
    <row r="697" spans="1:58" ht="16.25" customHeight="1" x14ac:dyDescent="0.2">
      <c r="A697">
        <v>73625325</v>
      </c>
      <c r="B697" t="s">
        <v>5199</v>
      </c>
      <c r="C697" s="14">
        <v>44297</v>
      </c>
      <c r="D697" t="s">
        <v>5200</v>
      </c>
      <c r="E697" t="s">
        <v>193</v>
      </c>
      <c r="F697">
        <v>3857722</v>
      </c>
      <c r="G697" t="s">
        <v>4422</v>
      </c>
      <c r="H697" t="s">
        <v>4423</v>
      </c>
      <c r="I697" t="s">
        <v>5201</v>
      </c>
      <c r="J697" t="s">
        <v>5202</v>
      </c>
      <c r="K697" t="s">
        <v>62</v>
      </c>
      <c r="L697" t="s">
        <v>63</v>
      </c>
      <c r="M697" t="s">
        <v>5203</v>
      </c>
      <c r="N697" t="s">
        <v>5204</v>
      </c>
      <c r="R697">
        <v>2</v>
      </c>
      <c r="S697">
        <v>0</v>
      </c>
      <c r="T697" t="b">
        <v>0</v>
      </c>
      <c r="U697">
        <v>3</v>
      </c>
      <c r="V697" t="s">
        <v>4730</v>
      </c>
      <c r="W697" s="15">
        <v>3.9767800000000002</v>
      </c>
      <c r="X697" s="15">
        <v>11.603194999999999</v>
      </c>
      <c r="Y697">
        <v>4</v>
      </c>
      <c r="AC697">
        <v>4</v>
      </c>
      <c r="AF697" t="b">
        <v>0</v>
      </c>
      <c r="AI697" t="s">
        <v>71</v>
      </c>
      <c r="AJ697" t="s">
        <v>70</v>
      </c>
      <c r="AK697" t="s">
        <v>71</v>
      </c>
      <c r="AL697" t="s">
        <v>72</v>
      </c>
      <c r="AM697">
        <v>346053</v>
      </c>
      <c r="AO697" s="16" t="s">
        <v>73</v>
      </c>
      <c r="AP697" s="17" t="str">
        <f t="shared" si="43"/>
        <v>Off-nest female</v>
      </c>
      <c r="AX697" s="22" t="str">
        <f>IF(AND('[1]observations-276632'!W697&gt;'[1]Methods write-up'!$Q$16,'[1]observations-276632'!W697&lt;'[1]Methods write-up'!$R$16,'[1]observations-276632'!X697&gt;'[1]Methods write-up'!$S$16,'[1]observations-276632'!X697&lt;'[1]Methods write-up'!$T$16),"West and Central Africa","")</f>
        <v>West and Central Africa</v>
      </c>
      <c r="AY697" s="22" t="str">
        <f>IF(AND('[1]observations-276632'!W697&gt;'[1]Methods write-up'!$Q$17,'[1]observations-276632'!W697&lt;'[1]Methods write-up'!$R$17,'[1]observations-276632'!X697&gt;'[1]Methods write-up'!$S$17,'[1]observations-276632'!X697&lt;'[1]Methods write-up'!$T$17),"Equatorial tropical forest","")</f>
        <v/>
      </c>
      <c r="AZ697" s="22" t="str">
        <f>IF(AND('[1]observations-276632'!W697&gt;'[1]Methods write-up'!$Q$18,'[1]observations-276632'!W697&lt;'[1]Methods write-up'!$R$18,'[1]observations-276632'!X697&gt;'[1]Methods write-up'!$S$18,'[1]observations-276632'!X697&lt;'[1]Methods write-up'!$T$18),"Somali peninsula","")</f>
        <v/>
      </c>
      <c r="BA697" s="22" t="str">
        <f>IF(AND('[1]observations-276632'!W697&gt;'[1]Methods write-up'!$Q$19,'[1]observations-276632'!W697&lt;'[1]Methods write-up'!$R$19,'[1]observations-276632'!X697&gt;'[1]Methods write-up'!$S$19,'[1]observations-276632'!X697&lt;'[1]Methods write-up'!$T$19),"East Africa","")</f>
        <v/>
      </c>
      <c r="BB697" s="22" t="str">
        <f>IF(AND('[1]observations-276632'!W697&gt;'[1]Methods write-up'!$Q$20,'[1]observations-276632'!W697&lt;'[1]Methods write-up'!$R$20,'[1]observations-276632'!X697&gt;'[1]Methods write-up'!$S$20,'[1]observations-276632'!X697&lt;'[1]Methods write-up'!$T$20),"Temperate seasonal","")</f>
        <v/>
      </c>
      <c r="BC697" s="22" t="str">
        <f>IF(AND('[1]observations-276632'!W697&gt;'[1]Methods write-up'!$Q$21,'[1]observations-276632'!W697&lt;'[1]Methods write-up'!$R$21,'[1]observations-276632'!X697&gt;'[1]Methods write-up'!$S$21,'[1]observations-276632'!X697&lt;'[1]Methods write-up'!$T$21),"Desert and high aridity","")</f>
        <v/>
      </c>
      <c r="BD697" s="23" t="str">
        <f t="shared" si="46"/>
        <v>West and Central Africa</v>
      </c>
      <c r="BE697" s="24">
        <f t="shared" si="44"/>
        <v>11</v>
      </c>
      <c r="BF697" s="24">
        <f t="shared" si="45"/>
        <v>4</v>
      </c>
    </row>
    <row r="698" spans="1:58" ht="16.25" customHeight="1" x14ac:dyDescent="0.2">
      <c r="A698">
        <v>73721814</v>
      </c>
      <c r="B698" t="s">
        <v>5205</v>
      </c>
      <c r="C698" s="14">
        <v>43962</v>
      </c>
      <c r="D698" t="s">
        <v>5206</v>
      </c>
      <c r="E698" t="s">
        <v>113</v>
      </c>
      <c r="F698">
        <v>4178993</v>
      </c>
      <c r="G698" t="s">
        <v>5207</v>
      </c>
      <c r="H698" t="s">
        <v>5208</v>
      </c>
      <c r="I698" t="s">
        <v>5209</v>
      </c>
      <c r="J698" t="s">
        <v>5210</v>
      </c>
      <c r="K698" t="s">
        <v>62</v>
      </c>
      <c r="M698" t="s">
        <v>5211</v>
      </c>
      <c r="N698" t="s">
        <v>5212</v>
      </c>
      <c r="R698">
        <v>3</v>
      </c>
      <c r="S698">
        <v>0</v>
      </c>
      <c r="T698" t="b">
        <v>0</v>
      </c>
      <c r="V698" t="s">
        <v>5213</v>
      </c>
      <c r="W698" s="15">
        <v>-20.176014899999998</v>
      </c>
      <c r="X698" s="15">
        <v>28.587092899999998</v>
      </c>
      <c r="Y698">
        <v>1434</v>
      </c>
      <c r="AC698">
        <v>1434</v>
      </c>
      <c r="AF698" t="b">
        <v>0</v>
      </c>
      <c r="AI698" t="s">
        <v>71</v>
      </c>
      <c r="AJ698" t="s">
        <v>70</v>
      </c>
      <c r="AK698" t="s">
        <v>71</v>
      </c>
      <c r="AL698" t="s">
        <v>72</v>
      </c>
      <c r="AM698">
        <v>346053</v>
      </c>
      <c r="AO698" s="16" t="s">
        <v>73</v>
      </c>
      <c r="AP698" s="17" t="str">
        <f t="shared" ref="AP698:AP747" si="47">IF(COUNTIF(AO698,"*foundress*"),"Nest (foundress)",AO698)</f>
        <v>Off-nest female</v>
      </c>
      <c r="AX698" s="22" t="str">
        <f>IF(AND('[1]observations-276632'!W698&gt;'[1]Methods write-up'!$Q$16,'[1]observations-276632'!W698&lt;'[1]Methods write-up'!$R$16,'[1]observations-276632'!X698&gt;'[1]Methods write-up'!$S$16,'[1]observations-276632'!X698&lt;'[1]Methods write-up'!$T$16),"West and Central Africa","")</f>
        <v/>
      </c>
      <c r="AY698" s="22" t="str">
        <f>IF(AND('[1]observations-276632'!W698&gt;'[1]Methods write-up'!$Q$17,'[1]observations-276632'!W698&lt;'[1]Methods write-up'!$R$17,'[1]observations-276632'!X698&gt;'[1]Methods write-up'!$S$17,'[1]observations-276632'!X698&lt;'[1]Methods write-up'!$T$17),"Equatorial tropical forest","")</f>
        <v/>
      </c>
      <c r="AZ698" s="22" t="str">
        <f>IF(AND('[1]observations-276632'!W698&gt;'[1]Methods write-up'!$Q$18,'[1]observations-276632'!W698&lt;'[1]Methods write-up'!$R$18,'[1]observations-276632'!X698&gt;'[1]Methods write-up'!$S$18,'[1]observations-276632'!X698&lt;'[1]Methods write-up'!$T$18),"Somali peninsula","")</f>
        <v/>
      </c>
      <c r="BA698" s="22" t="str">
        <f>IF(AND('[1]observations-276632'!W698&gt;'[1]Methods write-up'!$Q$19,'[1]observations-276632'!W698&lt;'[1]Methods write-up'!$R$19,'[1]observations-276632'!X698&gt;'[1]Methods write-up'!$S$19,'[1]observations-276632'!X698&lt;'[1]Methods write-up'!$T$19),"East Africa","")</f>
        <v/>
      </c>
      <c r="BB698" s="22" t="str">
        <f>IF(AND('[1]observations-276632'!W698&gt;'[1]Methods write-up'!$Q$20,'[1]observations-276632'!W698&lt;'[1]Methods write-up'!$R$20,'[1]observations-276632'!X698&gt;'[1]Methods write-up'!$S$20,'[1]observations-276632'!X698&lt;'[1]Methods write-up'!$T$20),"Temperate seasonal","")</f>
        <v/>
      </c>
      <c r="BC698" s="22" t="str">
        <f>IF(AND('[1]observations-276632'!W698&gt;'[1]Methods write-up'!$Q$21,'[1]observations-276632'!W698&lt;'[1]Methods write-up'!$R$21,'[1]observations-276632'!X698&gt;'[1]Methods write-up'!$S$21,'[1]observations-276632'!X698&lt;'[1]Methods write-up'!$T$21),"Desert and high aridity","")</f>
        <v/>
      </c>
      <c r="BD698" s="23" t="str">
        <f t="shared" si="46"/>
        <v/>
      </c>
      <c r="BE698" s="24">
        <f t="shared" si="44"/>
        <v>11</v>
      </c>
      <c r="BF698" s="24">
        <f t="shared" si="45"/>
        <v>5</v>
      </c>
    </row>
    <row r="699" spans="1:58" ht="16.25" customHeight="1" x14ac:dyDescent="0.2">
      <c r="A699">
        <v>73834982</v>
      </c>
      <c r="B699" t="s">
        <v>5214</v>
      </c>
      <c r="C699" s="14">
        <v>42326</v>
      </c>
      <c r="D699" t="s">
        <v>5215</v>
      </c>
      <c r="E699" t="s">
        <v>193</v>
      </c>
      <c r="F699">
        <v>229502</v>
      </c>
      <c r="G699" t="s">
        <v>5216</v>
      </c>
      <c r="H699" t="s">
        <v>5217</v>
      </c>
      <c r="I699" t="s">
        <v>5218</v>
      </c>
      <c r="J699" t="s">
        <v>5219</v>
      </c>
      <c r="K699" t="s">
        <v>62</v>
      </c>
      <c r="L699" t="s">
        <v>63</v>
      </c>
      <c r="M699" t="s">
        <v>5220</v>
      </c>
      <c r="N699" t="s">
        <v>5221</v>
      </c>
      <c r="R699">
        <v>2</v>
      </c>
      <c r="S699">
        <v>0</v>
      </c>
      <c r="T699" t="b">
        <v>0</v>
      </c>
      <c r="V699" t="s">
        <v>5222</v>
      </c>
      <c r="W699" s="15">
        <v>12.360967929999999</v>
      </c>
      <c r="X699" s="15">
        <v>-16.719379159999999</v>
      </c>
      <c r="Y699">
        <v>124</v>
      </c>
      <c r="AC699">
        <v>124</v>
      </c>
      <c r="AF699" t="b">
        <v>0</v>
      </c>
      <c r="AI699" t="s">
        <v>71</v>
      </c>
      <c r="AJ699" t="s">
        <v>70</v>
      </c>
      <c r="AK699" t="s">
        <v>71</v>
      </c>
      <c r="AL699" t="s">
        <v>72</v>
      </c>
      <c r="AM699">
        <v>346053</v>
      </c>
      <c r="AO699" s="16" t="s">
        <v>140</v>
      </c>
      <c r="AP699" s="17" t="str">
        <f t="shared" si="47"/>
        <v>Post-emergence nest</v>
      </c>
      <c r="AQ699" s="18">
        <v>1</v>
      </c>
      <c r="AT699" s="19" t="s">
        <v>104</v>
      </c>
      <c r="AU699" s="20" t="s">
        <v>104</v>
      </c>
      <c r="AX699" s="22" t="str">
        <f>IF(AND('[1]observations-276632'!W699&gt;'[1]Methods write-up'!$Q$16,'[1]observations-276632'!W699&lt;'[1]Methods write-up'!$R$16,'[1]observations-276632'!X699&gt;'[1]Methods write-up'!$S$16,'[1]observations-276632'!X699&lt;'[1]Methods write-up'!$T$16),"West and Central Africa","")</f>
        <v/>
      </c>
      <c r="AY699" s="22" t="str">
        <f>IF(AND('[1]observations-276632'!W699&gt;'[1]Methods write-up'!$Q$17,'[1]observations-276632'!W699&lt;'[1]Methods write-up'!$R$17,'[1]observations-276632'!X699&gt;'[1]Methods write-up'!$S$17,'[1]observations-276632'!X699&lt;'[1]Methods write-up'!$T$17),"Equatorial tropical forest","")</f>
        <v/>
      </c>
      <c r="AZ699" s="22" t="str">
        <f>IF(AND('[1]observations-276632'!W699&gt;'[1]Methods write-up'!$Q$18,'[1]observations-276632'!W699&lt;'[1]Methods write-up'!$R$18,'[1]observations-276632'!X699&gt;'[1]Methods write-up'!$S$18,'[1]observations-276632'!X699&lt;'[1]Methods write-up'!$T$18),"Somali peninsula","")</f>
        <v/>
      </c>
      <c r="BA699" s="22" t="str">
        <f>IF(AND('[1]observations-276632'!W699&gt;'[1]Methods write-up'!$Q$19,'[1]observations-276632'!W699&lt;'[1]Methods write-up'!$R$19,'[1]observations-276632'!X699&gt;'[1]Methods write-up'!$S$19,'[1]observations-276632'!X699&lt;'[1]Methods write-up'!$T$19),"East Africa","")</f>
        <v/>
      </c>
      <c r="BB699" s="22" t="str">
        <f>IF(AND('[1]observations-276632'!W699&gt;'[1]Methods write-up'!$Q$20,'[1]observations-276632'!W699&lt;'[1]Methods write-up'!$R$20,'[1]observations-276632'!X699&gt;'[1]Methods write-up'!$S$20,'[1]observations-276632'!X699&lt;'[1]Methods write-up'!$T$20),"Temperate seasonal","")</f>
        <v/>
      </c>
      <c r="BC699" s="22" t="str">
        <f>IF(AND('[1]observations-276632'!W699&gt;'[1]Methods write-up'!$Q$21,'[1]observations-276632'!W699&lt;'[1]Methods write-up'!$R$21,'[1]observations-276632'!X699&gt;'[1]Methods write-up'!$S$21,'[1]observations-276632'!X699&lt;'[1]Methods write-up'!$T$21),"Desert and high aridity","")</f>
        <v/>
      </c>
      <c r="BD699" s="23" t="str">
        <f t="shared" si="46"/>
        <v/>
      </c>
      <c r="BE699" s="24">
        <f t="shared" si="44"/>
        <v>18</v>
      </c>
      <c r="BF699" s="24">
        <f t="shared" si="45"/>
        <v>11</v>
      </c>
    </row>
    <row r="700" spans="1:58" ht="16.25" customHeight="1" x14ac:dyDescent="0.2">
      <c r="A700">
        <v>74402543</v>
      </c>
      <c r="E700" t="s">
        <v>1408</v>
      </c>
      <c r="F700">
        <v>1315447</v>
      </c>
      <c r="G700" t="s">
        <v>5223</v>
      </c>
      <c r="H700" t="s">
        <v>5224</v>
      </c>
      <c r="I700" t="s">
        <v>5225</v>
      </c>
      <c r="J700" t="s">
        <v>5226</v>
      </c>
      <c r="K700" t="s">
        <v>2038</v>
      </c>
      <c r="M700" t="s">
        <v>5227</v>
      </c>
      <c r="N700" t="s">
        <v>5228</v>
      </c>
      <c r="R700">
        <v>1</v>
      </c>
      <c r="S700">
        <v>0</v>
      </c>
      <c r="T700" t="b">
        <v>0</v>
      </c>
      <c r="U700">
        <v>3</v>
      </c>
      <c r="V700" t="s">
        <v>5229</v>
      </c>
      <c r="W700" s="15">
        <v>-1.2512658969999999</v>
      </c>
      <c r="X700" s="15">
        <v>29.715040129999998</v>
      </c>
      <c r="Y700">
        <v>7027</v>
      </c>
      <c r="AC700">
        <v>7027</v>
      </c>
      <c r="AF700" t="b">
        <v>0</v>
      </c>
      <c r="AI700" t="s">
        <v>5230</v>
      </c>
      <c r="AJ700" t="s">
        <v>5230</v>
      </c>
      <c r="AL700" t="s">
        <v>72</v>
      </c>
      <c r="AM700">
        <v>1235514</v>
      </c>
      <c r="AO700" s="16" t="s">
        <v>73</v>
      </c>
      <c r="AP700" s="17" t="str">
        <f t="shared" si="47"/>
        <v>Off-nest female</v>
      </c>
      <c r="AX700" s="22" t="str">
        <f>IF(AND('[1]observations-276632'!W700&gt;'[1]Methods write-up'!$Q$16,'[1]observations-276632'!W700&lt;'[1]Methods write-up'!$R$16,'[1]observations-276632'!X700&gt;'[1]Methods write-up'!$S$16,'[1]observations-276632'!X700&lt;'[1]Methods write-up'!$T$16),"West and Central Africa","")</f>
        <v>West and Central Africa</v>
      </c>
      <c r="AY700" s="22" t="str">
        <f>IF(AND('[1]observations-276632'!W700&gt;'[1]Methods write-up'!$Q$17,'[1]observations-276632'!W700&lt;'[1]Methods write-up'!$R$17,'[1]observations-276632'!X700&gt;'[1]Methods write-up'!$S$17,'[1]observations-276632'!X700&lt;'[1]Methods write-up'!$T$17),"Equatorial tropical forest","")</f>
        <v/>
      </c>
      <c r="AZ700" s="22" t="str">
        <f>IF(AND('[1]observations-276632'!W700&gt;'[1]Methods write-up'!$Q$18,'[1]observations-276632'!W700&lt;'[1]Methods write-up'!$R$18,'[1]observations-276632'!X700&gt;'[1]Methods write-up'!$S$18,'[1]observations-276632'!X700&lt;'[1]Methods write-up'!$T$18),"Somali peninsula","")</f>
        <v/>
      </c>
      <c r="BA700" s="22" t="str">
        <f>IF(AND('[1]observations-276632'!W700&gt;'[1]Methods write-up'!$Q$19,'[1]observations-276632'!W700&lt;'[1]Methods write-up'!$R$19,'[1]observations-276632'!X700&gt;'[1]Methods write-up'!$S$19,'[1]observations-276632'!X700&lt;'[1]Methods write-up'!$T$19),"East Africa","")</f>
        <v/>
      </c>
      <c r="BB700" s="22" t="str">
        <f>IF(AND('[1]observations-276632'!W700&gt;'[1]Methods write-up'!$Q$20,'[1]observations-276632'!W700&lt;'[1]Methods write-up'!$R$20,'[1]observations-276632'!X700&gt;'[1]Methods write-up'!$S$20,'[1]observations-276632'!X700&lt;'[1]Methods write-up'!$T$20),"Temperate seasonal","")</f>
        <v/>
      </c>
      <c r="BC700" s="22" t="str">
        <f>IF(AND('[1]observations-276632'!W700&gt;'[1]Methods write-up'!$Q$21,'[1]observations-276632'!W700&lt;'[1]Methods write-up'!$R$21,'[1]observations-276632'!X700&gt;'[1]Methods write-up'!$S$21,'[1]observations-276632'!X700&lt;'[1]Methods write-up'!$T$21),"Desert and high aridity","")</f>
        <v/>
      </c>
      <c r="BD700" s="23" t="str">
        <f t="shared" si="46"/>
        <v>West and Central Africa</v>
      </c>
      <c r="BE700" s="24">
        <f t="shared" si="44"/>
        <v>0</v>
      </c>
      <c r="BF700" s="24">
        <f t="shared" si="45"/>
        <v>1</v>
      </c>
    </row>
    <row r="701" spans="1:58" ht="16.25" customHeight="1" x14ac:dyDescent="0.2">
      <c r="A701">
        <v>74505562</v>
      </c>
      <c r="B701" t="s">
        <v>5231</v>
      </c>
      <c r="C701" s="14">
        <v>44305</v>
      </c>
      <c r="D701" t="s">
        <v>5232</v>
      </c>
      <c r="E701" t="s">
        <v>113</v>
      </c>
      <c r="F701">
        <v>4246940</v>
      </c>
      <c r="G701" t="s">
        <v>5233</v>
      </c>
      <c r="H701" t="s">
        <v>5234</v>
      </c>
      <c r="I701" t="s">
        <v>5235</v>
      </c>
      <c r="J701" t="s">
        <v>5236</v>
      </c>
      <c r="K701" t="s">
        <v>62</v>
      </c>
      <c r="M701" t="s">
        <v>5237</v>
      </c>
      <c r="N701" t="s">
        <v>5238</v>
      </c>
      <c r="R701">
        <v>3</v>
      </c>
      <c r="S701">
        <v>0</v>
      </c>
      <c r="T701" t="b">
        <v>0</v>
      </c>
      <c r="U701">
        <v>3</v>
      </c>
      <c r="V701" t="s">
        <v>5239</v>
      </c>
      <c r="W701" s="15">
        <v>-24.735671669999999</v>
      </c>
      <c r="X701" s="15">
        <v>27.691054999999999</v>
      </c>
      <c r="Y701">
        <v>8044</v>
      </c>
      <c r="AC701">
        <v>8044</v>
      </c>
      <c r="AF701" t="b">
        <v>0</v>
      </c>
      <c r="AI701" t="s">
        <v>71</v>
      </c>
      <c r="AJ701" t="s">
        <v>70</v>
      </c>
      <c r="AK701" t="s">
        <v>71</v>
      </c>
      <c r="AL701" t="s">
        <v>72</v>
      </c>
      <c r="AM701">
        <v>346053</v>
      </c>
      <c r="AO701" s="16" t="s">
        <v>150</v>
      </c>
      <c r="AP701" s="17" t="str">
        <f t="shared" si="47"/>
        <v>Male (off nest)</v>
      </c>
      <c r="AX701" s="22" t="str">
        <f>IF(AND('[1]observations-276632'!W701&gt;'[1]Methods write-up'!$Q$16,'[1]observations-276632'!W701&lt;'[1]Methods write-up'!$R$16,'[1]observations-276632'!X701&gt;'[1]Methods write-up'!$S$16,'[1]observations-276632'!X701&lt;'[1]Methods write-up'!$T$16),"West and Central Africa","")</f>
        <v/>
      </c>
      <c r="AY701" s="22" t="str">
        <f>IF(AND('[1]observations-276632'!W701&gt;'[1]Methods write-up'!$Q$17,'[1]observations-276632'!W701&lt;'[1]Methods write-up'!$R$17,'[1]observations-276632'!X701&gt;'[1]Methods write-up'!$S$17,'[1]observations-276632'!X701&lt;'[1]Methods write-up'!$T$17),"Equatorial tropical forest","")</f>
        <v/>
      </c>
      <c r="AZ701" s="22" t="str">
        <f>IF(AND('[1]observations-276632'!W701&gt;'[1]Methods write-up'!$Q$18,'[1]observations-276632'!W701&lt;'[1]Methods write-up'!$R$18,'[1]observations-276632'!X701&gt;'[1]Methods write-up'!$S$18,'[1]observations-276632'!X701&lt;'[1]Methods write-up'!$T$18),"Somali peninsula","")</f>
        <v/>
      </c>
      <c r="BA701" s="22" t="str">
        <f>IF(AND('[1]observations-276632'!W701&gt;'[1]Methods write-up'!$Q$19,'[1]observations-276632'!W701&lt;'[1]Methods write-up'!$R$19,'[1]observations-276632'!X701&gt;'[1]Methods write-up'!$S$19,'[1]observations-276632'!X701&lt;'[1]Methods write-up'!$T$19),"East Africa","")</f>
        <v/>
      </c>
      <c r="BB701" s="22" t="str">
        <f>IF(AND('[1]observations-276632'!W701&gt;'[1]Methods write-up'!$Q$20,'[1]observations-276632'!W701&lt;'[1]Methods write-up'!$R$20,'[1]observations-276632'!X701&gt;'[1]Methods write-up'!$S$20,'[1]observations-276632'!X701&lt;'[1]Methods write-up'!$T$20),"Temperate seasonal","")</f>
        <v/>
      </c>
      <c r="BC701" s="22" t="str">
        <f>IF(AND('[1]observations-276632'!W701&gt;'[1]Methods write-up'!$Q$21,'[1]observations-276632'!W701&lt;'[1]Methods write-up'!$R$21,'[1]observations-276632'!X701&gt;'[1]Methods write-up'!$S$21,'[1]observations-276632'!X701&lt;'[1]Methods write-up'!$T$21),"Desert and high aridity","")</f>
        <v/>
      </c>
      <c r="BD701" s="23" t="str">
        <f t="shared" si="46"/>
        <v/>
      </c>
      <c r="BE701" s="24">
        <f t="shared" si="44"/>
        <v>19</v>
      </c>
      <c r="BF701" s="24">
        <f t="shared" si="45"/>
        <v>4</v>
      </c>
    </row>
    <row r="702" spans="1:58" ht="16.25" customHeight="1" x14ac:dyDescent="0.2">
      <c r="A702">
        <v>75302811</v>
      </c>
      <c r="B702" t="s">
        <v>5240</v>
      </c>
      <c r="C702" s="14">
        <v>44312</v>
      </c>
      <c r="D702" t="s">
        <v>5241</v>
      </c>
      <c r="E702" t="s">
        <v>113</v>
      </c>
      <c r="F702">
        <v>3814194</v>
      </c>
      <c r="G702" t="s">
        <v>5242</v>
      </c>
      <c r="H702" t="s">
        <v>5243</v>
      </c>
      <c r="I702" t="s">
        <v>5244</v>
      </c>
      <c r="J702" t="s">
        <v>5245</v>
      </c>
      <c r="K702" t="s">
        <v>62</v>
      </c>
      <c r="L702" t="s">
        <v>63</v>
      </c>
      <c r="M702" t="s">
        <v>5246</v>
      </c>
      <c r="N702" t="s">
        <v>5247</v>
      </c>
      <c r="P702" t="s">
        <v>5248</v>
      </c>
      <c r="Q702" t="s">
        <v>5249</v>
      </c>
      <c r="R702">
        <v>4</v>
      </c>
      <c r="S702">
        <v>0</v>
      </c>
      <c r="T702" t="b">
        <v>0</v>
      </c>
      <c r="V702" t="s">
        <v>5250</v>
      </c>
      <c r="W702" s="15">
        <v>-26.0585816</v>
      </c>
      <c r="X702" s="15">
        <v>27.975387999999999</v>
      </c>
      <c r="Y702">
        <v>1769</v>
      </c>
      <c r="AC702">
        <v>1769</v>
      </c>
      <c r="AF702" t="b">
        <v>0</v>
      </c>
      <c r="AI702" t="s">
        <v>71</v>
      </c>
      <c r="AJ702" t="s">
        <v>70</v>
      </c>
      <c r="AK702" t="s">
        <v>71</v>
      </c>
      <c r="AL702" t="s">
        <v>72</v>
      </c>
      <c r="AM702">
        <v>346053</v>
      </c>
      <c r="AO702" s="16" t="s">
        <v>73</v>
      </c>
      <c r="AP702" s="17" t="str">
        <f t="shared" si="47"/>
        <v>Off-nest female</v>
      </c>
      <c r="AX702" s="22" t="str">
        <f>IF(AND('[1]observations-276632'!W702&gt;'[1]Methods write-up'!$Q$16,'[1]observations-276632'!W702&lt;'[1]Methods write-up'!$R$16,'[1]observations-276632'!X702&gt;'[1]Methods write-up'!$S$16,'[1]observations-276632'!X702&lt;'[1]Methods write-up'!$T$16),"West and Central Africa","")</f>
        <v/>
      </c>
      <c r="AY702" s="22" t="str">
        <f>IF(AND('[1]observations-276632'!W702&gt;'[1]Methods write-up'!$Q$17,'[1]observations-276632'!W702&lt;'[1]Methods write-up'!$R$17,'[1]observations-276632'!X702&gt;'[1]Methods write-up'!$S$17,'[1]observations-276632'!X702&lt;'[1]Methods write-up'!$T$17),"Equatorial tropical forest","")</f>
        <v/>
      </c>
      <c r="AZ702" s="22" t="str">
        <f>IF(AND('[1]observations-276632'!W702&gt;'[1]Methods write-up'!$Q$18,'[1]observations-276632'!W702&lt;'[1]Methods write-up'!$R$18,'[1]observations-276632'!X702&gt;'[1]Methods write-up'!$S$18,'[1]observations-276632'!X702&lt;'[1]Methods write-up'!$T$18),"Somali peninsula","")</f>
        <v/>
      </c>
      <c r="BA702" s="22" t="str">
        <f>IF(AND('[1]observations-276632'!W702&gt;'[1]Methods write-up'!$Q$19,'[1]observations-276632'!W702&lt;'[1]Methods write-up'!$R$19,'[1]observations-276632'!X702&gt;'[1]Methods write-up'!$S$19,'[1]observations-276632'!X702&lt;'[1]Methods write-up'!$T$19),"East Africa","")</f>
        <v/>
      </c>
      <c r="BB702" s="22" t="str">
        <f>IF(AND('[1]observations-276632'!W702&gt;'[1]Methods write-up'!$Q$20,'[1]observations-276632'!W702&lt;'[1]Methods write-up'!$R$20,'[1]observations-276632'!X702&gt;'[1]Methods write-up'!$S$20,'[1]observations-276632'!X702&lt;'[1]Methods write-up'!$T$20),"Temperate seasonal","")</f>
        <v>Temperate seasonal</v>
      </c>
      <c r="BC702" s="22" t="str">
        <f>IF(AND('[1]observations-276632'!W702&gt;'[1]Methods write-up'!$Q$21,'[1]observations-276632'!W702&lt;'[1]Methods write-up'!$R$21,'[1]observations-276632'!X702&gt;'[1]Methods write-up'!$S$21,'[1]observations-276632'!X702&lt;'[1]Methods write-up'!$T$21),"Desert and high aridity","")</f>
        <v/>
      </c>
      <c r="BD702" s="23" t="str">
        <f t="shared" si="46"/>
        <v>Temperate seasonal</v>
      </c>
      <c r="BE702" s="24">
        <f t="shared" si="44"/>
        <v>26</v>
      </c>
      <c r="BF702" s="24">
        <f t="shared" si="45"/>
        <v>4</v>
      </c>
    </row>
    <row r="703" spans="1:58" ht="16.25" customHeight="1" x14ac:dyDescent="0.2">
      <c r="A703">
        <v>75318550</v>
      </c>
      <c r="B703" t="s">
        <v>5251</v>
      </c>
      <c r="C703" s="14">
        <v>44312</v>
      </c>
      <c r="D703" t="s">
        <v>5252</v>
      </c>
      <c r="E703" t="s">
        <v>113</v>
      </c>
      <c r="F703">
        <v>4044553</v>
      </c>
      <c r="G703" t="s">
        <v>5253</v>
      </c>
      <c r="I703" t="s">
        <v>5254</v>
      </c>
      <c r="J703" t="s">
        <v>5255</v>
      </c>
      <c r="K703" t="s">
        <v>157</v>
      </c>
      <c r="L703" t="s">
        <v>63</v>
      </c>
      <c r="M703" t="s">
        <v>5256</v>
      </c>
      <c r="N703" t="s">
        <v>5257</v>
      </c>
      <c r="R703">
        <v>3</v>
      </c>
      <c r="S703">
        <v>0</v>
      </c>
      <c r="T703" t="b">
        <v>0</v>
      </c>
      <c r="U703">
        <v>3</v>
      </c>
      <c r="V703" t="s">
        <v>5258</v>
      </c>
      <c r="W703" s="15">
        <v>-25.93609361</v>
      </c>
      <c r="X703" s="15">
        <v>28.115242469999998</v>
      </c>
      <c r="Y703">
        <v>65</v>
      </c>
      <c r="AC703">
        <v>65</v>
      </c>
      <c r="AF703" t="b">
        <v>0</v>
      </c>
      <c r="AI703" t="s">
        <v>71</v>
      </c>
      <c r="AJ703" t="s">
        <v>70</v>
      </c>
      <c r="AK703" t="s">
        <v>71</v>
      </c>
      <c r="AL703" t="s">
        <v>72</v>
      </c>
      <c r="AM703">
        <v>346053</v>
      </c>
      <c r="AO703" s="16" t="s">
        <v>150</v>
      </c>
      <c r="AP703" s="17" t="str">
        <f t="shared" si="47"/>
        <v>Male (off nest)</v>
      </c>
      <c r="AX703" s="22" t="str">
        <f>IF(AND('[1]observations-276632'!W703&gt;'[1]Methods write-up'!$Q$16,'[1]observations-276632'!W703&lt;'[1]Methods write-up'!$R$16,'[1]observations-276632'!X703&gt;'[1]Methods write-up'!$S$16,'[1]observations-276632'!X703&lt;'[1]Methods write-up'!$T$16),"West and Central Africa","")</f>
        <v/>
      </c>
      <c r="AY703" s="22" t="str">
        <f>IF(AND('[1]observations-276632'!W703&gt;'[1]Methods write-up'!$Q$17,'[1]observations-276632'!W703&lt;'[1]Methods write-up'!$R$17,'[1]observations-276632'!X703&gt;'[1]Methods write-up'!$S$17,'[1]observations-276632'!X703&lt;'[1]Methods write-up'!$T$17),"Equatorial tropical forest","")</f>
        <v/>
      </c>
      <c r="AZ703" s="22" t="str">
        <f>IF(AND('[1]observations-276632'!W703&gt;'[1]Methods write-up'!$Q$18,'[1]observations-276632'!W703&lt;'[1]Methods write-up'!$R$18,'[1]observations-276632'!X703&gt;'[1]Methods write-up'!$S$18,'[1]observations-276632'!X703&lt;'[1]Methods write-up'!$T$18),"Somali peninsula","")</f>
        <v/>
      </c>
      <c r="BA703" s="22" t="str">
        <f>IF(AND('[1]observations-276632'!W703&gt;'[1]Methods write-up'!$Q$19,'[1]observations-276632'!W703&lt;'[1]Methods write-up'!$R$19,'[1]observations-276632'!X703&gt;'[1]Methods write-up'!$S$19,'[1]observations-276632'!X703&lt;'[1]Methods write-up'!$T$19),"East Africa","")</f>
        <v/>
      </c>
      <c r="BB703" s="22" t="str">
        <f>IF(AND('[1]observations-276632'!W703&gt;'[1]Methods write-up'!$Q$20,'[1]observations-276632'!W703&lt;'[1]Methods write-up'!$R$20,'[1]observations-276632'!X703&gt;'[1]Methods write-up'!$S$20,'[1]observations-276632'!X703&lt;'[1]Methods write-up'!$T$20),"Temperate seasonal","")</f>
        <v>Temperate seasonal</v>
      </c>
      <c r="BC703" s="22" t="str">
        <f>IF(AND('[1]observations-276632'!W703&gt;'[1]Methods write-up'!$Q$21,'[1]observations-276632'!W703&lt;'[1]Methods write-up'!$R$21,'[1]observations-276632'!X703&gt;'[1]Methods write-up'!$S$21,'[1]observations-276632'!X703&lt;'[1]Methods write-up'!$T$21),"Desert and high aridity","")</f>
        <v/>
      </c>
      <c r="BD703" s="23" t="str">
        <f t="shared" si="46"/>
        <v>Temperate seasonal</v>
      </c>
      <c r="BE703" s="24">
        <f t="shared" si="44"/>
        <v>26</v>
      </c>
      <c r="BF703" s="24">
        <f t="shared" si="45"/>
        <v>4</v>
      </c>
    </row>
    <row r="704" spans="1:58" ht="16.25" customHeight="1" x14ac:dyDescent="0.2">
      <c r="A704">
        <v>75346436</v>
      </c>
      <c r="B704" t="s">
        <v>5259</v>
      </c>
      <c r="C704" s="14">
        <v>44311</v>
      </c>
      <c r="D704" t="s">
        <v>5260</v>
      </c>
      <c r="E704" t="s">
        <v>193</v>
      </c>
      <c r="F704">
        <v>4248720</v>
      </c>
      <c r="G704" t="s">
        <v>5261</v>
      </c>
      <c r="H704" t="s">
        <v>5261</v>
      </c>
      <c r="I704" t="s">
        <v>5262</v>
      </c>
      <c r="J704" t="s">
        <v>5263</v>
      </c>
      <c r="K704" t="s">
        <v>157</v>
      </c>
      <c r="M704" t="s">
        <v>5264</v>
      </c>
      <c r="N704" t="s">
        <v>5265</v>
      </c>
      <c r="R704">
        <v>2</v>
      </c>
      <c r="S704">
        <v>0</v>
      </c>
      <c r="T704" t="b">
        <v>0</v>
      </c>
      <c r="U704">
        <v>3</v>
      </c>
      <c r="V704" t="s">
        <v>5266</v>
      </c>
      <c r="W704" s="15">
        <v>3.8646583329999999</v>
      </c>
      <c r="X704" s="15">
        <v>11.601708329999999</v>
      </c>
      <c r="AF704" t="b">
        <v>0</v>
      </c>
      <c r="AI704" t="s">
        <v>5267</v>
      </c>
      <c r="AJ704" t="s">
        <v>5267</v>
      </c>
      <c r="AL704" t="s">
        <v>72</v>
      </c>
      <c r="AM704">
        <v>1238229</v>
      </c>
      <c r="AO704" s="16" t="s">
        <v>73</v>
      </c>
      <c r="AP704" s="17" t="str">
        <f t="shared" si="47"/>
        <v>Off-nest female</v>
      </c>
      <c r="AX704" s="22" t="str">
        <f>IF(AND('[1]observations-276632'!W704&gt;'[1]Methods write-up'!$Q$16,'[1]observations-276632'!W704&lt;'[1]Methods write-up'!$R$16,'[1]observations-276632'!X704&gt;'[1]Methods write-up'!$S$16,'[1]observations-276632'!X704&lt;'[1]Methods write-up'!$T$16),"West and Central Africa","")</f>
        <v>West and Central Africa</v>
      </c>
      <c r="AY704" s="22" t="str">
        <f>IF(AND('[1]observations-276632'!W704&gt;'[1]Methods write-up'!$Q$17,'[1]observations-276632'!W704&lt;'[1]Methods write-up'!$R$17,'[1]observations-276632'!X704&gt;'[1]Methods write-up'!$S$17,'[1]observations-276632'!X704&lt;'[1]Methods write-up'!$T$17),"Equatorial tropical forest","")</f>
        <v/>
      </c>
      <c r="AZ704" s="22" t="str">
        <f>IF(AND('[1]observations-276632'!W704&gt;'[1]Methods write-up'!$Q$18,'[1]observations-276632'!W704&lt;'[1]Methods write-up'!$R$18,'[1]observations-276632'!X704&gt;'[1]Methods write-up'!$S$18,'[1]observations-276632'!X704&lt;'[1]Methods write-up'!$T$18),"Somali peninsula","")</f>
        <v/>
      </c>
      <c r="BA704" s="22" t="str">
        <f>IF(AND('[1]observations-276632'!W704&gt;'[1]Methods write-up'!$Q$19,'[1]observations-276632'!W704&lt;'[1]Methods write-up'!$R$19,'[1]observations-276632'!X704&gt;'[1]Methods write-up'!$S$19,'[1]observations-276632'!X704&lt;'[1]Methods write-up'!$T$19),"East Africa","")</f>
        <v/>
      </c>
      <c r="BB704" s="22" t="str">
        <f>IF(AND('[1]observations-276632'!W704&gt;'[1]Methods write-up'!$Q$20,'[1]observations-276632'!W704&lt;'[1]Methods write-up'!$R$20,'[1]observations-276632'!X704&gt;'[1]Methods write-up'!$S$20,'[1]observations-276632'!X704&lt;'[1]Methods write-up'!$T$20),"Temperate seasonal","")</f>
        <v/>
      </c>
      <c r="BC704" s="22" t="str">
        <f>IF(AND('[1]observations-276632'!W704&gt;'[1]Methods write-up'!$Q$21,'[1]observations-276632'!W704&lt;'[1]Methods write-up'!$R$21,'[1]observations-276632'!X704&gt;'[1]Methods write-up'!$S$21,'[1]observations-276632'!X704&lt;'[1]Methods write-up'!$T$21),"Desert and high aridity","")</f>
        <v/>
      </c>
      <c r="BD704" s="23" t="str">
        <f t="shared" si="46"/>
        <v>West and Central Africa</v>
      </c>
      <c r="BE704" s="24">
        <f t="shared" si="44"/>
        <v>25</v>
      </c>
      <c r="BF704" s="24">
        <f t="shared" si="45"/>
        <v>4</v>
      </c>
    </row>
    <row r="705" spans="1:58" ht="16.25" customHeight="1" x14ac:dyDescent="0.2">
      <c r="A705">
        <v>75555600</v>
      </c>
      <c r="B705" t="s">
        <v>5268</v>
      </c>
      <c r="C705" s="14">
        <v>44082</v>
      </c>
      <c r="D705" t="s">
        <v>5269</v>
      </c>
      <c r="E705" t="s">
        <v>403</v>
      </c>
      <c r="F705">
        <v>1918895</v>
      </c>
      <c r="G705" t="s">
        <v>2964</v>
      </c>
      <c r="H705" t="s">
        <v>2965</v>
      </c>
      <c r="I705" t="s">
        <v>5270</v>
      </c>
      <c r="J705" t="s">
        <v>5271</v>
      </c>
      <c r="K705" t="s">
        <v>62</v>
      </c>
      <c r="L705" t="s">
        <v>63</v>
      </c>
      <c r="M705" t="s">
        <v>5272</v>
      </c>
      <c r="N705" t="s">
        <v>5273</v>
      </c>
      <c r="R705">
        <v>3</v>
      </c>
      <c r="S705">
        <v>0</v>
      </c>
      <c r="T705" t="b">
        <v>0</v>
      </c>
      <c r="U705">
        <v>2</v>
      </c>
      <c r="V705" t="s">
        <v>5274</v>
      </c>
      <c r="W705" s="15">
        <v>-4.7986674010000003</v>
      </c>
      <c r="X705" s="15">
        <v>38.290218109999998</v>
      </c>
      <c r="Y705">
        <v>2385</v>
      </c>
      <c r="AC705">
        <v>2385</v>
      </c>
      <c r="AF705" t="b">
        <v>0</v>
      </c>
      <c r="AG705" t="s">
        <v>350</v>
      </c>
      <c r="AH705" t="s">
        <v>350</v>
      </c>
      <c r="AI705" t="s">
        <v>71</v>
      </c>
      <c r="AJ705" t="s">
        <v>70</v>
      </c>
      <c r="AK705" t="s">
        <v>71</v>
      </c>
      <c r="AL705" t="s">
        <v>72</v>
      </c>
      <c r="AM705">
        <v>346053</v>
      </c>
      <c r="AO705" s="16" t="s">
        <v>73</v>
      </c>
      <c r="AP705" s="17" t="str">
        <f t="shared" si="47"/>
        <v>Off-nest female</v>
      </c>
      <c r="AX705" s="22" t="str">
        <f>IF(AND('[1]observations-276632'!W705&gt;'[1]Methods write-up'!$Q$16,'[1]observations-276632'!W705&lt;'[1]Methods write-up'!$R$16,'[1]observations-276632'!X705&gt;'[1]Methods write-up'!$S$16,'[1]observations-276632'!X705&lt;'[1]Methods write-up'!$T$16),"West and Central Africa","")</f>
        <v/>
      </c>
      <c r="AY705" s="22" t="str">
        <f>IF(AND('[1]observations-276632'!W705&gt;'[1]Methods write-up'!$Q$17,'[1]observations-276632'!W705&lt;'[1]Methods write-up'!$R$17,'[1]observations-276632'!X705&gt;'[1]Methods write-up'!$S$17,'[1]observations-276632'!X705&lt;'[1]Methods write-up'!$T$17),"Equatorial tropical forest","")</f>
        <v/>
      </c>
      <c r="AZ705" s="22" t="str">
        <f>IF(AND('[1]observations-276632'!W705&gt;'[1]Methods write-up'!$Q$18,'[1]observations-276632'!W705&lt;'[1]Methods write-up'!$R$18,'[1]observations-276632'!X705&gt;'[1]Methods write-up'!$S$18,'[1]observations-276632'!X705&lt;'[1]Methods write-up'!$T$18),"Somali peninsula","")</f>
        <v/>
      </c>
      <c r="BA705" s="22" t="str">
        <f>IF(AND('[1]observations-276632'!W705&gt;'[1]Methods write-up'!$Q$19,'[1]observations-276632'!W705&lt;'[1]Methods write-up'!$R$19,'[1]observations-276632'!X705&gt;'[1]Methods write-up'!$S$19,'[1]observations-276632'!X705&lt;'[1]Methods write-up'!$T$19),"East Africa","")</f>
        <v>East Africa</v>
      </c>
      <c r="BB705" s="22" t="str">
        <f>IF(AND('[1]observations-276632'!W705&gt;'[1]Methods write-up'!$Q$20,'[1]observations-276632'!W705&lt;'[1]Methods write-up'!$R$20,'[1]observations-276632'!X705&gt;'[1]Methods write-up'!$S$20,'[1]observations-276632'!X705&lt;'[1]Methods write-up'!$T$20),"Temperate seasonal","")</f>
        <v/>
      </c>
      <c r="BC705" s="22" t="str">
        <f>IF(AND('[1]observations-276632'!W705&gt;'[1]Methods write-up'!$Q$21,'[1]observations-276632'!W705&lt;'[1]Methods write-up'!$R$21,'[1]observations-276632'!X705&gt;'[1]Methods write-up'!$S$21,'[1]observations-276632'!X705&lt;'[1]Methods write-up'!$T$21),"Desert and high aridity","")</f>
        <v/>
      </c>
      <c r="BD705" s="23" t="str">
        <f t="shared" si="46"/>
        <v>East Africa</v>
      </c>
      <c r="BE705" s="24">
        <f t="shared" si="44"/>
        <v>8</v>
      </c>
      <c r="BF705" s="24">
        <f t="shared" si="45"/>
        <v>9</v>
      </c>
    </row>
    <row r="706" spans="1:58" ht="16.25" customHeight="1" x14ac:dyDescent="0.2">
      <c r="A706">
        <v>75756151</v>
      </c>
      <c r="B706" s="25">
        <v>44316.361111111109</v>
      </c>
      <c r="C706" s="14">
        <v>44316</v>
      </c>
      <c r="D706" t="s">
        <v>5275</v>
      </c>
      <c r="E706" t="s">
        <v>113</v>
      </c>
      <c r="F706">
        <v>1010437</v>
      </c>
      <c r="G706" t="s">
        <v>4758</v>
      </c>
      <c r="H706" t="s">
        <v>4759</v>
      </c>
      <c r="I706" t="s">
        <v>5276</v>
      </c>
      <c r="J706" t="s">
        <v>5277</v>
      </c>
      <c r="K706" t="s">
        <v>62</v>
      </c>
      <c r="L706" t="s">
        <v>118</v>
      </c>
      <c r="M706" t="s">
        <v>5278</v>
      </c>
      <c r="N706" t="s">
        <v>5279</v>
      </c>
      <c r="Q706" t="s">
        <v>5280</v>
      </c>
      <c r="R706">
        <v>3</v>
      </c>
      <c r="S706">
        <v>0</v>
      </c>
      <c r="T706" t="b">
        <v>0</v>
      </c>
      <c r="U706">
        <v>2</v>
      </c>
      <c r="V706" t="s">
        <v>4764</v>
      </c>
      <c r="W706" s="15">
        <v>-29.804168140000002</v>
      </c>
      <c r="X706" s="15">
        <v>31.016621220000001</v>
      </c>
      <c r="Y706">
        <v>6</v>
      </c>
      <c r="AC706">
        <v>6</v>
      </c>
      <c r="AF706" t="b">
        <v>0</v>
      </c>
      <c r="AI706" t="s">
        <v>71</v>
      </c>
      <c r="AJ706" t="s">
        <v>70</v>
      </c>
      <c r="AK706" t="s">
        <v>71</v>
      </c>
      <c r="AL706" t="s">
        <v>72</v>
      </c>
      <c r="AM706">
        <v>346053</v>
      </c>
      <c r="AO706" s="16" t="s">
        <v>73</v>
      </c>
      <c r="AP706" s="17" t="str">
        <f t="shared" si="47"/>
        <v>Off-nest female</v>
      </c>
      <c r="AX706" s="22" t="str">
        <f>IF(AND('[1]observations-276632'!W706&gt;'[1]Methods write-up'!$Q$16,'[1]observations-276632'!W706&lt;'[1]Methods write-up'!$R$16,'[1]observations-276632'!X706&gt;'[1]Methods write-up'!$S$16,'[1]observations-276632'!X706&lt;'[1]Methods write-up'!$T$16),"West and Central Africa","")</f>
        <v/>
      </c>
      <c r="AY706" s="22" t="str">
        <f>IF(AND('[1]observations-276632'!W706&gt;'[1]Methods write-up'!$Q$17,'[1]observations-276632'!W706&lt;'[1]Methods write-up'!$R$17,'[1]observations-276632'!X706&gt;'[1]Methods write-up'!$S$17,'[1]observations-276632'!X706&lt;'[1]Methods write-up'!$T$17),"Equatorial tropical forest","")</f>
        <v/>
      </c>
      <c r="AZ706" s="22" t="str">
        <f>IF(AND('[1]observations-276632'!W706&gt;'[1]Methods write-up'!$Q$18,'[1]observations-276632'!W706&lt;'[1]Methods write-up'!$R$18,'[1]observations-276632'!X706&gt;'[1]Methods write-up'!$S$18,'[1]observations-276632'!X706&lt;'[1]Methods write-up'!$T$18),"Somali peninsula","")</f>
        <v/>
      </c>
      <c r="BA706" s="22" t="str">
        <f>IF(AND('[1]observations-276632'!W706&gt;'[1]Methods write-up'!$Q$19,'[1]observations-276632'!W706&lt;'[1]Methods write-up'!$R$19,'[1]observations-276632'!X706&gt;'[1]Methods write-up'!$S$19,'[1]observations-276632'!X706&lt;'[1]Methods write-up'!$T$19),"East Africa","")</f>
        <v/>
      </c>
      <c r="BB706" s="22" t="str">
        <f>IF(AND('[1]observations-276632'!W706&gt;'[1]Methods write-up'!$Q$20,'[1]observations-276632'!W706&lt;'[1]Methods write-up'!$R$20,'[1]observations-276632'!X706&gt;'[1]Methods write-up'!$S$20,'[1]observations-276632'!X706&lt;'[1]Methods write-up'!$T$20),"Temperate seasonal","")</f>
        <v>Temperate seasonal</v>
      </c>
      <c r="BC706" s="22" t="str">
        <f>IF(AND('[1]observations-276632'!W706&gt;'[1]Methods write-up'!$Q$21,'[1]observations-276632'!W706&lt;'[1]Methods write-up'!$R$21,'[1]observations-276632'!X706&gt;'[1]Methods write-up'!$S$21,'[1]observations-276632'!X706&lt;'[1]Methods write-up'!$T$21),"Desert and high aridity","")</f>
        <v/>
      </c>
      <c r="BD706" s="23" t="str">
        <f t="shared" si="46"/>
        <v>Temperate seasonal</v>
      </c>
      <c r="BE706" s="24">
        <f t="shared" ref="BE706:BE769" si="48">DAY(C706)</f>
        <v>30</v>
      </c>
      <c r="BF706" s="24">
        <f t="shared" ref="BF706:BF769" si="49">MONTH(C706)</f>
        <v>4</v>
      </c>
    </row>
    <row r="707" spans="1:58" ht="16.25" customHeight="1" x14ac:dyDescent="0.2">
      <c r="A707">
        <v>75795205</v>
      </c>
      <c r="B707" t="s">
        <v>5281</v>
      </c>
      <c r="C707" s="14">
        <v>44316</v>
      </c>
      <c r="D707" t="s">
        <v>5282</v>
      </c>
      <c r="E707" t="s">
        <v>113</v>
      </c>
      <c r="F707">
        <v>2575276</v>
      </c>
      <c r="G707" t="s">
        <v>5283</v>
      </c>
      <c r="I707" t="s">
        <v>5284</v>
      </c>
      <c r="J707" t="s">
        <v>5285</v>
      </c>
      <c r="K707" t="s">
        <v>62</v>
      </c>
      <c r="L707" t="s">
        <v>63</v>
      </c>
      <c r="M707" t="s">
        <v>5286</v>
      </c>
      <c r="N707" t="s">
        <v>5287</v>
      </c>
      <c r="R707">
        <v>4</v>
      </c>
      <c r="S707">
        <v>0</v>
      </c>
      <c r="T707" t="b">
        <v>0</v>
      </c>
      <c r="U707">
        <v>3</v>
      </c>
      <c r="V707" t="s">
        <v>5288</v>
      </c>
      <c r="W707" s="15">
        <v>-29.628119999999999</v>
      </c>
      <c r="X707" s="15">
        <v>30.986899999999999</v>
      </c>
      <c r="Y707">
        <v>33</v>
      </c>
      <c r="AC707">
        <v>33</v>
      </c>
      <c r="AF707" t="b">
        <v>0</v>
      </c>
      <c r="AI707" t="s">
        <v>71</v>
      </c>
      <c r="AJ707" t="s">
        <v>70</v>
      </c>
      <c r="AK707" t="s">
        <v>71</v>
      </c>
      <c r="AL707" t="s">
        <v>72</v>
      </c>
      <c r="AM707">
        <v>346053</v>
      </c>
      <c r="AO707" s="16" t="s">
        <v>110</v>
      </c>
      <c r="AP707" s="17" t="str">
        <f t="shared" si="47"/>
        <v>Nest (foundress)</v>
      </c>
      <c r="AQ707" s="18">
        <v>1</v>
      </c>
      <c r="AT707" s="19" t="s">
        <v>104</v>
      </c>
      <c r="AX707" s="22" t="str">
        <f>IF(AND('[1]observations-276632'!W707&gt;'[1]Methods write-up'!$Q$16,'[1]observations-276632'!W707&lt;'[1]Methods write-up'!$R$16,'[1]observations-276632'!X707&gt;'[1]Methods write-up'!$S$16,'[1]observations-276632'!X707&lt;'[1]Methods write-up'!$T$16),"West and Central Africa","")</f>
        <v/>
      </c>
      <c r="AY707" s="22" t="str">
        <f>IF(AND('[1]observations-276632'!W707&gt;'[1]Methods write-up'!$Q$17,'[1]observations-276632'!W707&lt;'[1]Methods write-up'!$R$17,'[1]observations-276632'!X707&gt;'[1]Methods write-up'!$S$17,'[1]observations-276632'!X707&lt;'[1]Methods write-up'!$T$17),"Equatorial tropical forest","")</f>
        <v/>
      </c>
      <c r="AZ707" s="22" t="str">
        <f>IF(AND('[1]observations-276632'!W707&gt;'[1]Methods write-up'!$Q$18,'[1]observations-276632'!W707&lt;'[1]Methods write-up'!$R$18,'[1]observations-276632'!X707&gt;'[1]Methods write-up'!$S$18,'[1]observations-276632'!X707&lt;'[1]Methods write-up'!$T$18),"Somali peninsula","")</f>
        <v/>
      </c>
      <c r="BA707" s="22" t="str">
        <f>IF(AND('[1]observations-276632'!W707&gt;'[1]Methods write-up'!$Q$19,'[1]observations-276632'!W707&lt;'[1]Methods write-up'!$R$19,'[1]observations-276632'!X707&gt;'[1]Methods write-up'!$S$19,'[1]observations-276632'!X707&lt;'[1]Methods write-up'!$T$19),"East Africa","")</f>
        <v/>
      </c>
      <c r="BB707" s="22" t="str">
        <f>IF(AND('[1]observations-276632'!W707&gt;'[1]Methods write-up'!$Q$20,'[1]observations-276632'!W707&lt;'[1]Methods write-up'!$R$20,'[1]observations-276632'!X707&gt;'[1]Methods write-up'!$S$20,'[1]observations-276632'!X707&lt;'[1]Methods write-up'!$T$20),"Temperate seasonal","")</f>
        <v>Temperate seasonal</v>
      </c>
      <c r="BC707" s="22" t="str">
        <f>IF(AND('[1]observations-276632'!W707&gt;'[1]Methods write-up'!$Q$21,'[1]observations-276632'!W707&lt;'[1]Methods write-up'!$R$21,'[1]observations-276632'!X707&gt;'[1]Methods write-up'!$S$21,'[1]observations-276632'!X707&lt;'[1]Methods write-up'!$T$21),"Desert and high aridity","")</f>
        <v/>
      </c>
      <c r="BD707" s="23" t="str">
        <f t="shared" ref="BD707:BD770" si="50">AX707&amp;AY707&amp;AZ707&amp;BA707&amp;BB707&amp;BC707</f>
        <v>Temperate seasonal</v>
      </c>
      <c r="BE707" s="24">
        <f t="shared" si="48"/>
        <v>30</v>
      </c>
      <c r="BF707" s="24">
        <f t="shared" si="49"/>
        <v>4</v>
      </c>
    </row>
    <row r="708" spans="1:58" ht="16.25" customHeight="1" x14ac:dyDescent="0.2">
      <c r="A708">
        <v>76073299</v>
      </c>
      <c r="B708" s="25">
        <v>44317.431250000001</v>
      </c>
      <c r="C708" s="14">
        <v>44317</v>
      </c>
      <c r="D708" t="s">
        <v>5289</v>
      </c>
      <c r="E708" t="s">
        <v>113</v>
      </c>
      <c r="F708">
        <v>3134218</v>
      </c>
      <c r="G708" t="s">
        <v>5290</v>
      </c>
      <c r="H708" t="s">
        <v>5291</v>
      </c>
      <c r="I708" t="s">
        <v>5292</v>
      </c>
      <c r="J708" t="s">
        <v>5293</v>
      </c>
      <c r="K708" t="s">
        <v>62</v>
      </c>
      <c r="L708" t="s">
        <v>261</v>
      </c>
      <c r="M708" t="s">
        <v>5294</v>
      </c>
      <c r="N708" t="s">
        <v>5295</v>
      </c>
      <c r="R708">
        <v>2</v>
      </c>
      <c r="S708">
        <v>0</v>
      </c>
      <c r="T708" t="b">
        <v>0</v>
      </c>
      <c r="U708">
        <v>2</v>
      </c>
      <c r="V708" t="s">
        <v>4493</v>
      </c>
      <c r="W708" s="15">
        <v>-24.318050029999998</v>
      </c>
      <c r="X708" s="15">
        <v>30.759579689999999</v>
      </c>
      <c r="Y708">
        <v>77</v>
      </c>
      <c r="AC708">
        <v>77</v>
      </c>
      <c r="AF708" t="b">
        <v>0</v>
      </c>
      <c r="AG708" t="s">
        <v>350</v>
      </c>
      <c r="AH708" t="s">
        <v>350</v>
      </c>
      <c r="AI708" t="s">
        <v>71</v>
      </c>
      <c r="AJ708" t="s">
        <v>70</v>
      </c>
      <c r="AK708" t="s">
        <v>71</v>
      </c>
      <c r="AL708" t="s">
        <v>72</v>
      </c>
      <c r="AM708">
        <v>346053</v>
      </c>
      <c r="AO708" s="16" t="s">
        <v>150</v>
      </c>
      <c r="AP708" s="17" t="str">
        <f t="shared" si="47"/>
        <v>Male (off nest)</v>
      </c>
      <c r="AX708" s="22" t="str">
        <f>IF(AND('[1]observations-276632'!W708&gt;'[1]Methods write-up'!$Q$16,'[1]observations-276632'!W708&lt;'[1]Methods write-up'!$R$16,'[1]observations-276632'!X708&gt;'[1]Methods write-up'!$S$16,'[1]observations-276632'!X708&lt;'[1]Methods write-up'!$T$16),"West and Central Africa","")</f>
        <v/>
      </c>
      <c r="AY708" s="22" t="str">
        <f>IF(AND('[1]observations-276632'!W708&gt;'[1]Methods write-up'!$Q$17,'[1]observations-276632'!W708&lt;'[1]Methods write-up'!$R$17,'[1]observations-276632'!X708&gt;'[1]Methods write-up'!$S$17,'[1]observations-276632'!X708&lt;'[1]Methods write-up'!$T$17),"Equatorial tropical forest","")</f>
        <v/>
      </c>
      <c r="AZ708" s="22" t="str">
        <f>IF(AND('[1]observations-276632'!W708&gt;'[1]Methods write-up'!$Q$18,'[1]observations-276632'!W708&lt;'[1]Methods write-up'!$R$18,'[1]observations-276632'!X708&gt;'[1]Methods write-up'!$S$18,'[1]observations-276632'!X708&lt;'[1]Methods write-up'!$T$18),"Somali peninsula","")</f>
        <v/>
      </c>
      <c r="BA708" s="22" t="str">
        <f>IF(AND('[1]observations-276632'!W708&gt;'[1]Methods write-up'!$Q$19,'[1]observations-276632'!W708&lt;'[1]Methods write-up'!$R$19,'[1]observations-276632'!X708&gt;'[1]Methods write-up'!$S$19,'[1]observations-276632'!X708&lt;'[1]Methods write-up'!$T$19),"East Africa","")</f>
        <v/>
      </c>
      <c r="BB708" s="22" t="str">
        <f>IF(AND('[1]observations-276632'!W708&gt;'[1]Methods write-up'!$Q$20,'[1]observations-276632'!W708&lt;'[1]Methods write-up'!$R$20,'[1]observations-276632'!X708&gt;'[1]Methods write-up'!$S$20,'[1]observations-276632'!X708&lt;'[1]Methods write-up'!$T$20),"Temperate seasonal","")</f>
        <v/>
      </c>
      <c r="BC708" s="22" t="str">
        <f>IF(AND('[1]observations-276632'!W708&gt;'[1]Methods write-up'!$Q$21,'[1]observations-276632'!W708&lt;'[1]Methods write-up'!$R$21,'[1]observations-276632'!X708&gt;'[1]Methods write-up'!$S$21,'[1]observations-276632'!X708&lt;'[1]Methods write-up'!$T$21),"Desert and high aridity","")</f>
        <v/>
      </c>
      <c r="BD708" s="23" t="str">
        <f t="shared" si="50"/>
        <v/>
      </c>
      <c r="BE708" s="24">
        <f t="shared" si="48"/>
        <v>1</v>
      </c>
      <c r="BF708" s="24">
        <f t="shared" si="49"/>
        <v>5</v>
      </c>
    </row>
    <row r="709" spans="1:58" ht="16.25" customHeight="1" x14ac:dyDescent="0.2">
      <c r="A709">
        <v>76081735</v>
      </c>
      <c r="B709" t="s">
        <v>5296</v>
      </c>
      <c r="C709" s="14">
        <v>44317</v>
      </c>
      <c r="D709" t="s">
        <v>5297</v>
      </c>
      <c r="E709" t="s">
        <v>113</v>
      </c>
      <c r="F709">
        <v>2533383</v>
      </c>
      <c r="G709" t="s">
        <v>5298</v>
      </c>
      <c r="I709" t="s">
        <v>5299</v>
      </c>
      <c r="J709" t="s">
        <v>5300</v>
      </c>
      <c r="K709" t="s">
        <v>62</v>
      </c>
      <c r="L709" t="s">
        <v>63</v>
      </c>
      <c r="M709" t="s">
        <v>5301</v>
      </c>
      <c r="N709" t="s">
        <v>5302</v>
      </c>
      <c r="R709">
        <v>0</v>
      </c>
      <c r="S709">
        <v>0</v>
      </c>
      <c r="T709" t="b">
        <v>0</v>
      </c>
      <c r="U709">
        <v>3</v>
      </c>
      <c r="V709" t="s">
        <v>5303</v>
      </c>
      <c r="W709" s="15">
        <v>-25.942014560000001</v>
      </c>
      <c r="X709" s="15">
        <v>27.534791739999999</v>
      </c>
      <c r="Y709">
        <v>20909</v>
      </c>
      <c r="AC709">
        <v>20909</v>
      </c>
      <c r="AF709" t="b">
        <v>0</v>
      </c>
      <c r="AJ709" t="s">
        <v>102</v>
      </c>
      <c r="AL709" t="s">
        <v>72</v>
      </c>
      <c r="AM709">
        <v>1070939</v>
      </c>
      <c r="AO709" s="16" t="s">
        <v>150</v>
      </c>
      <c r="AP709" s="17" t="str">
        <f t="shared" si="47"/>
        <v>Male (off nest)</v>
      </c>
      <c r="AX709" s="22" t="str">
        <f>IF(AND('[1]observations-276632'!W709&gt;'[1]Methods write-up'!$Q$16,'[1]observations-276632'!W709&lt;'[1]Methods write-up'!$R$16,'[1]observations-276632'!X709&gt;'[1]Methods write-up'!$S$16,'[1]observations-276632'!X709&lt;'[1]Methods write-up'!$T$16),"West and Central Africa","")</f>
        <v/>
      </c>
      <c r="AY709" s="22" t="str">
        <f>IF(AND('[1]observations-276632'!W709&gt;'[1]Methods write-up'!$Q$17,'[1]observations-276632'!W709&lt;'[1]Methods write-up'!$R$17,'[1]observations-276632'!X709&gt;'[1]Methods write-up'!$S$17,'[1]observations-276632'!X709&lt;'[1]Methods write-up'!$T$17),"Equatorial tropical forest","")</f>
        <v/>
      </c>
      <c r="AZ709" s="22" t="str">
        <f>IF(AND('[1]observations-276632'!W709&gt;'[1]Methods write-up'!$Q$18,'[1]observations-276632'!W709&lt;'[1]Methods write-up'!$R$18,'[1]observations-276632'!X709&gt;'[1]Methods write-up'!$S$18,'[1]observations-276632'!X709&lt;'[1]Methods write-up'!$T$18),"Somali peninsula","")</f>
        <v/>
      </c>
      <c r="BA709" s="22" t="str">
        <f>IF(AND('[1]observations-276632'!W709&gt;'[1]Methods write-up'!$Q$19,'[1]observations-276632'!W709&lt;'[1]Methods write-up'!$R$19,'[1]observations-276632'!X709&gt;'[1]Methods write-up'!$S$19,'[1]observations-276632'!X709&lt;'[1]Methods write-up'!$T$19),"East Africa","")</f>
        <v/>
      </c>
      <c r="BB709" s="22" t="str">
        <f>IF(AND('[1]observations-276632'!W709&gt;'[1]Methods write-up'!$Q$20,'[1]observations-276632'!W709&lt;'[1]Methods write-up'!$R$20,'[1]observations-276632'!X709&gt;'[1]Methods write-up'!$S$20,'[1]observations-276632'!X709&lt;'[1]Methods write-up'!$T$20),"Temperate seasonal","")</f>
        <v>Temperate seasonal</v>
      </c>
      <c r="BC709" s="22" t="str">
        <f>IF(AND('[1]observations-276632'!W709&gt;'[1]Methods write-up'!$Q$21,'[1]observations-276632'!W709&lt;'[1]Methods write-up'!$R$21,'[1]observations-276632'!X709&gt;'[1]Methods write-up'!$S$21,'[1]observations-276632'!X709&lt;'[1]Methods write-up'!$T$21),"Desert and high aridity","")</f>
        <v/>
      </c>
      <c r="BD709" s="23" t="str">
        <f t="shared" si="50"/>
        <v>Temperate seasonal</v>
      </c>
      <c r="BE709" s="24">
        <f t="shared" si="48"/>
        <v>1</v>
      </c>
      <c r="BF709" s="24">
        <f t="shared" si="49"/>
        <v>5</v>
      </c>
    </row>
    <row r="710" spans="1:58" ht="16.25" customHeight="1" x14ac:dyDescent="0.2">
      <c r="A710">
        <v>76184694</v>
      </c>
      <c r="B710" s="25">
        <v>44317.468055555553</v>
      </c>
      <c r="C710" s="14">
        <v>44317</v>
      </c>
      <c r="D710" t="s">
        <v>5304</v>
      </c>
      <c r="E710" t="s">
        <v>113</v>
      </c>
      <c r="F710">
        <v>669631</v>
      </c>
      <c r="G710" t="s">
        <v>5305</v>
      </c>
      <c r="I710" t="s">
        <v>5306</v>
      </c>
      <c r="J710" t="s">
        <v>5307</v>
      </c>
      <c r="K710" t="s">
        <v>62</v>
      </c>
      <c r="L710" t="s">
        <v>63</v>
      </c>
      <c r="M710" t="s">
        <v>5308</v>
      </c>
      <c r="N710" t="s">
        <v>5309</v>
      </c>
      <c r="R710">
        <v>2</v>
      </c>
      <c r="S710">
        <v>0</v>
      </c>
      <c r="T710" t="b">
        <v>0</v>
      </c>
      <c r="U710">
        <v>2</v>
      </c>
      <c r="V710" t="s">
        <v>5310</v>
      </c>
      <c r="W710" s="15">
        <v>-24.417628959999998</v>
      </c>
      <c r="X710" s="15">
        <v>27.596540449999999</v>
      </c>
      <c r="Y710">
        <v>41735</v>
      </c>
      <c r="AC710">
        <v>41735</v>
      </c>
      <c r="AF710" t="b">
        <v>0</v>
      </c>
      <c r="AG710" t="s">
        <v>350</v>
      </c>
      <c r="AH710" t="s">
        <v>350</v>
      </c>
      <c r="AI710" t="s">
        <v>71</v>
      </c>
      <c r="AJ710" t="s">
        <v>70</v>
      </c>
      <c r="AK710" t="s">
        <v>71</v>
      </c>
      <c r="AL710" t="s">
        <v>72</v>
      </c>
      <c r="AM710">
        <v>346053</v>
      </c>
      <c r="AO710" s="16" t="s">
        <v>73</v>
      </c>
      <c r="AP710" s="17" t="str">
        <f t="shared" si="47"/>
        <v>Off-nest female</v>
      </c>
      <c r="AX710" s="22" t="str">
        <f>IF(AND('[1]observations-276632'!W710&gt;'[1]Methods write-up'!$Q$16,'[1]observations-276632'!W710&lt;'[1]Methods write-up'!$R$16,'[1]observations-276632'!X710&gt;'[1]Methods write-up'!$S$16,'[1]observations-276632'!X710&lt;'[1]Methods write-up'!$T$16),"West and Central Africa","")</f>
        <v/>
      </c>
      <c r="AY710" s="22" t="str">
        <f>IF(AND('[1]observations-276632'!W710&gt;'[1]Methods write-up'!$Q$17,'[1]observations-276632'!W710&lt;'[1]Methods write-up'!$R$17,'[1]observations-276632'!X710&gt;'[1]Methods write-up'!$S$17,'[1]observations-276632'!X710&lt;'[1]Methods write-up'!$T$17),"Equatorial tropical forest","")</f>
        <v/>
      </c>
      <c r="AZ710" s="22" t="str">
        <f>IF(AND('[1]observations-276632'!W710&gt;'[1]Methods write-up'!$Q$18,'[1]observations-276632'!W710&lt;'[1]Methods write-up'!$R$18,'[1]observations-276632'!X710&gt;'[1]Methods write-up'!$S$18,'[1]observations-276632'!X710&lt;'[1]Methods write-up'!$T$18),"Somali peninsula","")</f>
        <v/>
      </c>
      <c r="BA710" s="22" t="str">
        <f>IF(AND('[1]observations-276632'!W710&gt;'[1]Methods write-up'!$Q$19,'[1]observations-276632'!W710&lt;'[1]Methods write-up'!$R$19,'[1]observations-276632'!X710&gt;'[1]Methods write-up'!$S$19,'[1]observations-276632'!X710&lt;'[1]Methods write-up'!$T$19),"East Africa","")</f>
        <v/>
      </c>
      <c r="BB710" s="22" t="str">
        <f>IF(AND('[1]observations-276632'!W710&gt;'[1]Methods write-up'!$Q$20,'[1]observations-276632'!W710&lt;'[1]Methods write-up'!$R$20,'[1]observations-276632'!X710&gt;'[1]Methods write-up'!$S$20,'[1]observations-276632'!X710&lt;'[1]Methods write-up'!$T$20),"Temperate seasonal","")</f>
        <v/>
      </c>
      <c r="BC710" s="22" t="str">
        <f>IF(AND('[1]observations-276632'!W710&gt;'[1]Methods write-up'!$Q$21,'[1]observations-276632'!W710&lt;'[1]Methods write-up'!$R$21,'[1]observations-276632'!X710&gt;'[1]Methods write-up'!$S$21,'[1]observations-276632'!X710&lt;'[1]Methods write-up'!$T$21),"Desert and high aridity","")</f>
        <v/>
      </c>
      <c r="BD710" s="23" t="str">
        <f t="shared" si="50"/>
        <v/>
      </c>
      <c r="BE710" s="24">
        <f t="shared" si="48"/>
        <v>1</v>
      </c>
      <c r="BF710" s="24">
        <f t="shared" si="49"/>
        <v>5</v>
      </c>
    </row>
    <row r="711" spans="1:58" ht="16.25" customHeight="1" x14ac:dyDescent="0.2">
      <c r="A711">
        <v>76197514</v>
      </c>
      <c r="B711" t="s">
        <v>5311</v>
      </c>
      <c r="C711" s="14">
        <v>43236</v>
      </c>
      <c r="D711" t="s">
        <v>5312</v>
      </c>
      <c r="E711" t="s">
        <v>1408</v>
      </c>
      <c r="F711">
        <v>3087997</v>
      </c>
      <c r="G711" t="s">
        <v>5047</v>
      </c>
      <c r="H711" t="s">
        <v>5048</v>
      </c>
      <c r="I711" t="s">
        <v>5313</v>
      </c>
      <c r="J711" t="s">
        <v>5314</v>
      </c>
      <c r="K711" t="s">
        <v>62</v>
      </c>
      <c r="L711" t="s">
        <v>63</v>
      </c>
      <c r="M711" t="s">
        <v>5315</v>
      </c>
      <c r="N711" t="s">
        <v>5316</v>
      </c>
      <c r="R711">
        <v>2</v>
      </c>
      <c r="S711">
        <v>0</v>
      </c>
      <c r="T711" t="b">
        <v>0</v>
      </c>
      <c r="V711" t="s">
        <v>5317</v>
      </c>
      <c r="W711" s="15">
        <v>0.29234369999999998</v>
      </c>
      <c r="X711" s="15">
        <v>36.898464199999999</v>
      </c>
      <c r="Y711">
        <v>41</v>
      </c>
      <c r="AC711">
        <v>41</v>
      </c>
      <c r="AF711" t="b">
        <v>0</v>
      </c>
      <c r="AI711" t="s">
        <v>71</v>
      </c>
      <c r="AJ711" t="s">
        <v>70</v>
      </c>
      <c r="AK711" t="s">
        <v>71</v>
      </c>
      <c r="AL711" t="s">
        <v>72</v>
      </c>
      <c r="AM711">
        <v>346053</v>
      </c>
      <c r="AO711" s="16" t="s">
        <v>150</v>
      </c>
      <c r="AP711" s="17" t="str">
        <f t="shared" si="47"/>
        <v>Male (off nest)</v>
      </c>
      <c r="AX711" s="22" t="str">
        <f>IF(AND('[1]observations-276632'!W711&gt;'[1]Methods write-up'!$Q$16,'[1]observations-276632'!W711&lt;'[1]Methods write-up'!$R$16,'[1]observations-276632'!X711&gt;'[1]Methods write-up'!$S$16,'[1]observations-276632'!X711&lt;'[1]Methods write-up'!$T$16),"West and Central Africa","")</f>
        <v/>
      </c>
      <c r="AY711" s="22" t="str">
        <f>IF(AND('[1]observations-276632'!W711&gt;'[1]Methods write-up'!$Q$17,'[1]observations-276632'!W711&lt;'[1]Methods write-up'!$R$17,'[1]observations-276632'!X711&gt;'[1]Methods write-up'!$S$17,'[1]observations-276632'!X711&lt;'[1]Methods write-up'!$T$17),"Equatorial tropical forest","")</f>
        <v/>
      </c>
      <c r="AZ711" s="22" t="str">
        <f>IF(AND('[1]observations-276632'!W711&gt;'[1]Methods write-up'!$Q$18,'[1]observations-276632'!W711&lt;'[1]Methods write-up'!$R$18,'[1]observations-276632'!X711&gt;'[1]Methods write-up'!$S$18,'[1]observations-276632'!X711&lt;'[1]Methods write-up'!$T$18),"Somali peninsula","")</f>
        <v/>
      </c>
      <c r="BA711" s="22" t="str">
        <f>IF(AND('[1]observations-276632'!W711&gt;'[1]Methods write-up'!$Q$19,'[1]observations-276632'!W711&lt;'[1]Methods write-up'!$R$19,'[1]observations-276632'!X711&gt;'[1]Methods write-up'!$S$19,'[1]observations-276632'!X711&lt;'[1]Methods write-up'!$T$19),"East Africa","")</f>
        <v>East Africa</v>
      </c>
      <c r="BB711" s="22" t="str">
        <f>IF(AND('[1]observations-276632'!W711&gt;'[1]Methods write-up'!$Q$20,'[1]observations-276632'!W711&lt;'[1]Methods write-up'!$R$20,'[1]observations-276632'!X711&gt;'[1]Methods write-up'!$S$20,'[1]observations-276632'!X711&lt;'[1]Methods write-up'!$T$20),"Temperate seasonal","")</f>
        <v/>
      </c>
      <c r="BC711" s="22" t="str">
        <f>IF(AND('[1]observations-276632'!W711&gt;'[1]Methods write-up'!$Q$21,'[1]observations-276632'!W711&lt;'[1]Methods write-up'!$R$21,'[1]observations-276632'!X711&gt;'[1]Methods write-up'!$S$21,'[1]observations-276632'!X711&lt;'[1]Methods write-up'!$T$21),"Desert and high aridity","")</f>
        <v/>
      </c>
      <c r="BD711" s="23" t="str">
        <f t="shared" si="50"/>
        <v>East Africa</v>
      </c>
      <c r="BE711" s="24">
        <f t="shared" si="48"/>
        <v>16</v>
      </c>
      <c r="BF711" s="24">
        <f t="shared" si="49"/>
        <v>5</v>
      </c>
    </row>
    <row r="712" spans="1:58" ht="16.25" customHeight="1" x14ac:dyDescent="0.2">
      <c r="A712">
        <v>76245835</v>
      </c>
      <c r="B712" t="s">
        <v>5318</v>
      </c>
      <c r="C712" s="14">
        <v>44312</v>
      </c>
      <c r="D712" t="s">
        <v>5319</v>
      </c>
      <c r="E712" t="s">
        <v>201</v>
      </c>
      <c r="F712">
        <v>1682332</v>
      </c>
      <c r="G712" t="s">
        <v>5320</v>
      </c>
      <c r="H712" t="s">
        <v>5321</v>
      </c>
      <c r="I712" t="s">
        <v>5322</v>
      </c>
      <c r="J712" t="s">
        <v>5323</v>
      </c>
      <c r="K712" t="s">
        <v>62</v>
      </c>
      <c r="L712" t="s">
        <v>63</v>
      </c>
      <c r="M712" t="s">
        <v>5324</v>
      </c>
      <c r="N712" t="s">
        <v>5325</v>
      </c>
      <c r="R712">
        <v>2</v>
      </c>
      <c r="S712">
        <v>0</v>
      </c>
      <c r="T712" t="b">
        <v>0</v>
      </c>
      <c r="V712" t="s">
        <v>4029</v>
      </c>
      <c r="W712" s="15">
        <v>-25.661222349999999</v>
      </c>
      <c r="X712" s="15">
        <v>27.944755310000001</v>
      </c>
      <c r="Y712">
        <v>373</v>
      </c>
      <c r="AC712">
        <v>373</v>
      </c>
      <c r="AF712" t="b">
        <v>0</v>
      </c>
      <c r="AI712" t="s">
        <v>71</v>
      </c>
      <c r="AJ712" t="s">
        <v>70</v>
      </c>
      <c r="AK712" t="s">
        <v>71</v>
      </c>
      <c r="AL712" t="s">
        <v>72</v>
      </c>
      <c r="AM712">
        <v>346053</v>
      </c>
      <c r="AO712" s="16" t="s">
        <v>73</v>
      </c>
      <c r="AP712" s="17" t="str">
        <f t="shared" si="47"/>
        <v>Off-nest female</v>
      </c>
      <c r="AX712" s="22" t="str">
        <f>IF(AND('[1]observations-276632'!W712&gt;'[1]Methods write-up'!$Q$16,'[1]observations-276632'!W712&lt;'[1]Methods write-up'!$R$16,'[1]observations-276632'!X712&gt;'[1]Methods write-up'!$S$16,'[1]observations-276632'!X712&lt;'[1]Methods write-up'!$T$16),"West and Central Africa","")</f>
        <v/>
      </c>
      <c r="AY712" s="22" t="str">
        <f>IF(AND('[1]observations-276632'!W712&gt;'[1]Methods write-up'!$Q$17,'[1]observations-276632'!W712&lt;'[1]Methods write-up'!$R$17,'[1]observations-276632'!X712&gt;'[1]Methods write-up'!$S$17,'[1]observations-276632'!X712&lt;'[1]Methods write-up'!$T$17),"Equatorial tropical forest","")</f>
        <v/>
      </c>
      <c r="AZ712" s="22" t="str">
        <f>IF(AND('[1]observations-276632'!W712&gt;'[1]Methods write-up'!$Q$18,'[1]observations-276632'!W712&lt;'[1]Methods write-up'!$R$18,'[1]observations-276632'!X712&gt;'[1]Methods write-up'!$S$18,'[1]observations-276632'!X712&lt;'[1]Methods write-up'!$T$18),"Somali peninsula","")</f>
        <v/>
      </c>
      <c r="BA712" s="22" t="str">
        <f>IF(AND('[1]observations-276632'!W712&gt;'[1]Methods write-up'!$Q$19,'[1]observations-276632'!W712&lt;'[1]Methods write-up'!$R$19,'[1]observations-276632'!X712&gt;'[1]Methods write-up'!$S$19,'[1]observations-276632'!X712&lt;'[1]Methods write-up'!$T$19),"East Africa","")</f>
        <v/>
      </c>
      <c r="BB712" s="22" t="str">
        <f>IF(AND('[1]observations-276632'!W712&gt;'[1]Methods write-up'!$Q$20,'[1]observations-276632'!W712&lt;'[1]Methods write-up'!$R$20,'[1]observations-276632'!X712&gt;'[1]Methods write-up'!$S$20,'[1]observations-276632'!X712&lt;'[1]Methods write-up'!$T$20),"Temperate seasonal","")</f>
        <v>Temperate seasonal</v>
      </c>
      <c r="BC712" s="22" t="str">
        <f>IF(AND('[1]observations-276632'!W712&gt;'[1]Methods write-up'!$Q$21,'[1]observations-276632'!W712&lt;'[1]Methods write-up'!$R$21,'[1]observations-276632'!X712&gt;'[1]Methods write-up'!$S$21,'[1]observations-276632'!X712&lt;'[1]Methods write-up'!$T$21),"Desert and high aridity","")</f>
        <v/>
      </c>
      <c r="BD712" s="23" t="str">
        <f t="shared" si="50"/>
        <v>Temperate seasonal</v>
      </c>
      <c r="BE712" s="24">
        <f t="shared" si="48"/>
        <v>26</v>
      </c>
      <c r="BF712" s="24">
        <f t="shared" si="49"/>
        <v>4</v>
      </c>
    </row>
    <row r="713" spans="1:58" ht="16.25" customHeight="1" x14ac:dyDescent="0.2">
      <c r="A713">
        <v>76480833</v>
      </c>
      <c r="B713" t="s">
        <v>5326</v>
      </c>
      <c r="C713" s="14">
        <v>44317</v>
      </c>
      <c r="D713" t="s">
        <v>5327</v>
      </c>
      <c r="E713" t="s">
        <v>113</v>
      </c>
      <c r="F713">
        <v>4338142</v>
      </c>
      <c r="G713" t="s">
        <v>5328</v>
      </c>
      <c r="I713" t="s">
        <v>5329</v>
      </c>
      <c r="J713" t="s">
        <v>5330</v>
      </c>
      <c r="K713" t="s">
        <v>62</v>
      </c>
      <c r="L713" t="s">
        <v>63</v>
      </c>
      <c r="M713" t="s">
        <v>5331</v>
      </c>
      <c r="N713" t="s">
        <v>5332</v>
      </c>
      <c r="Q713" s="26" t="s">
        <v>5333</v>
      </c>
      <c r="R713">
        <v>3</v>
      </c>
      <c r="S713">
        <v>0</v>
      </c>
      <c r="T713" t="b">
        <v>0</v>
      </c>
      <c r="V713" t="s">
        <v>5334</v>
      </c>
      <c r="W713" s="15">
        <v>-30.20406088</v>
      </c>
      <c r="X713" s="15">
        <v>30.78187823</v>
      </c>
      <c r="Y713">
        <v>15</v>
      </c>
      <c r="AC713">
        <v>15</v>
      </c>
      <c r="AF713" t="b">
        <v>0</v>
      </c>
      <c r="AI713" t="s">
        <v>71</v>
      </c>
      <c r="AJ713" t="s">
        <v>70</v>
      </c>
      <c r="AK713" t="s">
        <v>71</v>
      </c>
      <c r="AL713" t="s">
        <v>72</v>
      </c>
      <c r="AM713">
        <v>346053</v>
      </c>
      <c r="AO713" s="16" t="s">
        <v>73</v>
      </c>
      <c r="AP713" s="17" t="str">
        <f t="shared" si="47"/>
        <v>Off-nest female</v>
      </c>
      <c r="AX713" s="22" t="str">
        <f>IF(AND('[1]observations-276632'!W713&gt;'[1]Methods write-up'!$Q$16,'[1]observations-276632'!W713&lt;'[1]Methods write-up'!$R$16,'[1]observations-276632'!X713&gt;'[1]Methods write-up'!$S$16,'[1]observations-276632'!X713&lt;'[1]Methods write-up'!$T$16),"West and Central Africa","")</f>
        <v/>
      </c>
      <c r="AY713" s="22" t="str">
        <f>IF(AND('[1]observations-276632'!W713&gt;'[1]Methods write-up'!$Q$17,'[1]observations-276632'!W713&lt;'[1]Methods write-up'!$R$17,'[1]observations-276632'!X713&gt;'[1]Methods write-up'!$S$17,'[1]observations-276632'!X713&lt;'[1]Methods write-up'!$T$17),"Equatorial tropical forest","")</f>
        <v/>
      </c>
      <c r="AZ713" s="22" t="str">
        <f>IF(AND('[1]observations-276632'!W713&gt;'[1]Methods write-up'!$Q$18,'[1]observations-276632'!W713&lt;'[1]Methods write-up'!$R$18,'[1]observations-276632'!X713&gt;'[1]Methods write-up'!$S$18,'[1]observations-276632'!X713&lt;'[1]Methods write-up'!$T$18),"Somali peninsula","")</f>
        <v/>
      </c>
      <c r="BA713" s="22" t="str">
        <f>IF(AND('[1]observations-276632'!W713&gt;'[1]Methods write-up'!$Q$19,'[1]observations-276632'!W713&lt;'[1]Methods write-up'!$R$19,'[1]observations-276632'!X713&gt;'[1]Methods write-up'!$S$19,'[1]observations-276632'!X713&lt;'[1]Methods write-up'!$T$19),"East Africa","")</f>
        <v/>
      </c>
      <c r="BB713" s="22" t="str">
        <f>IF(AND('[1]observations-276632'!W713&gt;'[1]Methods write-up'!$Q$20,'[1]observations-276632'!W713&lt;'[1]Methods write-up'!$R$20,'[1]observations-276632'!X713&gt;'[1]Methods write-up'!$S$20,'[1]observations-276632'!X713&lt;'[1]Methods write-up'!$T$20),"Temperate seasonal","")</f>
        <v>Temperate seasonal</v>
      </c>
      <c r="BC713" s="22" t="str">
        <f>IF(AND('[1]observations-276632'!W713&gt;'[1]Methods write-up'!$Q$21,'[1]observations-276632'!W713&lt;'[1]Methods write-up'!$R$21,'[1]observations-276632'!X713&gt;'[1]Methods write-up'!$S$21,'[1]observations-276632'!X713&lt;'[1]Methods write-up'!$T$21),"Desert and high aridity","")</f>
        <v/>
      </c>
      <c r="BD713" s="23" t="str">
        <f t="shared" si="50"/>
        <v>Temperate seasonal</v>
      </c>
      <c r="BE713" s="24">
        <f t="shared" si="48"/>
        <v>1</v>
      </c>
      <c r="BF713" s="24">
        <f t="shared" si="49"/>
        <v>5</v>
      </c>
    </row>
    <row r="714" spans="1:58" ht="16.25" customHeight="1" x14ac:dyDescent="0.2">
      <c r="A714">
        <v>76480860</v>
      </c>
      <c r="B714" t="s">
        <v>5335</v>
      </c>
      <c r="C714" s="14">
        <v>44317</v>
      </c>
      <c r="D714" t="s">
        <v>5336</v>
      </c>
      <c r="E714" t="s">
        <v>113</v>
      </c>
      <c r="F714">
        <v>4338142</v>
      </c>
      <c r="G714" t="s">
        <v>5328</v>
      </c>
      <c r="I714" t="s">
        <v>5337</v>
      </c>
      <c r="J714" t="s">
        <v>5338</v>
      </c>
      <c r="K714" t="s">
        <v>62</v>
      </c>
      <c r="L714" t="s">
        <v>63</v>
      </c>
      <c r="M714" t="s">
        <v>5339</v>
      </c>
      <c r="N714" t="s">
        <v>5340</v>
      </c>
      <c r="R714">
        <v>3</v>
      </c>
      <c r="S714">
        <v>0</v>
      </c>
      <c r="T714" t="b">
        <v>0</v>
      </c>
      <c r="V714" t="s">
        <v>5341</v>
      </c>
      <c r="W714" s="15">
        <v>-30.2042359</v>
      </c>
      <c r="X714" s="15">
        <v>30.781885899999999</v>
      </c>
      <c r="Y714">
        <v>212</v>
      </c>
      <c r="AC714">
        <v>212</v>
      </c>
      <c r="AF714" t="b">
        <v>0</v>
      </c>
      <c r="AI714" t="s">
        <v>71</v>
      </c>
      <c r="AJ714" t="s">
        <v>70</v>
      </c>
      <c r="AK714" t="s">
        <v>71</v>
      </c>
      <c r="AL714" t="s">
        <v>72</v>
      </c>
      <c r="AM714">
        <v>346053</v>
      </c>
      <c r="AO714" s="16" t="s">
        <v>150</v>
      </c>
      <c r="AP714" s="17" t="str">
        <f t="shared" si="47"/>
        <v>Male (off nest)</v>
      </c>
      <c r="AX714" s="22" t="str">
        <f>IF(AND('[1]observations-276632'!W714&gt;'[1]Methods write-up'!$Q$16,'[1]observations-276632'!W714&lt;'[1]Methods write-up'!$R$16,'[1]observations-276632'!X714&gt;'[1]Methods write-up'!$S$16,'[1]observations-276632'!X714&lt;'[1]Methods write-up'!$T$16),"West and Central Africa","")</f>
        <v/>
      </c>
      <c r="AY714" s="22" t="str">
        <f>IF(AND('[1]observations-276632'!W714&gt;'[1]Methods write-up'!$Q$17,'[1]observations-276632'!W714&lt;'[1]Methods write-up'!$R$17,'[1]observations-276632'!X714&gt;'[1]Methods write-up'!$S$17,'[1]observations-276632'!X714&lt;'[1]Methods write-up'!$T$17),"Equatorial tropical forest","")</f>
        <v/>
      </c>
      <c r="AZ714" s="22" t="str">
        <f>IF(AND('[1]observations-276632'!W714&gt;'[1]Methods write-up'!$Q$18,'[1]observations-276632'!W714&lt;'[1]Methods write-up'!$R$18,'[1]observations-276632'!X714&gt;'[1]Methods write-up'!$S$18,'[1]observations-276632'!X714&lt;'[1]Methods write-up'!$T$18),"Somali peninsula","")</f>
        <v/>
      </c>
      <c r="BA714" s="22" t="str">
        <f>IF(AND('[1]observations-276632'!W714&gt;'[1]Methods write-up'!$Q$19,'[1]observations-276632'!W714&lt;'[1]Methods write-up'!$R$19,'[1]observations-276632'!X714&gt;'[1]Methods write-up'!$S$19,'[1]observations-276632'!X714&lt;'[1]Methods write-up'!$T$19),"East Africa","")</f>
        <v/>
      </c>
      <c r="BB714" s="22" t="str">
        <f>IF(AND('[1]observations-276632'!W714&gt;'[1]Methods write-up'!$Q$20,'[1]observations-276632'!W714&lt;'[1]Methods write-up'!$R$20,'[1]observations-276632'!X714&gt;'[1]Methods write-up'!$S$20,'[1]observations-276632'!X714&lt;'[1]Methods write-up'!$T$20),"Temperate seasonal","")</f>
        <v>Temperate seasonal</v>
      </c>
      <c r="BC714" s="22" t="str">
        <f>IF(AND('[1]observations-276632'!W714&gt;'[1]Methods write-up'!$Q$21,'[1]observations-276632'!W714&lt;'[1]Methods write-up'!$R$21,'[1]observations-276632'!X714&gt;'[1]Methods write-up'!$S$21,'[1]observations-276632'!X714&lt;'[1]Methods write-up'!$T$21),"Desert and high aridity","")</f>
        <v/>
      </c>
      <c r="BD714" s="23" t="str">
        <f t="shared" si="50"/>
        <v>Temperate seasonal</v>
      </c>
      <c r="BE714" s="24">
        <f t="shared" si="48"/>
        <v>1</v>
      </c>
      <c r="BF714" s="24">
        <f t="shared" si="49"/>
        <v>5</v>
      </c>
    </row>
    <row r="715" spans="1:58" ht="16.25" customHeight="1" x14ac:dyDescent="0.2">
      <c r="A715">
        <v>76496597</v>
      </c>
      <c r="B715" s="25">
        <v>44318.484027777777</v>
      </c>
      <c r="C715" s="14">
        <v>44318</v>
      </c>
      <c r="D715" t="s">
        <v>5342</v>
      </c>
      <c r="E715" t="s">
        <v>1408</v>
      </c>
      <c r="F715">
        <v>4249426</v>
      </c>
      <c r="G715" t="s">
        <v>5343</v>
      </c>
      <c r="H715" t="s">
        <v>5344</v>
      </c>
      <c r="I715" t="s">
        <v>5345</v>
      </c>
      <c r="J715" t="s">
        <v>5346</v>
      </c>
      <c r="K715" t="s">
        <v>62</v>
      </c>
      <c r="L715" t="s">
        <v>63</v>
      </c>
      <c r="M715" t="s">
        <v>5347</v>
      </c>
      <c r="N715" t="s">
        <v>5348</v>
      </c>
      <c r="R715">
        <v>3</v>
      </c>
      <c r="S715">
        <v>0</v>
      </c>
      <c r="T715" t="b">
        <v>0</v>
      </c>
      <c r="U715">
        <v>2</v>
      </c>
      <c r="V715" t="s">
        <v>5349</v>
      </c>
      <c r="W715" s="15">
        <v>-29.658332399999999</v>
      </c>
      <c r="X715" s="15">
        <v>31.046881500000001</v>
      </c>
      <c r="AF715" t="b">
        <v>0</v>
      </c>
      <c r="AI715" t="s">
        <v>71</v>
      </c>
      <c r="AJ715" t="s">
        <v>70</v>
      </c>
      <c r="AK715" t="s">
        <v>71</v>
      </c>
      <c r="AL715" t="s">
        <v>72</v>
      </c>
      <c r="AM715">
        <v>346053</v>
      </c>
      <c r="AO715" s="16" t="s">
        <v>73</v>
      </c>
      <c r="AP715" s="17" t="str">
        <f t="shared" si="47"/>
        <v>Off-nest female</v>
      </c>
      <c r="AX715" s="22" t="str">
        <f>IF(AND('[1]observations-276632'!W715&gt;'[1]Methods write-up'!$Q$16,'[1]observations-276632'!W715&lt;'[1]Methods write-up'!$R$16,'[1]observations-276632'!X715&gt;'[1]Methods write-up'!$S$16,'[1]observations-276632'!X715&lt;'[1]Methods write-up'!$T$16),"West and Central Africa","")</f>
        <v/>
      </c>
      <c r="AY715" s="22" t="str">
        <f>IF(AND('[1]observations-276632'!W715&gt;'[1]Methods write-up'!$Q$17,'[1]observations-276632'!W715&lt;'[1]Methods write-up'!$R$17,'[1]observations-276632'!X715&gt;'[1]Methods write-up'!$S$17,'[1]observations-276632'!X715&lt;'[1]Methods write-up'!$T$17),"Equatorial tropical forest","")</f>
        <v/>
      </c>
      <c r="AZ715" s="22" t="str">
        <f>IF(AND('[1]observations-276632'!W715&gt;'[1]Methods write-up'!$Q$18,'[1]observations-276632'!W715&lt;'[1]Methods write-up'!$R$18,'[1]observations-276632'!X715&gt;'[1]Methods write-up'!$S$18,'[1]observations-276632'!X715&lt;'[1]Methods write-up'!$T$18),"Somali peninsula","")</f>
        <v/>
      </c>
      <c r="BA715" s="22" t="str">
        <f>IF(AND('[1]observations-276632'!W715&gt;'[1]Methods write-up'!$Q$19,'[1]observations-276632'!W715&lt;'[1]Methods write-up'!$R$19,'[1]observations-276632'!X715&gt;'[1]Methods write-up'!$S$19,'[1]observations-276632'!X715&lt;'[1]Methods write-up'!$T$19),"East Africa","")</f>
        <v/>
      </c>
      <c r="BB715" s="22" t="str">
        <f>IF(AND('[1]observations-276632'!W715&gt;'[1]Methods write-up'!$Q$20,'[1]observations-276632'!W715&lt;'[1]Methods write-up'!$R$20,'[1]observations-276632'!X715&gt;'[1]Methods write-up'!$S$20,'[1]observations-276632'!X715&lt;'[1]Methods write-up'!$T$20),"Temperate seasonal","")</f>
        <v>Temperate seasonal</v>
      </c>
      <c r="BC715" s="22" t="str">
        <f>IF(AND('[1]observations-276632'!W715&gt;'[1]Methods write-up'!$Q$21,'[1]observations-276632'!W715&lt;'[1]Methods write-up'!$R$21,'[1]observations-276632'!X715&gt;'[1]Methods write-up'!$S$21,'[1]observations-276632'!X715&lt;'[1]Methods write-up'!$T$21),"Desert and high aridity","")</f>
        <v/>
      </c>
      <c r="BD715" s="23" t="str">
        <f t="shared" si="50"/>
        <v>Temperate seasonal</v>
      </c>
      <c r="BE715" s="24">
        <f t="shared" si="48"/>
        <v>2</v>
      </c>
      <c r="BF715" s="24">
        <f t="shared" si="49"/>
        <v>5</v>
      </c>
    </row>
    <row r="716" spans="1:58" ht="16.25" customHeight="1" x14ac:dyDescent="0.2">
      <c r="A716">
        <v>76510100</v>
      </c>
      <c r="B716" s="25">
        <v>44318.489583333336</v>
      </c>
      <c r="C716" s="14">
        <v>44318</v>
      </c>
      <c r="D716" t="s">
        <v>5350</v>
      </c>
      <c r="E716" t="s">
        <v>113</v>
      </c>
      <c r="F716">
        <v>2627123</v>
      </c>
      <c r="G716" t="s">
        <v>5351</v>
      </c>
      <c r="H716" t="s">
        <v>5352</v>
      </c>
      <c r="I716" t="s">
        <v>5353</v>
      </c>
      <c r="J716" t="s">
        <v>5354</v>
      </c>
      <c r="K716" t="s">
        <v>62</v>
      </c>
      <c r="L716" t="s">
        <v>63</v>
      </c>
      <c r="M716" t="s">
        <v>5355</v>
      </c>
      <c r="N716" t="s">
        <v>5356</v>
      </c>
      <c r="R716">
        <v>4</v>
      </c>
      <c r="S716">
        <v>1</v>
      </c>
      <c r="T716" t="b">
        <v>0</v>
      </c>
      <c r="U716">
        <v>2</v>
      </c>
      <c r="V716" t="s">
        <v>871</v>
      </c>
      <c r="W716" s="15">
        <v>-33.947322819999997</v>
      </c>
      <c r="X716" s="15">
        <v>22.463584990000001</v>
      </c>
      <c r="Y716">
        <v>194</v>
      </c>
      <c r="AC716">
        <v>194</v>
      </c>
      <c r="AF716" t="b">
        <v>0</v>
      </c>
      <c r="AG716" t="s">
        <v>350</v>
      </c>
      <c r="AH716" t="s">
        <v>350</v>
      </c>
      <c r="AI716" t="s">
        <v>71</v>
      </c>
      <c r="AJ716" t="s">
        <v>70</v>
      </c>
      <c r="AK716" t="s">
        <v>71</v>
      </c>
      <c r="AL716" t="s">
        <v>72</v>
      </c>
      <c r="AM716">
        <v>346053</v>
      </c>
      <c r="AO716" s="16" t="s">
        <v>150</v>
      </c>
      <c r="AP716" s="17" t="str">
        <f t="shared" si="47"/>
        <v>Male (off nest)</v>
      </c>
      <c r="AX716" s="22" t="str">
        <f>IF(AND('[1]observations-276632'!W716&gt;'[1]Methods write-up'!$Q$16,'[1]observations-276632'!W716&lt;'[1]Methods write-up'!$R$16,'[1]observations-276632'!X716&gt;'[1]Methods write-up'!$S$16,'[1]observations-276632'!X716&lt;'[1]Methods write-up'!$T$16),"West and Central Africa","")</f>
        <v/>
      </c>
      <c r="AY716" s="22" t="str">
        <f>IF(AND('[1]observations-276632'!W716&gt;'[1]Methods write-up'!$Q$17,'[1]observations-276632'!W716&lt;'[1]Methods write-up'!$R$17,'[1]observations-276632'!X716&gt;'[1]Methods write-up'!$S$17,'[1]observations-276632'!X716&lt;'[1]Methods write-up'!$T$17),"Equatorial tropical forest","")</f>
        <v/>
      </c>
      <c r="AZ716" s="22" t="str">
        <f>IF(AND('[1]observations-276632'!W716&gt;'[1]Methods write-up'!$Q$18,'[1]observations-276632'!W716&lt;'[1]Methods write-up'!$R$18,'[1]observations-276632'!X716&gt;'[1]Methods write-up'!$S$18,'[1]observations-276632'!X716&lt;'[1]Methods write-up'!$T$18),"Somali peninsula","")</f>
        <v/>
      </c>
      <c r="BA716" s="22" t="str">
        <f>IF(AND('[1]observations-276632'!W716&gt;'[1]Methods write-up'!$Q$19,'[1]observations-276632'!W716&lt;'[1]Methods write-up'!$R$19,'[1]observations-276632'!X716&gt;'[1]Methods write-up'!$S$19,'[1]observations-276632'!X716&lt;'[1]Methods write-up'!$T$19),"East Africa","")</f>
        <v/>
      </c>
      <c r="BB716" s="22" t="str">
        <f>IF(AND('[1]observations-276632'!W716&gt;'[1]Methods write-up'!$Q$20,'[1]observations-276632'!W716&lt;'[1]Methods write-up'!$R$20,'[1]observations-276632'!X716&gt;'[1]Methods write-up'!$S$20,'[1]observations-276632'!X716&lt;'[1]Methods write-up'!$T$20),"Temperate seasonal","")</f>
        <v/>
      </c>
      <c r="BC716" s="22" t="str">
        <f>IF(AND('[1]observations-276632'!W716&gt;'[1]Methods write-up'!$Q$21,'[1]observations-276632'!W716&lt;'[1]Methods write-up'!$R$21,'[1]observations-276632'!X716&gt;'[1]Methods write-up'!$S$21,'[1]observations-276632'!X716&lt;'[1]Methods write-up'!$T$21),"Desert and high aridity","")</f>
        <v/>
      </c>
      <c r="BD716" s="23" t="str">
        <f t="shared" si="50"/>
        <v/>
      </c>
      <c r="BE716" s="24">
        <f t="shared" si="48"/>
        <v>2</v>
      </c>
      <c r="BF716" s="24">
        <f t="shared" si="49"/>
        <v>5</v>
      </c>
    </row>
    <row r="717" spans="1:58" ht="16.25" customHeight="1" x14ac:dyDescent="0.2">
      <c r="A717">
        <v>76517473</v>
      </c>
      <c r="B717" t="s">
        <v>5357</v>
      </c>
      <c r="C717" s="14">
        <v>44318</v>
      </c>
      <c r="D717" t="s">
        <v>5358</v>
      </c>
      <c r="E717" t="s">
        <v>113</v>
      </c>
      <c r="F717">
        <v>759731</v>
      </c>
      <c r="G717" t="s">
        <v>3372</v>
      </c>
      <c r="I717" t="s">
        <v>5359</v>
      </c>
      <c r="J717" t="s">
        <v>5360</v>
      </c>
      <c r="K717" t="s">
        <v>62</v>
      </c>
      <c r="L717" t="s">
        <v>63</v>
      </c>
      <c r="M717" t="s">
        <v>5361</v>
      </c>
      <c r="N717" t="s">
        <v>5362</v>
      </c>
      <c r="R717">
        <v>2</v>
      </c>
      <c r="S717">
        <v>0</v>
      </c>
      <c r="T717" t="b">
        <v>0</v>
      </c>
      <c r="V717" t="s">
        <v>3377</v>
      </c>
      <c r="W717" s="15">
        <v>-29.83192</v>
      </c>
      <c r="X717" s="15">
        <v>30.91804333</v>
      </c>
      <c r="AF717" t="b">
        <v>0</v>
      </c>
      <c r="AI717" t="s">
        <v>71</v>
      </c>
      <c r="AJ717" t="s">
        <v>70</v>
      </c>
      <c r="AK717" t="s">
        <v>71</v>
      </c>
      <c r="AL717" t="s">
        <v>72</v>
      </c>
      <c r="AM717">
        <v>346053</v>
      </c>
      <c r="AO717" s="16" t="s">
        <v>140</v>
      </c>
      <c r="AP717" s="17" t="str">
        <f t="shared" si="47"/>
        <v>Post-emergence nest</v>
      </c>
      <c r="AQ717" s="18">
        <v>1</v>
      </c>
      <c r="AT717" s="19" t="s">
        <v>104</v>
      </c>
      <c r="AU717" s="20" t="s">
        <v>104</v>
      </c>
      <c r="AX717" s="22" t="str">
        <f>IF(AND('[1]observations-276632'!W717&gt;'[1]Methods write-up'!$Q$16,'[1]observations-276632'!W717&lt;'[1]Methods write-up'!$R$16,'[1]observations-276632'!X717&gt;'[1]Methods write-up'!$S$16,'[1]observations-276632'!X717&lt;'[1]Methods write-up'!$T$16),"West and Central Africa","")</f>
        <v/>
      </c>
      <c r="AY717" s="22" t="str">
        <f>IF(AND('[1]observations-276632'!W717&gt;'[1]Methods write-up'!$Q$17,'[1]observations-276632'!W717&lt;'[1]Methods write-up'!$R$17,'[1]observations-276632'!X717&gt;'[1]Methods write-up'!$S$17,'[1]observations-276632'!X717&lt;'[1]Methods write-up'!$T$17),"Equatorial tropical forest","")</f>
        <v/>
      </c>
      <c r="AZ717" s="22" t="str">
        <f>IF(AND('[1]observations-276632'!W717&gt;'[1]Methods write-up'!$Q$18,'[1]observations-276632'!W717&lt;'[1]Methods write-up'!$R$18,'[1]observations-276632'!X717&gt;'[1]Methods write-up'!$S$18,'[1]observations-276632'!X717&lt;'[1]Methods write-up'!$T$18),"Somali peninsula","")</f>
        <v/>
      </c>
      <c r="BA717" s="22" t="str">
        <f>IF(AND('[1]observations-276632'!W717&gt;'[1]Methods write-up'!$Q$19,'[1]observations-276632'!W717&lt;'[1]Methods write-up'!$R$19,'[1]observations-276632'!X717&gt;'[1]Methods write-up'!$S$19,'[1]observations-276632'!X717&lt;'[1]Methods write-up'!$T$19),"East Africa","")</f>
        <v/>
      </c>
      <c r="BB717" s="22" t="str">
        <f>IF(AND('[1]observations-276632'!W717&gt;'[1]Methods write-up'!$Q$20,'[1]observations-276632'!W717&lt;'[1]Methods write-up'!$R$20,'[1]observations-276632'!X717&gt;'[1]Methods write-up'!$S$20,'[1]observations-276632'!X717&lt;'[1]Methods write-up'!$T$20),"Temperate seasonal","")</f>
        <v>Temperate seasonal</v>
      </c>
      <c r="BC717" s="22" t="str">
        <f>IF(AND('[1]observations-276632'!W717&gt;'[1]Methods write-up'!$Q$21,'[1]observations-276632'!W717&lt;'[1]Methods write-up'!$R$21,'[1]observations-276632'!X717&gt;'[1]Methods write-up'!$S$21,'[1]observations-276632'!X717&lt;'[1]Methods write-up'!$T$21),"Desert and high aridity","")</f>
        <v/>
      </c>
      <c r="BD717" s="23" t="str">
        <f t="shared" si="50"/>
        <v>Temperate seasonal</v>
      </c>
      <c r="BE717" s="24">
        <f t="shared" si="48"/>
        <v>2</v>
      </c>
      <c r="BF717" s="24">
        <f t="shared" si="49"/>
        <v>5</v>
      </c>
    </row>
    <row r="718" spans="1:58" ht="16.25" customHeight="1" x14ac:dyDescent="0.2">
      <c r="A718">
        <v>76535093</v>
      </c>
      <c r="B718" t="s">
        <v>5363</v>
      </c>
      <c r="C718" s="14">
        <v>44318</v>
      </c>
      <c r="D718" t="s">
        <v>5364</v>
      </c>
      <c r="E718" t="s">
        <v>113</v>
      </c>
      <c r="F718">
        <v>2494639</v>
      </c>
      <c r="G718" t="s">
        <v>5365</v>
      </c>
      <c r="H718" t="s">
        <v>5366</v>
      </c>
      <c r="I718" t="s">
        <v>5367</v>
      </c>
      <c r="J718" t="s">
        <v>5368</v>
      </c>
      <c r="K718" t="s">
        <v>62</v>
      </c>
      <c r="M718" t="s">
        <v>5369</v>
      </c>
      <c r="N718" t="s">
        <v>5370</v>
      </c>
      <c r="R718">
        <v>3</v>
      </c>
      <c r="S718">
        <v>0</v>
      </c>
      <c r="T718" t="b">
        <v>0</v>
      </c>
      <c r="U718">
        <v>2</v>
      </c>
      <c r="V718" t="s">
        <v>5371</v>
      </c>
      <c r="W718" s="15">
        <v>-25.670774699999999</v>
      </c>
      <c r="X718" s="15">
        <v>28.523822689999999</v>
      </c>
      <c r="Y718">
        <v>7566</v>
      </c>
      <c r="AC718">
        <v>7566</v>
      </c>
      <c r="AF718" t="b">
        <v>0</v>
      </c>
      <c r="AG718" t="s">
        <v>350</v>
      </c>
      <c r="AH718" t="s">
        <v>350</v>
      </c>
      <c r="AI718" t="s">
        <v>71</v>
      </c>
      <c r="AJ718" t="s">
        <v>70</v>
      </c>
      <c r="AK718" t="s">
        <v>71</v>
      </c>
      <c r="AL718" t="s">
        <v>72</v>
      </c>
      <c r="AM718">
        <v>346053</v>
      </c>
      <c r="AO718" s="16" t="s">
        <v>140</v>
      </c>
      <c r="AP718" s="17" t="str">
        <f t="shared" si="47"/>
        <v>Post-emergence nest</v>
      </c>
      <c r="AQ718" s="18">
        <v>8</v>
      </c>
      <c r="AT718" s="19" t="s">
        <v>141</v>
      </c>
      <c r="AU718" s="20" t="s">
        <v>104</v>
      </c>
      <c r="AX718" s="22" t="str">
        <f>IF(AND('[1]observations-276632'!W718&gt;'[1]Methods write-up'!$Q$16,'[1]observations-276632'!W718&lt;'[1]Methods write-up'!$R$16,'[1]observations-276632'!X718&gt;'[1]Methods write-up'!$S$16,'[1]observations-276632'!X718&lt;'[1]Methods write-up'!$T$16),"West and Central Africa","")</f>
        <v/>
      </c>
      <c r="AY718" s="22" t="str">
        <f>IF(AND('[1]observations-276632'!W718&gt;'[1]Methods write-up'!$Q$17,'[1]observations-276632'!W718&lt;'[1]Methods write-up'!$R$17,'[1]observations-276632'!X718&gt;'[1]Methods write-up'!$S$17,'[1]observations-276632'!X718&lt;'[1]Methods write-up'!$T$17),"Equatorial tropical forest","")</f>
        <v/>
      </c>
      <c r="AZ718" s="22" t="str">
        <f>IF(AND('[1]observations-276632'!W718&gt;'[1]Methods write-up'!$Q$18,'[1]observations-276632'!W718&lt;'[1]Methods write-up'!$R$18,'[1]observations-276632'!X718&gt;'[1]Methods write-up'!$S$18,'[1]observations-276632'!X718&lt;'[1]Methods write-up'!$T$18),"Somali peninsula","")</f>
        <v/>
      </c>
      <c r="BA718" s="22" t="str">
        <f>IF(AND('[1]observations-276632'!W718&gt;'[1]Methods write-up'!$Q$19,'[1]observations-276632'!W718&lt;'[1]Methods write-up'!$R$19,'[1]observations-276632'!X718&gt;'[1]Methods write-up'!$S$19,'[1]observations-276632'!X718&lt;'[1]Methods write-up'!$T$19),"East Africa","")</f>
        <v/>
      </c>
      <c r="BB718" s="22" t="str">
        <f>IF(AND('[1]observations-276632'!W718&gt;'[1]Methods write-up'!$Q$20,'[1]observations-276632'!W718&lt;'[1]Methods write-up'!$R$20,'[1]observations-276632'!X718&gt;'[1]Methods write-up'!$S$20,'[1]observations-276632'!X718&lt;'[1]Methods write-up'!$T$20),"Temperate seasonal","")</f>
        <v>Temperate seasonal</v>
      </c>
      <c r="BC718" s="22" t="str">
        <f>IF(AND('[1]observations-276632'!W718&gt;'[1]Methods write-up'!$Q$21,'[1]observations-276632'!W718&lt;'[1]Methods write-up'!$R$21,'[1]observations-276632'!X718&gt;'[1]Methods write-up'!$S$21,'[1]observations-276632'!X718&lt;'[1]Methods write-up'!$T$21),"Desert and high aridity","")</f>
        <v/>
      </c>
      <c r="BD718" s="23" t="str">
        <f t="shared" si="50"/>
        <v>Temperate seasonal</v>
      </c>
      <c r="BE718" s="24">
        <f t="shared" si="48"/>
        <v>2</v>
      </c>
      <c r="BF718" s="24">
        <f t="shared" si="49"/>
        <v>5</v>
      </c>
    </row>
    <row r="719" spans="1:58" ht="16.25" customHeight="1" x14ac:dyDescent="0.2">
      <c r="A719">
        <v>76543532</v>
      </c>
      <c r="B719" t="s">
        <v>5372</v>
      </c>
      <c r="C719" s="14">
        <v>44318</v>
      </c>
      <c r="D719" t="s">
        <v>5373</v>
      </c>
      <c r="E719" t="s">
        <v>1408</v>
      </c>
      <c r="F719">
        <v>4100006</v>
      </c>
      <c r="G719" t="s">
        <v>5374</v>
      </c>
      <c r="H719" t="s">
        <v>5375</v>
      </c>
      <c r="I719" t="s">
        <v>5376</v>
      </c>
      <c r="J719" t="s">
        <v>5377</v>
      </c>
      <c r="K719" t="s">
        <v>62</v>
      </c>
      <c r="M719" t="s">
        <v>5378</v>
      </c>
      <c r="N719" t="s">
        <v>5379</v>
      </c>
      <c r="R719">
        <v>3</v>
      </c>
      <c r="S719">
        <v>0</v>
      </c>
      <c r="T719" t="b">
        <v>0</v>
      </c>
      <c r="V719" t="s">
        <v>5380</v>
      </c>
      <c r="W719" s="15">
        <v>-29.712604800000001</v>
      </c>
      <c r="X719" s="15">
        <v>31.094023320000002</v>
      </c>
      <c r="Y719">
        <v>4</v>
      </c>
      <c r="AC719">
        <v>4</v>
      </c>
      <c r="AF719" t="b">
        <v>0</v>
      </c>
      <c r="AI719" t="s">
        <v>71</v>
      </c>
      <c r="AJ719" t="s">
        <v>70</v>
      </c>
      <c r="AK719" t="s">
        <v>71</v>
      </c>
      <c r="AL719" t="s">
        <v>72</v>
      </c>
      <c r="AM719">
        <v>346053</v>
      </c>
      <c r="AO719" s="16" t="s">
        <v>150</v>
      </c>
      <c r="AP719" s="17" t="str">
        <f t="shared" si="47"/>
        <v>Male (off nest)</v>
      </c>
      <c r="AX719" s="22" t="str">
        <f>IF(AND('[1]observations-276632'!W719&gt;'[1]Methods write-up'!$Q$16,'[1]observations-276632'!W719&lt;'[1]Methods write-up'!$R$16,'[1]observations-276632'!X719&gt;'[1]Methods write-up'!$S$16,'[1]observations-276632'!X719&lt;'[1]Methods write-up'!$T$16),"West and Central Africa","")</f>
        <v/>
      </c>
      <c r="AY719" s="22" t="str">
        <f>IF(AND('[1]observations-276632'!W719&gt;'[1]Methods write-up'!$Q$17,'[1]observations-276632'!W719&lt;'[1]Methods write-up'!$R$17,'[1]observations-276632'!X719&gt;'[1]Methods write-up'!$S$17,'[1]observations-276632'!X719&lt;'[1]Methods write-up'!$T$17),"Equatorial tropical forest","")</f>
        <v/>
      </c>
      <c r="AZ719" s="22" t="str">
        <f>IF(AND('[1]observations-276632'!W719&gt;'[1]Methods write-up'!$Q$18,'[1]observations-276632'!W719&lt;'[1]Methods write-up'!$R$18,'[1]observations-276632'!X719&gt;'[1]Methods write-up'!$S$18,'[1]observations-276632'!X719&lt;'[1]Methods write-up'!$T$18),"Somali peninsula","")</f>
        <v/>
      </c>
      <c r="BA719" s="22" t="str">
        <f>IF(AND('[1]observations-276632'!W719&gt;'[1]Methods write-up'!$Q$19,'[1]observations-276632'!W719&lt;'[1]Methods write-up'!$R$19,'[1]observations-276632'!X719&gt;'[1]Methods write-up'!$S$19,'[1]observations-276632'!X719&lt;'[1]Methods write-up'!$T$19),"East Africa","")</f>
        <v/>
      </c>
      <c r="BB719" s="22" t="str">
        <f>IF(AND('[1]observations-276632'!W719&gt;'[1]Methods write-up'!$Q$20,'[1]observations-276632'!W719&lt;'[1]Methods write-up'!$R$20,'[1]observations-276632'!X719&gt;'[1]Methods write-up'!$S$20,'[1]observations-276632'!X719&lt;'[1]Methods write-up'!$T$20),"Temperate seasonal","")</f>
        <v>Temperate seasonal</v>
      </c>
      <c r="BC719" s="22" t="str">
        <f>IF(AND('[1]observations-276632'!W719&gt;'[1]Methods write-up'!$Q$21,'[1]observations-276632'!W719&lt;'[1]Methods write-up'!$R$21,'[1]observations-276632'!X719&gt;'[1]Methods write-up'!$S$21,'[1]observations-276632'!X719&lt;'[1]Methods write-up'!$T$21),"Desert and high aridity","")</f>
        <v/>
      </c>
      <c r="BD719" s="23" t="str">
        <f t="shared" si="50"/>
        <v>Temperate seasonal</v>
      </c>
      <c r="BE719" s="24">
        <f t="shared" si="48"/>
        <v>2</v>
      </c>
      <c r="BF719" s="24">
        <f t="shared" si="49"/>
        <v>5</v>
      </c>
    </row>
    <row r="720" spans="1:58" ht="16.25" customHeight="1" x14ac:dyDescent="0.2">
      <c r="A720">
        <v>76620915</v>
      </c>
      <c r="B720" t="s">
        <v>5381</v>
      </c>
      <c r="C720" s="14">
        <v>44318</v>
      </c>
      <c r="D720" t="s">
        <v>5382</v>
      </c>
      <c r="E720" t="s">
        <v>113</v>
      </c>
      <c r="F720">
        <v>3868160</v>
      </c>
      <c r="G720" t="s">
        <v>5383</v>
      </c>
      <c r="H720" t="s">
        <v>5384</v>
      </c>
      <c r="I720" t="s">
        <v>5385</v>
      </c>
      <c r="J720" t="s">
        <v>5386</v>
      </c>
      <c r="K720" t="s">
        <v>62</v>
      </c>
      <c r="L720" t="s">
        <v>118</v>
      </c>
      <c r="M720" t="s">
        <v>5387</v>
      </c>
      <c r="N720" t="s">
        <v>5388</v>
      </c>
      <c r="R720">
        <v>2</v>
      </c>
      <c r="S720">
        <v>0</v>
      </c>
      <c r="T720" t="b">
        <v>0</v>
      </c>
      <c r="U720">
        <v>2</v>
      </c>
      <c r="V720" t="s">
        <v>5389</v>
      </c>
      <c r="W720" s="15">
        <v>-29.793547140000001</v>
      </c>
      <c r="X720" s="15">
        <v>31.03452489</v>
      </c>
      <c r="Y720">
        <v>178</v>
      </c>
      <c r="AC720">
        <v>178</v>
      </c>
      <c r="AF720" t="b">
        <v>0</v>
      </c>
      <c r="AI720" t="s">
        <v>71</v>
      </c>
      <c r="AJ720" t="s">
        <v>70</v>
      </c>
      <c r="AK720" t="s">
        <v>71</v>
      </c>
      <c r="AL720" t="s">
        <v>72</v>
      </c>
      <c r="AM720">
        <v>346053</v>
      </c>
      <c r="AO720" s="16" t="s">
        <v>110</v>
      </c>
      <c r="AP720" s="17" t="str">
        <f t="shared" si="47"/>
        <v>Nest (foundress)</v>
      </c>
      <c r="AQ720" s="18">
        <v>1</v>
      </c>
      <c r="AT720" s="19" t="s">
        <v>104</v>
      </c>
      <c r="AX720" s="22" t="str">
        <f>IF(AND('[1]observations-276632'!W720&gt;'[1]Methods write-up'!$Q$16,'[1]observations-276632'!W720&lt;'[1]Methods write-up'!$R$16,'[1]observations-276632'!X720&gt;'[1]Methods write-up'!$S$16,'[1]observations-276632'!X720&lt;'[1]Methods write-up'!$T$16),"West and Central Africa","")</f>
        <v/>
      </c>
      <c r="AY720" s="22" t="str">
        <f>IF(AND('[1]observations-276632'!W720&gt;'[1]Methods write-up'!$Q$17,'[1]observations-276632'!W720&lt;'[1]Methods write-up'!$R$17,'[1]observations-276632'!X720&gt;'[1]Methods write-up'!$S$17,'[1]observations-276632'!X720&lt;'[1]Methods write-up'!$T$17),"Equatorial tropical forest","")</f>
        <v/>
      </c>
      <c r="AZ720" s="22" t="str">
        <f>IF(AND('[1]observations-276632'!W720&gt;'[1]Methods write-up'!$Q$18,'[1]observations-276632'!W720&lt;'[1]Methods write-up'!$R$18,'[1]observations-276632'!X720&gt;'[1]Methods write-up'!$S$18,'[1]observations-276632'!X720&lt;'[1]Methods write-up'!$T$18),"Somali peninsula","")</f>
        <v/>
      </c>
      <c r="BA720" s="22" t="str">
        <f>IF(AND('[1]observations-276632'!W720&gt;'[1]Methods write-up'!$Q$19,'[1]observations-276632'!W720&lt;'[1]Methods write-up'!$R$19,'[1]observations-276632'!X720&gt;'[1]Methods write-up'!$S$19,'[1]observations-276632'!X720&lt;'[1]Methods write-up'!$T$19),"East Africa","")</f>
        <v/>
      </c>
      <c r="BB720" s="22" t="str">
        <f>IF(AND('[1]observations-276632'!W720&gt;'[1]Methods write-up'!$Q$20,'[1]observations-276632'!W720&lt;'[1]Methods write-up'!$R$20,'[1]observations-276632'!X720&gt;'[1]Methods write-up'!$S$20,'[1]observations-276632'!X720&lt;'[1]Methods write-up'!$T$20),"Temperate seasonal","")</f>
        <v>Temperate seasonal</v>
      </c>
      <c r="BC720" s="22" t="str">
        <f>IF(AND('[1]observations-276632'!W720&gt;'[1]Methods write-up'!$Q$21,'[1]observations-276632'!W720&lt;'[1]Methods write-up'!$R$21,'[1]observations-276632'!X720&gt;'[1]Methods write-up'!$S$21,'[1]observations-276632'!X720&lt;'[1]Methods write-up'!$T$21),"Desert and high aridity","")</f>
        <v/>
      </c>
      <c r="BD720" s="23" t="str">
        <f t="shared" si="50"/>
        <v>Temperate seasonal</v>
      </c>
      <c r="BE720" s="24">
        <f t="shared" si="48"/>
        <v>2</v>
      </c>
      <c r="BF720" s="24">
        <f t="shared" si="49"/>
        <v>5</v>
      </c>
    </row>
    <row r="721" spans="1:58" ht="16.25" customHeight="1" x14ac:dyDescent="0.2">
      <c r="A721">
        <v>76671328</v>
      </c>
      <c r="B721" t="s">
        <v>5390</v>
      </c>
      <c r="C721" s="14">
        <v>44317</v>
      </c>
      <c r="D721" t="s">
        <v>5391</v>
      </c>
      <c r="E721" t="s">
        <v>1408</v>
      </c>
      <c r="F721">
        <v>4311616</v>
      </c>
      <c r="G721" t="s">
        <v>5392</v>
      </c>
      <c r="H721" t="s">
        <v>5393</v>
      </c>
      <c r="I721" t="s">
        <v>5394</v>
      </c>
      <c r="J721" t="s">
        <v>5395</v>
      </c>
      <c r="K721" t="s">
        <v>62</v>
      </c>
      <c r="M721" t="s">
        <v>5396</v>
      </c>
      <c r="N721" t="s">
        <v>5397</v>
      </c>
      <c r="R721">
        <v>2</v>
      </c>
      <c r="S721">
        <v>0</v>
      </c>
      <c r="T721" t="b">
        <v>0</v>
      </c>
      <c r="V721" t="s">
        <v>5398</v>
      </c>
      <c r="W721" s="15">
        <v>-17.792942719999999</v>
      </c>
      <c r="X721" s="15">
        <v>25.204798929999999</v>
      </c>
      <c r="Y721">
        <v>122</v>
      </c>
      <c r="AC721">
        <v>122</v>
      </c>
      <c r="AF721" t="b">
        <v>0</v>
      </c>
      <c r="AI721" t="s">
        <v>71</v>
      </c>
      <c r="AJ721" t="s">
        <v>70</v>
      </c>
      <c r="AK721" t="s">
        <v>71</v>
      </c>
      <c r="AL721" t="s">
        <v>72</v>
      </c>
      <c r="AM721">
        <v>346053</v>
      </c>
      <c r="AO721" s="16" t="s">
        <v>140</v>
      </c>
      <c r="AP721" s="17" t="str">
        <f t="shared" si="47"/>
        <v>Post-emergence nest</v>
      </c>
      <c r="AQ721" s="18">
        <v>61</v>
      </c>
      <c r="AT721" s="19" t="s">
        <v>141</v>
      </c>
      <c r="AU721" s="20" t="s">
        <v>141</v>
      </c>
      <c r="AX721" s="22" t="str">
        <f>IF(AND('[1]observations-276632'!W721&gt;'[1]Methods write-up'!$Q$16,'[1]observations-276632'!W721&lt;'[1]Methods write-up'!$R$16,'[1]observations-276632'!X721&gt;'[1]Methods write-up'!$S$16,'[1]observations-276632'!X721&lt;'[1]Methods write-up'!$T$16),"West and Central Africa","")</f>
        <v>West and Central Africa</v>
      </c>
      <c r="AY721" s="22" t="str">
        <f>IF(AND('[1]observations-276632'!W721&gt;'[1]Methods write-up'!$Q$17,'[1]observations-276632'!W721&lt;'[1]Methods write-up'!$R$17,'[1]observations-276632'!X721&gt;'[1]Methods write-up'!$S$17,'[1]observations-276632'!X721&lt;'[1]Methods write-up'!$T$17),"Equatorial tropical forest","")</f>
        <v/>
      </c>
      <c r="AZ721" s="22" t="str">
        <f>IF(AND('[1]observations-276632'!W721&gt;'[1]Methods write-up'!$Q$18,'[1]observations-276632'!W721&lt;'[1]Methods write-up'!$R$18,'[1]observations-276632'!X721&gt;'[1]Methods write-up'!$S$18,'[1]observations-276632'!X721&lt;'[1]Methods write-up'!$T$18),"Somali peninsula","")</f>
        <v/>
      </c>
      <c r="BA721" s="22" t="str">
        <f>IF(AND('[1]observations-276632'!W721&gt;'[1]Methods write-up'!$Q$19,'[1]observations-276632'!W721&lt;'[1]Methods write-up'!$R$19,'[1]observations-276632'!X721&gt;'[1]Methods write-up'!$S$19,'[1]observations-276632'!X721&lt;'[1]Methods write-up'!$T$19),"East Africa","")</f>
        <v/>
      </c>
      <c r="BB721" s="22" t="str">
        <f>IF(AND('[1]observations-276632'!W721&gt;'[1]Methods write-up'!$Q$20,'[1]observations-276632'!W721&lt;'[1]Methods write-up'!$R$20,'[1]observations-276632'!X721&gt;'[1]Methods write-up'!$S$20,'[1]observations-276632'!X721&lt;'[1]Methods write-up'!$T$20),"Temperate seasonal","")</f>
        <v/>
      </c>
      <c r="BC721" s="22" t="str">
        <f>IF(AND('[1]observations-276632'!W721&gt;'[1]Methods write-up'!$Q$21,'[1]observations-276632'!W721&lt;'[1]Methods write-up'!$R$21,'[1]observations-276632'!X721&gt;'[1]Methods write-up'!$S$21,'[1]observations-276632'!X721&lt;'[1]Methods write-up'!$T$21),"Desert and high aridity","")</f>
        <v/>
      </c>
      <c r="BD721" s="23" t="str">
        <f t="shared" si="50"/>
        <v>West and Central Africa</v>
      </c>
      <c r="BE721" s="24">
        <f t="shared" si="48"/>
        <v>1</v>
      </c>
      <c r="BF721" s="24">
        <f t="shared" si="49"/>
        <v>5</v>
      </c>
    </row>
    <row r="722" spans="1:58" ht="16.25" customHeight="1" x14ac:dyDescent="0.2">
      <c r="A722">
        <v>76707389</v>
      </c>
      <c r="B722" t="s">
        <v>5399</v>
      </c>
      <c r="C722" s="14">
        <v>44316</v>
      </c>
      <c r="D722" t="s">
        <v>5400</v>
      </c>
      <c r="E722" t="s">
        <v>113</v>
      </c>
      <c r="F722">
        <v>1591958</v>
      </c>
      <c r="G722" t="s">
        <v>5401</v>
      </c>
      <c r="H722" t="s">
        <v>5402</v>
      </c>
      <c r="I722" t="s">
        <v>5403</v>
      </c>
      <c r="J722" t="s">
        <v>5404</v>
      </c>
      <c r="K722" t="s">
        <v>62</v>
      </c>
      <c r="L722" t="s">
        <v>127</v>
      </c>
      <c r="M722" t="s">
        <v>5405</v>
      </c>
      <c r="N722" t="s">
        <v>5406</v>
      </c>
      <c r="Q722" t="s">
        <v>5407</v>
      </c>
      <c r="R722">
        <v>2</v>
      </c>
      <c r="S722">
        <v>0</v>
      </c>
      <c r="T722" t="b">
        <v>0</v>
      </c>
      <c r="V722" t="s">
        <v>5408</v>
      </c>
      <c r="W722" s="15">
        <v>-33.985808329999998</v>
      </c>
      <c r="X722" s="15">
        <v>18.43109917</v>
      </c>
      <c r="AF722" t="b">
        <v>0</v>
      </c>
      <c r="AI722" t="s">
        <v>71</v>
      </c>
      <c r="AJ722" t="s">
        <v>70</v>
      </c>
      <c r="AK722" t="s">
        <v>71</v>
      </c>
      <c r="AL722" t="s">
        <v>72</v>
      </c>
      <c r="AM722">
        <v>346053</v>
      </c>
      <c r="AO722" s="16" t="s">
        <v>140</v>
      </c>
      <c r="AP722" s="17" t="str">
        <f t="shared" si="47"/>
        <v>Post-emergence nest</v>
      </c>
      <c r="AQ722" s="18">
        <v>4</v>
      </c>
      <c r="AT722" s="19" t="s">
        <v>104</v>
      </c>
      <c r="AU722" s="20" t="s">
        <v>104</v>
      </c>
      <c r="AX722" s="22" t="str">
        <f>IF(AND('[1]observations-276632'!W722&gt;'[1]Methods write-up'!$Q$16,'[1]observations-276632'!W722&lt;'[1]Methods write-up'!$R$16,'[1]observations-276632'!X722&gt;'[1]Methods write-up'!$S$16,'[1]observations-276632'!X722&lt;'[1]Methods write-up'!$T$16),"West and Central Africa","")</f>
        <v/>
      </c>
      <c r="AY722" s="22" t="str">
        <f>IF(AND('[1]observations-276632'!W722&gt;'[1]Methods write-up'!$Q$17,'[1]observations-276632'!W722&lt;'[1]Methods write-up'!$R$17,'[1]observations-276632'!X722&gt;'[1]Methods write-up'!$S$17,'[1]observations-276632'!X722&lt;'[1]Methods write-up'!$T$17),"Equatorial tropical forest","")</f>
        <v/>
      </c>
      <c r="AZ722" s="22" t="str">
        <f>IF(AND('[1]observations-276632'!W722&gt;'[1]Methods write-up'!$Q$18,'[1]observations-276632'!W722&lt;'[1]Methods write-up'!$R$18,'[1]observations-276632'!X722&gt;'[1]Methods write-up'!$S$18,'[1]observations-276632'!X722&lt;'[1]Methods write-up'!$T$18),"Somali peninsula","")</f>
        <v/>
      </c>
      <c r="BA722" s="22" t="str">
        <f>IF(AND('[1]observations-276632'!W722&gt;'[1]Methods write-up'!$Q$19,'[1]observations-276632'!W722&lt;'[1]Methods write-up'!$R$19,'[1]observations-276632'!X722&gt;'[1]Methods write-up'!$S$19,'[1]observations-276632'!X722&lt;'[1]Methods write-up'!$T$19),"East Africa","")</f>
        <v/>
      </c>
      <c r="BB722" s="22" t="str">
        <f>IF(AND('[1]observations-276632'!W722&gt;'[1]Methods write-up'!$Q$20,'[1]observations-276632'!W722&lt;'[1]Methods write-up'!$R$20,'[1]observations-276632'!X722&gt;'[1]Methods write-up'!$S$20,'[1]observations-276632'!X722&lt;'[1]Methods write-up'!$T$20),"Temperate seasonal","")</f>
        <v/>
      </c>
      <c r="BC722" s="22" t="str">
        <f>IF(AND('[1]observations-276632'!W722&gt;'[1]Methods write-up'!$Q$21,'[1]observations-276632'!W722&lt;'[1]Methods write-up'!$R$21,'[1]observations-276632'!X722&gt;'[1]Methods write-up'!$S$21,'[1]observations-276632'!X722&lt;'[1]Methods write-up'!$T$21),"Desert and high aridity","")</f>
        <v/>
      </c>
      <c r="BD722" s="23" t="str">
        <f t="shared" si="50"/>
        <v/>
      </c>
      <c r="BE722" s="24">
        <f t="shared" si="48"/>
        <v>30</v>
      </c>
      <c r="BF722" s="24">
        <f t="shared" si="49"/>
        <v>4</v>
      </c>
    </row>
    <row r="723" spans="1:58" ht="16.25" customHeight="1" x14ac:dyDescent="0.2">
      <c r="A723">
        <v>76724447</v>
      </c>
      <c r="B723" t="s">
        <v>5409</v>
      </c>
      <c r="C723" s="14">
        <v>40636</v>
      </c>
      <c r="D723" t="s">
        <v>5410</v>
      </c>
      <c r="E723" t="s">
        <v>122</v>
      </c>
      <c r="F723">
        <v>2370294</v>
      </c>
      <c r="G723" t="s">
        <v>5411</v>
      </c>
      <c r="H723" t="s">
        <v>5412</v>
      </c>
      <c r="I723" t="s">
        <v>5413</v>
      </c>
      <c r="J723" t="s">
        <v>5414</v>
      </c>
      <c r="K723" t="s">
        <v>62</v>
      </c>
      <c r="L723" t="s">
        <v>127</v>
      </c>
      <c r="M723" t="s">
        <v>5415</v>
      </c>
      <c r="N723" t="s">
        <v>5416</v>
      </c>
      <c r="R723">
        <v>0</v>
      </c>
      <c r="S723">
        <v>0</v>
      </c>
      <c r="T723" t="b">
        <v>0</v>
      </c>
      <c r="V723" t="s">
        <v>5417</v>
      </c>
      <c r="W723" s="15">
        <v>5.4589388889999997</v>
      </c>
      <c r="X723" s="15">
        <v>10.059686109999999</v>
      </c>
      <c r="AF723" t="b">
        <v>0</v>
      </c>
      <c r="AI723" t="s">
        <v>102</v>
      </c>
      <c r="AJ723" t="s">
        <v>102</v>
      </c>
      <c r="AL723" t="s">
        <v>72</v>
      </c>
      <c r="AM723">
        <v>1070939</v>
      </c>
      <c r="AO723" s="16" t="s">
        <v>73</v>
      </c>
      <c r="AP723" s="17" t="str">
        <f t="shared" si="47"/>
        <v>Off-nest female</v>
      </c>
      <c r="AX723" s="22" t="str">
        <f>IF(AND('[1]observations-276632'!W723&gt;'[1]Methods write-up'!$Q$16,'[1]observations-276632'!W723&lt;'[1]Methods write-up'!$R$16,'[1]observations-276632'!X723&gt;'[1]Methods write-up'!$S$16,'[1]observations-276632'!X723&lt;'[1]Methods write-up'!$T$16),"West and Central Africa","")</f>
        <v>West and Central Africa</v>
      </c>
      <c r="AY723" s="22" t="str">
        <f>IF(AND('[1]observations-276632'!W723&gt;'[1]Methods write-up'!$Q$17,'[1]observations-276632'!W723&lt;'[1]Methods write-up'!$R$17,'[1]observations-276632'!X723&gt;'[1]Methods write-up'!$S$17,'[1]observations-276632'!X723&lt;'[1]Methods write-up'!$T$17),"Equatorial tropical forest","")</f>
        <v/>
      </c>
      <c r="AZ723" s="22" t="str">
        <f>IF(AND('[1]observations-276632'!W723&gt;'[1]Methods write-up'!$Q$18,'[1]observations-276632'!W723&lt;'[1]Methods write-up'!$R$18,'[1]observations-276632'!X723&gt;'[1]Methods write-up'!$S$18,'[1]observations-276632'!X723&lt;'[1]Methods write-up'!$T$18),"Somali peninsula","")</f>
        <v/>
      </c>
      <c r="BA723" s="22" t="str">
        <f>IF(AND('[1]observations-276632'!W723&gt;'[1]Methods write-up'!$Q$19,'[1]observations-276632'!W723&lt;'[1]Methods write-up'!$R$19,'[1]observations-276632'!X723&gt;'[1]Methods write-up'!$S$19,'[1]observations-276632'!X723&lt;'[1]Methods write-up'!$T$19),"East Africa","")</f>
        <v/>
      </c>
      <c r="BB723" s="22" t="str">
        <f>IF(AND('[1]observations-276632'!W723&gt;'[1]Methods write-up'!$Q$20,'[1]observations-276632'!W723&lt;'[1]Methods write-up'!$R$20,'[1]observations-276632'!X723&gt;'[1]Methods write-up'!$S$20,'[1]observations-276632'!X723&lt;'[1]Methods write-up'!$T$20),"Temperate seasonal","")</f>
        <v/>
      </c>
      <c r="BC723" s="22" t="str">
        <f>IF(AND('[1]observations-276632'!W723&gt;'[1]Methods write-up'!$Q$21,'[1]observations-276632'!W723&lt;'[1]Methods write-up'!$R$21,'[1]observations-276632'!X723&gt;'[1]Methods write-up'!$S$21,'[1]observations-276632'!X723&lt;'[1]Methods write-up'!$T$21),"Desert and high aridity","")</f>
        <v/>
      </c>
      <c r="BD723" s="23" t="str">
        <f t="shared" si="50"/>
        <v>West and Central Africa</v>
      </c>
      <c r="BE723" s="24">
        <f t="shared" si="48"/>
        <v>3</v>
      </c>
      <c r="BF723" s="24">
        <f t="shared" si="49"/>
        <v>4</v>
      </c>
    </row>
    <row r="724" spans="1:58" ht="16.25" customHeight="1" x14ac:dyDescent="0.2">
      <c r="A724">
        <v>76805303</v>
      </c>
      <c r="B724" t="s">
        <v>5418</v>
      </c>
      <c r="C724" s="14">
        <v>44318</v>
      </c>
      <c r="D724" t="s">
        <v>5419</v>
      </c>
      <c r="E724" t="s">
        <v>113</v>
      </c>
      <c r="F724">
        <v>2552763</v>
      </c>
      <c r="G724" t="s">
        <v>5420</v>
      </c>
      <c r="H724" t="s">
        <v>5421</v>
      </c>
      <c r="I724" t="s">
        <v>5422</v>
      </c>
      <c r="J724" t="s">
        <v>5423</v>
      </c>
      <c r="K724" t="s">
        <v>62</v>
      </c>
      <c r="L724" t="s">
        <v>63</v>
      </c>
      <c r="M724" t="s">
        <v>5424</v>
      </c>
      <c r="N724" t="s">
        <v>5425</v>
      </c>
      <c r="R724">
        <v>3</v>
      </c>
      <c r="S724">
        <v>0</v>
      </c>
      <c r="T724" t="b">
        <v>0</v>
      </c>
      <c r="V724" t="s">
        <v>5426</v>
      </c>
      <c r="W724" s="15">
        <v>-29.712845999999999</v>
      </c>
      <c r="X724" s="15">
        <v>31.092763000000001</v>
      </c>
      <c r="Y724">
        <v>195</v>
      </c>
      <c r="AC724">
        <v>195</v>
      </c>
      <c r="AF724" t="b">
        <v>0</v>
      </c>
      <c r="AI724" t="s">
        <v>71</v>
      </c>
      <c r="AJ724" t="s">
        <v>70</v>
      </c>
      <c r="AK724" t="s">
        <v>71</v>
      </c>
      <c r="AL724" t="s">
        <v>72</v>
      </c>
      <c r="AM724">
        <v>346053</v>
      </c>
      <c r="AO724" s="16" t="s">
        <v>150</v>
      </c>
      <c r="AP724" s="17" t="str">
        <f t="shared" si="47"/>
        <v>Male (off nest)</v>
      </c>
      <c r="AX724" s="22" t="str">
        <f>IF(AND('[1]observations-276632'!W724&gt;'[1]Methods write-up'!$Q$16,'[1]observations-276632'!W724&lt;'[1]Methods write-up'!$R$16,'[1]observations-276632'!X724&gt;'[1]Methods write-up'!$S$16,'[1]observations-276632'!X724&lt;'[1]Methods write-up'!$T$16),"West and Central Africa","")</f>
        <v/>
      </c>
      <c r="AY724" s="22" t="str">
        <f>IF(AND('[1]observations-276632'!W724&gt;'[1]Methods write-up'!$Q$17,'[1]observations-276632'!W724&lt;'[1]Methods write-up'!$R$17,'[1]observations-276632'!X724&gt;'[1]Methods write-up'!$S$17,'[1]observations-276632'!X724&lt;'[1]Methods write-up'!$T$17),"Equatorial tropical forest","")</f>
        <v/>
      </c>
      <c r="AZ724" s="22" t="str">
        <f>IF(AND('[1]observations-276632'!W724&gt;'[1]Methods write-up'!$Q$18,'[1]observations-276632'!W724&lt;'[1]Methods write-up'!$R$18,'[1]observations-276632'!X724&gt;'[1]Methods write-up'!$S$18,'[1]observations-276632'!X724&lt;'[1]Methods write-up'!$T$18),"Somali peninsula","")</f>
        <v/>
      </c>
      <c r="BA724" s="22" t="str">
        <f>IF(AND('[1]observations-276632'!W724&gt;'[1]Methods write-up'!$Q$19,'[1]observations-276632'!W724&lt;'[1]Methods write-up'!$R$19,'[1]observations-276632'!X724&gt;'[1]Methods write-up'!$S$19,'[1]observations-276632'!X724&lt;'[1]Methods write-up'!$T$19),"East Africa","")</f>
        <v/>
      </c>
      <c r="BB724" s="22" t="str">
        <f>IF(AND('[1]observations-276632'!W724&gt;'[1]Methods write-up'!$Q$20,'[1]observations-276632'!W724&lt;'[1]Methods write-up'!$R$20,'[1]observations-276632'!X724&gt;'[1]Methods write-up'!$S$20,'[1]observations-276632'!X724&lt;'[1]Methods write-up'!$T$20),"Temperate seasonal","")</f>
        <v>Temperate seasonal</v>
      </c>
      <c r="BC724" s="22" t="str">
        <f>IF(AND('[1]observations-276632'!W724&gt;'[1]Methods write-up'!$Q$21,'[1]observations-276632'!W724&lt;'[1]Methods write-up'!$R$21,'[1]observations-276632'!X724&gt;'[1]Methods write-up'!$S$21,'[1]observations-276632'!X724&lt;'[1]Methods write-up'!$T$21),"Desert and high aridity","")</f>
        <v/>
      </c>
      <c r="BD724" s="23" t="str">
        <f t="shared" si="50"/>
        <v>Temperate seasonal</v>
      </c>
      <c r="BE724" s="24">
        <f t="shared" si="48"/>
        <v>2</v>
      </c>
      <c r="BF724" s="24">
        <f t="shared" si="49"/>
        <v>5</v>
      </c>
    </row>
    <row r="725" spans="1:58" ht="16.25" customHeight="1" x14ac:dyDescent="0.2">
      <c r="A725">
        <v>76873548</v>
      </c>
      <c r="B725" t="s">
        <v>5427</v>
      </c>
      <c r="C725" s="14">
        <v>44190</v>
      </c>
      <c r="D725" t="s">
        <v>5428</v>
      </c>
      <c r="E725" t="s">
        <v>1408</v>
      </c>
      <c r="F725">
        <v>4178993</v>
      </c>
      <c r="G725" t="s">
        <v>5207</v>
      </c>
      <c r="H725" t="s">
        <v>5208</v>
      </c>
      <c r="I725" t="s">
        <v>5429</v>
      </c>
      <c r="J725" t="s">
        <v>5430</v>
      </c>
      <c r="K725" t="s">
        <v>62</v>
      </c>
      <c r="M725" t="s">
        <v>5431</v>
      </c>
      <c r="N725" t="s">
        <v>5432</v>
      </c>
      <c r="R725">
        <v>1</v>
      </c>
      <c r="S725">
        <v>0</v>
      </c>
      <c r="T725" t="b">
        <v>0</v>
      </c>
      <c r="V725" t="s">
        <v>5213</v>
      </c>
      <c r="W725" s="15">
        <v>-20.176014899999998</v>
      </c>
      <c r="X725" s="15">
        <v>28.587092899999998</v>
      </c>
      <c r="Y725">
        <v>1434</v>
      </c>
      <c r="AC725">
        <v>1434</v>
      </c>
      <c r="AF725" t="b">
        <v>0</v>
      </c>
      <c r="AI725" t="s">
        <v>71</v>
      </c>
      <c r="AJ725" t="s">
        <v>70</v>
      </c>
      <c r="AK725" t="s">
        <v>71</v>
      </c>
      <c r="AL725" t="s">
        <v>72</v>
      </c>
      <c r="AM725">
        <v>346053</v>
      </c>
      <c r="AO725" s="16" t="s">
        <v>140</v>
      </c>
      <c r="AP725" s="17" t="str">
        <f t="shared" si="47"/>
        <v>Post-emergence nest</v>
      </c>
      <c r="AQ725" s="18">
        <v>13</v>
      </c>
      <c r="AT725" s="19" t="s">
        <v>141</v>
      </c>
      <c r="AU725" s="20" t="s">
        <v>141</v>
      </c>
      <c r="AX725" s="22" t="str">
        <f>IF(AND('[1]observations-276632'!W725&gt;'[1]Methods write-up'!$Q$16,'[1]observations-276632'!W725&lt;'[1]Methods write-up'!$R$16,'[1]observations-276632'!X725&gt;'[1]Methods write-up'!$S$16,'[1]observations-276632'!X725&lt;'[1]Methods write-up'!$T$16),"West and Central Africa","")</f>
        <v/>
      </c>
      <c r="AY725" s="22" t="str">
        <f>IF(AND('[1]observations-276632'!W725&gt;'[1]Methods write-up'!$Q$17,'[1]observations-276632'!W725&lt;'[1]Methods write-up'!$R$17,'[1]observations-276632'!X725&gt;'[1]Methods write-up'!$S$17,'[1]observations-276632'!X725&lt;'[1]Methods write-up'!$T$17),"Equatorial tropical forest","")</f>
        <v/>
      </c>
      <c r="AZ725" s="22" t="str">
        <f>IF(AND('[1]observations-276632'!W725&gt;'[1]Methods write-up'!$Q$18,'[1]observations-276632'!W725&lt;'[1]Methods write-up'!$R$18,'[1]observations-276632'!X725&gt;'[1]Methods write-up'!$S$18,'[1]observations-276632'!X725&lt;'[1]Methods write-up'!$T$18),"Somali peninsula","")</f>
        <v/>
      </c>
      <c r="BA725" s="22" t="str">
        <f>IF(AND('[1]observations-276632'!W725&gt;'[1]Methods write-up'!$Q$19,'[1]observations-276632'!W725&lt;'[1]Methods write-up'!$R$19,'[1]observations-276632'!X725&gt;'[1]Methods write-up'!$S$19,'[1]observations-276632'!X725&lt;'[1]Methods write-up'!$T$19),"East Africa","")</f>
        <v/>
      </c>
      <c r="BB725" s="22" t="str">
        <f>IF(AND('[1]observations-276632'!W725&gt;'[1]Methods write-up'!$Q$20,'[1]observations-276632'!W725&lt;'[1]Methods write-up'!$R$20,'[1]observations-276632'!X725&gt;'[1]Methods write-up'!$S$20,'[1]observations-276632'!X725&lt;'[1]Methods write-up'!$T$20),"Temperate seasonal","")</f>
        <v/>
      </c>
      <c r="BC725" s="22" t="str">
        <f>IF(AND('[1]observations-276632'!W725&gt;'[1]Methods write-up'!$Q$21,'[1]observations-276632'!W725&lt;'[1]Methods write-up'!$R$21,'[1]observations-276632'!X725&gt;'[1]Methods write-up'!$S$21,'[1]observations-276632'!X725&lt;'[1]Methods write-up'!$T$21),"Desert and high aridity","")</f>
        <v/>
      </c>
      <c r="BD725" s="23" t="str">
        <f t="shared" si="50"/>
        <v/>
      </c>
      <c r="BE725" s="24">
        <f t="shared" si="48"/>
        <v>25</v>
      </c>
      <c r="BF725" s="24">
        <f t="shared" si="49"/>
        <v>12</v>
      </c>
    </row>
    <row r="726" spans="1:58" ht="16.25" customHeight="1" x14ac:dyDescent="0.2">
      <c r="A726">
        <v>76950501</v>
      </c>
      <c r="B726" t="s">
        <v>5433</v>
      </c>
      <c r="C726" s="14">
        <v>40992</v>
      </c>
      <c r="D726" t="s">
        <v>5434</v>
      </c>
      <c r="E726" t="s">
        <v>122</v>
      </c>
      <c r="F726">
        <v>2370294</v>
      </c>
      <c r="G726" t="s">
        <v>5411</v>
      </c>
      <c r="H726" t="s">
        <v>5412</v>
      </c>
      <c r="I726" t="s">
        <v>5435</v>
      </c>
      <c r="J726" t="s">
        <v>5436</v>
      </c>
      <c r="K726" t="s">
        <v>62</v>
      </c>
      <c r="L726" t="s">
        <v>127</v>
      </c>
      <c r="M726" t="s">
        <v>5437</v>
      </c>
      <c r="N726" t="s">
        <v>5438</v>
      </c>
      <c r="R726">
        <v>1</v>
      </c>
      <c r="S726">
        <v>0</v>
      </c>
      <c r="T726" t="b">
        <v>0</v>
      </c>
      <c r="V726" t="s">
        <v>5439</v>
      </c>
      <c r="W726" s="15">
        <v>4.9547027779999997</v>
      </c>
      <c r="X726" s="15">
        <v>11.38588889</v>
      </c>
      <c r="AF726" t="b">
        <v>0</v>
      </c>
      <c r="AI726" t="s">
        <v>71</v>
      </c>
      <c r="AJ726" t="s">
        <v>70</v>
      </c>
      <c r="AK726" t="s">
        <v>71</v>
      </c>
      <c r="AL726" t="s">
        <v>72</v>
      </c>
      <c r="AM726">
        <v>346053</v>
      </c>
      <c r="AO726" s="16" t="s">
        <v>73</v>
      </c>
      <c r="AP726" s="17" t="str">
        <f t="shared" si="47"/>
        <v>Off-nest female</v>
      </c>
      <c r="AX726" s="22" t="str">
        <f>IF(AND('[1]observations-276632'!W726&gt;'[1]Methods write-up'!$Q$16,'[1]observations-276632'!W726&lt;'[1]Methods write-up'!$R$16,'[1]observations-276632'!X726&gt;'[1]Methods write-up'!$S$16,'[1]observations-276632'!X726&lt;'[1]Methods write-up'!$T$16),"West and Central Africa","")</f>
        <v>West and Central Africa</v>
      </c>
      <c r="AY726" s="22" t="str">
        <f>IF(AND('[1]observations-276632'!W726&gt;'[1]Methods write-up'!$Q$17,'[1]observations-276632'!W726&lt;'[1]Methods write-up'!$R$17,'[1]observations-276632'!X726&gt;'[1]Methods write-up'!$S$17,'[1]observations-276632'!X726&lt;'[1]Methods write-up'!$T$17),"Equatorial tropical forest","")</f>
        <v/>
      </c>
      <c r="AZ726" s="22" t="str">
        <f>IF(AND('[1]observations-276632'!W726&gt;'[1]Methods write-up'!$Q$18,'[1]observations-276632'!W726&lt;'[1]Methods write-up'!$R$18,'[1]observations-276632'!X726&gt;'[1]Methods write-up'!$S$18,'[1]observations-276632'!X726&lt;'[1]Methods write-up'!$T$18),"Somali peninsula","")</f>
        <v/>
      </c>
      <c r="BA726" s="22" t="str">
        <f>IF(AND('[1]observations-276632'!W726&gt;'[1]Methods write-up'!$Q$19,'[1]observations-276632'!W726&lt;'[1]Methods write-up'!$R$19,'[1]observations-276632'!X726&gt;'[1]Methods write-up'!$S$19,'[1]observations-276632'!X726&lt;'[1]Methods write-up'!$T$19),"East Africa","")</f>
        <v/>
      </c>
      <c r="BB726" s="22" t="str">
        <f>IF(AND('[1]observations-276632'!W726&gt;'[1]Methods write-up'!$Q$20,'[1]observations-276632'!W726&lt;'[1]Methods write-up'!$R$20,'[1]observations-276632'!X726&gt;'[1]Methods write-up'!$S$20,'[1]observations-276632'!X726&lt;'[1]Methods write-up'!$T$20),"Temperate seasonal","")</f>
        <v/>
      </c>
      <c r="BC726" s="22" t="str">
        <f>IF(AND('[1]observations-276632'!W726&gt;'[1]Methods write-up'!$Q$21,'[1]observations-276632'!W726&lt;'[1]Methods write-up'!$R$21,'[1]observations-276632'!X726&gt;'[1]Methods write-up'!$S$21,'[1]observations-276632'!X726&lt;'[1]Methods write-up'!$T$21),"Desert and high aridity","")</f>
        <v/>
      </c>
      <c r="BD726" s="23" t="str">
        <f t="shared" si="50"/>
        <v>West and Central Africa</v>
      </c>
      <c r="BE726" s="24">
        <f t="shared" si="48"/>
        <v>24</v>
      </c>
      <c r="BF726" s="24">
        <f t="shared" si="49"/>
        <v>3</v>
      </c>
    </row>
    <row r="727" spans="1:58" ht="16.25" customHeight="1" x14ac:dyDescent="0.2">
      <c r="A727">
        <v>76956197</v>
      </c>
      <c r="B727" t="s">
        <v>5440</v>
      </c>
      <c r="C727" s="14">
        <v>44319</v>
      </c>
      <c r="D727" t="s">
        <v>5441</v>
      </c>
      <c r="E727" t="s">
        <v>1408</v>
      </c>
      <c r="F727">
        <v>4291736</v>
      </c>
      <c r="G727" t="s">
        <v>5442</v>
      </c>
      <c r="I727" t="s">
        <v>5443</v>
      </c>
      <c r="J727" t="s">
        <v>5444</v>
      </c>
      <c r="K727" t="s">
        <v>62</v>
      </c>
      <c r="L727" t="s">
        <v>63</v>
      </c>
      <c r="M727" t="s">
        <v>5445</v>
      </c>
      <c r="N727" t="s">
        <v>5446</v>
      </c>
      <c r="R727">
        <v>0</v>
      </c>
      <c r="S727">
        <v>0</v>
      </c>
      <c r="T727" t="b">
        <v>0</v>
      </c>
      <c r="V727" t="s">
        <v>5447</v>
      </c>
      <c r="W727" s="15">
        <v>-25.740425599999998</v>
      </c>
      <c r="X727" s="15">
        <v>28.2453529</v>
      </c>
      <c r="Y727">
        <v>840</v>
      </c>
      <c r="AC727">
        <v>840</v>
      </c>
      <c r="AF727" t="b">
        <v>0</v>
      </c>
      <c r="AI727" t="s">
        <v>71</v>
      </c>
      <c r="AJ727" t="s">
        <v>102</v>
      </c>
      <c r="AL727" t="s">
        <v>72</v>
      </c>
      <c r="AM727">
        <v>1070939</v>
      </c>
      <c r="AO727" s="16" t="s">
        <v>73</v>
      </c>
      <c r="AP727" s="17" t="str">
        <f t="shared" si="47"/>
        <v>Off-nest female</v>
      </c>
      <c r="AX727" s="22" t="str">
        <f>IF(AND('[1]observations-276632'!W727&gt;'[1]Methods write-up'!$Q$16,'[1]observations-276632'!W727&lt;'[1]Methods write-up'!$R$16,'[1]observations-276632'!X727&gt;'[1]Methods write-up'!$S$16,'[1]observations-276632'!X727&lt;'[1]Methods write-up'!$T$16),"West and Central Africa","")</f>
        <v/>
      </c>
      <c r="AY727" s="22" t="str">
        <f>IF(AND('[1]observations-276632'!W727&gt;'[1]Methods write-up'!$Q$17,'[1]observations-276632'!W727&lt;'[1]Methods write-up'!$R$17,'[1]observations-276632'!X727&gt;'[1]Methods write-up'!$S$17,'[1]observations-276632'!X727&lt;'[1]Methods write-up'!$T$17),"Equatorial tropical forest","")</f>
        <v/>
      </c>
      <c r="AZ727" s="22" t="str">
        <f>IF(AND('[1]observations-276632'!W727&gt;'[1]Methods write-up'!$Q$18,'[1]observations-276632'!W727&lt;'[1]Methods write-up'!$R$18,'[1]observations-276632'!X727&gt;'[1]Methods write-up'!$S$18,'[1]observations-276632'!X727&lt;'[1]Methods write-up'!$T$18),"Somali peninsula","")</f>
        <v/>
      </c>
      <c r="BA727" s="22" t="str">
        <f>IF(AND('[1]observations-276632'!W727&gt;'[1]Methods write-up'!$Q$19,'[1]observations-276632'!W727&lt;'[1]Methods write-up'!$R$19,'[1]observations-276632'!X727&gt;'[1]Methods write-up'!$S$19,'[1]observations-276632'!X727&lt;'[1]Methods write-up'!$T$19),"East Africa","")</f>
        <v/>
      </c>
      <c r="BB727" s="22" t="str">
        <f>IF(AND('[1]observations-276632'!W727&gt;'[1]Methods write-up'!$Q$20,'[1]observations-276632'!W727&lt;'[1]Methods write-up'!$R$20,'[1]observations-276632'!X727&gt;'[1]Methods write-up'!$S$20,'[1]observations-276632'!X727&lt;'[1]Methods write-up'!$T$20),"Temperate seasonal","")</f>
        <v>Temperate seasonal</v>
      </c>
      <c r="BC727" s="22" t="str">
        <f>IF(AND('[1]observations-276632'!W727&gt;'[1]Methods write-up'!$Q$21,'[1]observations-276632'!W727&lt;'[1]Methods write-up'!$R$21,'[1]observations-276632'!X727&gt;'[1]Methods write-up'!$S$21,'[1]observations-276632'!X727&lt;'[1]Methods write-up'!$T$21),"Desert and high aridity","")</f>
        <v/>
      </c>
      <c r="BD727" s="23" t="str">
        <f t="shared" si="50"/>
        <v>Temperate seasonal</v>
      </c>
      <c r="BE727" s="24">
        <f t="shared" si="48"/>
        <v>3</v>
      </c>
      <c r="BF727" s="24">
        <f t="shared" si="49"/>
        <v>5</v>
      </c>
    </row>
    <row r="728" spans="1:58" ht="16.25" customHeight="1" x14ac:dyDescent="0.2">
      <c r="A728">
        <v>77035815</v>
      </c>
      <c r="B728" t="s">
        <v>5448</v>
      </c>
      <c r="C728" s="14">
        <v>44205</v>
      </c>
      <c r="D728" t="s">
        <v>5449</v>
      </c>
      <c r="E728" t="s">
        <v>113</v>
      </c>
      <c r="F728">
        <v>3919194</v>
      </c>
      <c r="G728" t="s">
        <v>5450</v>
      </c>
      <c r="I728" t="s">
        <v>5451</v>
      </c>
      <c r="J728" t="s">
        <v>5452</v>
      </c>
      <c r="K728" t="s">
        <v>62</v>
      </c>
      <c r="L728" t="s">
        <v>63</v>
      </c>
      <c r="M728" t="s">
        <v>5453</v>
      </c>
      <c r="N728" t="s">
        <v>5454</v>
      </c>
      <c r="R728">
        <v>3</v>
      </c>
      <c r="S728">
        <v>0</v>
      </c>
      <c r="T728" t="b">
        <v>0</v>
      </c>
      <c r="U728">
        <v>3</v>
      </c>
      <c r="V728" t="s">
        <v>5303</v>
      </c>
      <c r="W728" s="15">
        <v>-25.715449360000001</v>
      </c>
      <c r="X728" s="15">
        <v>28.95290374</v>
      </c>
      <c r="Y728">
        <v>111</v>
      </c>
      <c r="AC728">
        <v>111</v>
      </c>
      <c r="AF728" t="b">
        <v>0</v>
      </c>
      <c r="AI728" t="s">
        <v>71</v>
      </c>
      <c r="AJ728" t="s">
        <v>70</v>
      </c>
      <c r="AK728" t="s">
        <v>71</v>
      </c>
      <c r="AL728" t="s">
        <v>72</v>
      </c>
      <c r="AM728">
        <v>346053</v>
      </c>
      <c r="AO728" s="16" t="s">
        <v>73</v>
      </c>
      <c r="AP728" s="17" t="str">
        <f t="shared" si="47"/>
        <v>Off-nest female</v>
      </c>
      <c r="AX728" s="22" t="str">
        <f>IF(AND('[1]observations-276632'!W728&gt;'[1]Methods write-up'!$Q$16,'[1]observations-276632'!W728&lt;'[1]Methods write-up'!$R$16,'[1]observations-276632'!X728&gt;'[1]Methods write-up'!$S$16,'[1]observations-276632'!X728&lt;'[1]Methods write-up'!$T$16),"West and Central Africa","")</f>
        <v/>
      </c>
      <c r="AY728" s="22" t="str">
        <f>IF(AND('[1]observations-276632'!W728&gt;'[1]Methods write-up'!$Q$17,'[1]observations-276632'!W728&lt;'[1]Methods write-up'!$R$17,'[1]observations-276632'!X728&gt;'[1]Methods write-up'!$S$17,'[1]observations-276632'!X728&lt;'[1]Methods write-up'!$T$17),"Equatorial tropical forest","")</f>
        <v/>
      </c>
      <c r="AZ728" s="22" t="str">
        <f>IF(AND('[1]observations-276632'!W728&gt;'[1]Methods write-up'!$Q$18,'[1]observations-276632'!W728&lt;'[1]Methods write-up'!$R$18,'[1]observations-276632'!X728&gt;'[1]Methods write-up'!$S$18,'[1]observations-276632'!X728&lt;'[1]Methods write-up'!$T$18),"Somali peninsula","")</f>
        <v/>
      </c>
      <c r="BA728" s="22" t="str">
        <f>IF(AND('[1]observations-276632'!W728&gt;'[1]Methods write-up'!$Q$19,'[1]observations-276632'!W728&lt;'[1]Methods write-up'!$R$19,'[1]observations-276632'!X728&gt;'[1]Methods write-up'!$S$19,'[1]observations-276632'!X728&lt;'[1]Methods write-up'!$T$19),"East Africa","")</f>
        <v/>
      </c>
      <c r="BB728" s="22" t="str">
        <f>IF(AND('[1]observations-276632'!W728&gt;'[1]Methods write-up'!$Q$20,'[1]observations-276632'!W728&lt;'[1]Methods write-up'!$R$20,'[1]observations-276632'!X728&gt;'[1]Methods write-up'!$S$20,'[1]observations-276632'!X728&lt;'[1]Methods write-up'!$T$20),"Temperate seasonal","")</f>
        <v>Temperate seasonal</v>
      </c>
      <c r="BC728" s="22" t="str">
        <f>IF(AND('[1]observations-276632'!W728&gt;'[1]Methods write-up'!$Q$21,'[1]observations-276632'!W728&lt;'[1]Methods write-up'!$R$21,'[1]observations-276632'!X728&gt;'[1]Methods write-up'!$S$21,'[1]observations-276632'!X728&lt;'[1]Methods write-up'!$T$21),"Desert and high aridity","")</f>
        <v/>
      </c>
      <c r="BD728" s="23" t="str">
        <f t="shared" si="50"/>
        <v>Temperate seasonal</v>
      </c>
      <c r="BE728" s="24">
        <f t="shared" si="48"/>
        <v>9</v>
      </c>
      <c r="BF728" s="24">
        <f t="shared" si="49"/>
        <v>1</v>
      </c>
    </row>
    <row r="729" spans="1:58" ht="16.25" customHeight="1" x14ac:dyDescent="0.2">
      <c r="A729">
        <v>77216963</v>
      </c>
      <c r="B729" s="25">
        <v>44319.518750000003</v>
      </c>
      <c r="C729" s="14">
        <v>44319</v>
      </c>
      <c r="D729" t="s">
        <v>5455</v>
      </c>
      <c r="E729" t="s">
        <v>113</v>
      </c>
      <c r="F729">
        <v>2483113</v>
      </c>
      <c r="G729" t="s">
        <v>5456</v>
      </c>
      <c r="H729" t="s">
        <v>5457</v>
      </c>
      <c r="I729" t="s">
        <v>5458</v>
      </c>
      <c r="J729" t="s">
        <v>5459</v>
      </c>
      <c r="K729" t="s">
        <v>62</v>
      </c>
      <c r="M729" t="s">
        <v>5460</v>
      </c>
      <c r="N729" t="s">
        <v>5461</v>
      </c>
      <c r="R729">
        <v>3</v>
      </c>
      <c r="S729">
        <v>0</v>
      </c>
      <c r="T729" t="b">
        <v>0</v>
      </c>
      <c r="U729">
        <v>2</v>
      </c>
      <c r="V729" t="s">
        <v>1782</v>
      </c>
      <c r="W729" s="15">
        <v>-25.63551198</v>
      </c>
      <c r="X729" s="15">
        <v>28.349542499999998</v>
      </c>
      <c r="Y729">
        <v>7</v>
      </c>
      <c r="AC729">
        <v>7</v>
      </c>
      <c r="AF729" t="b">
        <v>0</v>
      </c>
      <c r="AI729" t="s">
        <v>71</v>
      </c>
      <c r="AJ729" t="s">
        <v>70</v>
      </c>
      <c r="AK729" t="s">
        <v>71</v>
      </c>
      <c r="AL729" t="s">
        <v>72</v>
      </c>
      <c r="AM729">
        <v>346053</v>
      </c>
      <c r="AO729" s="16" t="s">
        <v>1574</v>
      </c>
      <c r="AP729" s="17" t="str">
        <f t="shared" si="47"/>
        <v>Nest (foundress)</v>
      </c>
      <c r="AQ729" s="18">
        <v>1</v>
      </c>
      <c r="AT729" s="19" t="s">
        <v>104</v>
      </c>
      <c r="AX729" s="22" t="str">
        <f>IF(AND('[1]observations-276632'!W729&gt;'[1]Methods write-up'!$Q$16,'[1]observations-276632'!W729&lt;'[1]Methods write-up'!$R$16,'[1]observations-276632'!X729&gt;'[1]Methods write-up'!$S$16,'[1]observations-276632'!X729&lt;'[1]Methods write-up'!$T$16),"West and Central Africa","")</f>
        <v/>
      </c>
      <c r="AY729" s="22" t="str">
        <f>IF(AND('[1]observations-276632'!W729&gt;'[1]Methods write-up'!$Q$17,'[1]observations-276632'!W729&lt;'[1]Methods write-up'!$R$17,'[1]observations-276632'!X729&gt;'[1]Methods write-up'!$S$17,'[1]observations-276632'!X729&lt;'[1]Methods write-up'!$T$17),"Equatorial tropical forest","")</f>
        <v/>
      </c>
      <c r="AZ729" s="22" t="str">
        <f>IF(AND('[1]observations-276632'!W729&gt;'[1]Methods write-up'!$Q$18,'[1]observations-276632'!W729&lt;'[1]Methods write-up'!$R$18,'[1]observations-276632'!X729&gt;'[1]Methods write-up'!$S$18,'[1]observations-276632'!X729&lt;'[1]Methods write-up'!$T$18),"Somali peninsula","")</f>
        <v/>
      </c>
      <c r="BA729" s="22" t="str">
        <f>IF(AND('[1]observations-276632'!W729&gt;'[1]Methods write-up'!$Q$19,'[1]observations-276632'!W729&lt;'[1]Methods write-up'!$R$19,'[1]observations-276632'!X729&gt;'[1]Methods write-up'!$S$19,'[1]observations-276632'!X729&lt;'[1]Methods write-up'!$T$19),"East Africa","")</f>
        <v/>
      </c>
      <c r="BB729" s="22" t="str">
        <f>IF(AND('[1]observations-276632'!W729&gt;'[1]Methods write-up'!$Q$20,'[1]observations-276632'!W729&lt;'[1]Methods write-up'!$R$20,'[1]observations-276632'!X729&gt;'[1]Methods write-up'!$S$20,'[1]observations-276632'!X729&lt;'[1]Methods write-up'!$T$20),"Temperate seasonal","")</f>
        <v>Temperate seasonal</v>
      </c>
      <c r="BC729" s="22" t="str">
        <f>IF(AND('[1]observations-276632'!W729&gt;'[1]Methods write-up'!$Q$21,'[1]observations-276632'!W729&lt;'[1]Methods write-up'!$R$21,'[1]observations-276632'!X729&gt;'[1]Methods write-up'!$S$21,'[1]observations-276632'!X729&lt;'[1]Methods write-up'!$T$21),"Desert and high aridity","")</f>
        <v/>
      </c>
      <c r="BD729" s="23" t="str">
        <f t="shared" si="50"/>
        <v>Temperate seasonal</v>
      </c>
      <c r="BE729" s="24">
        <f t="shared" si="48"/>
        <v>3</v>
      </c>
      <c r="BF729" s="24">
        <f t="shared" si="49"/>
        <v>5</v>
      </c>
    </row>
    <row r="730" spans="1:58" ht="16.25" customHeight="1" x14ac:dyDescent="0.2">
      <c r="A730">
        <v>77454094</v>
      </c>
      <c r="B730" t="s">
        <v>5462</v>
      </c>
      <c r="C730" s="14">
        <v>44319</v>
      </c>
      <c r="D730" t="s">
        <v>5463</v>
      </c>
      <c r="E730" t="s">
        <v>113</v>
      </c>
      <c r="F730">
        <v>1474877</v>
      </c>
      <c r="G730" t="s">
        <v>5464</v>
      </c>
      <c r="H730" t="s">
        <v>5465</v>
      </c>
      <c r="I730" t="s">
        <v>5466</v>
      </c>
      <c r="J730" t="s">
        <v>5467</v>
      </c>
      <c r="K730" t="s">
        <v>62</v>
      </c>
      <c r="M730" t="s">
        <v>5468</v>
      </c>
      <c r="N730" t="s">
        <v>5469</v>
      </c>
      <c r="Q730" t="s">
        <v>5470</v>
      </c>
      <c r="R730">
        <v>3</v>
      </c>
      <c r="S730">
        <v>0</v>
      </c>
      <c r="T730" t="b">
        <v>0</v>
      </c>
      <c r="V730" t="s">
        <v>5471</v>
      </c>
      <c r="W730" s="15">
        <v>-34.012649080000003</v>
      </c>
      <c r="X730" s="15">
        <v>18.420124049999998</v>
      </c>
      <c r="Y730">
        <v>61</v>
      </c>
      <c r="AC730">
        <v>61</v>
      </c>
      <c r="AF730" t="b">
        <v>0</v>
      </c>
      <c r="AI730" t="s">
        <v>71</v>
      </c>
      <c r="AJ730" t="s">
        <v>70</v>
      </c>
      <c r="AK730" t="s">
        <v>71</v>
      </c>
      <c r="AL730" t="s">
        <v>72</v>
      </c>
      <c r="AM730">
        <v>346053</v>
      </c>
      <c r="AO730" s="16" t="s">
        <v>73</v>
      </c>
      <c r="AP730" s="17" t="str">
        <f t="shared" si="47"/>
        <v>Off-nest female</v>
      </c>
      <c r="AX730" s="22" t="str">
        <f>IF(AND('[1]observations-276632'!W730&gt;'[1]Methods write-up'!$Q$16,'[1]observations-276632'!W730&lt;'[1]Methods write-up'!$R$16,'[1]observations-276632'!X730&gt;'[1]Methods write-up'!$S$16,'[1]observations-276632'!X730&lt;'[1]Methods write-up'!$T$16),"West and Central Africa","")</f>
        <v/>
      </c>
      <c r="AY730" s="22" t="str">
        <f>IF(AND('[1]observations-276632'!W730&gt;'[1]Methods write-up'!$Q$17,'[1]observations-276632'!W730&lt;'[1]Methods write-up'!$R$17,'[1]observations-276632'!X730&gt;'[1]Methods write-up'!$S$17,'[1]observations-276632'!X730&lt;'[1]Methods write-up'!$T$17),"Equatorial tropical forest","")</f>
        <v/>
      </c>
      <c r="AZ730" s="22" t="str">
        <f>IF(AND('[1]observations-276632'!W730&gt;'[1]Methods write-up'!$Q$18,'[1]observations-276632'!W730&lt;'[1]Methods write-up'!$R$18,'[1]observations-276632'!X730&gt;'[1]Methods write-up'!$S$18,'[1]observations-276632'!X730&lt;'[1]Methods write-up'!$T$18),"Somali peninsula","")</f>
        <v/>
      </c>
      <c r="BA730" s="22" t="str">
        <f>IF(AND('[1]observations-276632'!W730&gt;'[1]Methods write-up'!$Q$19,'[1]observations-276632'!W730&lt;'[1]Methods write-up'!$R$19,'[1]observations-276632'!X730&gt;'[1]Methods write-up'!$S$19,'[1]observations-276632'!X730&lt;'[1]Methods write-up'!$T$19),"East Africa","")</f>
        <v/>
      </c>
      <c r="BB730" s="22" t="str">
        <f>IF(AND('[1]observations-276632'!W730&gt;'[1]Methods write-up'!$Q$20,'[1]observations-276632'!W730&lt;'[1]Methods write-up'!$R$20,'[1]observations-276632'!X730&gt;'[1]Methods write-up'!$S$20,'[1]observations-276632'!X730&lt;'[1]Methods write-up'!$T$20),"Temperate seasonal","")</f>
        <v/>
      </c>
      <c r="BC730" s="22" t="str">
        <f>IF(AND('[1]observations-276632'!W730&gt;'[1]Methods write-up'!$Q$21,'[1]observations-276632'!W730&lt;'[1]Methods write-up'!$R$21,'[1]observations-276632'!X730&gt;'[1]Methods write-up'!$S$21,'[1]observations-276632'!X730&lt;'[1]Methods write-up'!$T$21),"Desert and high aridity","")</f>
        <v/>
      </c>
      <c r="BD730" s="23" t="str">
        <f t="shared" si="50"/>
        <v/>
      </c>
      <c r="BE730" s="24">
        <f t="shared" si="48"/>
        <v>3</v>
      </c>
      <c r="BF730" s="24">
        <f t="shared" si="49"/>
        <v>5</v>
      </c>
    </row>
    <row r="731" spans="1:58" ht="16.25" customHeight="1" x14ac:dyDescent="0.2">
      <c r="A731">
        <v>77624975</v>
      </c>
      <c r="B731" t="s">
        <v>5472</v>
      </c>
      <c r="C731" s="14">
        <v>44322</v>
      </c>
      <c r="D731" t="s">
        <v>5473</v>
      </c>
      <c r="E731" t="s">
        <v>113</v>
      </c>
      <c r="F731">
        <v>1733683</v>
      </c>
      <c r="G731" t="s">
        <v>5474</v>
      </c>
      <c r="H731" t="s">
        <v>5475</v>
      </c>
      <c r="I731" t="s">
        <v>5476</v>
      </c>
      <c r="J731" t="s">
        <v>5477</v>
      </c>
      <c r="K731" t="s">
        <v>62</v>
      </c>
      <c r="L731" t="s">
        <v>63</v>
      </c>
      <c r="M731" t="s">
        <v>5478</v>
      </c>
      <c r="N731" t="s">
        <v>5479</v>
      </c>
      <c r="R731">
        <v>3</v>
      </c>
      <c r="S731">
        <v>0</v>
      </c>
      <c r="T731" t="b">
        <v>0</v>
      </c>
      <c r="U731">
        <v>3</v>
      </c>
      <c r="V731" t="s">
        <v>5480</v>
      </c>
      <c r="W731" s="15">
        <v>-29.78346844</v>
      </c>
      <c r="X731" s="15">
        <v>30.72307451</v>
      </c>
      <c r="Y731">
        <v>91</v>
      </c>
      <c r="AC731">
        <v>91</v>
      </c>
      <c r="AF731" t="b">
        <v>0</v>
      </c>
      <c r="AI731" t="s">
        <v>71</v>
      </c>
      <c r="AJ731" t="s">
        <v>70</v>
      </c>
      <c r="AK731" t="s">
        <v>71</v>
      </c>
      <c r="AL731" t="s">
        <v>72</v>
      </c>
      <c r="AM731">
        <v>346053</v>
      </c>
      <c r="AO731" s="16" t="s">
        <v>73</v>
      </c>
      <c r="AP731" s="17" t="str">
        <f t="shared" si="47"/>
        <v>Off-nest female</v>
      </c>
      <c r="AX731" s="22" t="str">
        <f>IF(AND('[1]observations-276632'!W731&gt;'[1]Methods write-up'!$Q$16,'[1]observations-276632'!W731&lt;'[1]Methods write-up'!$R$16,'[1]observations-276632'!X731&gt;'[1]Methods write-up'!$S$16,'[1]observations-276632'!X731&lt;'[1]Methods write-up'!$T$16),"West and Central Africa","")</f>
        <v/>
      </c>
      <c r="AY731" s="22" t="str">
        <f>IF(AND('[1]observations-276632'!W731&gt;'[1]Methods write-up'!$Q$17,'[1]observations-276632'!W731&lt;'[1]Methods write-up'!$R$17,'[1]observations-276632'!X731&gt;'[1]Methods write-up'!$S$17,'[1]observations-276632'!X731&lt;'[1]Methods write-up'!$T$17),"Equatorial tropical forest","")</f>
        <v/>
      </c>
      <c r="AZ731" s="22" t="str">
        <f>IF(AND('[1]observations-276632'!W731&gt;'[1]Methods write-up'!$Q$18,'[1]observations-276632'!W731&lt;'[1]Methods write-up'!$R$18,'[1]observations-276632'!X731&gt;'[1]Methods write-up'!$S$18,'[1]observations-276632'!X731&lt;'[1]Methods write-up'!$T$18),"Somali peninsula","")</f>
        <v/>
      </c>
      <c r="BA731" s="22" t="str">
        <f>IF(AND('[1]observations-276632'!W731&gt;'[1]Methods write-up'!$Q$19,'[1]observations-276632'!W731&lt;'[1]Methods write-up'!$R$19,'[1]observations-276632'!X731&gt;'[1]Methods write-up'!$S$19,'[1]observations-276632'!X731&lt;'[1]Methods write-up'!$T$19),"East Africa","")</f>
        <v/>
      </c>
      <c r="BB731" s="22" t="str">
        <f>IF(AND('[1]observations-276632'!W731&gt;'[1]Methods write-up'!$Q$20,'[1]observations-276632'!W731&lt;'[1]Methods write-up'!$R$20,'[1]observations-276632'!X731&gt;'[1]Methods write-up'!$S$20,'[1]observations-276632'!X731&lt;'[1]Methods write-up'!$T$20),"Temperate seasonal","")</f>
        <v>Temperate seasonal</v>
      </c>
      <c r="BC731" s="22" t="str">
        <f>IF(AND('[1]observations-276632'!W731&gt;'[1]Methods write-up'!$Q$21,'[1]observations-276632'!W731&lt;'[1]Methods write-up'!$R$21,'[1]observations-276632'!X731&gt;'[1]Methods write-up'!$S$21,'[1]observations-276632'!X731&lt;'[1]Methods write-up'!$T$21),"Desert and high aridity","")</f>
        <v/>
      </c>
      <c r="BD731" s="23" t="str">
        <f t="shared" si="50"/>
        <v>Temperate seasonal</v>
      </c>
      <c r="BE731" s="24">
        <f t="shared" si="48"/>
        <v>6</v>
      </c>
      <c r="BF731" s="24">
        <f t="shared" si="49"/>
        <v>5</v>
      </c>
    </row>
    <row r="732" spans="1:58" ht="16.25" customHeight="1" x14ac:dyDescent="0.2">
      <c r="A732">
        <v>77642925</v>
      </c>
      <c r="B732" t="s">
        <v>5481</v>
      </c>
      <c r="C732" s="14">
        <v>44320</v>
      </c>
      <c r="D732" t="s">
        <v>5482</v>
      </c>
      <c r="E732" t="s">
        <v>113</v>
      </c>
      <c r="F732">
        <v>3465995</v>
      </c>
      <c r="G732" t="s">
        <v>4866</v>
      </c>
      <c r="H732" t="s">
        <v>4867</v>
      </c>
      <c r="I732" t="s">
        <v>5483</v>
      </c>
      <c r="J732" t="s">
        <v>5484</v>
      </c>
      <c r="K732" t="s">
        <v>62</v>
      </c>
      <c r="L732" t="s">
        <v>63</v>
      </c>
      <c r="M732" t="s">
        <v>5485</v>
      </c>
      <c r="N732" t="s">
        <v>5486</v>
      </c>
      <c r="R732">
        <v>3</v>
      </c>
      <c r="S732">
        <v>0</v>
      </c>
      <c r="T732" t="b">
        <v>0</v>
      </c>
      <c r="V732" t="s">
        <v>4967</v>
      </c>
      <c r="W732" s="15">
        <v>-20.20826856</v>
      </c>
      <c r="X732" s="15">
        <v>28.577963860000001</v>
      </c>
      <c r="Y732">
        <v>7813</v>
      </c>
      <c r="AC732">
        <v>7813</v>
      </c>
      <c r="AF732" t="b">
        <v>0</v>
      </c>
      <c r="AI732" t="s">
        <v>71</v>
      </c>
      <c r="AJ732" t="s">
        <v>70</v>
      </c>
      <c r="AK732" t="s">
        <v>71</v>
      </c>
      <c r="AL732" t="s">
        <v>72</v>
      </c>
      <c r="AM732">
        <v>346053</v>
      </c>
      <c r="AO732" s="16" t="s">
        <v>73</v>
      </c>
      <c r="AP732" s="17" t="str">
        <f t="shared" si="47"/>
        <v>Off-nest female</v>
      </c>
      <c r="AX732" s="22" t="str">
        <f>IF(AND('[1]observations-276632'!W732&gt;'[1]Methods write-up'!$Q$16,'[1]observations-276632'!W732&lt;'[1]Methods write-up'!$R$16,'[1]observations-276632'!X732&gt;'[1]Methods write-up'!$S$16,'[1]observations-276632'!X732&lt;'[1]Methods write-up'!$T$16),"West and Central Africa","")</f>
        <v/>
      </c>
      <c r="AY732" s="22" t="str">
        <f>IF(AND('[1]observations-276632'!W732&gt;'[1]Methods write-up'!$Q$17,'[1]observations-276632'!W732&lt;'[1]Methods write-up'!$R$17,'[1]observations-276632'!X732&gt;'[1]Methods write-up'!$S$17,'[1]observations-276632'!X732&lt;'[1]Methods write-up'!$T$17),"Equatorial tropical forest","")</f>
        <v/>
      </c>
      <c r="AZ732" s="22" t="str">
        <f>IF(AND('[1]observations-276632'!W732&gt;'[1]Methods write-up'!$Q$18,'[1]observations-276632'!W732&lt;'[1]Methods write-up'!$R$18,'[1]observations-276632'!X732&gt;'[1]Methods write-up'!$S$18,'[1]observations-276632'!X732&lt;'[1]Methods write-up'!$T$18),"Somali peninsula","")</f>
        <v/>
      </c>
      <c r="BA732" s="22" t="str">
        <f>IF(AND('[1]observations-276632'!W732&gt;'[1]Methods write-up'!$Q$19,'[1]observations-276632'!W732&lt;'[1]Methods write-up'!$R$19,'[1]observations-276632'!X732&gt;'[1]Methods write-up'!$S$19,'[1]observations-276632'!X732&lt;'[1]Methods write-up'!$T$19),"East Africa","")</f>
        <v/>
      </c>
      <c r="BB732" s="22" t="str">
        <f>IF(AND('[1]observations-276632'!W732&gt;'[1]Methods write-up'!$Q$20,'[1]observations-276632'!W732&lt;'[1]Methods write-up'!$R$20,'[1]observations-276632'!X732&gt;'[1]Methods write-up'!$S$20,'[1]observations-276632'!X732&lt;'[1]Methods write-up'!$T$20),"Temperate seasonal","")</f>
        <v/>
      </c>
      <c r="BC732" s="22" t="str">
        <f>IF(AND('[1]observations-276632'!W732&gt;'[1]Methods write-up'!$Q$21,'[1]observations-276632'!W732&lt;'[1]Methods write-up'!$R$21,'[1]observations-276632'!X732&gt;'[1]Methods write-up'!$S$21,'[1]observations-276632'!X732&lt;'[1]Methods write-up'!$T$21),"Desert and high aridity","")</f>
        <v/>
      </c>
      <c r="BD732" s="23" t="str">
        <f t="shared" si="50"/>
        <v/>
      </c>
      <c r="BE732" s="24">
        <f t="shared" si="48"/>
        <v>4</v>
      </c>
      <c r="BF732" s="24">
        <f t="shared" si="49"/>
        <v>5</v>
      </c>
    </row>
    <row r="733" spans="1:58" ht="16.25" customHeight="1" x14ac:dyDescent="0.2">
      <c r="A733">
        <v>77812603</v>
      </c>
      <c r="B733" t="s">
        <v>5487</v>
      </c>
      <c r="C733" s="14">
        <v>44318</v>
      </c>
      <c r="D733" t="s">
        <v>5488</v>
      </c>
      <c r="E733" t="s">
        <v>113</v>
      </c>
      <c r="F733">
        <v>632306</v>
      </c>
      <c r="G733" t="s">
        <v>1011</v>
      </c>
      <c r="H733" t="s">
        <v>1012</v>
      </c>
      <c r="I733" t="s">
        <v>5489</v>
      </c>
      <c r="J733" t="s">
        <v>5490</v>
      </c>
      <c r="K733" t="s">
        <v>157</v>
      </c>
      <c r="L733" t="s">
        <v>63</v>
      </c>
      <c r="M733" t="s">
        <v>5491</v>
      </c>
      <c r="N733" t="s">
        <v>5492</v>
      </c>
      <c r="Q733" t="s">
        <v>5493</v>
      </c>
      <c r="R733">
        <v>3</v>
      </c>
      <c r="S733">
        <v>0</v>
      </c>
      <c r="T733" t="b">
        <v>0</v>
      </c>
      <c r="V733" t="s">
        <v>4190</v>
      </c>
      <c r="W733" s="15">
        <v>-24.55686961</v>
      </c>
      <c r="X733" s="15">
        <v>25.96277473</v>
      </c>
      <c r="Y733">
        <v>122</v>
      </c>
      <c r="AC733">
        <v>122</v>
      </c>
      <c r="AF733" t="b">
        <v>0</v>
      </c>
      <c r="AI733" t="s">
        <v>71</v>
      </c>
      <c r="AJ733" t="s">
        <v>70</v>
      </c>
      <c r="AK733" t="s">
        <v>71</v>
      </c>
      <c r="AL733" t="s">
        <v>72</v>
      </c>
      <c r="AM733">
        <v>346053</v>
      </c>
      <c r="AO733" s="16" t="s">
        <v>818</v>
      </c>
      <c r="AP733" s="17" t="str">
        <f t="shared" si="47"/>
        <v>Abandoned post-emergence nest</v>
      </c>
      <c r="AX733" s="22" t="str">
        <f>IF(AND('[1]observations-276632'!W733&gt;'[1]Methods write-up'!$Q$16,'[1]observations-276632'!W733&lt;'[1]Methods write-up'!$R$16,'[1]observations-276632'!X733&gt;'[1]Methods write-up'!$S$16,'[1]observations-276632'!X733&lt;'[1]Methods write-up'!$T$16),"West and Central Africa","")</f>
        <v/>
      </c>
      <c r="AY733" s="22" t="str">
        <f>IF(AND('[1]observations-276632'!W733&gt;'[1]Methods write-up'!$Q$17,'[1]observations-276632'!W733&lt;'[1]Methods write-up'!$R$17,'[1]observations-276632'!X733&gt;'[1]Methods write-up'!$S$17,'[1]observations-276632'!X733&lt;'[1]Methods write-up'!$T$17),"Equatorial tropical forest","")</f>
        <v/>
      </c>
      <c r="AZ733" s="22" t="str">
        <f>IF(AND('[1]observations-276632'!W733&gt;'[1]Methods write-up'!$Q$18,'[1]observations-276632'!W733&lt;'[1]Methods write-up'!$R$18,'[1]observations-276632'!X733&gt;'[1]Methods write-up'!$S$18,'[1]observations-276632'!X733&lt;'[1]Methods write-up'!$T$18),"Somali peninsula","")</f>
        <v/>
      </c>
      <c r="BA733" s="22" t="str">
        <f>IF(AND('[1]observations-276632'!W733&gt;'[1]Methods write-up'!$Q$19,'[1]observations-276632'!W733&lt;'[1]Methods write-up'!$R$19,'[1]observations-276632'!X733&gt;'[1]Methods write-up'!$S$19,'[1]observations-276632'!X733&lt;'[1]Methods write-up'!$T$19),"East Africa","")</f>
        <v/>
      </c>
      <c r="BB733" s="22" t="str">
        <f>IF(AND('[1]observations-276632'!W733&gt;'[1]Methods write-up'!$Q$20,'[1]observations-276632'!W733&lt;'[1]Methods write-up'!$R$20,'[1]observations-276632'!X733&gt;'[1]Methods write-up'!$S$20,'[1]observations-276632'!X733&lt;'[1]Methods write-up'!$T$20),"Temperate seasonal","")</f>
        <v/>
      </c>
      <c r="BC733" s="22" t="str">
        <f>IF(AND('[1]observations-276632'!W733&gt;'[1]Methods write-up'!$Q$21,'[1]observations-276632'!W733&lt;'[1]Methods write-up'!$R$21,'[1]observations-276632'!X733&gt;'[1]Methods write-up'!$S$21,'[1]observations-276632'!X733&lt;'[1]Methods write-up'!$T$21),"Desert and high aridity","")</f>
        <v/>
      </c>
      <c r="BD733" s="23" t="str">
        <f t="shared" si="50"/>
        <v/>
      </c>
      <c r="BE733" s="24">
        <f t="shared" si="48"/>
        <v>2</v>
      </c>
      <c r="BF733" s="24">
        <f t="shared" si="49"/>
        <v>5</v>
      </c>
    </row>
    <row r="734" spans="1:58" ht="16.25" customHeight="1" x14ac:dyDescent="0.2">
      <c r="A734">
        <v>77812684</v>
      </c>
      <c r="B734" t="s">
        <v>5494</v>
      </c>
      <c r="C734" s="14">
        <v>44318</v>
      </c>
      <c r="D734" t="s">
        <v>5495</v>
      </c>
      <c r="E734" t="s">
        <v>113</v>
      </c>
      <c r="F734">
        <v>632306</v>
      </c>
      <c r="G734" t="s">
        <v>1011</v>
      </c>
      <c r="H734" t="s">
        <v>1012</v>
      </c>
      <c r="I734" t="s">
        <v>5496</v>
      </c>
      <c r="J734" t="s">
        <v>5497</v>
      </c>
      <c r="K734" t="s">
        <v>62</v>
      </c>
      <c r="L734" t="s">
        <v>63</v>
      </c>
      <c r="M734" t="s">
        <v>5498</v>
      </c>
      <c r="N734" t="s">
        <v>5499</v>
      </c>
      <c r="Q734" t="s">
        <v>5500</v>
      </c>
      <c r="R734">
        <v>2</v>
      </c>
      <c r="S734">
        <v>0</v>
      </c>
      <c r="T734" t="b">
        <v>0</v>
      </c>
      <c r="V734" t="s">
        <v>4190</v>
      </c>
      <c r="W734" s="15">
        <v>-24.55686961</v>
      </c>
      <c r="X734" s="15">
        <v>25.96277473</v>
      </c>
      <c r="Y734">
        <v>122</v>
      </c>
      <c r="AC734">
        <v>122</v>
      </c>
      <c r="AF734" t="b">
        <v>0</v>
      </c>
      <c r="AI734" t="s">
        <v>71</v>
      </c>
      <c r="AJ734" t="s">
        <v>70</v>
      </c>
      <c r="AK734" t="s">
        <v>71</v>
      </c>
      <c r="AL734" t="s">
        <v>72</v>
      </c>
      <c r="AM734">
        <v>346053</v>
      </c>
      <c r="AO734" s="16" t="s">
        <v>150</v>
      </c>
      <c r="AP734" s="17" t="str">
        <f t="shared" si="47"/>
        <v>Male (off nest)</v>
      </c>
      <c r="AX734" s="22" t="str">
        <f>IF(AND('[1]observations-276632'!W734&gt;'[1]Methods write-up'!$Q$16,'[1]observations-276632'!W734&lt;'[1]Methods write-up'!$R$16,'[1]observations-276632'!X734&gt;'[1]Methods write-up'!$S$16,'[1]observations-276632'!X734&lt;'[1]Methods write-up'!$T$16),"West and Central Africa","")</f>
        <v/>
      </c>
      <c r="AY734" s="22" t="str">
        <f>IF(AND('[1]observations-276632'!W734&gt;'[1]Methods write-up'!$Q$17,'[1]observations-276632'!W734&lt;'[1]Methods write-up'!$R$17,'[1]observations-276632'!X734&gt;'[1]Methods write-up'!$S$17,'[1]observations-276632'!X734&lt;'[1]Methods write-up'!$T$17),"Equatorial tropical forest","")</f>
        <v/>
      </c>
      <c r="AZ734" s="22" t="str">
        <f>IF(AND('[1]observations-276632'!W734&gt;'[1]Methods write-up'!$Q$18,'[1]observations-276632'!W734&lt;'[1]Methods write-up'!$R$18,'[1]observations-276632'!X734&gt;'[1]Methods write-up'!$S$18,'[1]observations-276632'!X734&lt;'[1]Methods write-up'!$T$18),"Somali peninsula","")</f>
        <v/>
      </c>
      <c r="BA734" s="22" t="str">
        <f>IF(AND('[1]observations-276632'!W734&gt;'[1]Methods write-up'!$Q$19,'[1]observations-276632'!W734&lt;'[1]Methods write-up'!$R$19,'[1]observations-276632'!X734&gt;'[1]Methods write-up'!$S$19,'[1]observations-276632'!X734&lt;'[1]Methods write-up'!$T$19),"East Africa","")</f>
        <v/>
      </c>
      <c r="BB734" s="22" t="str">
        <f>IF(AND('[1]observations-276632'!W734&gt;'[1]Methods write-up'!$Q$20,'[1]observations-276632'!W734&lt;'[1]Methods write-up'!$R$20,'[1]observations-276632'!X734&gt;'[1]Methods write-up'!$S$20,'[1]observations-276632'!X734&lt;'[1]Methods write-up'!$T$20),"Temperate seasonal","")</f>
        <v/>
      </c>
      <c r="BC734" s="22" t="str">
        <f>IF(AND('[1]observations-276632'!W734&gt;'[1]Methods write-up'!$Q$21,'[1]observations-276632'!W734&lt;'[1]Methods write-up'!$R$21,'[1]observations-276632'!X734&gt;'[1]Methods write-up'!$S$21,'[1]observations-276632'!X734&lt;'[1]Methods write-up'!$T$21),"Desert and high aridity","")</f>
        <v/>
      </c>
      <c r="BD734" s="23" t="str">
        <f t="shared" si="50"/>
        <v/>
      </c>
      <c r="BE734" s="24">
        <f t="shared" si="48"/>
        <v>2</v>
      </c>
      <c r="BF734" s="24">
        <f t="shared" si="49"/>
        <v>5</v>
      </c>
    </row>
    <row r="735" spans="1:58" ht="16.25" customHeight="1" x14ac:dyDescent="0.2">
      <c r="A735">
        <v>78012054</v>
      </c>
      <c r="B735" t="s">
        <v>5501</v>
      </c>
      <c r="C735" s="14">
        <v>42872</v>
      </c>
      <c r="D735" t="s">
        <v>5502</v>
      </c>
      <c r="E735" t="s">
        <v>1408</v>
      </c>
      <c r="F735">
        <v>4378810</v>
      </c>
      <c r="G735" t="s">
        <v>5503</v>
      </c>
      <c r="I735" t="s">
        <v>5504</v>
      </c>
      <c r="J735" t="s">
        <v>5505</v>
      </c>
      <c r="K735" t="s">
        <v>62</v>
      </c>
      <c r="L735" t="s">
        <v>63</v>
      </c>
      <c r="M735" t="s">
        <v>5506</v>
      </c>
      <c r="N735" t="s">
        <v>5507</v>
      </c>
      <c r="R735">
        <v>2</v>
      </c>
      <c r="S735">
        <v>0</v>
      </c>
      <c r="T735" t="b">
        <v>0</v>
      </c>
      <c r="V735" t="s">
        <v>5508</v>
      </c>
      <c r="W735" s="15">
        <v>-17.791942330000001</v>
      </c>
      <c r="X735" s="15">
        <v>36.787985589999998</v>
      </c>
      <c r="Y735">
        <v>15</v>
      </c>
      <c r="AC735">
        <v>15</v>
      </c>
      <c r="AF735" t="b">
        <v>0</v>
      </c>
      <c r="AI735" t="s">
        <v>71</v>
      </c>
      <c r="AJ735" t="s">
        <v>70</v>
      </c>
      <c r="AK735" t="s">
        <v>71</v>
      </c>
      <c r="AL735" t="s">
        <v>72</v>
      </c>
      <c r="AM735">
        <v>346053</v>
      </c>
      <c r="AO735" s="16" t="s">
        <v>73</v>
      </c>
      <c r="AP735" s="17" t="str">
        <f t="shared" si="47"/>
        <v>Off-nest female</v>
      </c>
      <c r="AX735" s="22" t="str">
        <f>IF(AND('[1]observations-276632'!W735&gt;'[1]Methods write-up'!$Q$16,'[1]observations-276632'!W735&lt;'[1]Methods write-up'!$R$16,'[1]observations-276632'!X735&gt;'[1]Methods write-up'!$S$16,'[1]observations-276632'!X735&lt;'[1]Methods write-up'!$T$16),"West and Central Africa","")</f>
        <v/>
      </c>
      <c r="AY735" s="22" t="str">
        <f>IF(AND('[1]observations-276632'!W735&gt;'[1]Methods write-up'!$Q$17,'[1]observations-276632'!W735&lt;'[1]Methods write-up'!$R$17,'[1]observations-276632'!X735&gt;'[1]Methods write-up'!$S$17,'[1]observations-276632'!X735&lt;'[1]Methods write-up'!$T$17),"Equatorial tropical forest","")</f>
        <v/>
      </c>
      <c r="AZ735" s="22" t="str">
        <f>IF(AND('[1]observations-276632'!W735&gt;'[1]Methods write-up'!$Q$18,'[1]observations-276632'!W735&lt;'[1]Methods write-up'!$R$18,'[1]observations-276632'!X735&gt;'[1]Methods write-up'!$S$18,'[1]observations-276632'!X735&lt;'[1]Methods write-up'!$T$18),"Somali peninsula","")</f>
        <v/>
      </c>
      <c r="BA735" s="22" t="str">
        <f>IF(AND('[1]observations-276632'!W735&gt;'[1]Methods write-up'!$Q$19,'[1]observations-276632'!W735&lt;'[1]Methods write-up'!$R$19,'[1]observations-276632'!X735&gt;'[1]Methods write-up'!$S$19,'[1]observations-276632'!X735&lt;'[1]Methods write-up'!$T$19),"East Africa","")</f>
        <v/>
      </c>
      <c r="BB735" s="22" t="str">
        <f>IF(AND('[1]observations-276632'!W735&gt;'[1]Methods write-up'!$Q$20,'[1]observations-276632'!W735&lt;'[1]Methods write-up'!$R$20,'[1]observations-276632'!X735&gt;'[1]Methods write-up'!$S$20,'[1]observations-276632'!X735&lt;'[1]Methods write-up'!$T$20),"Temperate seasonal","")</f>
        <v/>
      </c>
      <c r="BC735" s="22" t="str">
        <f>IF(AND('[1]observations-276632'!W735&gt;'[1]Methods write-up'!$Q$21,'[1]observations-276632'!W735&lt;'[1]Methods write-up'!$R$21,'[1]observations-276632'!X735&gt;'[1]Methods write-up'!$S$21,'[1]observations-276632'!X735&lt;'[1]Methods write-up'!$T$21),"Desert and high aridity","")</f>
        <v/>
      </c>
      <c r="BD735" s="23" t="str">
        <f t="shared" si="50"/>
        <v/>
      </c>
      <c r="BE735" s="24">
        <f t="shared" si="48"/>
        <v>17</v>
      </c>
      <c r="BF735" s="24">
        <f t="shared" si="49"/>
        <v>5</v>
      </c>
    </row>
    <row r="736" spans="1:58" ht="16.25" customHeight="1" x14ac:dyDescent="0.2">
      <c r="A736">
        <v>78032698</v>
      </c>
      <c r="B736" s="25">
        <v>44316.480555555558</v>
      </c>
      <c r="C736" s="14">
        <v>44316</v>
      </c>
      <c r="D736" t="s">
        <v>5509</v>
      </c>
      <c r="E736" t="s">
        <v>113</v>
      </c>
      <c r="F736">
        <v>1002209</v>
      </c>
      <c r="G736" t="s">
        <v>3418</v>
      </c>
      <c r="H736" t="s">
        <v>3419</v>
      </c>
      <c r="I736" t="s">
        <v>5510</v>
      </c>
      <c r="J736" t="s">
        <v>5511</v>
      </c>
      <c r="K736" t="s">
        <v>62</v>
      </c>
      <c r="L736" t="s">
        <v>63</v>
      </c>
      <c r="M736" t="s">
        <v>5512</v>
      </c>
      <c r="N736" t="s">
        <v>5513</v>
      </c>
      <c r="R736">
        <v>3</v>
      </c>
      <c r="S736">
        <v>0</v>
      </c>
      <c r="T736" t="b">
        <v>0</v>
      </c>
      <c r="U736">
        <v>2</v>
      </c>
      <c r="V736" t="s">
        <v>4275</v>
      </c>
      <c r="W736" s="15">
        <v>-33.995452800000002</v>
      </c>
      <c r="X736" s="15">
        <v>22.548577600000002</v>
      </c>
      <c r="AF736" t="b">
        <v>0</v>
      </c>
      <c r="AG736" t="s">
        <v>350</v>
      </c>
      <c r="AH736" t="s">
        <v>350</v>
      </c>
      <c r="AI736" t="s">
        <v>71</v>
      </c>
      <c r="AJ736" t="s">
        <v>70</v>
      </c>
      <c r="AK736" t="s">
        <v>71</v>
      </c>
      <c r="AL736" t="s">
        <v>72</v>
      </c>
      <c r="AM736">
        <v>346053</v>
      </c>
      <c r="AO736" s="16" t="s">
        <v>1574</v>
      </c>
      <c r="AP736" s="17" t="str">
        <f t="shared" si="47"/>
        <v>Nest (foundress)</v>
      </c>
      <c r="AQ736" s="18">
        <v>2</v>
      </c>
      <c r="AT736" s="19" t="s">
        <v>141</v>
      </c>
      <c r="AU736" s="20" t="s">
        <v>104</v>
      </c>
      <c r="AX736" s="22" t="str">
        <f>IF(AND('[1]observations-276632'!W736&gt;'[1]Methods write-up'!$Q$16,'[1]observations-276632'!W736&lt;'[1]Methods write-up'!$R$16,'[1]observations-276632'!X736&gt;'[1]Methods write-up'!$S$16,'[1]observations-276632'!X736&lt;'[1]Methods write-up'!$T$16),"West and Central Africa","")</f>
        <v/>
      </c>
      <c r="AY736" s="22" t="str">
        <f>IF(AND('[1]observations-276632'!W736&gt;'[1]Methods write-up'!$Q$17,'[1]observations-276632'!W736&lt;'[1]Methods write-up'!$R$17,'[1]observations-276632'!X736&gt;'[1]Methods write-up'!$S$17,'[1]observations-276632'!X736&lt;'[1]Methods write-up'!$T$17),"Equatorial tropical forest","")</f>
        <v/>
      </c>
      <c r="AZ736" s="22" t="str">
        <f>IF(AND('[1]observations-276632'!W736&gt;'[1]Methods write-up'!$Q$18,'[1]observations-276632'!W736&lt;'[1]Methods write-up'!$R$18,'[1]observations-276632'!X736&gt;'[1]Methods write-up'!$S$18,'[1]observations-276632'!X736&lt;'[1]Methods write-up'!$T$18),"Somali peninsula","")</f>
        <v/>
      </c>
      <c r="BA736" s="22" t="str">
        <f>IF(AND('[1]observations-276632'!W736&gt;'[1]Methods write-up'!$Q$19,'[1]observations-276632'!W736&lt;'[1]Methods write-up'!$R$19,'[1]observations-276632'!X736&gt;'[1]Methods write-up'!$S$19,'[1]observations-276632'!X736&lt;'[1]Methods write-up'!$T$19),"East Africa","")</f>
        <v/>
      </c>
      <c r="BB736" s="22" t="str">
        <f>IF(AND('[1]observations-276632'!W736&gt;'[1]Methods write-up'!$Q$20,'[1]observations-276632'!W736&lt;'[1]Methods write-up'!$R$20,'[1]observations-276632'!X736&gt;'[1]Methods write-up'!$S$20,'[1]observations-276632'!X736&lt;'[1]Methods write-up'!$T$20),"Temperate seasonal","")</f>
        <v/>
      </c>
      <c r="BC736" s="22" t="str">
        <f>IF(AND('[1]observations-276632'!W736&gt;'[1]Methods write-up'!$Q$21,'[1]observations-276632'!W736&lt;'[1]Methods write-up'!$R$21,'[1]observations-276632'!X736&gt;'[1]Methods write-up'!$S$21,'[1]observations-276632'!X736&lt;'[1]Methods write-up'!$T$21),"Desert and high aridity","")</f>
        <v/>
      </c>
      <c r="BD736" s="23" t="str">
        <f t="shared" si="50"/>
        <v/>
      </c>
      <c r="BE736" s="24">
        <f t="shared" si="48"/>
        <v>30</v>
      </c>
      <c r="BF736" s="24">
        <f t="shared" si="49"/>
        <v>4</v>
      </c>
    </row>
    <row r="737" spans="1:58" ht="16.25" customHeight="1" x14ac:dyDescent="0.2">
      <c r="A737">
        <v>78076135</v>
      </c>
      <c r="B737" t="s">
        <v>5514</v>
      </c>
      <c r="C737" s="14">
        <v>44324</v>
      </c>
      <c r="D737" t="s">
        <v>5515</v>
      </c>
      <c r="E737" t="s">
        <v>403</v>
      </c>
      <c r="F737">
        <v>3413015</v>
      </c>
      <c r="G737" t="s">
        <v>5516</v>
      </c>
      <c r="I737" t="s">
        <v>5517</v>
      </c>
      <c r="J737" t="s">
        <v>5518</v>
      </c>
      <c r="K737" t="s">
        <v>62</v>
      </c>
      <c r="L737" t="s">
        <v>63</v>
      </c>
      <c r="M737" t="s">
        <v>5519</v>
      </c>
      <c r="N737" t="s">
        <v>5520</v>
      </c>
      <c r="R737">
        <v>3</v>
      </c>
      <c r="S737">
        <v>0</v>
      </c>
      <c r="T737" t="b">
        <v>0</v>
      </c>
      <c r="U737">
        <v>3</v>
      </c>
      <c r="V737" t="s">
        <v>5521</v>
      </c>
      <c r="W737" s="15">
        <v>-12.32568287</v>
      </c>
      <c r="X737" s="15">
        <v>49.337834460000003</v>
      </c>
      <c r="Y737">
        <v>5</v>
      </c>
      <c r="AC737">
        <v>5</v>
      </c>
      <c r="AF737" t="b">
        <v>0</v>
      </c>
      <c r="AI737" t="s">
        <v>71</v>
      </c>
      <c r="AJ737" t="s">
        <v>70</v>
      </c>
      <c r="AK737" t="s">
        <v>71</v>
      </c>
      <c r="AL737" t="s">
        <v>72</v>
      </c>
      <c r="AM737">
        <v>346053</v>
      </c>
      <c r="AO737" s="16" t="s">
        <v>140</v>
      </c>
      <c r="AP737" s="17" t="str">
        <f t="shared" si="47"/>
        <v>Post-emergence nest</v>
      </c>
      <c r="AQ737" s="18">
        <v>10</v>
      </c>
      <c r="AT737" s="19" t="s">
        <v>141</v>
      </c>
      <c r="AU737" s="20" t="s">
        <v>104</v>
      </c>
      <c r="AX737" s="22" t="str">
        <f>IF(AND('[1]observations-276632'!W737&gt;'[1]Methods write-up'!$Q$16,'[1]observations-276632'!W737&lt;'[1]Methods write-up'!$R$16,'[1]observations-276632'!X737&gt;'[1]Methods write-up'!$S$16,'[1]observations-276632'!X737&lt;'[1]Methods write-up'!$T$16),"West and Central Africa","")</f>
        <v/>
      </c>
      <c r="AY737" s="22" t="str">
        <f>IF(AND('[1]observations-276632'!W737&gt;'[1]Methods write-up'!$Q$17,'[1]observations-276632'!W737&lt;'[1]Methods write-up'!$R$17,'[1]observations-276632'!X737&gt;'[1]Methods write-up'!$S$17,'[1]observations-276632'!X737&lt;'[1]Methods write-up'!$T$17),"Equatorial tropical forest","")</f>
        <v/>
      </c>
      <c r="AZ737" s="22" t="str">
        <f>IF(AND('[1]observations-276632'!W737&gt;'[1]Methods write-up'!$Q$18,'[1]observations-276632'!W737&lt;'[1]Methods write-up'!$R$18,'[1]observations-276632'!X737&gt;'[1]Methods write-up'!$S$18,'[1]observations-276632'!X737&lt;'[1]Methods write-up'!$T$18),"Somali peninsula","")</f>
        <v/>
      </c>
      <c r="BA737" s="22" t="str">
        <f>IF(AND('[1]observations-276632'!W737&gt;'[1]Methods write-up'!$Q$19,'[1]observations-276632'!W737&lt;'[1]Methods write-up'!$R$19,'[1]observations-276632'!X737&gt;'[1]Methods write-up'!$S$19,'[1]observations-276632'!X737&lt;'[1]Methods write-up'!$T$19),"East Africa","")</f>
        <v/>
      </c>
      <c r="BB737" s="22" t="str">
        <f>IF(AND('[1]observations-276632'!W737&gt;'[1]Methods write-up'!$Q$20,'[1]observations-276632'!W737&lt;'[1]Methods write-up'!$R$20,'[1]observations-276632'!X737&gt;'[1]Methods write-up'!$S$20,'[1]observations-276632'!X737&lt;'[1]Methods write-up'!$T$20),"Temperate seasonal","")</f>
        <v/>
      </c>
      <c r="BC737" s="22" t="str">
        <f>IF(AND('[1]observations-276632'!W737&gt;'[1]Methods write-up'!$Q$21,'[1]observations-276632'!W737&lt;'[1]Methods write-up'!$R$21,'[1]observations-276632'!X737&gt;'[1]Methods write-up'!$S$21,'[1]observations-276632'!X737&lt;'[1]Methods write-up'!$T$21),"Desert and high aridity","")</f>
        <v/>
      </c>
      <c r="BD737" s="23" t="str">
        <f t="shared" si="50"/>
        <v/>
      </c>
      <c r="BE737" s="24">
        <f t="shared" si="48"/>
        <v>8</v>
      </c>
      <c r="BF737" s="24">
        <f t="shared" si="49"/>
        <v>5</v>
      </c>
    </row>
    <row r="738" spans="1:58" ht="16.25" customHeight="1" x14ac:dyDescent="0.2">
      <c r="A738">
        <v>78192866</v>
      </c>
      <c r="B738" s="25">
        <v>44324.511805555558</v>
      </c>
      <c r="C738" s="14">
        <v>44324</v>
      </c>
      <c r="D738" t="s">
        <v>5522</v>
      </c>
      <c r="E738" t="s">
        <v>201</v>
      </c>
      <c r="F738">
        <v>1532469</v>
      </c>
      <c r="G738" t="s">
        <v>5523</v>
      </c>
      <c r="H738" t="s">
        <v>5524</v>
      </c>
      <c r="I738" t="s">
        <v>5525</v>
      </c>
      <c r="J738" t="s">
        <v>5526</v>
      </c>
      <c r="K738" t="s">
        <v>62</v>
      </c>
      <c r="M738" t="s">
        <v>5527</v>
      </c>
      <c r="N738" t="s">
        <v>5528</v>
      </c>
      <c r="R738">
        <v>1</v>
      </c>
      <c r="S738">
        <v>0</v>
      </c>
      <c r="T738" t="b">
        <v>0</v>
      </c>
      <c r="U738">
        <v>2</v>
      </c>
      <c r="V738" t="s">
        <v>5529</v>
      </c>
      <c r="W738" s="15">
        <v>-3.38230304</v>
      </c>
      <c r="X738" s="15">
        <v>36.790102079999997</v>
      </c>
      <c r="Y738">
        <v>7</v>
      </c>
      <c r="AC738">
        <v>7</v>
      </c>
      <c r="AF738" t="b">
        <v>0</v>
      </c>
      <c r="AI738" t="s">
        <v>71</v>
      </c>
      <c r="AJ738" t="s">
        <v>70</v>
      </c>
      <c r="AK738" t="s">
        <v>71</v>
      </c>
      <c r="AL738" t="s">
        <v>72</v>
      </c>
      <c r="AM738">
        <v>346053</v>
      </c>
      <c r="AO738" s="16" t="s">
        <v>73</v>
      </c>
      <c r="AP738" s="17" t="str">
        <f t="shared" si="47"/>
        <v>Off-nest female</v>
      </c>
      <c r="AX738" s="22" t="str">
        <f>IF(AND('[1]observations-276632'!W738&gt;'[1]Methods write-up'!$Q$16,'[1]observations-276632'!W738&lt;'[1]Methods write-up'!$R$16,'[1]observations-276632'!X738&gt;'[1]Methods write-up'!$S$16,'[1]observations-276632'!X738&lt;'[1]Methods write-up'!$T$16),"West and Central Africa","")</f>
        <v/>
      </c>
      <c r="AY738" s="22" t="str">
        <f>IF(AND('[1]observations-276632'!W738&gt;'[1]Methods write-up'!$Q$17,'[1]observations-276632'!W738&lt;'[1]Methods write-up'!$R$17,'[1]observations-276632'!X738&gt;'[1]Methods write-up'!$S$17,'[1]observations-276632'!X738&lt;'[1]Methods write-up'!$T$17),"Equatorial tropical forest","")</f>
        <v/>
      </c>
      <c r="AZ738" s="22" t="str">
        <f>IF(AND('[1]observations-276632'!W738&gt;'[1]Methods write-up'!$Q$18,'[1]observations-276632'!W738&lt;'[1]Methods write-up'!$R$18,'[1]observations-276632'!X738&gt;'[1]Methods write-up'!$S$18,'[1]observations-276632'!X738&lt;'[1]Methods write-up'!$T$18),"Somali peninsula","")</f>
        <v/>
      </c>
      <c r="BA738" s="22" t="str">
        <f>IF(AND('[1]observations-276632'!W738&gt;'[1]Methods write-up'!$Q$19,'[1]observations-276632'!W738&lt;'[1]Methods write-up'!$R$19,'[1]observations-276632'!X738&gt;'[1]Methods write-up'!$S$19,'[1]observations-276632'!X738&lt;'[1]Methods write-up'!$T$19),"East Africa","")</f>
        <v>East Africa</v>
      </c>
      <c r="BB738" s="22" t="str">
        <f>IF(AND('[1]observations-276632'!W738&gt;'[1]Methods write-up'!$Q$20,'[1]observations-276632'!W738&lt;'[1]Methods write-up'!$R$20,'[1]observations-276632'!X738&gt;'[1]Methods write-up'!$S$20,'[1]observations-276632'!X738&lt;'[1]Methods write-up'!$T$20),"Temperate seasonal","")</f>
        <v/>
      </c>
      <c r="BC738" s="22" t="str">
        <f>IF(AND('[1]observations-276632'!W738&gt;'[1]Methods write-up'!$Q$21,'[1]observations-276632'!W738&lt;'[1]Methods write-up'!$R$21,'[1]observations-276632'!X738&gt;'[1]Methods write-up'!$S$21,'[1]observations-276632'!X738&lt;'[1]Methods write-up'!$T$21),"Desert and high aridity","")</f>
        <v/>
      </c>
      <c r="BD738" s="23" t="str">
        <f t="shared" si="50"/>
        <v>East Africa</v>
      </c>
      <c r="BE738" s="24">
        <f t="shared" si="48"/>
        <v>8</v>
      </c>
      <c r="BF738" s="24">
        <f t="shared" si="49"/>
        <v>5</v>
      </c>
    </row>
    <row r="739" spans="1:58" ht="16.25" customHeight="1" x14ac:dyDescent="0.2">
      <c r="A739">
        <v>78218106</v>
      </c>
      <c r="B739" t="s">
        <v>5530</v>
      </c>
      <c r="C739" s="14">
        <v>44326</v>
      </c>
      <c r="D739" t="s">
        <v>5531</v>
      </c>
      <c r="E739" t="s">
        <v>113</v>
      </c>
      <c r="F739">
        <v>1688517</v>
      </c>
      <c r="G739" t="s">
        <v>5532</v>
      </c>
      <c r="I739" t="s">
        <v>5533</v>
      </c>
      <c r="J739" t="s">
        <v>5534</v>
      </c>
      <c r="K739" t="s">
        <v>62</v>
      </c>
      <c r="L739" t="s">
        <v>63</v>
      </c>
      <c r="M739" t="s">
        <v>5535</v>
      </c>
      <c r="N739" t="s">
        <v>5536</v>
      </c>
      <c r="R739">
        <v>2</v>
      </c>
      <c r="S739">
        <v>0</v>
      </c>
      <c r="T739" t="b">
        <v>0</v>
      </c>
      <c r="U739">
        <v>3</v>
      </c>
      <c r="V739" t="s">
        <v>5537</v>
      </c>
      <c r="W739" s="15">
        <v>-25.90950333</v>
      </c>
      <c r="X739" s="15">
        <v>28.173394999999999</v>
      </c>
      <c r="Y739">
        <v>9</v>
      </c>
      <c r="AC739">
        <v>9</v>
      </c>
      <c r="AF739" t="b">
        <v>0</v>
      </c>
      <c r="AI739" t="s">
        <v>71</v>
      </c>
      <c r="AJ739" t="s">
        <v>70</v>
      </c>
      <c r="AK739" t="s">
        <v>71</v>
      </c>
      <c r="AL739" t="s">
        <v>72</v>
      </c>
      <c r="AM739">
        <v>346053</v>
      </c>
      <c r="AO739" s="16" t="s">
        <v>150</v>
      </c>
      <c r="AP739" s="17" t="str">
        <f t="shared" si="47"/>
        <v>Male (off nest)</v>
      </c>
      <c r="AX739" s="22" t="str">
        <f>IF(AND('[1]observations-276632'!W739&gt;'[1]Methods write-up'!$Q$16,'[1]observations-276632'!W739&lt;'[1]Methods write-up'!$R$16,'[1]observations-276632'!X739&gt;'[1]Methods write-up'!$S$16,'[1]observations-276632'!X739&lt;'[1]Methods write-up'!$T$16),"West and Central Africa","")</f>
        <v/>
      </c>
      <c r="AY739" s="22" t="str">
        <f>IF(AND('[1]observations-276632'!W739&gt;'[1]Methods write-up'!$Q$17,'[1]observations-276632'!W739&lt;'[1]Methods write-up'!$R$17,'[1]observations-276632'!X739&gt;'[1]Methods write-up'!$S$17,'[1]observations-276632'!X739&lt;'[1]Methods write-up'!$T$17),"Equatorial tropical forest","")</f>
        <v/>
      </c>
      <c r="AZ739" s="22" t="str">
        <f>IF(AND('[1]observations-276632'!W739&gt;'[1]Methods write-up'!$Q$18,'[1]observations-276632'!W739&lt;'[1]Methods write-up'!$R$18,'[1]observations-276632'!X739&gt;'[1]Methods write-up'!$S$18,'[1]observations-276632'!X739&lt;'[1]Methods write-up'!$T$18),"Somali peninsula","")</f>
        <v/>
      </c>
      <c r="BA739" s="22" t="str">
        <f>IF(AND('[1]observations-276632'!W739&gt;'[1]Methods write-up'!$Q$19,'[1]observations-276632'!W739&lt;'[1]Methods write-up'!$R$19,'[1]observations-276632'!X739&gt;'[1]Methods write-up'!$S$19,'[1]observations-276632'!X739&lt;'[1]Methods write-up'!$T$19),"East Africa","")</f>
        <v/>
      </c>
      <c r="BB739" s="22" t="str">
        <f>IF(AND('[1]observations-276632'!W739&gt;'[1]Methods write-up'!$Q$20,'[1]observations-276632'!W739&lt;'[1]Methods write-up'!$R$20,'[1]observations-276632'!X739&gt;'[1]Methods write-up'!$S$20,'[1]observations-276632'!X739&lt;'[1]Methods write-up'!$T$20),"Temperate seasonal","")</f>
        <v>Temperate seasonal</v>
      </c>
      <c r="BC739" s="22" t="str">
        <f>IF(AND('[1]observations-276632'!W739&gt;'[1]Methods write-up'!$Q$21,'[1]observations-276632'!W739&lt;'[1]Methods write-up'!$R$21,'[1]observations-276632'!X739&gt;'[1]Methods write-up'!$S$21,'[1]observations-276632'!X739&lt;'[1]Methods write-up'!$T$21),"Desert and high aridity","")</f>
        <v/>
      </c>
      <c r="BD739" s="23" t="str">
        <f t="shared" si="50"/>
        <v>Temperate seasonal</v>
      </c>
      <c r="BE739" s="24">
        <f t="shared" si="48"/>
        <v>10</v>
      </c>
      <c r="BF739" s="24">
        <f t="shared" si="49"/>
        <v>5</v>
      </c>
    </row>
    <row r="740" spans="1:58" ht="16.25" customHeight="1" x14ac:dyDescent="0.2">
      <c r="A740">
        <v>78457227</v>
      </c>
      <c r="B740" t="s">
        <v>5538</v>
      </c>
      <c r="C740" s="14">
        <v>44297</v>
      </c>
      <c r="D740" t="s">
        <v>5539</v>
      </c>
      <c r="E740" t="s">
        <v>113</v>
      </c>
      <c r="F740">
        <v>772424</v>
      </c>
      <c r="G740" t="s">
        <v>5540</v>
      </c>
      <c r="I740" t="s">
        <v>5541</v>
      </c>
      <c r="J740" t="s">
        <v>5542</v>
      </c>
      <c r="K740" t="s">
        <v>62</v>
      </c>
      <c r="L740" t="s">
        <v>63</v>
      </c>
      <c r="M740" t="s">
        <v>5543</v>
      </c>
      <c r="N740" t="s">
        <v>5544</v>
      </c>
      <c r="Q740" t="s">
        <v>5545</v>
      </c>
      <c r="R740">
        <v>3</v>
      </c>
      <c r="S740">
        <v>0</v>
      </c>
      <c r="T740" t="b">
        <v>0</v>
      </c>
      <c r="V740" t="s">
        <v>5546</v>
      </c>
      <c r="W740" s="15">
        <v>-26.018712300000001</v>
      </c>
      <c r="X740" s="15">
        <v>28.028662690000001</v>
      </c>
      <c r="Y740">
        <v>4</v>
      </c>
      <c r="AC740">
        <v>4</v>
      </c>
      <c r="AF740" t="b">
        <v>0</v>
      </c>
      <c r="AI740" t="s">
        <v>71</v>
      </c>
      <c r="AJ740" t="s">
        <v>70</v>
      </c>
      <c r="AK740" t="s">
        <v>71</v>
      </c>
      <c r="AL740" t="s">
        <v>72</v>
      </c>
      <c r="AM740">
        <v>346053</v>
      </c>
      <c r="AO740" s="16" t="s">
        <v>140</v>
      </c>
      <c r="AP740" s="17" t="str">
        <f t="shared" si="47"/>
        <v>Post-emergence nest</v>
      </c>
      <c r="AQ740" s="18">
        <v>27</v>
      </c>
      <c r="AT740" s="19" t="s">
        <v>141</v>
      </c>
      <c r="AU740" s="20" t="s">
        <v>141</v>
      </c>
      <c r="AX740" s="22" t="str">
        <f>IF(AND('[1]observations-276632'!W740&gt;'[1]Methods write-up'!$Q$16,'[1]observations-276632'!W740&lt;'[1]Methods write-up'!$R$16,'[1]observations-276632'!X740&gt;'[1]Methods write-up'!$S$16,'[1]observations-276632'!X740&lt;'[1]Methods write-up'!$T$16),"West and Central Africa","")</f>
        <v/>
      </c>
      <c r="AY740" s="22" t="str">
        <f>IF(AND('[1]observations-276632'!W740&gt;'[1]Methods write-up'!$Q$17,'[1]observations-276632'!W740&lt;'[1]Methods write-up'!$R$17,'[1]observations-276632'!X740&gt;'[1]Methods write-up'!$S$17,'[1]observations-276632'!X740&lt;'[1]Methods write-up'!$T$17),"Equatorial tropical forest","")</f>
        <v/>
      </c>
      <c r="AZ740" s="22" t="str">
        <f>IF(AND('[1]observations-276632'!W740&gt;'[1]Methods write-up'!$Q$18,'[1]observations-276632'!W740&lt;'[1]Methods write-up'!$R$18,'[1]observations-276632'!X740&gt;'[1]Methods write-up'!$S$18,'[1]observations-276632'!X740&lt;'[1]Methods write-up'!$T$18),"Somali peninsula","")</f>
        <v/>
      </c>
      <c r="BA740" s="22" t="str">
        <f>IF(AND('[1]observations-276632'!W740&gt;'[1]Methods write-up'!$Q$19,'[1]observations-276632'!W740&lt;'[1]Methods write-up'!$R$19,'[1]observations-276632'!X740&gt;'[1]Methods write-up'!$S$19,'[1]observations-276632'!X740&lt;'[1]Methods write-up'!$T$19),"East Africa","")</f>
        <v/>
      </c>
      <c r="BB740" s="22" t="str">
        <f>IF(AND('[1]observations-276632'!W740&gt;'[1]Methods write-up'!$Q$20,'[1]observations-276632'!W740&lt;'[1]Methods write-up'!$R$20,'[1]observations-276632'!X740&gt;'[1]Methods write-up'!$S$20,'[1]observations-276632'!X740&lt;'[1]Methods write-up'!$T$20),"Temperate seasonal","")</f>
        <v>Temperate seasonal</v>
      </c>
      <c r="BC740" s="22" t="str">
        <f>IF(AND('[1]observations-276632'!W740&gt;'[1]Methods write-up'!$Q$21,'[1]observations-276632'!W740&lt;'[1]Methods write-up'!$R$21,'[1]observations-276632'!X740&gt;'[1]Methods write-up'!$S$21,'[1]observations-276632'!X740&lt;'[1]Methods write-up'!$T$21),"Desert and high aridity","")</f>
        <v/>
      </c>
      <c r="BD740" s="23" t="str">
        <f t="shared" si="50"/>
        <v>Temperate seasonal</v>
      </c>
      <c r="BE740" s="24">
        <f t="shared" si="48"/>
        <v>11</v>
      </c>
      <c r="BF740" s="24">
        <f t="shared" si="49"/>
        <v>4</v>
      </c>
    </row>
    <row r="741" spans="1:58" ht="16.25" customHeight="1" x14ac:dyDescent="0.2">
      <c r="A741">
        <v>78622342</v>
      </c>
      <c r="B741" t="s">
        <v>5547</v>
      </c>
      <c r="C741" s="14">
        <v>41019</v>
      </c>
      <c r="D741" t="s">
        <v>5548</v>
      </c>
      <c r="E741" t="s">
        <v>1408</v>
      </c>
      <c r="F741">
        <v>3323963</v>
      </c>
      <c r="G741" t="s">
        <v>5549</v>
      </c>
      <c r="H741" t="s">
        <v>5550</v>
      </c>
      <c r="I741" t="s">
        <v>5551</v>
      </c>
      <c r="J741" t="s">
        <v>5552</v>
      </c>
      <c r="K741" t="s">
        <v>62</v>
      </c>
      <c r="M741" t="s">
        <v>5553</v>
      </c>
      <c r="N741" t="s">
        <v>5554</v>
      </c>
      <c r="R741">
        <v>3</v>
      </c>
      <c r="S741">
        <v>0</v>
      </c>
      <c r="T741" t="b">
        <v>0</v>
      </c>
      <c r="V741" t="s">
        <v>5555</v>
      </c>
      <c r="W741" s="15">
        <v>-17.871897950000001</v>
      </c>
      <c r="X741" s="15">
        <v>25.817865770000001</v>
      </c>
      <c r="Y741">
        <v>2571</v>
      </c>
      <c r="AC741">
        <v>2571</v>
      </c>
      <c r="AF741" t="b">
        <v>0</v>
      </c>
      <c r="AI741" t="s">
        <v>71</v>
      </c>
      <c r="AJ741" t="s">
        <v>70</v>
      </c>
      <c r="AK741" t="s">
        <v>71</v>
      </c>
      <c r="AL741" t="s">
        <v>72</v>
      </c>
      <c r="AM741">
        <v>346053</v>
      </c>
      <c r="AO741" s="16" t="s">
        <v>140</v>
      </c>
      <c r="AP741" s="17" t="str">
        <f t="shared" si="47"/>
        <v>Post-emergence nest</v>
      </c>
      <c r="AQ741" s="18">
        <v>6</v>
      </c>
      <c r="AT741" s="19" t="s">
        <v>141</v>
      </c>
      <c r="AU741" s="20" t="s">
        <v>104</v>
      </c>
      <c r="AX741" s="22" t="str">
        <f>IF(AND('[1]observations-276632'!W741&gt;'[1]Methods write-up'!$Q$16,'[1]observations-276632'!W741&lt;'[1]Methods write-up'!$R$16,'[1]observations-276632'!X741&gt;'[1]Methods write-up'!$S$16,'[1]observations-276632'!X741&lt;'[1]Methods write-up'!$T$16),"West and Central Africa","")</f>
        <v>West and Central Africa</v>
      </c>
      <c r="AY741" s="22" t="str">
        <f>IF(AND('[1]observations-276632'!W741&gt;'[1]Methods write-up'!$Q$17,'[1]observations-276632'!W741&lt;'[1]Methods write-up'!$R$17,'[1]observations-276632'!X741&gt;'[1]Methods write-up'!$S$17,'[1]observations-276632'!X741&lt;'[1]Methods write-up'!$T$17),"Equatorial tropical forest","")</f>
        <v/>
      </c>
      <c r="AZ741" s="22" t="str">
        <f>IF(AND('[1]observations-276632'!W741&gt;'[1]Methods write-up'!$Q$18,'[1]observations-276632'!W741&lt;'[1]Methods write-up'!$R$18,'[1]observations-276632'!X741&gt;'[1]Methods write-up'!$S$18,'[1]observations-276632'!X741&lt;'[1]Methods write-up'!$T$18),"Somali peninsula","")</f>
        <v/>
      </c>
      <c r="BA741" s="22" t="str">
        <f>IF(AND('[1]observations-276632'!W741&gt;'[1]Methods write-up'!$Q$19,'[1]observations-276632'!W741&lt;'[1]Methods write-up'!$R$19,'[1]observations-276632'!X741&gt;'[1]Methods write-up'!$S$19,'[1]observations-276632'!X741&lt;'[1]Methods write-up'!$T$19),"East Africa","")</f>
        <v/>
      </c>
      <c r="BB741" s="22" t="str">
        <f>IF(AND('[1]observations-276632'!W741&gt;'[1]Methods write-up'!$Q$20,'[1]observations-276632'!W741&lt;'[1]Methods write-up'!$R$20,'[1]observations-276632'!X741&gt;'[1]Methods write-up'!$S$20,'[1]observations-276632'!X741&lt;'[1]Methods write-up'!$T$20),"Temperate seasonal","")</f>
        <v/>
      </c>
      <c r="BC741" s="22" t="str">
        <f>IF(AND('[1]observations-276632'!W741&gt;'[1]Methods write-up'!$Q$21,'[1]observations-276632'!W741&lt;'[1]Methods write-up'!$R$21,'[1]observations-276632'!X741&gt;'[1]Methods write-up'!$S$21,'[1]observations-276632'!X741&lt;'[1]Methods write-up'!$T$21),"Desert and high aridity","")</f>
        <v/>
      </c>
      <c r="BD741" s="23" t="str">
        <f t="shared" si="50"/>
        <v>West and Central Africa</v>
      </c>
      <c r="BE741" s="24">
        <f t="shared" si="48"/>
        <v>20</v>
      </c>
      <c r="BF741" s="24">
        <f t="shared" si="49"/>
        <v>4</v>
      </c>
    </row>
    <row r="742" spans="1:58" ht="16.25" customHeight="1" x14ac:dyDescent="0.2">
      <c r="A742">
        <v>78671234</v>
      </c>
      <c r="B742" s="25">
        <v>44320.356249999997</v>
      </c>
      <c r="C742" s="14">
        <v>44320</v>
      </c>
      <c r="D742" t="s">
        <v>5556</v>
      </c>
      <c r="E742" t="s">
        <v>113</v>
      </c>
      <c r="F742">
        <v>1002209</v>
      </c>
      <c r="G742" t="s">
        <v>3418</v>
      </c>
      <c r="H742" t="s">
        <v>3419</v>
      </c>
      <c r="I742" t="s">
        <v>5557</v>
      </c>
      <c r="J742" t="s">
        <v>5558</v>
      </c>
      <c r="K742" t="s">
        <v>62</v>
      </c>
      <c r="L742" t="s">
        <v>63</v>
      </c>
      <c r="M742" t="s">
        <v>5559</v>
      </c>
      <c r="N742" t="s">
        <v>5560</v>
      </c>
      <c r="R742">
        <v>2</v>
      </c>
      <c r="S742">
        <v>0</v>
      </c>
      <c r="T742" t="b">
        <v>0</v>
      </c>
      <c r="U742">
        <v>2</v>
      </c>
      <c r="V742" t="s">
        <v>4275</v>
      </c>
      <c r="W742" s="15">
        <v>-33.995336700000003</v>
      </c>
      <c r="X742" s="15">
        <v>22.548396799999999</v>
      </c>
      <c r="AF742" t="b">
        <v>0</v>
      </c>
      <c r="AG742" t="s">
        <v>350</v>
      </c>
      <c r="AH742" t="s">
        <v>350</v>
      </c>
      <c r="AI742" t="s">
        <v>71</v>
      </c>
      <c r="AJ742" t="s">
        <v>70</v>
      </c>
      <c r="AK742" t="s">
        <v>71</v>
      </c>
      <c r="AL742" t="s">
        <v>72</v>
      </c>
      <c r="AM742">
        <v>346053</v>
      </c>
      <c r="AO742" s="16" t="s">
        <v>73</v>
      </c>
      <c r="AP742" s="17" t="str">
        <f t="shared" si="47"/>
        <v>Off-nest female</v>
      </c>
      <c r="AX742" s="22" t="str">
        <f>IF(AND('[1]observations-276632'!W742&gt;'[1]Methods write-up'!$Q$16,'[1]observations-276632'!W742&lt;'[1]Methods write-up'!$R$16,'[1]observations-276632'!X742&gt;'[1]Methods write-up'!$S$16,'[1]observations-276632'!X742&lt;'[1]Methods write-up'!$T$16),"West and Central Africa","")</f>
        <v/>
      </c>
      <c r="AY742" s="22" t="str">
        <f>IF(AND('[1]observations-276632'!W742&gt;'[1]Methods write-up'!$Q$17,'[1]observations-276632'!W742&lt;'[1]Methods write-up'!$R$17,'[1]observations-276632'!X742&gt;'[1]Methods write-up'!$S$17,'[1]observations-276632'!X742&lt;'[1]Methods write-up'!$T$17),"Equatorial tropical forest","")</f>
        <v/>
      </c>
      <c r="AZ742" s="22" t="str">
        <f>IF(AND('[1]observations-276632'!W742&gt;'[1]Methods write-up'!$Q$18,'[1]observations-276632'!W742&lt;'[1]Methods write-up'!$R$18,'[1]observations-276632'!X742&gt;'[1]Methods write-up'!$S$18,'[1]observations-276632'!X742&lt;'[1]Methods write-up'!$T$18),"Somali peninsula","")</f>
        <v/>
      </c>
      <c r="BA742" s="22" t="str">
        <f>IF(AND('[1]observations-276632'!W742&gt;'[1]Methods write-up'!$Q$19,'[1]observations-276632'!W742&lt;'[1]Methods write-up'!$R$19,'[1]observations-276632'!X742&gt;'[1]Methods write-up'!$S$19,'[1]observations-276632'!X742&lt;'[1]Methods write-up'!$T$19),"East Africa","")</f>
        <v/>
      </c>
      <c r="BB742" s="22" t="str">
        <f>IF(AND('[1]observations-276632'!W742&gt;'[1]Methods write-up'!$Q$20,'[1]observations-276632'!W742&lt;'[1]Methods write-up'!$R$20,'[1]observations-276632'!X742&gt;'[1]Methods write-up'!$S$20,'[1]observations-276632'!X742&lt;'[1]Methods write-up'!$T$20),"Temperate seasonal","")</f>
        <v/>
      </c>
      <c r="BC742" s="22" t="str">
        <f>IF(AND('[1]observations-276632'!W742&gt;'[1]Methods write-up'!$Q$21,'[1]observations-276632'!W742&lt;'[1]Methods write-up'!$R$21,'[1]observations-276632'!X742&gt;'[1]Methods write-up'!$S$21,'[1]observations-276632'!X742&lt;'[1]Methods write-up'!$T$21),"Desert and high aridity","")</f>
        <v/>
      </c>
      <c r="BD742" s="23" t="str">
        <f t="shared" si="50"/>
        <v/>
      </c>
      <c r="BE742" s="24">
        <f t="shared" si="48"/>
        <v>4</v>
      </c>
      <c r="BF742" s="24">
        <f t="shared" si="49"/>
        <v>5</v>
      </c>
    </row>
    <row r="743" spans="1:58" ht="16.25" customHeight="1" x14ac:dyDescent="0.2">
      <c r="A743">
        <v>78680819</v>
      </c>
      <c r="B743" t="s">
        <v>5561</v>
      </c>
      <c r="C743" s="14">
        <v>44324</v>
      </c>
      <c r="D743" t="s">
        <v>5562</v>
      </c>
      <c r="E743" t="s">
        <v>113</v>
      </c>
      <c r="F743">
        <v>3465995</v>
      </c>
      <c r="G743" t="s">
        <v>4866</v>
      </c>
      <c r="H743" t="s">
        <v>4867</v>
      </c>
      <c r="I743" t="s">
        <v>5563</v>
      </c>
      <c r="J743" t="s">
        <v>5564</v>
      </c>
      <c r="K743" t="s">
        <v>62</v>
      </c>
      <c r="L743" t="s">
        <v>63</v>
      </c>
      <c r="M743" t="s">
        <v>5565</v>
      </c>
      <c r="N743" t="s">
        <v>5566</v>
      </c>
      <c r="R743">
        <v>2</v>
      </c>
      <c r="S743">
        <v>0</v>
      </c>
      <c r="T743" t="b">
        <v>0</v>
      </c>
      <c r="V743" t="s">
        <v>4967</v>
      </c>
      <c r="W743" s="15">
        <v>-20.20826856</v>
      </c>
      <c r="X743" s="15">
        <v>28.577963860000001</v>
      </c>
      <c r="Y743">
        <v>7813</v>
      </c>
      <c r="AC743">
        <v>7813</v>
      </c>
      <c r="AF743" t="b">
        <v>0</v>
      </c>
      <c r="AI743" t="s">
        <v>71</v>
      </c>
      <c r="AJ743" t="s">
        <v>70</v>
      </c>
      <c r="AK743" t="s">
        <v>71</v>
      </c>
      <c r="AL743" t="s">
        <v>72</v>
      </c>
      <c r="AM743">
        <v>346053</v>
      </c>
      <c r="AO743" s="16" t="s">
        <v>150</v>
      </c>
      <c r="AP743" s="17" t="str">
        <f t="shared" si="47"/>
        <v>Male (off nest)</v>
      </c>
      <c r="AX743" s="22" t="str">
        <f>IF(AND('[1]observations-276632'!W743&gt;'[1]Methods write-up'!$Q$16,'[1]observations-276632'!W743&lt;'[1]Methods write-up'!$R$16,'[1]observations-276632'!X743&gt;'[1]Methods write-up'!$S$16,'[1]observations-276632'!X743&lt;'[1]Methods write-up'!$T$16),"West and Central Africa","")</f>
        <v/>
      </c>
      <c r="AY743" s="22" t="str">
        <f>IF(AND('[1]observations-276632'!W743&gt;'[1]Methods write-up'!$Q$17,'[1]observations-276632'!W743&lt;'[1]Methods write-up'!$R$17,'[1]observations-276632'!X743&gt;'[1]Methods write-up'!$S$17,'[1]observations-276632'!X743&lt;'[1]Methods write-up'!$T$17),"Equatorial tropical forest","")</f>
        <v/>
      </c>
      <c r="AZ743" s="22" t="str">
        <f>IF(AND('[1]observations-276632'!W743&gt;'[1]Methods write-up'!$Q$18,'[1]observations-276632'!W743&lt;'[1]Methods write-up'!$R$18,'[1]observations-276632'!X743&gt;'[1]Methods write-up'!$S$18,'[1]observations-276632'!X743&lt;'[1]Methods write-up'!$T$18),"Somali peninsula","")</f>
        <v/>
      </c>
      <c r="BA743" s="22" t="str">
        <f>IF(AND('[1]observations-276632'!W743&gt;'[1]Methods write-up'!$Q$19,'[1]observations-276632'!W743&lt;'[1]Methods write-up'!$R$19,'[1]observations-276632'!X743&gt;'[1]Methods write-up'!$S$19,'[1]observations-276632'!X743&lt;'[1]Methods write-up'!$T$19),"East Africa","")</f>
        <v/>
      </c>
      <c r="BB743" s="22" t="str">
        <f>IF(AND('[1]observations-276632'!W743&gt;'[1]Methods write-up'!$Q$20,'[1]observations-276632'!W743&lt;'[1]Methods write-up'!$R$20,'[1]observations-276632'!X743&gt;'[1]Methods write-up'!$S$20,'[1]observations-276632'!X743&lt;'[1]Methods write-up'!$T$20),"Temperate seasonal","")</f>
        <v/>
      </c>
      <c r="BC743" s="22" t="str">
        <f>IF(AND('[1]observations-276632'!W743&gt;'[1]Methods write-up'!$Q$21,'[1]observations-276632'!W743&lt;'[1]Methods write-up'!$R$21,'[1]observations-276632'!X743&gt;'[1]Methods write-up'!$S$21,'[1]observations-276632'!X743&lt;'[1]Methods write-up'!$T$21),"Desert and high aridity","")</f>
        <v/>
      </c>
      <c r="BD743" s="23" t="str">
        <f t="shared" si="50"/>
        <v/>
      </c>
      <c r="BE743" s="24">
        <f t="shared" si="48"/>
        <v>8</v>
      </c>
      <c r="BF743" s="24">
        <f t="shared" si="49"/>
        <v>5</v>
      </c>
    </row>
    <row r="744" spans="1:58" ht="16.25" customHeight="1" x14ac:dyDescent="0.2">
      <c r="A744">
        <v>78704459</v>
      </c>
      <c r="B744" s="25">
        <v>44328.494444444441</v>
      </c>
      <c r="C744" s="14">
        <v>44328</v>
      </c>
      <c r="D744" t="s">
        <v>5567</v>
      </c>
      <c r="E744" t="s">
        <v>113</v>
      </c>
      <c r="F744">
        <v>3011931</v>
      </c>
      <c r="G744" t="s">
        <v>5568</v>
      </c>
      <c r="I744" t="s">
        <v>5569</v>
      </c>
      <c r="J744" t="s">
        <v>5570</v>
      </c>
      <c r="K744" t="s">
        <v>62</v>
      </c>
      <c r="L744" t="s">
        <v>63</v>
      </c>
      <c r="M744" t="s">
        <v>5571</v>
      </c>
      <c r="N744" t="s">
        <v>5572</v>
      </c>
      <c r="R744">
        <v>2</v>
      </c>
      <c r="S744">
        <v>0</v>
      </c>
      <c r="T744" t="b">
        <v>0</v>
      </c>
      <c r="U744">
        <v>2</v>
      </c>
      <c r="V744" t="s">
        <v>5573</v>
      </c>
      <c r="W744" s="15">
        <v>-25.887014799999999</v>
      </c>
      <c r="X744" s="15">
        <v>27.7080248</v>
      </c>
      <c r="AF744" t="b">
        <v>0</v>
      </c>
      <c r="AG744" t="s">
        <v>350</v>
      </c>
      <c r="AH744" t="s">
        <v>350</v>
      </c>
      <c r="AI744" t="s">
        <v>71</v>
      </c>
      <c r="AJ744" t="s">
        <v>70</v>
      </c>
      <c r="AK744" t="s">
        <v>71</v>
      </c>
      <c r="AL744" t="s">
        <v>72</v>
      </c>
      <c r="AM744">
        <v>346053</v>
      </c>
      <c r="AO744" s="16" t="s">
        <v>73</v>
      </c>
      <c r="AP744" s="17" t="str">
        <f t="shared" si="47"/>
        <v>Off-nest female</v>
      </c>
      <c r="AX744" s="22" t="str">
        <f>IF(AND('[1]observations-276632'!W744&gt;'[1]Methods write-up'!$Q$16,'[1]observations-276632'!W744&lt;'[1]Methods write-up'!$R$16,'[1]observations-276632'!X744&gt;'[1]Methods write-up'!$S$16,'[1]observations-276632'!X744&lt;'[1]Methods write-up'!$T$16),"West and Central Africa","")</f>
        <v/>
      </c>
      <c r="AY744" s="22" t="str">
        <f>IF(AND('[1]observations-276632'!W744&gt;'[1]Methods write-up'!$Q$17,'[1]observations-276632'!W744&lt;'[1]Methods write-up'!$R$17,'[1]observations-276632'!X744&gt;'[1]Methods write-up'!$S$17,'[1]observations-276632'!X744&lt;'[1]Methods write-up'!$T$17),"Equatorial tropical forest","")</f>
        <v/>
      </c>
      <c r="AZ744" s="22" t="str">
        <f>IF(AND('[1]observations-276632'!W744&gt;'[1]Methods write-up'!$Q$18,'[1]observations-276632'!W744&lt;'[1]Methods write-up'!$R$18,'[1]observations-276632'!X744&gt;'[1]Methods write-up'!$S$18,'[1]observations-276632'!X744&lt;'[1]Methods write-up'!$T$18),"Somali peninsula","")</f>
        <v/>
      </c>
      <c r="BA744" s="22" t="str">
        <f>IF(AND('[1]observations-276632'!W744&gt;'[1]Methods write-up'!$Q$19,'[1]observations-276632'!W744&lt;'[1]Methods write-up'!$R$19,'[1]observations-276632'!X744&gt;'[1]Methods write-up'!$S$19,'[1]observations-276632'!X744&lt;'[1]Methods write-up'!$T$19),"East Africa","")</f>
        <v/>
      </c>
      <c r="BB744" s="22" t="str">
        <f>IF(AND('[1]observations-276632'!W744&gt;'[1]Methods write-up'!$Q$20,'[1]observations-276632'!W744&lt;'[1]Methods write-up'!$R$20,'[1]observations-276632'!X744&gt;'[1]Methods write-up'!$S$20,'[1]observations-276632'!X744&lt;'[1]Methods write-up'!$T$20),"Temperate seasonal","")</f>
        <v>Temperate seasonal</v>
      </c>
      <c r="BC744" s="22" t="str">
        <f>IF(AND('[1]observations-276632'!W744&gt;'[1]Methods write-up'!$Q$21,'[1]observations-276632'!W744&lt;'[1]Methods write-up'!$R$21,'[1]observations-276632'!X744&gt;'[1]Methods write-up'!$S$21,'[1]observations-276632'!X744&lt;'[1]Methods write-up'!$T$21),"Desert and high aridity","")</f>
        <v/>
      </c>
      <c r="BD744" s="23" t="str">
        <f t="shared" si="50"/>
        <v>Temperate seasonal</v>
      </c>
      <c r="BE744" s="24">
        <f t="shared" si="48"/>
        <v>12</v>
      </c>
      <c r="BF744" s="24">
        <f t="shared" si="49"/>
        <v>5</v>
      </c>
    </row>
    <row r="745" spans="1:58" ht="16.25" customHeight="1" x14ac:dyDescent="0.2">
      <c r="A745">
        <v>79275254</v>
      </c>
      <c r="B745" t="s">
        <v>5574</v>
      </c>
      <c r="C745" s="14">
        <v>44332</v>
      </c>
      <c r="D745" t="s">
        <v>5575</v>
      </c>
      <c r="E745" t="s">
        <v>113</v>
      </c>
      <c r="F745">
        <v>659922</v>
      </c>
      <c r="G745" t="s">
        <v>918</v>
      </c>
      <c r="I745" t="s">
        <v>5576</v>
      </c>
      <c r="J745" t="s">
        <v>5577</v>
      </c>
      <c r="K745" t="s">
        <v>62</v>
      </c>
      <c r="L745" t="s">
        <v>63</v>
      </c>
      <c r="M745" t="s">
        <v>5578</v>
      </c>
      <c r="N745" t="s">
        <v>5579</v>
      </c>
      <c r="Q745" t="s">
        <v>5580</v>
      </c>
      <c r="R745">
        <v>2</v>
      </c>
      <c r="S745">
        <v>0</v>
      </c>
      <c r="T745" t="b">
        <v>0</v>
      </c>
      <c r="V745" t="s">
        <v>2011</v>
      </c>
      <c r="W745" s="15">
        <v>-28.331199999999999</v>
      </c>
      <c r="X745" s="15">
        <v>32.3613</v>
      </c>
      <c r="Y745">
        <v>100</v>
      </c>
      <c r="AC745">
        <v>100</v>
      </c>
      <c r="AF745" t="b">
        <v>0</v>
      </c>
      <c r="AI745" t="s">
        <v>71</v>
      </c>
      <c r="AJ745" t="s">
        <v>70</v>
      </c>
      <c r="AK745" t="s">
        <v>71</v>
      </c>
      <c r="AL745" t="s">
        <v>72</v>
      </c>
      <c r="AM745">
        <v>346053</v>
      </c>
      <c r="AO745" s="16" t="s">
        <v>150</v>
      </c>
      <c r="AP745" s="17" t="str">
        <f t="shared" si="47"/>
        <v>Male (off nest)</v>
      </c>
      <c r="AX745" s="22" t="str">
        <f>IF(AND('[1]observations-276632'!W745&gt;'[1]Methods write-up'!$Q$16,'[1]observations-276632'!W745&lt;'[1]Methods write-up'!$R$16,'[1]observations-276632'!X745&gt;'[1]Methods write-up'!$S$16,'[1]observations-276632'!X745&lt;'[1]Methods write-up'!$T$16),"West and Central Africa","")</f>
        <v/>
      </c>
      <c r="AY745" s="22" t="str">
        <f>IF(AND('[1]observations-276632'!W745&gt;'[1]Methods write-up'!$Q$17,'[1]observations-276632'!W745&lt;'[1]Methods write-up'!$R$17,'[1]observations-276632'!X745&gt;'[1]Methods write-up'!$S$17,'[1]observations-276632'!X745&lt;'[1]Methods write-up'!$T$17),"Equatorial tropical forest","")</f>
        <v/>
      </c>
      <c r="AZ745" s="22" t="str">
        <f>IF(AND('[1]observations-276632'!W745&gt;'[1]Methods write-up'!$Q$18,'[1]observations-276632'!W745&lt;'[1]Methods write-up'!$R$18,'[1]observations-276632'!X745&gt;'[1]Methods write-up'!$S$18,'[1]observations-276632'!X745&lt;'[1]Methods write-up'!$T$18),"Somali peninsula","")</f>
        <v/>
      </c>
      <c r="BA745" s="22" t="str">
        <f>IF(AND('[1]observations-276632'!W745&gt;'[1]Methods write-up'!$Q$19,'[1]observations-276632'!W745&lt;'[1]Methods write-up'!$R$19,'[1]observations-276632'!X745&gt;'[1]Methods write-up'!$S$19,'[1]observations-276632'!X745&lt;'[1]Methods write-up'!$T$19),"East Africa","")</f>
        <v/>
      </c>
      <c r="BB745" s="22" t="str">
        <f>IF(AND('[1]observations-276632'!W745&gt;'[1]Methods write-up'!$Q$20,'[1]observations-276632'!W745&lt;'[1]Methods write-up'!$R$20,'[1]observations-276632'!X745&gt;'[1]Methods write-up'!$S$20,'[1]observations-276632'!X745&lt;'[1]Methods write-up'!$T$20),"Temperate seasonal","")</f>
        <v>Temperate seasonal</v>
      </c>
      <c r="BC745" s="22" t="str">
        <f>IF(AND('[1]observations-276632'!W745&gt;'[1]Methods write-up'!$Q$21,'[1]observations-276632'!W745&lt;'[1]Methods write-up'!$R$21,'[1]observations-276632'!X745&gt;'[1]Methods write-up'!$S$21,'[1]observations-276632'!X745&lt;'[1]Methods write-up'!$T$21),"Desert and high aridity","")</f>
        <v/>
      </c>
      <c r="BD745" s="23" t="str">
        <f t="shared" si="50"/>
        <v>Temperate seasonal</v>
      </c>
      <c r="BE745" s="24">
        <f t="shared" si="48"/>
        <v>16</v>
      </c>
      <c r="BF745" s="24">
        <f t="shared" si="49"/>
        <v>5</v>
      </c>
    </row>
    <row r="746" spans="1:58" ht="16.25" customHeight="1" x14ac:dyDescent="0.2">
      <c r="A746">
        <v>79286578</v>
      </c>
      <c r="B746" t="s">
        <v>5581</v>
      </c>
      <c r="C746" s="14">
        <v>44333</v>
      </c>
      <c r="D746" t="s">
        <v>5582</v>
      </c>
      <c r="E746" t="s">
        <v>113</v>
      </c>
      <c r="F746">
        <v>679321</v>
      </c>
      <c r="G746" t="s">
        <v>478</v>
      </c>
      <c r="H746" t="s">
        <v>479</v>
      </c>
      <c r="I746" t="s">
        <v>5583</v>
      </c>
      <c r="J746" t="s">
        <v>5584</v>
      </c>
      <c r="K746" t="s">
        <v>62</v>
      </c>
      <c r="L746" t="s">
        <v>63</v>
      </c>
      <c r="M746" t="s">
        <v>5585</v>
      </c>
      <c r="N746" t="s">
        <v>5586</v>
      </c>
      <c r="R746">
        <v>3</v>
      </c>
      <c r="S746">
        <v>0</v>
      </c>
      <c r="T746" t="b">
        <v>0</v>
      </c>
      <c r="U746">
        <v>3</v>
      </c>
      <c r="V746" t="s">
        <v>5587</v>
      </c>
      <c r="W746" s="15">
        <v>-28.057431170000001</v>
      </c>
      <c r="X746" s="15">
        <v>32.293926880000001</v>
      </c>
      <c r="Y746">
        <v>5</v>
      </c>
      <c r="AC746">
        <v>5</v>
      </c>
      <c r="AF746" t="b">
        <v>0</v>
      </c>
      <c r="AI746" t="s">
        <v>71</v>
      </c>
      <c r="AJ746" t="s">
        <v>70</v>
      </c>
      <c r="AK746" t="s">
        <v>71</v>
      </c>
      <c r="AL746" t="s">
        <v>72</v>
      </c>
      <c r="AM746">
        <v>346053</v>
      </c>
      <c r="AO746" s="16" t="s">
        <v>110</v>
      </c>
      <c r="AP746" s="17" t="str">
        <f t="shared" si="47"/>
        <v>Nest (foundress)</v>
      </c>
      <c r="AQ746" s="18">
        <v>2</v>
      </c>
      <c r="AT746" s="19" t="s">
        <v>104</v>
      </c>
      <c r="AX746" s="22" t="str">
        <f>IF(AND('[1]observations-276632'!W746&gt;'[1]Methods write-up'!$Q$16,'[1]observations-276632'!W746&lt;'[1]Methods write-up'!$R$16,'[1]observations-276632'!X746&gt;'[1]Methods write-up'!$S$16,'[1]observations-276632'!X746&lt;'[1]Methods write-up'!$T$16),"West and Central Africa","")</f>
        <v/>
      </c>
      <c r="AY746" s="22" t="str">
        <f>IF(AND('[1]observations-276632'!W746&gt;'[1]Methods write-up'!$Q$17,'[1]observations-276632'!W746&lt;'[1]Methods write-up'!$R$17,'[1]observations-276632'!X746&gt;'[1]Methods write-up'!$S$17,'[1]observations-276632'!X746&lt;'[1]Methods write-up'!$T$17),"Equatorial tropical forest","")</f>
        <v/>
      </c>
      <c r="AZ746" s="22" t="str">
        <f>IF(AND('[1]observations-276632'!W746&gt;'[1]Methods write-up'!$Q$18,'[1]observations-276632'!W746&lt;'[1]Methods write-up'!$R$18,'[1]observations-276632'!X746&gt;'[1]Methods write-up'!$S$18,'[1]observations-276632'!X746&lt;'[1]Methods write-up'!$T$18),"Somali peninsula","")</f>
        <v/>
      </c>
      <c r="BA746" s="22" t="str">
        <f>IF(AND('[1]observations-276632'!W746&gt;'[1]Methods write-up'!$Q$19,'[1]observations-276632'!W746&lt;'[1]Methods write-up'!$R$19,'[1]observations-276632'!X746&gt;'[1]Methods write-up'!$S$19,'[1]observations-276632'!X746&lt;'[1]Methods write-up'!$T$19),"East Africa","")</f>
        <v/>
      </c>
      <c r="BB746" s="22" t="str">
        <f>IF(AND('[1]observations-276632'!W746&gt;'[1]Methods write-up'!$Q$20,'[1]observations-276632'!W746&lt;'[1]Methods write-up'!$R$20,'[1]observations-276632'!X746&gt;'[1]Methods write-up'!$S$20,'[1]observations-276632'!X746&lt;'[1]Methods write-up'!$T$20),"Temperate seasonal","")</f>
        <v>Temperate seasonal</v>
      </c>
      <c r="BC746" s="22" t="str">
        <f>IF(AND('[1]observations-276632'!W746&gt;'[1]Methods write-up'!$Q$21,'[1]observations-276632'!W746&lt;'[1]Methods write-up'!$R$21,'[1]observations-276632'!X746&gt;'[1]Methods write-up'!$S$21,'[1]observations-276632'!X746&lt;'[1]Methods write-up'!$T$21),"Desert and high aridity","")</f>
        <v/>
      </c>
      <c r="BD746" s="23" t="str">
        <f t="shared" si="50"/>
        <v>Temperate seasonal</v>
      </c>
      <c r="BE746" s="24">
        <f t="shared" si="48"/>
        <v>17</v>
      </c>
      <c r="BF746" s="24">
        <f t="shared" si="49"/>
        <v>5</v>
      </c>
    </row>
    <row r="747" spans="1:58" ht="16.25" customHeight="1" x14ac:dyDescent="0.2">
      <c r="A747">
        <v>79361330</v>
      </c>
      <c r="B747" s="25">
        <v>44334.826388888891</v>
      </c>
      <c r="C747" s="14">
        <v>44334</v>
      </c>
      <c r="D747" t="s">
        <v>5588</v>
      </c>
      <c r="E747" t="s">
        <v>1408</v>
      </c>
      <c r="F747">
        <v>1804921</v>
      </c>
      <c r="G747" t="s">
        <v>5589</v>
      </c>
      <c r="H747" t="s">
        <v>5590</v>
      </c>
      <c r="I747" t="s">
        <v>5591</v>
      </c>
      <c r="J747" t="s">
        <v>5592</v>
      </c>
      <c r="K747" t="s">
        <v>62</v>
      </c>
      <c r="M747" t="s">
        <v>5593</v>
      </c>
      <c r="N747" t="s">
        <v>5594</v>
      </c>
      <c r="R747">
        <v>2</v>
      </c>
      <c r="S747">
        <v>0</v>
      </c>
      <c r="T747" t="b">
        <v>0</v>
      </c>
      <c r="U747">
        <v>2</v>
      </c>
      <c r="V747" t="s">
        <v>5595</v>
      </c>
      <c r="W747" s="15">
        <v>-24.245479459999999</v>
      </c>
      <c r="X747" s="15">
        <v>27.726180329999998</v>
      </c>
      <c r="Y747">
        <v>8</v>
      </c>
      <c r="AC747">
        <v>8</v>
      </c>
      <c r="AF747" t="b">
        <v>0</v>
      </c>
      <c r="AG747" t="s">
        <v>350</v>
      </c>
      <c r="AH747" t="s">
        <v>350</v>
      </c>
      <c r="AI747" t="s">
        <v>71</v>
      </c>
      <c r="AJ747" t="s">
        <v>70</v>
      </c>
      <c r="AK747" t="s">
        <v>71</v>
      </c>
      <c r="AL747" t="s">
        <v>72</v>
      </c>
      <c r="AM747">
        <v>346053</v>
      </c>
      <c r="AO747" s="16" t="s">
        <v>73</v>
      </c>
      <c r="AP747" s="17" t="str">
        <f t="shared" si="47"/>
        <v>Off-nest female</v>
      </c>
      <c r="AX747" s="22" t="str">
        <f>IF(AND('[1]observations-276632'!W747&gt;'[1]Methods write-up'!$Q$16,'[1]observations-276632'!W747&lt;'[1]Methods write-up'!$R$16,'[1]observations-276632'!X747&gt;'[1]Methods write-up'!$S$16,'[1]observations-276632'!X747&lt;'[1]Methods write-up'!$T$16),"West and Central Africa","")</f>
        <v/>
      </c>
      <c r="AY747" s="22" t="str">
        <f>IF(AND('[1]observations-276632'!W747&gt;'[1]Methods write-up'!$Q$17,'[1]observations-276632'!W747&lt;'[1]Methods write-up'!$R$17,'[1]observations-276632'!X747&gt;'[1]Methods write-up'!$S$17,'[1]observations-276632'!X747&lt;'[1]Methods write-up'!$T$17),"Equatorial tropical forest","")</f>
        <v/>
      </c>
      <c r="AZ747" s="22" t="str">
        <f>IF(AND('[1]observations-276632'!W747&gt;'[1]Methods write-up'!$Q$18,'[1]observations-276632'!W747&lt;'[1]Methods write-up'!$R$18,'[1]observations-276632'!X747&gt;'[1]Methods write-up'!$S$18,'[1]observations-276632'!X747&lt;'[1]Methods write-up'!$T$18),"Somali peninsula","")</f>
        <v/>
      </c>
      <c r="BA747" s="22" t="str">
        <f>IF(AND('[1]observations-276632'!W747&gt;'[1]Methods write-up'!$Q$19,'[1]observations-276632'!W747&lt;'[1]Methods write-up'!$R$19,'[1]observations-276632'!X747&gt;'[1]Methods write-up'!$S$19,'[1]observations-276632'!X747&lt;'[1]Methods write-up'!$T$19),"East Africa","")</f>
        <v/>
      </c>
      <c r="BB747" s="22" t="str">
        <f>IF(AND('[1]observations-276632'!W747&gt;'[1]Methods write-up'!$Q$20,'[1]observations-276632'!W747&lt;'[1]Methods write-up'!$R$20,'[1]observations-276632'!X747&gt;'[1]Methods write-up'!$S$20,'[1]observations-276632'!X747&lt;'[1]Methods write-up'!$T$20),"Temperate seasonal","")</f>
        <v/>
      </c>
      <c r="BC747" s="22" t="str">
        <f>IF(AND('[1]observations-276632'!W747&gt;'[1]Methods write-up'!$Q$21,'[1]observations-276632'!W747&lt;'[1]Methods write-up'!$R$21,'[1]observations-276632'!X747&gt;'[1]Methods write-up'!$S$21,'[1]observations-276632'!X747&lt;'[1]Methods write-up'!$T$21),"Desert and high aridity","")</f>
        <v/>
      </c>
      <c r="BD747" s="23" t="str">
        <f t="shared" si="50"/>
        <v/>
      </c>
      <c r="BE747" s="24">
        <f t="shared" si="48"/>
        <v>18</v>
      </c>
      <c r="BF747" s="24">
        <f t="shared" si="49"/>
        <v>5</v>
      </c>
    </row>
    <row r="748" spans="1:58" ht="16.25" customHeight="1" x14ac:dyDescent="0.2">
      <c r="A748">
        <v>79361364</v>
      </c>
      <c r="B748" s="25">
        <v>44334.788194444445</v>
      </c>
      <c r="C748" s="14">
        <v>44334</v>
      </c>
      <c r="D748" t="s">
        <v>5596</v>
      </c>
      <c r="E748" t="s">
        <v>113</v>
      </c>
      <c r="F748">
        <v>1804921</v>
      </c>
      <c r="G748" t="s">
        <v>5589</v>
      </c>
      <c r="H748" t="s">
        <v>5590</v>
      </c>
      <c r="I748" t="s">
        <v>5597</v>
      </c>
      <c r="J748" t="s">
        <v>5598</v>
      </c>
      <c r="K748" t="s">
        <v>62</v>
      </c>
      <c r="M748" t="s">
        <v>5599</v>
      </c>
      <c r="N748" t="s">
        <v>5600</v>
      </c>
      <c r="R748">
        <v>1</v>
      </c>
      <c r="S748">
        <v>0</v>
      </c>
      <c r="T748" t="b">
        <v>0</v>
      </c>
      <c r="U748">
        <v>2</v>
      </c>
      <c r="V748" t="s">
        <v>5595</v>
      </c>
      <c r="W748" s="15">
        <v>-24.245459589999999</v>
      </c>
      <c r="X748" s="15">
        <v>27.72621118</v>
      </c>
      <c r="Y748">
        <v>5</v>
      </c>
      <c r="AC748">
        <v>5</v>
      </c>
      <c r="AF748" t="b">
        <v>0</v>
      </c>
      <c r="AG748" t="s">
        <v>350</v>
      </c>
      <c r="AH748" t="s">
        <v>350</v>
      </c>
      <c r="AI748" t="s">
        <v>71</v>
      </c>
      <c r="AJ748" t="s">
        <v>70</v>
      </c>
      <c r="AK748" t="s">
        <v>71</v>
      </c>
      <c r="AL748" t="s">
        <v>72</v>
      </c>
      <c r="AM748">
        <v>346053</v>
      </c>
      <c r="AO748" s="16" t="s">
        <v>5601</v>
      </c>
      <c r="AP748" s="16"/>
      <c r="AX748" s="22" t="str">
        <f>IF(AND('[1]observations-276632'!W748&gt;'[1]Methods write-up'!$Q$16,'[1]observations-276632'!W748&lt;'[1]Methods write-up'!$R$16,'[1]observations-276632'!X748&gt;'[1]Methods write-up'!$S$16,'[1]observations-276632'!X748&lt;'[1]Methods write-up'!$T$16),"West Africa","")</f>
        <v/>
      </c>
      <c r="AY748" s="22" t="str">
        <f>IF(AND('[1]observations-276632'!W748&gt;'[1]Methods write-up'!$Q$17,'[1]observations-276632'!W748&lt;'[1]Methods write-up'!$R$17,'[1]observations-276632'!X748&gt;'[1]Methods write-up'!$S$17,'[1]observations-276632'!X748&lt;'[1]Methods write-up'!$T$17),"Equatorial tropical forest","")</f>
        <v/>
      </c>
      <c r="AZ748" s="22" t="str">
        <f>IF(AND('[1]observations-276632'!W748&gt;'[1]Methods write-up'!$Q$18,'[1]observations-276632'!W748&lt;'[1]Methods write-up'!$R$18,'[1]observations-276632'!X748&gt;'[1]Methods write-up'!$S$18,'[1]observations-276632'!X748&lt;'[1]Methods write-up'!$T$18),"Somali peninsula","")</f>
        <v/>
      </c>
      <c r="BA748" s="22" t="str">
        <f>IF(AND('[1]observations-276632'!W748&gt;'[1]Methods write-up'!$Q$19,'[1]observations-276632'!W748&lt;'[1]Methods write-up'!$R$19,'[1]observations-276632'!X748&gt;'[1]Methods write-up'!$S$19,'[1]observations-276632'!X748&lt;'[1]Methods write-up'!$T$19),"East Africa","")</f>
        <v/>
      </c>
      <c r="BB748" s="22" t="str">
        <f>IF(AND('[1]observations-276632'!W748&gt;'[1]Methods write-up'!$Q$20,'[1]observations-276632'!W748&lt;'[1]Methods write-up'!$R$20,'[1]observations-276632'!X748&gt;'[1]Methods write-up'!$S$20,'[1]observations-276632'!X748&lt;'[1]Methods write-up'!$T$20),"Temperate seasonal","")</f>
        <v/>
      </c>
      <c r="BC748" s="22" t="str">
        <f>IF(AND('[1]observations-276632'!W748&gt;'[1]Methods write-up'!$Q$21,'[1]observations-276632'!W748&lt;'[1]Methods write-up'!$R$21,'[1]observations-276632'!X748&gt;'[1]Methods write-up'!$S$21,'[1]observations-276632'!X748&lt;'[1]Methods write-up'!$T$21),"Desert and high aridity","")</f>
        <v/>
      </c>
      <c r="BD748" s="23" t="str">
        <f t="shared" si="50"/>
        <v/>
      </c>
      <c r="BE748" s="24">
        <f t="shared" si="48"/>
        <v>18</v>
      </c>
      <c r="BF748" s="24">
        <f t="shared" si="49"/>
        <v>5</v>
      </c>
    </row>
    <row r="749" spans="1:58" ht="16.25" customHeight="1" x14ac:dyDescent="0.2">
      <c r="A749">
        <v>79367440</v>
      </c>
      <c r="B749" t="s">
        <v>5602</v>
      </c>
      <c r="C749" s="14">
        <v>42138</v>
      </c>
      <c r="D749" t="s">
        <v>5603</v>
      </c>
      <c r="E749" t="s">
        <v>1408</v>
      </c>
      <c r="F749">
        <v>2147595</v>
      </c>
      <c r="G749" t="s">
        <v>5604</v>
      </c>
      <c r="H749" t="s">
        <v>5605</v>
      </c>
      <c r="I749" t="s">
        <v>5606</v>
      </c>
      <c r="J749" t="s">
        <v>5607</v>
      </c>
      <c r="K749" t="s">
        <v>62</v>
      </c>
      <c r="L749" t="s">
        <v>63</v>
      </c>
      <c r="M749" t="s">
        <v>5608</v>
      </c>
      <c r="N749" t="s">
        <v>5609</v>
      </c>
      <c r="R749">
        <v>2</v>
      </c>
      <c r="S749">
        <v>0</v>
      </c>
      <c r="T749" t="b">
        <v>0</v>
      </c>
      <c r="V749" t="s">
        <v>3894</v>
      </c>
      <c r="W749" s="15">
        <v>-25.11794484</v>
      </c>
      <c r="X749" s="15">
        <v>31.91518198</v>
      </c>
      <c r="Y749">
        <v>2</v>
      </c>
      <c r="AC749">
        <v>2</v>
      </c>
      <c r="AF749" t="b">
        <v>0</v>
      </c>
      <c r="AI749" t="s">
        <v>71</v>
      </c>
      <c r="AJ749" t="s">
        <v>70</v>
      </c>
      <c r="AK749" t="s">
        <v>71</v>
      </c>
      <c r="AL749" t="s">
        <v>72</v>
      </c>
      <c r="AM749">
        <v>346053</v>
      </c>
      <c r="AO749" s="16" t="s">
        <v>818</v>
      </c>
      <c r="AP749" s="17" t="str">
        <f t="shared" ref="AP749:AP812" si="51">IF(COUNTIF(AO749,"*foundress*"),"Nest (foundress)",AO749)</f>
        <v>Abandoned post-emergence nest</v>
      </c>
      <c r="AV749" s="21" t="s">
        <v>5610</v>
      </c>
      <c r="AX749" s="22" t="str">
        <f>IF(AND('[1]observations-276632'!W749&gt;'[1]Methods write-up'!$Q$16,'[1]observations-276632'!W749&lt;'[1]Methods write-up'!$R$16,'[1]observations-276632'!X749&gt;'[1]Methods write-up'!$S$16,'[1]observations-276632'!X749&lt;'[1]Methods write-up'!$T$16),"West and Central Africa","")</f>
        <v/>
      </c>
      <c r="AY749" s="22" t="str">
        <f>IF(AND('[1]observations-276632'!W749&gt;'[1]Methods write-up'!$Q$17,'[1]observations-276632'!W749&lt;'[1]Methods write-up'!$R$17,'[1]observations-276632'!X749&gt;'[1]Methods write-up'!$S$17,'[1]observations-276632'!X749&lt;'[1]Methods write-up'!$T$17),"Equatorial tropical forest","")</f>
        <v/>
      </c>
      <c r="AZ749" s="22" t="str">
        <f>IF(AND('[1]observations-276632'!W749&gt;'[1]Methods write-up'!$Q$18,'[1]observations-276632'!W749&lt;'[1]Methods write-up'!$R$18,'[1]observations-276632'!X749&gt;'[1]Methods write-up'!$S$18,'[1]observations-276632'!X749&lt;'[1]Methods write-up'!$T$18),"Somali peninsula","")</f>
        <v/>
      </c>
      <c r="BA749" s="22" t="str">
        <f>IF(AND('[1]observations-276632'!W749&gt;'[1]Methods write-up'!$Q$19,'[1]observations-276632'!W749&lt;'[1]Methods write-up'!$R$19,'[1]observations-276632'!X749&gt;'[1]Methods write-up'!$S$19,'[1]observations-276632'!X749&lt;'[1]Methods write-up'!$T$19),"East Africa","")</f>
        <v/>
      </c>
      <c r="BB749" s="22" t="str">
        <f>IF(AND('[1]observations-276632'!W749&gt;'[1]Methods write-up'!$Q$20,'[1]observations-276632'!W749&lt;'[1]Methods write-up'!$R$20,'[1]observations-276632'!X749&gt;'[1]Methods write-up'!$S$20,'[1]observations-276632'!X749&lt;'[1]Methods write-up'!$T$20),"Temperate seasonal","")</f>
        <v>Temperate seasonal</v>
      </c>
      <c r="BC749" s="22" t="str">
        <f>IF(AND('[1]observations-276632'!W749&gt;'[1]Methods write-up'!$Q$21,'[1]observations-276632'!W749&lt;'[1]Methods write-up'!$R$21,'[1]observations-276632'!X749&gt;'[1]Methods write-up'!$S$21,'[1]observations-276632'!X749&lt;'[1]Methods write-up'!$T$21),"Desert and high aridity","")</f>
        <v/>
      </c>
      <c r="BD749" s="23" t="str">
        <f t="shared" si="50"/>
        <v>Temperate seasonal</v>
      </c>
      <c r="BE749" s="24">
        <f t="shared" si="48"/>
        <v>14</v>
      </c>
      <c r="BF749" s="24">
        <f t="shared" si="49"/>
        <v>5</v>
      </c>
    </row>
    <row r="750" spans="1:58" ht="16.25" customHeight="1" x14ac:dyDescent="0.2">
      <c r="A750">
        <v>79369362</v>
      </c>
      <c r="B750" t="s">
        <v>5611</v>
      </c>
      <c r="C750" s="14">
        <v>44316</v>
      </c>
      <c r="D750" t="s">
        <v>5612</v>
      </c>
      <c r="E750" t="s">
        <v>57</v>
      </c>
      <c r="F750">
        <v>703114</v>
      </c>
      <c r="G750" t="s">
        <v>2136</v>
      </c>
      <c r="H750" t="s">
        <v>2137</v>
      </c>
      <c r="I750" t="s">
        <v>5613</v>
      </c>
      <c r="J750" t="s">
        <v>5614</v>
      </c>
      <c r="K750" t="s">
        <v>62</v>
      </c>
      <c r="L750" t="s">
        <v>98</v>
      </c>
      <c r="M750" t="s">
        <v>5615</v>
      </c>
      <c r="N750" t="s">
        <v>5616</v>
      </c>
      <c r="R750">
        <v>3</v>
      </c>
      <c r="S750">
        <v>0</v>
      </c>
      <c r="T750" t="b">
        <v>0</v>
      </c>
      <c r="V750" t="s">
        <v>5617</v>
      </c>
      <c r="W750" s="15">
        <v>-21.058470410000002</v>
      </c>
      <c r="X750" s="15">
        <v>31.87711367</v>
      </c>
      <c r="Y750">
        <v>38</v>
      </c>
      <c r="AC750">
        <v>38</v>
      </c>
      <c r="AF750" t="b">
        <v>0</v>
      </c>
      <c r="AI750" t="s">
        <v>71</v>
      </c>
      <c r="AJ750" t="s">
        <v>70</v>
      </c>
      <c r="AK750" t="s">
        <v>71</v>
      </c>
      <c r="AL750" t="s">
        <v>72</v>
      </c>
      <c r="AM750">
        <v>346053</v>
      </c>
      <c r="AO750" s="16" t="s">
        <v>73</v>
      </c>
      <c r="AP750" s="17" t="str">
        <f t="shared" si="51"/>
        <v>Off-nest female</v>
      </c>
      <c r="AX750" s="22" t="str">
        <f>IF(AND('[1]observations-276632'!W750&gt;'[1]Methods write-up'!$Q$16,'[1]observations-276632'!W750&lt;'[1]Methods write-up'!$R$16,'[1]observations-276632'!X750&gt;'[1]Methods write-up'!$S$16,'[1]observations-276632'!X750&lt;'[1]Methods write-up'!$T$16),"West and Central Africa","")</f>
        <v/>
      </c>
      <c r="AY750" s="22" t="str">
        <f>IF(AND('[1]observations-276632'!W750&gt;'[1]Methods write-up'!$Q$17,'[1]observations-276632'!W750&lt;'[1]Methods write-up'!$R$17,'[1]observations-276632'!X750&gt;'[1]Methods write-up'!$S$17,'[1]observations-276632'!X750&lt;'[1]Methods write-up'!$T$17),"Equatorial tropical forest","")</f>
        <v/>
      </c>
      <c r="AZ750" s="22" t="str">
        <f>IF(AND('[1]observations-276632'!W750&gt;'[1]Methods write-up'!$Q$18,'[1]observations-276632'!W750&lt;'[1]Methods write-up'!$R$18,'[1]observations-276632'!X750&gt;'[1]Methods write-up'!$S$18,'[1]observations-276632'!X750&lt;'[1]Methods write-up'!$T$18),"Somali peninsula","")</f>
        <v/>
      </c>
      <c r="BA750" s="22" t="str">
        <f>IF(AND('[1]observations-276632'!W750&gt;'[1]Methods write-up'!$Q$19,'[1]observations-276632'!W750&lt;'[1]Methods write-up'!$R$19,'[1]observations-276632'!X750&gt;'[1]Methods write-up'!$S$19,'[1]observations-276632'!X750&lt;'[1]Methods write-up'!$T$19),"East Africa","")</f>
        <v/>
      </c>
      <c r="BB750" s="22" t="str">
        <f>IF(AND('[1]observations-276632'!W750&gt;'[1]Methods write-up'!$Q$20,'[1]observations-276632'!W750&lt;'[1]Methods write-up'!$R$20,'[1]observations-276632'!X750&gt;'[1]Methods write-up'!$S$20,'[1]observations-276632'!X750&lt;'[1]Methods write-up'!$T$20),"Temperate seasonal","")</f>
        <v/>
      </c>
      <c r="BC750" s="22" t="str">
        <f>IF(AND('[1]observations-276632'!W750&gt;'[1]Methods write-up'!$Q$21,'[1]observations-276632'!W750&lt;'[1]Methods write-up'!$R$21,'[1]observations-276632'!X750&gt;'[1]Methods write-up'!$S$21,'[1]observations-276632'!X750&lt;'[1]Methods write-up'!$T$21),"Desert and high aridity","")</f>
        <v/>
      </c>
      <c r="BD750" s="23" t="str">
        <f t="shared" si="50"/>
        <v/>
      </c>
      <c r="BE750" s="24">
        <f t="shared" si="48"/>
        <v>30</v>
      </c>
      <c r="BF750" s="24">
        <f t="shared" si="49"/>
        <v>4</v>
      </c>
    </row>
    <row r="751" spans="1:58" ht="16.25" customHeight="1" x14ac:dyDescent="0.2">
      <c r="A751">
        <v>79928394</v>
      </c>
      <c r="B751" t="s">
        <v>5618</v>
      </c>
      <c r="C751" s="14">
        <v>44339</v>
      </c>
      <c r="D751" t="s">
        <v>5619</v>
      </c>
      <c r="E751" t="s">
        <v>1408</v>
      </c>
      <c r="F751">
        <v>3974309</v>
      </c>
      <c r="G751" t="s">
        <v>4925</v>
      </c>
      <c r="H751" t="s">
        <v>4926</v>
      </c>
      <c r="I751" t="s">
        <v>5620</v>
      </c>
      <c r="J751" t="s">
        <v>5621</v>
      </c>
      <c r="K751" t="s">
        <v>62</v>
      </c>
      <c r="L751" t="s">
        <v>63</v>
      </c>
      <c r="M751" t="s">
        <v>5622</v>
      </c>
      <c r="N751" t="s">
        <v>5623</v>
      </c>
      <c r="R751">
        <v>2</v>
      </c>
      <c r="S751">
        <v>0</v>
      </c>
      <c r="T751" t="b">
        <v>0</v>
      </c>
      <c r="V751" t="s">
        <v>5191</v>
      </c>
      <c r="W751" s="15">
        <v>-15.74567727</v>
      </c>
      <c r="X751" s="15">
        <v>35.061834879999999</v>
      </c>
      <c r="Y751">
        <v>122</v>
      </c>
      <c r="AC751">
        <v>30870</v>
      </c>
      <c r="AD751" t="s">
        <v>839</v>
      </c>
      <c r="AF751" t="b">
        <v>1</v>
      </c>
      <c r="AI751" t="s">
        <v>71</v>
      </c>
      <c r="AJ751" t="s">
        <v>70</v>
      </c>
      <c r="AK751" t="s">
        <v>71</v>
      </c>
      <c r="AL751" t="s">
        <v>72</v>
      </c>
      <c r="AM751">
        <v>346053</v>
      </c>
      <c r="AO751" s="16" t="s">
        <v>150</v>
      </c>
      <c r="AP751" s="17" t="str">
        <f t="shared" si="51"/>
        <v>Male (off nest)</v>
      </c>
      <c r="AX751" s="22" t="str">
        <f>IF(AND('[1]observations-276632'!W751&gt;'[1]Methods write-up'!$Q$16,'[1]observations-276632'!W751&lt;'[1]Methods write-up'!$R$16,'[1]observations-276632'!X751&gt;'[1]Methods write-up'!$S$16,'[1]observations-276632'!X751&lt;'[1]Methods write-up'!$T$16),"West and Central Africa","")</f>
        <v/>
      </c>
      <c r="AY751" s="22" t="str">
        <f>IF(AND('[1]observations-276632'!W751&gt;'[1]Methods write-up'!$Q$17,'[1]observations-276632'!W751&lt;'[1]Methods write-up'!$R$17,'[1]observations-276632'!X751&gt;'[1]Methods write-up'!$S$17,'[1]observations-276632'!X751&lt;'[1]Methods write-up'!$T$17),"Equatorial tropical forest","")</f>
        <v/>
      </c>
      <c r="AZ751" s="22" t="str">
        <f>IF(AND('[1]observations-276632'!W751&gt;'[1]Methods write-up'!$Q$18,'[1]observations-276632'!W751&lt;'[1]Methods write-up'!$R$18,'[1]observations-276632'!X751&gt;'[1]Methods write-up'!$S$18,'[1]observations-276632'!X751&lt;'[1]Methods write-up'!$T$18),"Somali peninsula","")</f>
        <v/>
      </c>
      <c r="BA751" s="22" t="str">
        <f>IF(AND('[1]observations-276632'!W751&gt;'[1]Methods write-up'!$Q$19,'[1]observations-276632'!W751&lt;'[1]Methods write-up'!$R$19,'[1]observations-276632'!X751&gt;'[1]Methods write-up'!$S$19,'[1]observations-276632'!X751&lt;'[1]Methods write-up'!$T$19),"East Africa","")</f>
        <v/>
      </c>
      <c r="BB751" s="22" t="str">
        <f>IF(AND('[1]observations-276632'!W751&gt;'[1]Methods write-up'!$Q$20,'[1]observations-276632'!W751&lt;'[1]Methods write-up'!$R$20,'[1]observations-276632'!X751&gt;'[1]Methods write-up'!$S$20,'[1]observations-276632'!X751&lt;'[1]Methods write-up'!$T$20),"Temperate seasonal","")</f>
        <v/>
      </c>
      <c r="BC751" s="22" t="str">
        <f>IF(AND('[1]observations-276632'!W751&gt;'[1]Methods write-up'!$Q$21,'[1]observations-276632'!W751&lt;'[1]Methods write-up'!$R$21,'[1]observations-276632'!X751&gt;'[1]Methods write-up'!$S$21,'[1]observations-276632'!X751&lt;'[1]Methods write-up'!$T$21),"Desert and high aridity","")</f>
        <v/>
      </c>
      <c r="BD751" s="23" t="str">
        <f t="shared" si="50"/>
        <v/>
      </c>
      <c r="BE751" s="24">
        <f t="shared" si="48"/>
        <v>23</v>
      </c>
      <c r="BF751" s="24">
        <f t="shared" si="49"/>
        <v>5</v>
      </c>
    </row>
    <row r="752" spans="1:58" ht="16.25" customHeight="1" x14ac:dyDescent="0.2">
      <c r="A752">
        <v>79985015</v>
      </c>
      <c r="B752" t="s">
        <v>5624</v>
      </c>
      <c r="C752" s="14">
        <v>44338</v>
      </c>
      <c r="D752" t="s">
        <v>5625</v>
      </c>
      <c r="E752" t="s">
        <v>3050</v>
      </c>
      <c r="F752">
        <v>1476892</v>
      </c>
      <c r="G752" t="s">
        <v>5626</v>
      </c>
      <c r="H752" t="s">
        <v>5627</v>
      </c>
      <c r="I752" t="s">
        <v>5628</v>
      </c>
      <c r="J752" t="s">
        <v>5629</v>
      </c>
      <c r="K752" t="s">
        <v>62</v>
      </c>
      <c r="M752" t="s">
        <v>5630</v>
      </c>
      <c r="N752" t="s">
        <v>5631</v>
      </c>
      <c r="R752">
        <v>2</v>
      </c>
      <c r="S752">
        <v>0</v>
      </c>
      <c r="T752" t="b">
        <v>0</v>
      </c>
      <c r="V752" t="s">
        <v>5632</v>
      </c>
      <c r="W752" s="15">
        <v>-1.179732939</v>
      </c>
      <c r="X752" s="15">
        <v>36.952562819999997</v>
      </c>
      <c r="Y752">
        <v>409</v>
      </c>
      <c r="AC752">
        <v>409</v>
      </c>
      <c r="AF752" t="b">
        <v>0</v>
      </c>
      <c r="AI752" t="s">
        <v>71</v>
      </c>
      <c r="AJ752" t="s">
        <v>70</v>
      </c>
      <c r="AK752" t="s">
        <v>71</v>
      </c>
      <c r="AL752" t="s">
        <v>72</v>
      </c>
      <c r="AM752">
        <v>346053</v>
      </c>
      <c r="AO752" s="16" t="s">
        <v>73</v>
      </c>
      <c r="AP752" s="17" t="str">
        <f t="shared" si="51"/>
        <v>Off-nest female</v>
      </c>
      <c r="AV752" s="21" t="s">
        <v>5633</v>
      </c>
      <c r="AX752" s="22" t="str">
        <f>IF(AND('[1]observations-276632'!W752&gt;'[1]Methods write-up'!$Q$16,'[1]observations-276632'!W752&lt;'[1]Methods write-up'!$R$16,'[1]observations-276632'!X752&gt;'[1]Methods write-up'!$S$16,'[1]observations-276632'!X752&lt;'[1]Methods write-up'!$T$16),"West and Central Africa","")</f>
        <v/>
      </c>
      <c r="AY752" s="22" t="str">
        <f>IF(AND('[1]observations-276632'!W752&gt;'[1]Methods write-up'!$Q$17,'[1]observations-276632'!W752&lt;'[1]Methods write-up'!$R$17,'[1]observations-276632'!X752&gt;'[1]Methods write-up'!$S$17,'[1]observations-276632'!X752&lt;'[1]Methods write-up'!$T$17),"Equatorial tropical forest","")</f>
        <v/>
      </c>
      <c r="AZ752" s="22" t="str">
        <f>IF(AND('[1]observations-276632'!W752&gt;'[1]Methods write-up'!$Q$18,'[1]observations-276632'!W752&lt;'[1]Methods write-up'!$R$18,'[1]observations-276632'!X752&gt;'[1]Methods write-up'!$S$18,'[1]observations-276632'!X752&lt;'[1]Methods write-up'!$T$18),"Somali peninsula","")</f>
        <v/>
      </c>
      <c r="BA752" s="22" t="str">
        <f>IF(AND('[1]observations-276632'!W752&gt;'[1]Methods write-up'!$Q$19,'[1]observations-276632'!W752&lt;'[1]Methods write-up'!$R$19,'[1]observations-276632'!X752&gt;'[1]Methods write-up'!$S$19,'[1]observations-276632'!X752&lt;'[1]Methods write-up'!$T$19),"East Africa","")</f>
        <v>East Africa</v>
      </c>
      <c r="BB752" s="22" t="str">
        <f>IF(AND('[1]observations-276632'!W752&gt;'[1]Methods write-up'!$Q$20,'[1]observations-276632'!W752&lt;'[1]Methods write-up'!$R$20,'[1]observations-276632'!X752&gt;'[1]Methods write-up'!$S$20,'[1]observations-276632'!X752&lt;'[1]Methods write-up'!$T$20),"Temperate seasonal","")</f>
        <v/>
      </c>
      <c r="BC752" s="22" t="str">
        <f>IF(AND('[1]observations-276632'!W752&gt;'[1]Methods write-up'!$Q$21,'[1]observations-276632'!W752&lt;'[1]Methods write-up'!$R$21,'[1]observations-276632'!X752&gt;'[1]Methods write-up'!$S$21,'[1]observations-276632'!X752&lt;'[1]Methods write-up'!$T$21),"Desert and high aridity","")</f>
        <v/>
      </c>
      <c r="BD752" s="23" t="str">
        <f t="shared" si="50"/>
        <v>East Africa</v>
      </c>
      <c r="BE752" s="24">
        <f t="shared" si="48"/>
        <v>22</v>
      </c>
      <c r="BF752" s="24">
        <f t="shared" si="49"/>
        <v>5</v>
      </c>
    </row>
    <row r="753" spans="1:58" ht="16.25" customHeight="1" x14ac:dyDescent="0.2">
      <c r="A753">
        <v>80014337</v>
      </c>
      <c r="B753" s="25">
        <v>44331.570833333331</v>
      </c>
      <c r="C753" s="14">
        <v>44331</v>
      </c>
      <c r="D753" t="s">
        <v>5634</v>
      </c>
      <c r="E753" t="s">
        <v>113</v>
      </c>
      <c r="F753">
        <v>2600246</v>
      </c>
      <c r="G753" t="s">
        <v>4262</v>
      </c>
      <c r="H753" t="s">
        <v>4263</v>
      </c>
      <c r="I753" t="s">
        <v>5635</v>
      </c>
      <c r="J753" t="s">
        <v>5636</v>
      </c>
      <c r="K753" t="s">
        <v>62</v>
      </c>
      <c r="L753" t="s">
        <v>63</v>
      </c>
      <c r="M753" t="s">
        <v>5637</v>
      </c>
      <c r="N753" t="s">
        <v>5638</v>
      </c>
      <c r="R753">
        <v>2</v>
      </c>
      <c r="S753">
        <v>0</v>
      </c>
      <c r="T753" t="b">
        <v>0</v>
      </c>
      <c r="U753">
        <v>2</v>
      </c>
      <c r="V753" t="s">
        <v>5639</v>
      </c>
      <c r="W753" s="15">
        <v>-24.841397390000001</v>
      </c>
      <c r="X753" s="15">
        <v>28.04859459</v>
      </c>
      <c r="Y753">
        <v>202</v>
      </c>
      <c r="AC753">
        <v>202</v>
      </c>
      <c r="AF753" t="b">
        <v>0</v>
      </c>
      <c r="AI753" t="s">
        <v>71</v>
      </c>
      <c r="AJ753" t="s">
        <v>70</v>
      </c>
      <c r="AK753" t="s">
        <v>71</v>
      </c>
      <c r="AL753" t="s">
        <v>72</v>
      </c>
      <c r="AM753">
        <v>346053</v>
      </c>
      <c r="AO753" s="16" t="s">
        <v>73</v>
      </c>
      <c r="AP753" s="17" t="str">
        <f t="shared" si="51"/>
        <v>Off-nest female</v>
      </c>
      <c r="AX753" s="22" t="str">
        <f>IF(AND('[1]observations-276632'!W753&gt;'[1]Methods write-up'!$Q$16,'[1]observations-276632'!W753&lt;'[1]Methods write-up'!$R$16,'[1]observations-276632'!X753&gt;'[1]Methods write-up'!$S$16,'[1]observations-276632'!X753&lt;'[1]Methods write-up'!$T$16),"West and Central Africa","")</f>
        <v/>
      </c>
      <c r="AY753" s="22" t="str">
        <f>IF(AND('[1]observations-276632'!W753&gt;'[1]Methods write-up'!$Q$17,'[1]observations-276632'!W753&lt;'[1]Methods write-up'!$R$17,'[1]observations-276632'!X753&gt;'[1]Methods write-up'!$S$17,'[1]observations-276632'!X753&lt;'[1]Methods write-up'!$T$17),"Equatorial tropical forest","")</f>
        <v/>
      </c>
      <c r="AZ753" s="22" t="str">
        <f>IF(AND('[1]observations-276632'!W753&gt;'[1]Methods write-up'!$Q$18,'[1]observations-276632'!W753&lt;'[1]Methods write-up'!$R$18,'[1]observations-276632'!X753&gt;'[1]Methods write-up'!$S$18,'[1]observations-276632'!X753&lt;'[1]Methods write-up'!$T$18),"Somali peninsula","")</f>
        <v/>
      </c>
      <c r="BA753" s="22" t="str">
        <f>IF(AND('[1]observations-276632'!W753&gt;'[1]Methods write-up'!$Q$19,'[1]observations-276632'!W753&lt;'[1]Methods write-up'!$R$19,'[1]observations-276632'!X753&gt;'[1]Methods write-up'!$S$19,'[1]observations-276632'!X753&lt;'[1]Methods write-up'!$T$19),"East Africa","")</f>
        <v/>
      </c>
      <c r="BB753" s="22" t="str">
        <f>IF(AND('[1]observations-276632'!W753&gt;'[1]Methods write-up'!$Q$20,'[1]observations-276632'!W753&lt;'[1]Methods write-up'!$R$20,'[1]observations-276632'!X753&gt;'[1]Methods write-up'!$S$20,'[1]observations-276632'!X753&lt;'[1]Methods write-up'!$T$20),"Temperate seasonal","")</f>
        <v/>
      </c>
      <c r="BC753" s="22" t="str">
        <f>IF(AND('[1]observations-276632'!W753&gt;'[1]Methods write-up'!$Q$21,'[1]observations-276632'!W753&lt;'[1]Methods write-up'!$R$21,'[1]observations-276632'!X753&gt;'[1]Methods write-up'!$S$21,'[1]observations-276632'!X753&lt;'[1]Methods write-up'!$T$21),"Desert and high aridity","")</f>
        <v/>
      </c>
      <c r="BD753" s="23" t="str">
        <f t="shared" si="50"/>
        <v/>
      </c>
      <c r="BE753" s="24">
        <f t="shared" si="48"/>
        <v>15</v>
      </c>
      <c r="BF753" s="24">
        <f t="shared" si="49"/>
        <v>5</v>
      </c>
    </row>
    <row r="754" spans="1:58" ht="16.25" customHeight="1" x14ac:dyDescent="0.2">
      <c r="A754">
        <v>80080011</v>
      </c>
      <c r="B754" t="s">
        <v>5640</v>
      </c>
      <c r="C754" s="14">
        <v>44338</v>
      </c>
      <c r="D754" t="s">
        <v>5641</v>
      </c>
      <c r="E754" t="s">
        <v>113</v>
      </c>
      <c r="F754">
        <v>11253</v>
      </c>
      <c r="G754" t="s">
        <v>685</v>
      </c>
      <c r="H754" t="s">
        <v>686</v>
      </c>
      <c r="I754" t="s">
        <v>5642</v>
      </c>
      <c r="J754" t="s">
        <v>5643</v>
      </c>
      <c r="K754" t="s">
        <v>62</v>
      </c>
      <c r="L754" t="s">
        <v>118</v>
      </c>
      <c r="M754" t="s">
        <v>5644</v>
      </c>
      <c r="N754" t="s">
        <v>5645</v>
      </c>
      <c r="P754" t="s">
        <v>5646</v>
      </c>
      <c r="R754">
        <v>5</v>
      </c>
      <c r="S754">
        <v>0</v>
      </c>
      <c r="T754" t="b">
        <v>0</v>
      </c>
      <c r="V754" t="s">
        <v>5647</v>
      </c>
      <c r="W754" s="15">
        <v>-25.570330999999999</v>
      </c>
      <c r="X754" s="15">
        <v>28.587242</v>
      </c>
      <c r="Y754">
        <v>1413</v>
      </c>
      <c r="AC754">
        <v>1413</v>
      </c>
      <c r="AF754" t="b">
        <v>0</v>
      </c>
      <c r="AH754" t="s">
        <v>149</v>
      </c>
      <c r="AI754" t="s">
        <v>71</v>
      </c>
      <c r="AJ754" t="s">
        <v>70</v>
      </c>
      <c r="AK754" t="s">
        <v>71</v>
      </c>
      <c r="AL754" t="s">
        <v>72</v>
      </c>
      <c r="AM754">
        <v>346053</v>
      </c>
      <c r="AO754" s="16" t="s">
        <v>150</v>
      </c>
      <c r="AP754" s="17" t="str">
        <f t="shared" si="51"/>
        <v>Male (off nest)</v>
      </c>
      <c r="AX754" s="22" t="str">
        <f>IF(AND('[1]observations-276632'!W754&gt;'[1]Methods write-up'!$Q$16,'[1]observations-276632'!W754&lt;'[1]Methods write-up'!$R$16,'[1]observations-276632'!X754&gt;'[1]Methods write-up'!$S$16,'[1]observations-276632'!X754&lt;'[1]Methods write-up'!$T$16),"West and Central Africa","")</f>
        <v/>
      </c>
      <c r="AY754" s="22" t="str">
        <f>IF(AND('[1]observations-276632'!W754&gt;'[1]Methods write-up'!$Q$17,'[1]observations-276632'!W754&lt;'[1]Methods write-up'!$R$17,'[1]observations-276632'!X754&gt;'[1]Methods write-up'!$S$17,'[1]observations-276632'!X754&lt;'[1]Methods write-up'!$T$17),"Equatorial tropical forest","")</f>
        <v/>
      </c>
      <c r="AZ754" s="22" t="str">
        <f>IF(AND('[1]observations-276632'!W754&gt;'[1]Methods write-up'!$Q$18,'[1]observations-276632'!W754&lt;'[1]Methods write-up'!$R$18,'[1]observations-276632'!X754&gt;'[1]Methods write-up'!$S$18,'[1]observations-276632'!X754&lt;'[1]Methods write-up'!$T$18),"Somali peninsula","")</f>
        <v/>
      </c>
      <c r="BA754" s="22" t="str">
        <f>IF(AND('[1]observations-276632'!W754&gt;'[1]Methods write-up'!$Q$19,'[1]observations-276632'!W754&lt;'[1]Methods write-up'!$R$19,'[1]observations-276632'!X754&gt;'[1]Methods write-up'!$S$19,'[1]observations-276632'!X754&lt;'[1]Methods write-up'!$T$19),"East Africa","")</f>
        <v/>
      </c>
      <c r="BB754" s="22" t="str">
        <f>IF(AND('[1]observations-276632'!W754&gt;'[1]Methods write-up'!$Q$20,'[1]observations-276632'!W754&lt;'[1]Methods write-up'!$R$20,'[1]observations-276632'!X754&gt;'[1]Methods write-up'!$S$20,'[1]observations-276632'!X754&lt;'[1]Methods write-up'!$T$20),"Temperate seasonal","")</f>
        <v>Temperate seasonal</v>
      </c>
      <c r="BC754" s="22" t="str">
        <f>IF(AND('[1]observations-276632'!W754&gt;'[1]Methods write-up'!$Q$21,'[1]observations-276632'!W754&lt;'[1]Methods write-up'!$R$21,'[1]observations-276632'!X754&gt;'[1]Methods write-up'!$S$21,'[1]observations-276632'!X754&lt;'[1]Methods write-up'!$T$21),"Desert and high aridity","")</f>
        <v/>
      </c>
      <c r="BD754" s="23" t="str">
        <f t="shared" si="50"/>
        <v>Temperate seasonal</v>
      </c>
      <c r="BE754" s="24">
        <f t="shared" si="48"/>
        <v>22</v>
      </c>
      <c r="BF754" s="24">
        <f t="shared" si="49"/>
        <v>5</v>
      </c>
    </row>
    <row r="755" spans="1:58" ht="16.25" customHeight="1" x14ac:dyDescent="0.2">
      <c r="A755">
        <v>80107251</v>
      </c>
      <c r="B755" t="s">
        <v>5648</v>
      </c>
      <c r="C755" s="14">
        <v>44338</v>
      </c>
      <c r="D755" t="s">
        <v>5649</v>
      </c>
      <c r="E755" t="s">
        <v>113</v>
      </c>
      <c r="F755">
        <v>1288995</v>
      </c>
      <c r="G755" t="s">
        <v>2367</v>
      </c>
      <c r="H755" t="s">
        <v>2368</v>
      </c>
      <c r="I755" t="s">
        <v>5650</v>
      </c>
      <c r="J755" t="s">
        <v>5651</v>
      </c>
      <c r="K755" t="s">
        <v>62</v>
      </c>
      <c r="L755" t="s">
        <v>63</v>
      </c>
      <c r="M755" t="s">
        <v>5652</v>
      </c>
      <c r="N755" t="s">
        <v>5653</v>
      </c>
      <c r="R755">
        <v>4</v>
      </c>
      <c r="S755">
        <v>0</v>
      </c>
      <c r="T755" t="b">
        <v>0</v>
      </c>
      <c r="V755" t="s">
        <v>5654</v>
      </c>
      <c r="W755" s="15">
        <v>-25.57589158</v>
      </c>
      <c r="X755" s="15">
        <v>28.58888846</v>
      </c>
      <c r="Y755">
        <v>360</v>
      </c>
      <c r="AC755">
        <v>360</v>
      </c>
      <c r="AF755" t="b">
        <v>0</v>
      </c>
      <c r="AI755" t="s">
        <v>71</v>
      </c>
      <c r="AJ755" t="s">
        <v>70</v>
      </c>
      <c r="AK755" t="s">
        <v>71</v>
      </c>
      <c r="AL755" t="s">
        <v>72</v>
      </c>
      <c r="AM755">
        <v>346053</v>
      </c>
      <c r="AO755" s="16" t="s">
        <v>150</v>
      </c>
      <c r="AP755" s="17" t="str">
        <f t="shared" si="51"/>
        <v>Male (off nest)</v>
      </c>
      <c r="AX755" s="22" t="str">
        <f>IF(AND('[1]observations-276632'!W755&gt;'[1]Methods write-up'!$Q$16,'[1]observations-276632'!W755&lt;'[1]Methods write-up'!$R$16,'[1]observations-276632'!X755&gt;'[1]Methods write-up'!$S$16,'[1]observations-276632'!X755&lt;'[1]Methods write-up'!$T$16),"West and Central Africa","")</f>
        <v/>
      </c>
      <c r="AY755" s="22" t="str">
        <f>IF(AND('[1]observations-276632'!W755&gt;'[1]Methods write-up'!$Q$17,'[1]observations-276632'!W755&lt;'[1]Methods write-up'!$R$17,'[1]observations-276632'!X755&gt;'[1]Methods write-up'!$S$17,'[1]observations-276632'!X755&lt;'[1]Methods write-up'!$T$17),"Equatorial tropical forest","")</f>
        <v/>
      </c>
      <c r="AZ755" s="22" t="str">
        <f>IF(AND('[1]observations-276632'!W755&gt;'[1]Methods write-up'!$Q$18,'[1]observations-276632'!W755&lt;'[1]Methods write-up'!$R$18,'[1]observations-276632'!X755&gt;'[1]Methods write-up'!$S$18,'[1]observations-276632'!X755&lt;'[1]Methods write-up'!$T$18),"Somali peninsula","")</f>
        <v/>
      </c>
      <c r="BA755" s="22" t="str">
        <f>IF(AND('[1]observations-276632'!W755&gt;'[1]Methods write-up'!$Q$19,'[1]observations-276632'!W755&lt;'[1]Methods write-up'!$R$19,'[1]observations-276632'!X755&gt;'[1]Methods write-up'!$S$19,'[1]observations-276632'!X755&lt;'[1]Methods write-up'!$T$19),"East Africa","")</f>
        <v/>
      </c>
      <c r="BB755" s="22" t="str">
        <f>IF(AND('[1]observations-276632'!W755&gt;'[1]Methods write-up'!$Q$20,'[1]observations-276632'!W755&lt;'[1]Methods write-up'!$R$20,'[1]observations-276632'!X755&gt;'[1]Methods write-up'!$S$20,'[1]observations-276632'!X755&lt;'[1]Methods write-up'!$T$20),"Temperate seasonal","")</f>
        <v>Temperate seasonal</v>
      </c>
      <c r="BC755" s="22" t="str">
        <f>IF(AND('[1]observations-276632'!W755&gt;'[1]Methods write-up'!$Q$21,'[1]observations-276632'!W755&lt;'[1]Methods write-up'!$R$21,'[1]observations-276632'!X755&gt;'[1]Methods write-up'!$S$21,'[1]observations-276632'!X755&lt;'[1]Methods write-up'!$T$21),"Desert and high aridity","")</f>
        <v/>
      </c>
      <c r="BD755" s="23" t="str">
        <f t="shared" si="50"/>
        <v>Temperate seasonal</v>
      </c>
      <c r="BE755" s="24">
        <f t="shared" si="48"/>
        <v>22</v>
      </c>
      <c r="BF755" s="24">
        <f t="shared" si="49"/>
        <v>5</v>
      </c>
    </row>
    <row r="756" spans="1:58" ht="16.25" customHeight="1" x14ac:dyDescent="0.2">
      <c r="A756">
        <v>80380222</v>
      </c>
      <c r="B756" t="s">
        <v>5655</v>
      </c>
      <c r="C756" s="14">
        <v>44260</v>
      </c>
      <c r="D756" t="s">
        <v>5656</v>
      </c>
      <c r="E756" t="s">
        <v>113</v>
      </c>
      <c r="F756">
        <v>4429155</v>
      </c>
      <c r="G756" t="s">
        <v>5657</v>
      </c>
      <c r="H756" t="s">
        <v>5658</v>
      </c>
      <c r="I756" t="s">
        <v>5659</v>
      </c>
      <c r="J756" t="s">
        <v>5660</v>
      </c>
      <c r="K756" t="s">
        <v>62</v>
      </c>
      <c r="M756" t="s">
        <v>5661</v>
      </c>
      <c r="N756" t="s">
        <v>5662</v>
      </c>
      <c r="R756">
        <v>2</v>
      </c>
      <c r="S756">
        <v>0</v>
      </c>
      <c r="T756" t="b">
        <v>0</v>
      </c>
      <c r="U756">
        <v>2</v>
      </c>
      <c r="V756" t="s">
        <v>5663</v>
      </c>
      <c r="W756" s="15">
        <v>-29.548718000000001</v>
      </c>
      <c r="X756" s="15">
        <v>31.205376000000001</v>
      </c>
      <c r="AF756" t="b">
        <v>0</v>
      </c>
      <c r="AI756" t="s">
        <v>71</v>
      </c>
      <c r="AJ756" t="s">
        <v>70</v>
      </c>
      <c r="AK756" t="s">
        <v>71</v>
      </c>
      <c r="AL756" t="s">
        <v>72</v>
      </c>
      <c r="AM756">
        <v>346053</v>
      </c>
      <c r="AO756" s="16" t="s">
        <v>73</v>
      </c>
      <c r="AP756" s="17" t="str">
        <f t="shared" si="51"/>
        <v>Off-nest female</v>
      </c>
      <c r="AX756" s="22" t="str">
        <f>IF(AND('[1]observations-276632'!W756&gt;'[1]Methods write-up'!$Q$16,'[1]observations-276632'!W756&lt;'[1]Methods write-up'!$R$16,'[1]observations-276632'!X756&gt;'[1]Methods write-up'!$S$16,'[1]observations-276632'!X756&lt;'[1]Methods write-up'!$T$16),"West and Central Africa","")</f>
        <v/>
      </c>
      <c r="AY756" s="22" t="str">
        <f>IF(AND('[1]observations-276632'!W756&gt;'[1]Methods write-up'!$Q$17,'[1]observations-276632'!W756&lt;'[1]Methods write-up'!$R$17,'[1]observations-276632'!X756&gt;'[1]Methods write-up'!$S$17,'[1]observations-276632'!X756&lt;'[1]Methods write-up'!$T$17),"Equatorial tropical forest","")</f>
        <v/>
      </c>
      <c r="AZ756" s="22" t="str">
        <f>IF(AND('[1]observations-276632'!W756&gt;'[1]Methods write-up'!$Q$18,'[1]observations-276632'!W756&lt;'[1]Methods write-up'!$R$18,'[1]observations-276632'!X756&gt;'[1]Methods write-up'!$S$18,'[1]observations-276632'!X756&lt;'[1]Methods write-up'!$T$18),"Somali peninsula","")</f>
        <v/>
      </c>
      <c r="BA756" s="22" t="str">
        <f>IF(AND('[1]observations-276632'!W756&gt;'[1]Methods write-up'!$Q$19,'[1]observations-276632'!W756&lt;'[1]Methods write-up'!$R$19,'[1]observations-276632'!X756&gt;'[1]Methods write-up'!$S$19,'[1]observations-276632'!X756&lt;'[1]Methods write-up'!$T$19),"East Africa","")</f>
        <v/>
      </c>
      <c r="BB756" s="22" t="str">
        <f>IF(AND('[1]observations-276632'!W756&gt;'[1]Methods write-up'!$Q$20,'[1]observations-276632'!W756&lt;'[1]Methods write-up'!$R$20,'[1]observations-276632'!X756&gt;'[1]Methods write-up'!$S$20,'[1]observations-276632'!X756&lt;'[1]Methods write-up'!$T$20),"Temperate seasonal","")</f>
        <v>Temperate seasonal</v>
      </c>
      <c r="BC756" s="22" t="str">
        <f>IF(AND('[1]observations-276632'!W756&gt;'[1]Methods write-up'!$Q$21,'[1]observations-276632'!W756&lt;'[1]Methods write-up'!$R$21,'[1]observations-276632'!X756&gt;'[1]Methods write-up'!$S$21,'[1]observations-276632'!X756&lt;'[1]Methods write-up'!$T$21),"Desert and high aridity","")</f>
        <v/>
      </c>
      <c r="BD756" s="23" t="str">
        <f t="shared" si="50"/>
        <v>Temperate seasonal</v>
      </c>
      <c r="BE756" s="24">
        <f t="shared" si="48"/>
        <v>5</v>
      </c>
      <c r="BF756" s="24">
        <f t="shared" si="49"/>
        <v>3</v>
      </c>
    </row>
    <row r="757" spans="1:58" ht="16.25" customHeight="1" x14ac:dyDescent="0.2">
      <c r="A757">
        <v>80663214</v>
      </c>
      <c r="B757" t="s">
        <v>5664</v>
      </c>
      <c r="C757" s="14">
        <v>44341</v>
      </c>
      <c r="D757" t="s">
        <v>5665</v>
      </c>
      <c r="E757" t="s">
        <v>193</v>
      </c>
      <c r="F757">
        <v>3857722</v>
      </c>
      <c r="G757" t="s">
        <v>4422</v>
      </c>
      <c r="H757" t="s">
        <v>4423</v>
      </c>
      <c r="I757" t="s">
        <v>5666</v>
      </c>
      <c r="J757" t="s">
        <v>5667</v>
      </c>
      <c r="K757" t="s">
        <v>62</v>
      </c>
      <c r="L757" t="s">
        <v>63</v>
      </c>
      <c r="M757" t="s">
        <v>5668</v>
      </c>
      <c r="N757" t="s">
        <v>5669</v>
      </c>
      <c r="R757">
        <v>2</v>
      </c>
      <c r="S757">
        <v>0</v>
      </c>
      <c r="T757" t="b">
        <v>0</v>
      </c>
      <c r="U757">
        <v>3</v>
      </c>
      <c r="V757" t="s">
        <v>5670</v>
      </c>
      <c r="W757" s="15">
        <v>3.1984783330000002</v>
      </c>
      <c r="X757" s="15">
        <v>12.821253329999999</v>
      </c>
      <c r="Y757">
        <v>4</v>
      </c>
      <c r="AC757">
        <v>4</v>
      </c>
      <c r="AF757" t="b">
        <v>0</v>
      </c>
      <c r="AI757" t="s">
        <v>70</v>
      </c>
      <c r="AJ757" t="s">
        <v>70</v>
      </c>
      <c r="AK757" t="s">
        <v>71</v>
      </c>
      <c r="AL757" t="s">
        <v>72</v>
      </c>
      <c r="AM757">
        <v>346053</v>
      </c>
      <c r="AO757" s="16" t="s">
        <v>73</v>
      </c>
      <c r="AP757" s="17" t="str">
        <f t="shared" si="51"/>
        <v>Off-nest female</v>
      </c>
      <c r="AX757" s="22" t="str">
        <f>IF(AND('[1]observations-276632'!W757&gt;'[1]Methods write-up'!$Q$16,'[1]observations-276632'!W757&lt;'[1]Methods write-up'!$R$16,'[1]observations-276632'!X757&gt;'[1]Methods write-up'!$S$16,'[1]observations-276632'!X757&lt;'[1]Methods write-up'!$T$16),"West and Central Africa","")</f>
        <v>West and Central Africa</v>
      </c>
      <c r="AY757" s="22" t="str">
        <f>IF(AND('[1]observations-276632'!W757&gt;'[1]Methods write-up'!$Q$17,'[1]observations-276632'!W757&lt;'[1]Methods write-up'!$R$17,'[1]observations-276632'!X757&gt;'[1]Methods write-up'!$S$17,'[1]observations-276632'!X757&lt;'[1]Methods write-up'!$T$17),"Equatorial tropical forest","")</f>
        <v/>
      </c>
      <c r="AZ757" s="22" t="str">
        <f>IF(AND('[1]observations-276632'!W757&gt;'[1]Methods write-up'!$Q$18,'[1]observations-276632'!W757&lt;'[1]Methods write-up'!$R$18,'[1]observations-276632'!X757&gt;'[1]Methods write-up'!$S$18,'[1]observations-276632'!X757&lt;'[1]Methods write-up'!$T$18),"Somali peninsula","")</f>
        <v/>
      </c>
      <c r="BA757" s="22" t="str">
        <f>IF(AND('[1]observations-276632'!W757&gt;'[1]Methods write-up'!$Q$19,'[1]observations-276632'!W757&lt;'[1]Methods write-up'!$R$19,'[1]observations-276632'!X757&gt;'[1]Methods write-up'!$S$19,'[1]observations-276632'!X757&lt;'[1]Methods write-up'!$T$19),"East Africa","")</f>
        <v/>
      </c>
      <c r="BB757" s="22" t="str">
        <f>IF(AND('[1]observations-276632'!W757&gt;'[1]Methods write-up'!$Q$20,'[1]observations-276632'!W757&lt;'[1]Methods write-up'!$R$20,'[1]observations-276632'!X757&gt;'[1]Methods write-up'!$S$20,'[1]observations-276632'!X757&lt;'[1]Methods write-up'!$T$20),"Temperate seasonal","")</f>
        <v/>
      </c>
      <c r="BC757" s="22" t="str">
        <f>IF(AND('[1]observations-276632'!W757&gt;'[1]Methods write-up'!$Q$21,'[1]observations-276632'!W757&lt;'[1]Methods write-up'!$R$21,'[1]observations-276632'!X757&gt;'[1]Methods write-up'!$S$21,'[1]observations-276632'!X757&lt;'[1]Methods write-up'!$T$21),"Desert and high aridity","")</f>
        <v/>
      </c>
      <c r="BD757" s="23" t="str">
        <f t="shared" si="50"/>
        <v>West and Central Africa</v>
      </c>
      <c r="BE757" s="24">
        <f t="shared" si="48"/>
        <v>25</v>
      </c>
      <c r="BF757" s="24">
        <f t="shared" si="49"/>
        <v>5</v>
      </c>
    </row>
    <row r="758" spans="1:58" ht="16.25" customHeight="1" x14ac:dyDescent="0.2">
      <c r="A758">
        <v>80663563</v>
      </c>
      <c r="B758" t="s">
        <v>5671</v>
      </c>
      <c r="C758" s="14">
        <v>44341</v>
      </c>
      <c r="D758" t="s">
        <v>5672</v>
      </c>
      <c r="E758" t="s">
        <v>193</v>
      </c>
      <c r="F758">
        <v>3857722</v>
      </c>
      <c r="G758" t="s">
        <v>4422</v>
      </c>
      <c r="H758" t="s">
        <v>4423</v>
      </c>
      <c r="I758" t="s">
        <v>5673</v>
      </c>
      <c r="J758" t="s">
        <v>5674</v>
      </c>
      <c r="K758" t="s">
        <v>62</v>
      </c>
      <c r="L758" t="s">
        <v>63</v>
      </c>
      <c r="M758" t="s">
        <v>5675</v>
      </c>
      <c r="N758" t="s">
        <v>5676</v>
      </c>
      <c r="R758">
        <v>2</v>
      </c>
      <c r="S758">
        <v>0</v>
      </c>
      <c r="T758" t="b">
        <v>0</v>
      </c>
      <c r="U758">
        <v>3</v>
      </c>
      <c r="V758" t="s">
        <v>5670</v>
      </c>
      <c r="W758" s="15">
        <v>3.172949746</v>
      </c>
      <c r="X758" s="15">
        <v>12.95118072</v>
      </c>
      <c r="Y758">
        <v>13129</v>
      </c>
      <c r="AC758">
        <v>13129</v>
      </c>
      <c r="AF758" t="b">
        <v>0</v>
      </c>
      <c r="AI758" t="s">
        <v>71</v>
      </c>
      <c r="AJ758" t="s">
        <v>70</v>
      </c>
      <c r="AK758" t="s">
        <v>71</v>
      </c>
      <c r="AL758" t="s">
        <v>72</v>
      </c>
      <c r="AM758">
        <v>346053</v>
      </c>
      <c r="AO758" s="16" t="s">
        <v>442</v>
      </c>
      <c r="AP758" s="17" t="str">
        <f t="shared" si="51"/>
        <v>Dead female</v>
      </c>
      <c r="AX758" s="22" t="str">
        <f>IF(AND('[1]observations-276632'!W758&gt;'[1]Methods write-up'!$Q$16,'[1]observations-276632'!W758&lt;'[1]Methods write-up'!$R$16,'[1]observations-276632'!X758&gt;'[1]Methods write-up'!$S$16,'[1]observations-276632'!X758&lt;'[1]Methods write-up'!$T$16),"West and Central Africa","")</f>
        <v>West and Central Africa</v>
      </c>
      <c r="AY758" s="22" t="str">
        <f>IF(AND('[1]observations-276632'!W758&gt;'[1]Methods write-up'!$Q$17,'[1]observations-276632'!W758&lt;'[1]Methods write-up'!$R$17,'[1]observations-276632'!X758&gt;'[1]Methods write-up'!$S$17,'[1]observations-276632'!X758&lt;'[1]Methods write-up'!$T$17),"Equatorial tropical forest","")</f>
        <v/>
      </c>
      <c r="AZ758" s="22" t="str">
        <f>IF(AND('[1]observations-276632'!W758&gt;'[1]Methods write-up'!$Q$18,'[1]observations-276632'!W758&lt;'[1]Methods write-up'!$R$18,'[1]observations-276632'!X758&gt;'[1]Methods write-up'!$S$18,'[1]observations-276632'!X758&lt;'[1]Methods write-up'!$T$18),"Somali peninsula","")</f>
        <v/>
      </c>
      <c r="BA758" s="22" t="str">
        <f>IF(AND('[1]observations-276632'!W758&gt;'[1]Methods write-up'!$Q$19,'[1]observations-276632'!W758&lt;'[1]Methods write-up'!$R$19,'[1]observations-276632'!X758&gt;'[1]Methods write-up'!$S$19,'[1]observations-276632'!X758&lt;'[1]Methods write-up'!$T$19),"East Africa","")</f>
        <v/>
      </c>
      <c r="BB758" s="22" t="str">
        <f>IF(AND('[1]observations-276632'!W758&gt;'[1]Methods write-up'!$Q$20,'[1]observations-276632'!W758&lt;'[1]Methods write-up'!$R$20,'[1]observations-276632'!X758&gt;'[1]Methods write-up'!$S$20,'[1]observations-276632'!X758&lt;'[1]Methods write-up'!$T$20),"Temperate seasonal","")</f>
        <v/>
      </c>
      <c r="BC758" s="22" t="str">
        <f>IF(AND('[1]observations-276632'!W758&gt;'[1]Methods write-up'!$Q$21,'[1]observations-276632'!W758&lt;'[1]Methods write-up'!$R$21,'[1]observations-276632'!X758&gt;'[1]Methods write-up'!$S$21,'[1]observations-276632'!X758&lt;'[1]Methods write-up'!$T$21),"Desert and high aridity","")</f>
        <v/>
      </c>
      <c r="BD758" s="23" t="str">
        <f t="shared" si="50"/>
        <v>West and Central Africa</v>
      </c>
      <c r="BE758" s="24">
        <f t="shared" si="48"/>
        <v>25</v>
      </c>
      <c r="BF758" s="24">
        <f t="shared" si="49"/>
        <v>5</v>
      </c>
    </row>
    <row r="759" spans="1:58" ht="16.25" customHeight="1" x14ac:dyDescent="0.2">
      <c r="A759">
        <v>80696554</v>
      </c>
      <c r="B759" t="s">
        <v>5677</v>
      </c>
      <c r="C759" s="14">
        <v>44340</v>
      </c>
      <c r="D759" t="s">
        <v>5678</v>
      </c>
      <c r="E759" t="s">
        <v>193</v>
      </c>
      <c r="F759">
        <v>3857722</v>
      </c>
      <c r="G759" t="s">
        <v>4422</v>
      </c>
      <c r="H759" t="s">
        <v>4423</v>
      </c>
      <c r="I759" t="s">
        <v>5679</v>
      </c>
      <c r="J759" t="s">
        <v>5680</v>
      </c>
      <c r="K759" t="s">
        <v>62</v>
      </c>
      <c r="L759" t="s">
        <v>63</v>
      </c>
      <c r="M759" t="s">
        <v>5681</v>
      </c>
      <c r="N759" t="s">
        <v>5682</v>
      </c>
      <c r="R759">
        <v>2</v>
      </c>
      <c r="S759">
        <v>0</v>
      </c>
      <c r="T759" t="b">
        <v>0</v>
      </c>
      <c r="U759">
        <v>3</v>
      </c>
      <c r="V759" t="s">
        <v>5670</v>
      </c>
      <c r="W759" s="15">
        <v>3.1608602189999999</v>
      </c>
      <c r="X759" s="15">
        <v>12.95371272</v>
      </c>
      <c r="Y759">
        <v>18614</v>
      </c>
      <c r="AC759">
        <v>18614</v>
      </c>
      <c r="AF759" t="b">
        <v>0</v>
      </c>
      <c r="AI759" t="s">
        <v>71</v>
      </c>
      <c r="AJ759" t="s">
        <v>70</v>
      </c>
      <c r="AK759" t="s">
        <v>71</v>
      </c>
      <c r="AL759" t="s">
        <v>72</v>
      </c>
      <c r="AM759">
        <v>346053</v>
      </c>
      <c r="AO759" s="16" t="s">
        <v>73</v>
      </c>
      <c r="AP759" s="17" t="str">
        <f t="shared" si="51"/>
        <v>Off-nest female</v>
      </c>
      <c r="AX759" s="22" t="str">
        <f>IF(AND('[1]observations-276632'!W759&gt;'[1]Methods write-up'!$Q$16,'[1]observations-276632'!W759&lt;'[1]Methods write-up'!$R$16,'[1]observations-276632'!X759&gt;'[1]Methods write-up'!$S$16,'[1]observations-276632'!X759&lt;'[1]Methods write-up'!$T$16),"West and Central Africa","")</f>
        <v>West and Central Africa</v>
      </c>
      <c r="AY759" s="22" t="str">
        <f>IF(AND('[1]observations-276632'!W759&gt;'[1]Methods write-up'!$Q$17,'[1]observations-276632'!W759&lt;'[1]Methods write-up'!$R$17,'[1]observations-276632'!X759&gt;'[1]Methods write-up'!$S$17,'[1]observations-276632'!X759&lt;'[1]Methods write-up'!$T$17),"Equatorial tropical forest","")</f>
        <v/>
      </c>
      <c r="AZ759" s="22" t="str">
        <f>IF(AND('[1]observations-276632'!W759&gt;'[1]Methods write-up'!$Q$18,'[1]observations-276632'!W759&lt;'[1]Methods write-up'!$R$18,'[1]observations-276632'!X759&gt;'[1]Methods write-up'!$S$18,'[1]observations-276632'!X759&lt;'[1]Methods write-up'!$T$18),"Somali peninsula","")</f>
        <v/>
      </c>
      <c r="BA759" s="22" t="str">
        <f>IF(AND('[1]observations-276632'!W759&gt;'[1]Methods write-up'!$Q$19,'[1]observations-276632'!W759&lt;'[1]Methods write-up'!$R$19,'[1]observations-276632'!X759&gt;'[1]Methods write-up'!$S$19,'[1]observations-276632'!X759&lt;'[1]Methods write-up'!$T$19),"East Africa","")</f>
        <v/>
      </c>
      <c r="BB759" s="22" t="str">
        <f>IF(AND('[1]observations-276632'!W759&gt;'[1]Methods write-up'!$Q$20,'[1]observations-276632'!W759&lt;'[1]Methods write-up'!$R$20,'[1]observations-276632'!X759&gt;'[1]Methods write-up'!$S$20,'[1]observations-276632'!X759&lt;'[1]Methods write-up'!$T$20),"Temperate seasonal","")</f>
        <v/>
      </c>
      <c r="BC759" s="22" t="str">
        <f>IF(AND('[1]observations-276632'!W759&gt;'[1]Methods write-up'!$Q$21,'[1]observations-276632'!W759&lt;'[1]Methods write-up'!$R$21,'[1]observations-276632'!X759&gt;'[1]Methods write-up'!$S$21,'[1]observations-276632'!X759&lt;'[1]Methods write-up'!$T$21),"Desert and high aridity","")</f>
        <v/>
      </c>
      <c r="BD759" s="23" t="str">
        <f t="shared" si="50"/>
        <v>West and Central Africa</v>
      </c>
      <c r="BE759" s="24">
        <f t="shared" si="48"/>
        <v>24</v>
      </c>
      <c r="BF759" s="24">
        <f t="shared" si="49"/>
        <v>5</v>
      </c>
    </row>
    <row r="760" spans="1:58" ht="16.25" customHeight="1" x14ac:dyDescent="0.2">
      <c r="A760">
        <v>80697696</v>
      </c>
      <c r="B760" t="s">
        <v>5683</v>
      </c>
      <c r="C760" s="14">
        <v>44343</v>
      </c>
      <c r="D760" t="s">
        <v>5684</v>
      </c>
      <c r="E760" t="s">
        <v>193</v>
      </c>
      <c r="F760">
        <v>3857722</v>
      </c>
      <c r="G760" t="s">
        <v>4422</v>
      </c>
      <c r="H760" t="s">
        <v>4423</v>
      </c>
      <c r="I760" t="s">
        <v>5685</v>
      </c>
      <c r="J760" t="s">
        <v>5686</v>
      </c>
      <c r="K760" t="s">
        <v>62</v>
      </c>
      <c r="L760" t="s">
        <v>63</v>
      </c>
      <c r="M760" t="s">
        <v>5687</v>
      </c>
      <c r="N760" t="s">
        <v>5688</v>
      </c>
      <c r="R760">
        <v>2</v>
      </c>
      <c r="S760">
        <v>0</v>
      </c>
      <c r="T760" t="b">
        <v>0</v>
      </c>
      <c r="U760">
        <v>3</v>
      </c>
      <c r="V760" t="s">
        <v>5689</v>
      </c>
      <c r="W760" s="15">
        <v>3.3765600029999998</v>
      </c>
      <c r="X760" s="15">
        <v>12.732740059999999</v>
      </c>
      <c r="Y760">
        <v>46</v>
      </c>
      <c r="AC760">
        <v>46</v>
      </c>
      <c r="AF760" t="b">
        <v>0</v>
      </c>
      <c r="AI760" t="s">
        <v>71</v>
      </c>
      <c r="AJ760" t="s">
        <v>70</v>
      </c>
      <c r="AK760" t="s">
        <v>71</v>
      </c>
      <c r="AL760" t="s">
        <v>72</v>
      </c>
      <c r="AM760">
        <v>346053</v>
      </c>
      <c r="AO760" s="16" t="s">
        <v>140</v>
      </c>
      <c r="AP760" s="17" t="str">
        <f t="shared" si="51"/>
        <v>Post-emergence nest</v>
      </c>
      <c r="AQ760" s="18">
        <v>17</v>
      </c>
      <c r="AT760" s="19" t="s">
        <v>141</v>
      </c>
      <c r="AU760" s="20" t="s">
        <v>141</v>
      </c>
      <c r="AX760" s="22" t="str">
        <f>IF(AND('[1]observations-276632'!W760&gt;'[1]Methods write-up'!$Q$16,'[1]observations-276632'!W760&lt;'[1]Methods write-up'!$R$16,'[1]observations-276632'!X760&gt;'[1]Methods write-up'!$S$16,'[1]observations-276632'!X760&lt;'[1]Methods write-up'!$T$16),"West and Central Africa","")</f>
        <v>West and Central Africa</v>
      </c>
      <c r="AY760" s="22" t="str">
        <f>IF(AND('[1]observations-276632'!W760&gt;'[1]Methods write-up'!$Q$17,'[1]observations-276632'!W760&lt;'[1]Methods write-up'!$R$17,'[1]observations-276632'!X760&gt;'[1]Methods write-up'!$S$17,'[1]observations-276632'!X760&lt;'[1]Methods write-up'!$T$17),"Equatorial tropical forest","")</f>
        <v/>
      </c>
      <c r="AZ760" s="22" t="str">
        <f>IF(AND('[1]observations-276632'!W760&gt;'[1]Methods write-up'!$Q$18,'[1]observations-276632'!W760&lt;'[1]Methods write-up'!$R$18,'[1]observations-276632'!X760&gt;'[1]Methods write-up'!$S$18,'[1]observations-276632'!X760&lt;'[1]Methods write-up'!$T$18),"Somali peninsula","")</f>
        <v/>
      </c>
      <c r="BA760" s="22" t="str">
        <f>IF(AND('[1]observations-276632'!W760&gt;'[1]Methods write-up'!$Q$19,'[1]observations-276632'!W760&lt;'[1]Methods write-up'!$R$19,'[1]observations-276632'!X760&gt;'[1]Methods write-up'!$S$19,'[1]observations-276632'!X760&lt;'[1]Methods write-up'!$T$19),"East Africa","")</f>
        <v/>
      </c>
      <c r="BB760" s="22" t="str">
        <f>IF(AND('[1]observations-276632'!W760&gt;'[1]Methods write-up'!$Q$20,'[1]observations-276632'!W760&lt;'[1]Methods write-up'!$R$20,'[1]observations-276632'!X760&gt;'[1]Methods write-up'!$S$20,'[1]observations-276632'!X760&lt;'[1]Methods write-up'!$T$20),"Temperate seasonal","")</f>
        <v/>
      </c>
      <c r="BC760" s="22" t="str">
        <f>IF(AND('[1]observations-276632'!W760&gt;'[1]Methods write-up'!$Q$21,'[1]observations-276632'!W760&lt;'[1]Methods write-up'!$R$21,'[1]observations-276632'!X760&gt;'[1]Methods write-up'!$S$21,'[1]observations-276632'!X760&lt;'[1]Methods write-up'!$T$21),"Desert and high aridity","")</f>
        <v/>
      </c>
      <c r="BD760" s="23" t="str">
        <f t="shared" si="50"/>
        <v>West and Central Africa</v>
      </c>
      <c r="BE760" s="24">
        <f t="shared" si="48"/>
        <v>27</v>
      </c>
      <c r="BF760" s="24">
        <f t="shared" si="49"/>
        <v>5</v>
      </c>
    </row>
    <row r="761" spans="1:58" ht="16.25" customHeight="1" x14ac:dyDescent="0.2">
      <c r="A761">
        <v>80714832</v>
      </c>
      <c r="B761" t="s">
        <v>5690</v>
      </c>
      <c r="C761" s="14">
        <v>44296</v>
      </c>
      <c r="D761" t="s">
        <v>5691</v>
      </c>
      <c r="E761" t="s">
        <v>57</v>
      </c>
      <c r="F761">
        <v>678008</v>
      </c>
      <c r="G761" t="s">
        <v>2315</v>
      </c>
      <c r="I761" t="s">
        <v>5692</v>
      </c>
      <c r="J761" t="s">
        <v>5693</v>
      </c>
      <c r="K761" t="s">
        <v>62</v>
      </c>
      <c r="L761" t="s">
        <v>63</v>
      </c>
      <c r="M761" t="s">
        <v>5694</v>
      </c>
      <c r="N761" t="s">
        <v>5695</v>
      </c>
      <c r="R761">
        <v>1</v>
      </c>
      <c r="S761">
        <v>0</v>
      </c>
      <c r="T761" t="b">
        <v>0</v>
      </c>
      <c r="V761" t="s">
        <v>5696</v>
      </c>
      <c r="W761" s="15">
        <v>-15.3765924</v>
      </c>
      <c r="X761" s="15">
        <v>25.986644299999998</v>
      </c>
      <c r="Y761">
        <v>208</v>
      </c>
      <c r="AC761">
        <v>208</v>
      </c>
      <c r="AF761" t="b">
        <v>0</v>
      </c>
      <c r="AI761" t="s">
        <v>71</v>
      </c>
      <c r="AJ761" t="s">
        <v>70</v>
      </c>
      <c r="AK761" t="s">
        <v>71</v>
      </c>
      <c r="AL761" t="s">
        <v>72</v>
      </c>
      <c r="AM761">
        <v>346053</v>
      </c>
      <c r="AO761" s="16" t="s">
        <v>73</v>
      </c>
      <c r="AP761" s="17" t="str">
        <f t="shared" si="51"/>
        <v>Off-nest female</v>
      </c>
      <c r="AX761" s="22" t="str">
        <f>IF(AND('[1]observations-276632'!W761&gt;'[1]Methods write-up'!$Q$16,'[1]observations-276632'!W761&lt;'[1]Methods write-up'!$R$16,'[1]observations-276632'!X761&gt;'[1]Methods write-up'!$S$16,'[1]observations-276632'!X761&lt;'[1]Methods write-up'!$T$16),"West and Central Africa","")</f>
        <v>West and Central Africa</v>
      </c>
      <c r="AY761" s="22" t="str">
        <f>IF(AND('[1]observations-276632'!W761&gt;'[1]Methods write-up'!$Q$17,'[1]observations-276632'!W761&lt;'[1]Methods write-up'!$R$17,'[1]observations-276632'!X761&gt;'[1]Methods write-up'!$S$17,'[1]observations-276632'!X761&lt;'[1]Methods write-up'!$T$17),"Equatorial tropical forest","")</f>
        <v/>
      </c>
      <c r="AZ761" s="22" t="str">
        <f>IF(AND('[1]observations-276632'!W761&gt;'[1]Methods write-up'!$Q$18,'[1]observations-276632'!W761&lt;'[1]Methods write-up'!$R$18,'[1]observations-276632'!X761&gt;'[1]Methods write-up'!$S$18,'[1]observations-276632'!X761&lt;'[1]Methods write-up'!$T$18),"Somali peninsula","")</f>
        <v/>
      </c>
      <c r="BA761" s="22" t="str">
        <f>IF(AND('[1]observations-276632'!W761&gt;'[1]Methods write-up'!$Q$19,'[1]observations-276632'!W761&lt;'[1]Methods write-up'!$R$19,'[1]observations-276632'!X761&gt;'[1]Methods write-up'!$S$19,'[1]observations-276632'!X761&lt;'[1]Methods write-up'!$T$19),"East Africa","")</f>
        <v/>
      </c>
      <c r="BB761" s="22" t="str">
        <f>IF(AND('[1]observations-276632'!W761&gt;'[1]Methods write-up'!$Q$20,'[1]observations-276632'!W761&lt;'[1]Methods write-up'!$R$20,'[1]observations-276632'!X761&gt;'[1]Methods write-up'!$S$20,'[1]observations-276632'!X761&lt;'[1]Methods write-up'!$T$20),"Temperate seasonal","")</f>
        <v/>
      </c>
      <c r="BC761" s="22" t="str">
        <f>IF(AND('[1]observations-276632'!W761&gt;'[1]Methods write-up'!$Q$21,'[1]observations-276632'!W761&lt;'[1]Methods write-up'!$R$21,'[1]observations-276632'!X761&gt;'[1]Methods write-up'!$S$21,'[1]observations-276632'!X761&lt;'[1]Methods write-up'!$T$21),"Desert and high aridity","")</f>
        <v/>
      </c>
      <c r="BD761" s="23" t="str">
        <f t="shared" si="50"/>
        <v>West and Central Africa</v>
      </c>
      <c r="BE761" s="24">
        <f t="shared" si="48"/>
        <v>10</v>
      </c>
      <c r="BF761" s="24">
        <f t="shared" si="49"/>
        <v>4</v>
      </c>
    </row>
    <row r="762" spans="1:58" ht="16.25" customHeight="1" x14ac:dyDescent="0.2">
      <c r="A762">
        <v>80798126</v>
      </c>
      <c r="B762" t="s">
        <v>5697</v>
      </c>
      <c r="C762" s="14">
        <v>43750</v>
      </c>
      <c r="D762" t="s">
        <v>5698</v>
      </c>
      <c r="E762" t="s">
        <v>93</v>
      </c>
      <c r="F762">
        <v>860826</v>
      </c>
      <c r="G762" t="s">
        <v>5699</v>
      </c>
      <c r="H762" t="s">
        <v>5700</v>
      </c>
      <c r="I762" t="s">
        <v>5701</v>
      </c>
      <c r="J762" t="s">
        <v>5702</v>
      </c>
      <c r="K762" t="s">
        <v>62</v>
      </c>
      <c r="L762" t="s">
        <v>261</v>
      </c>
      <c r="M762" t="s">
        <v>5703</v>
      </c>
      <c r="N762" t="s">
        <v>5704</v>
      </c>
      <c r="R762">
        <v>1</v>
      </c>
      <c r="S762">
        <v>0</v>
      </c>
      <c r="T762" t="b">
        <v>0</v>
      </c>
      <c r="V762" t="s">
        <v>5705</v>
      </c>
      <c r="W762" s="15">
        <v>-21.255598060000001</v>
      </c>
      <c r="X762" s="15">
        <v>47.45284917</v>
      </c>
      <c r="AF762" t="b">
        <v>0</v>
      </c>
      <c r="AI762" t="s">
        <v>71</v>
      </c>
      <c r="AJ762" t="s">
        <v>70</v>
      </c>
      <c r="AK762" t="s">
        <v>71</v>
      </c>
      <c r="AL762" t="s">
        <v>72</v>
      </c>
      <c r="AM762">
        <v>346053</v>
      </c>
      <c r="AO762" s="16" t="s">
        <v>110</v>
      </c>
      <c r="AP762" s="17" t="str">
        <f t="shared" si="51"/>
        <v>Nest (foundress)</v>
      </c>
      <c r="AQ762" s="18">
        <v>1</v>
      </c>
      <c r="AT762" s="19" t="s">
        <v>104</v>
      </c>
      <c r="AX762" s="22" t="str">
        <f>IF(AND('[1]observations-276632'!W762&gt;'[1]Methods write-up'!$Q$16,'[1]observations-276632'!W762&lt;'[1]Methods write-up'!$R$16,'[1]observations-276632'!X762&gt;'[1]Methods write-up'!$S$16,'[1]observations-276632'!X762&lt;'[1]Methods write-up'!$T$16),"West and Central Africa","")</f>
        <v/>
      </c>
      <c r="AY762" s="22" t="str">
        <f>IF(AND('[1]observations-276632'!W762&gt;'[1]Methods write-up'!$Q$17,'[1]observations-276632'!W762&lt;'[1]Methods write-up'!$R$17,'[1]observations-276632'!X762&gt;'[1]Methods write-up'!$S$17,'[1]observations-276632'!X762&lt;'[1]Methods write-up'!$T$17),"Equatorial tropical forest","")</f>
        <v/>
      </c>
      <c r="AZ762" s="22" t="str">
        <f>IF(AND('[1]observations-276632'!W762&gt;'[1]Methods write-up'!$Q$18,'[1]observations-276632'!W762&lt;'[1]Methods write-up'!$R$18,'[1]observations-276632'!X762&gt;'[1]Methods write-up'!$S$18,'[1]observations-276632'!X762&lt;'[1]Methods write-up'!$T$18),"Somali peninsula","")</f>
        <v/>
      </c>
      <c r="BA762" s="22" t="str">
        <f>IF(AND('[1]observations-276632'!W762&gt;'[1]Methods write-up'!$Q$19,'[1]observations-276632'!W762&lt;'[1]Methods write-up'!$R$19,'[1]observations-276632'!X762&gt;'[1]Methods write-up'!$S$19,'[1]observations-276632'!X762&lt;'[1]Methods write-up'!$T$19),"East Africa","")</f>
        <v/>
      </c>
      <c r="BB762" s="22" t="str">
        <f>IF(AND('[1]observations-276632'!W762&gt;'[1]Methods write-up'!$Q$20,'[1]observations-276632'!W762&lt;'[1]Methods write-up'!$R$20,'[1]observations-276632'!X762&gt;'[1]Methods write-up'!$S$20,'[1]observations-276632'!X762&lt;'[1]Methods write-up'!$T$20),"Temperate seasonal","")</f>
        <v/>
      </c>
      <c r="BC762" s="22" t="str">
        <f>IF(AND('[1]observations-276632'!W762&gt;'[1]Methods write-up'!$Q$21,'[1]observations-276632'!W762&lt;'[1]Methods write-up'!$R$21,'[1]observations-276632'!X762&gt;'[1]Methods write-up'!$S$21,'[1]observations-276632'!X762&lt;'[1]Methods write-up'!$T$21),"Desert and high aridity","")</f>
        <v/>
      </c>
      <c r="BD762" s="23" t="str">
        <f t="shared" si="50"/>
        <v/>
      </c>
      <c r="BE762" s="24">
        <f t="shared" si="48"/>
        <v>12</v>
      </c>
      <c r="BF762" s="24">
        <f t="shared" si="49"/>
        <v>10</v>
      </c>
    </row>
    <row r="763" spans="1:58" ht="16.25" customHeight="1" x14ac:dyDescent="0.2">
      <c r="A763">
        <v>81694579</v>
      </c>
      <c r="B763" s="25">
        <v>44352.631249999999</v>
      </c>
      <c r="C763" s="14">
        <v>44352</v>
      </c>
      <c r="D763" t="s">
        <v>5706</v>
      </c>
      <c r="E763" t="s">
        <v>113</v>
      </c>
      <c r="F763">
        <v>4272512</v>
      </c>
      <c r="G763" t="s">
        <v>5707</v>
      </c>
      <c r="I763" t="s">
        <v>5708</v>
      </c>
      <c r="J763" t="s">
        <v>5709</v>
      </c>
      <c r="K763" t="s">
        <v>62</v>
      </c>
      <c r="L763" t="s">
        <v>63</v>
      </c>
      <c r="M763" t="s">
        <v>5710</v>
      </c>
      <c r="N763" t="s">
        <v>5711</v>
      </c>
      <c r="R763">
        <v>2</v>
      </c>
      <c r="S763">
        <v>0</v>
      </c>
      <c r="T763" t="b">
        <v>0</v>
      </c>
      <c r="U763">
        <v>2</v>
      </c>
      <c r="V763" t="s">
        <v>5712</v>
      </c>
      <c r="W763" s="15">
        <v>-23.31875823</v>
      </c>
      <c r="X763" s="15">
        <v>30.674472529999999</v>
      </c>
      <c r="Y763">
        <v>6</v>
      </c>
      <c r="AC763">
        <v>6</v>
      </c>
      <c r="AF763" t="b">
        <v>0</v>
      </c>
      <c r="AG763" t="s">
        <v>350</v>
      </c>
      <c r="AH763" t="s">
        <v>350</v>
      </c>
      <c r="AI763" t="s">
        <v>71</v>
      </c>
      <c r="AJ763" t="s">
        <v>70</v>
      </c>
      <c r="AK763" t="s">
        <v>71</v>
      </c>
      <c r="AL763" t="s">
        <v>72</v>
      </c>
      <c r="AM763">
        <v>346053</v>
      </c>
      <c r="AO763" s="16" t="s">
        <v>73</v>
      </c>
      <c r="AP763" s="17" t="str">
        <f t="shared" si="51"/>
        <v>Off-nest female</v>
      </c>
      <c r="AX763" s="22" t="str">
        <f>IF(AND('[1]observations-276632'!W763&gt;'[1]Methods write-up'!$Q$16,'[1]observations-276632'!W763&lt;'[1]Methods write-up'!$R$16,'[1]observations-276632'!X763&gt;'[1]Methods write-up'!$S$16,'[1]observations-276632'!X763&lt;'[1]Methods write-up'!$T$16),"West and Central Africa","")</f>
        <v/>
      </c>
      <c r="AY763" s="22" t="str">
        <f>IF(AND('[1]observations-276632'!W763&gt;'[1]Methods write-up'!$Q$17,'[1]observations-276632'!W763&lt;'[1]Methods write-up'!$R$17,'[1]observations-276632'!X763&gt;'[1]Methods write-up'!$S$17,'[1]observations-276632'!X763&lt;'[1]Methods write-up'!$T$17),"Equatorial tropical forest","")</f>
        <v/>
      </c>
      <c r="AZ763" s="22" t="str">
        <f>IF(AND('[1]observations-276632'!W763&gt;'[1]Methods write-up'!$Q$18,'[1]observations-276632'!W763&lt;'[1]Methods write-up'!$R$18,'[1]observations-276632'!X763&gt;'[1]Methods write-up'!$S$18,'[1]observations-276632'!X763&lt;'[1]Methods write-up'!$T$18),"Somali peninsula","")</f>
        <v/>
      </c>
      <c r="BA763" s="22" t="str">
        <f>IF(AND('[1]observations-276632'!W763&gt;'[1]Methods write-up'!$Q$19,'[1]observations-276632'!W763&lt;'[1]Methods write-up'!$R$19,'[1]observations-276632'!X763&gt;'[1]Methods write-up'!$S$19,'[1]observations-276632'!X763&lt;'[1]Methods write-up'!$T$19),"East Africa","")</f>
        <v/>
      </c>
      <c r="BB763" s="22" t="str">
        <f>IF(AND('[1]observations-276632'!W763&gt;'[1]Methods write-up'!$Q$20,'[1]observations-276632'!W763&lt;'[1]Methods write-up'!$R$20,'[1]observations-276632'!X763&gt;'[1]Methods write-up'!$S$20,'[1]observations-276632'!X763&lt;'[1]Methods write-up'!$T$20),"Temperate seasonal","")</f>
        <v/>
      </c>
      <c r="BC763" s="22" t="str">
        <f>IF(AND('[1]observations-276632'!W763&gt;'[1]Methods write-up'!$Q$21,'[1]observations-276632'!W763&lt;'[1]Methods write-up'!$R$21,'[1]observations-276632'!X763&gt;'[1]Methods write-up'!$S$21,'[1]observations-276632'!X763&lt;'[1]Methods write-up'!$T$21),"Desert and high aridity","")</f>
        <v/>
      </c>
      <c r="BD763" s="23" t="str">
        <f t="shared" si="50"/>
        <v/>
      </c>
      <c r="BE763" s="24">
        <f t="shared" si="48"/>
        <v>5</v>
      </c>
      <c r="BF763" s="24">
        <f t="shared" si="49"/>
        <v>6</v>
      </c>
    </row>
    <row r="764" spans="1:58" ht="16.25" customHeight="1" x14ac:dyDescent="0.2">
      <c r="A764">
        <v>82325261</v>
      </c>
      <c r="B764" t="s">
        <v>5713</v>
      </c>
      <c r="C764" s="14">
        <v>44352</v>
      </c>
      <c r="D764" t="s">
        <v>5714</v>
      </c>
      <c r="E764" t="s">
        <v>113</v>
      </c>
      <c r="F764">
        <v>659922</v>
      </c>
      <c r="G764" t="s">
        <v>918</v>
      </c>
      <c r="I764" t="s">
        <v>5715</v>
      </c>
      <c r="J764" t="s">
        <v>5716</v>
      </c>
      <c r="K764" t="s">
        <v>62</v>
      </c>
      <c r="L764" t="s">
        <v>63</v>
      </c>
      <c r="M764" t="s">
        <v>5717</v>
      </c>
      <c r="N764" t="s">
        <v>5718</v>
      </c>
      <c r="R764">
        <v>2</v>
      </c>
      <c r="S764">
        <v>0</v>
      </c>
      <c r="T764" t="b">
        <v>0</v>
      </c>
      <c r="V764" t="s">
        <v>2011</v>
      </c>
      <c r="W764" s="15">
        <v>-27.995000000000001</v>
      </c>
      <c r="X764" s="15">
        <v>32.365299999999998</v>
      </c>
      <c r="Y764">
        <v>100</v>
      </c>
      <c r="AC764">
        <v>100</v>
      </c>
      <c r="AF764" t="b">
        <v>0</v>
      </c>
      <c r="AI764" t="s">
        <v>71</v>
      </c>
      <c r="AJ764" t="s">
        <v>70</v>
      </c>
      <c r="AK764" t="s">
        <v>71</v>
      </c>
      <c r="AL764" t="s">
        <v>72</v>
      </c>
      <c r="AM764">
        <v>346053</v>
      </c>
      <c r="AO764" s="16" t="s">
        <v>5719</v>
      </c>
      <c r="AP764" s="17" t="str">
        <f t="shared" si="51"/>
        <v>Possible hibernation cluster</v>
      </c>
      <c r="AX764" s="22" t="str">
        <f>IF(AND('[1]observations-276632'!W764&gt;'[1]Methods write-up'!$Q$16,'[1]observations-276632'!W764&lt;'[1]Methods write-up'!$R$16,'[1]observations-276632'!X764&gt;'[1]Methods write-up'!$S$16,'[1]observations-276632'!X764&lt;'[1]Methods write-up'!$T$16),"West and Central Africa","")</f>
        <v/>
      </c>
      <c r="AY764" s="22" t="str">
        <f>IF(AND('[1]observations-276632'!W764&gt;'[1]Methods write-up'!$Q$17,'[1]observations-276632'!W764&lt;'[1]Methods write-up'!$R$17,'[1]observations-276632'!X764&gt;'[1]Methods write-up'!$S$17,'[1]observations-276632'!X764&lt;'[1]Methods write-up'!$T$17),"Equatorial tropical forest","")</f>
        <v/>
      </c>
      <c r="AZ764" s="22" t="str">
        <f>IF(AND('[1]observations-276632'!W764&gt;'[1]Methods write-up'!$Q$18,'[1]observations-276632'!W764&lt;'[1]Methods write-up'!$R$18,'[1]observations-276632'!X764&gt;'[1]Methods write-up'!$S$18,'[1]observations-276632'!X764&lt;'[1]Methods write-up'!$T$18),"Somali peninsula","")</f>
        <v/>
      </c>
      <c r="BA764" s="22" t="str">
        <f>IF(AND('[1]observations-276632'!W764&gt;'[1]Methods write-up'!$Q$19,'[1]observations-276632'!W764&lt;'[1]Methods write-up'!$R$19,'[1]observations-276632'!X764&gt;'[1]Methods write-up'!$S$19,'[1]observations-276632'!X764&lt;'[1]Methods write-up'!$T$19),"East Africa","")</f>
        <v/>
      </c>
      <c r="BB764" s="22" t="str">
        <f>IF(AND('[1]observations-276632'!W764&gt;'[1]Methods write-up'!$Q$20,'[1]observations-276632'!W764&lt;'[1]Methods write-up'!$R$20,'[1]observations-276632'!X764&gt;'[1]Methods write-up'!$S$20,'[1]observations-276632'!X764&lt;'[1]Methods write-up'!$T$20),"Temperate seasonal","")</f>
        <v>Temperate seasonal</v>
      </c>
      <c r="BC764" s="22" t="str">
        <f>IF(AND('[1]observations-276632'!W764&gt;'[1]Methods write-up'!$Q$21,'[1]observations-276632'!W764&lt;'[1]Methods write-up'!$R$21,'[1]observations-276632'!X764&gt;'[1]Methods write-up'!$S$21,'[1]observations-276632'!X764&lt;'[1]Methods write-up'!$T$21),"Desert and high aridity","")</f>
        <v/>
      </c>
      <c r="BD764" s="23" t="str">
        <f t="shared" si="50"/>
        <v>Temperate seasonal</v>
      </c>
      <c r="BE764" s="24">
        <f t="shared" si="48"/>
        <v>5</v>
      </c>
      <c r="BF764" s="24">
        <f t="shared" si="49"/>
        <v>6</v>
      </c>
    </row>
    <row r="765" spans="1:58" ht="16.25" customHeight="1" x14ac:dyDescent="0.2">
      <c r="A765">
        <v>82980823</v>
      </c>
      <c r="B765" s="25">
        <v>44361.57916666667</v>
      </c>
      <c r="C765" s="14">
        <v>44361</v>
      </c>
      <c r="D765" t="s">
        <v>5720</v>
      </c>
      <c r="E765" t="s">
        <v>1408</v>
      </c>
      <c r="F765">
        <v>4584149</v>
      </c>
      <c r="G765" t="s">
        <v>5721</v>
      </c>
      <c r="H765" t="s">
        <v>5722</v>
      </c>
      <c r="I765" t="s">
        <v>5723</v>
      </c>
      <c r="J765" t="s">
        <v>5724</v>
      </c>
      <c r="K765" t="s">
        <v>62</v>
      </c>
      <c r="L765" t="s">
        <v>63</v>
      </c>
      <c r="M765" t="s">
        <v>5725</v>
      </c>
      <c r="N765" t="s">
        <v>5726</v>
      </c>
      <c r="Q765" t="s">
        <v>5727</v>
      </c>
      <c r="R765">
        <v>2</v>
      </c>
      <c r="S765">
        <v>0</v>
      </c>
      <c r="T765" t="b">
        <v>0</v>
      </c>
      <c r="U765">
        <v>2</v>
      </c>
      <c r="V765" t="s">
        <v>4558</v>
      </c>
      <c r="W765" s="15">
        <v>2.4798620800000002</v>
      </c>
      <c r="X765" s="15">
        <v>31.543489149999999</v>
      </c>
      <c r="Y765">
        <v>6</v>
      </c>
      <c r="AC765">
        <v>6</v>
      </c>
      <c r="AF765" t="b">
        <v>0</v>
      </c>
      <c r="AI765" t="s">
        <v>71</v>
      </c>
      <c r="AJ765" t="s">
        <v>70</v>
      </c>
      <c r="AK765" t="s">
        <v>71</v>
      </c>
      <c r="AL765" t="s">
        <v>72</v>
      </c>
      <c r="AM765">
        <v>346053</v>
      </c>
      <c r="AO765" s="16" t="s">
        <v>442</v>
      </c>
      <c r="AP765" s="17" t="str">
        <f t="shared" si="51"/>
        <v>Dead female</v>
      </c>
      <c r="AX765" s="22" t="str">
        <f>IF(AND('[1]observations-276632'!W765&gt;'[1]Methods write-up'!$Q$16,'[1]observations-276632'!W765&lt;'[1]Methods write-up'!$R$16,'[1]observations-276632'!X765&gt;'[1]Methods write-up'!$S$16,'[1]observations-276632'!X765&lt;'[1]Methods write-up'!$T$16),"West and Central Africa","")</f>
        <v/>
      </c>
      <c r="AY765" s="22" t="str">
        <f>IF(AND('[1]observations-276632'!W765&gt;'[1]Methods write-up'!$Q$17,'[1]observations-276632'!W765&lt;'[1]Methods write-up'!$R$17,'[1]observations-276632'!X765&gt;'[1]Methods write-up'!$S$17,'[1]observations-276632'!X765&lt;'[1]Methods write-up'!$T$17),"Equatorial tropical forest","")</f>
        <v/>
      </c>
      <c r="AZ765" s="22" t="str">
        <f>IF(AND('[1]observations-276632'!W765&gt;'[1]Methods write-up'!$Q$18,'[1]observations-276632'!W765&lt;'[1]Methods write-up'!$R$18,'[1]observations-276632'!X765&gt;'[1]Methods write-up'!$S$18,'[1]observations-276632'!X765&lt;'[1]Methods write-up'!$T$18),"Somali peninsula","")</f>
        <v/>
      </c>
      <c r="BA765" s="22" t="str">
        <f>IF(AND('[1]observations-276632'!W765&gt;'[1]Methods write-up'!$Q$19,'[1]observations-276632'!W765&lt;'[1]Methods write-up'!$R$19,'[1]observations-276632'!X765&gt;'[1]Methods write-up'!$S$19,'[1]observations-276632'!X765&lt;'[1]Methods write-up'!$T$19),"East Africa","")</f>
        <v/>
      </c>
      <c r="BB765" s="22" t="str">
        <f>IF(AND('[1]observations-276632'!W765&gt;'[1]Methods write-up'!$Q$20,'[1]observations-276632'!W765&lt;'[1]Methods write-up'!$R$20,'[1]observations-276632'!X765&gt;'[1]Methods write-up'!$S$20,'[1]observations-276632'!X765&lt;'[1]Methods write-up'!$T$20),"Temperate seasonal","")</f>
        <v/>
      </c>
      <c r="BC765" s="22" t="str">
        <f>IF(AND('[1]observations-276632'!W765&gt;'[1]Methods write-up'!$Q$21,'[1]observations-276632'!W765&lt;'[1]Methods write-up'!$R$21,'[1]observations-276632'!X765&gt;'[1]Methods write-up'!$S$21,'[1]observations-276632'!X765&lt;'[1]Methods write-up'!$T$21),"Desert and high aridity","")</f>
        <v/>
      </c>
      <c r="BD765" s="23" t="str">
        <f t="shared" si="50"/>
        <v/>
      </c>
      <c r="BE765" s="24">
        <f t="shared" si="48"/>
        <v>14</v>
      </c>
      <c r="BF765" s="24">
        <f t="shared" si="49"/>
        <v>6</v>
      </c>
    </row>
    <row r="766" spans="1:58" ht="16.25" customHeight="1" x14ac:dyDescent="0.2">
      <c r="A766">
        <v>83379912</v>
      </c>
      <c r="B766" t="s">
        <v>5728</v>
      </c>
      <c r="C766" s="14">
        <v>44345</v>
      </c>
      <c r="D766" t="s">
        <v>5729</v>
      </c>
      <c r="E766" t="s">
        <v>113</v>
      </c>
      <c r="F766">
        <v>3465995</v>
      </c>
      <c r="G766" t="s">
        <v>4866</v>
      </c>
      <c r="H766" t="s">
        <v>4867</v>
      </c>
      <c r="I766" t="s">
        <v>5730</v>
      </c>
      <c r="J766" t="s">
        <v>5731</v>
      </c>
      <c r="K766" t="s">
        <v>62</v>
      </c>
      <c r="L766" t="s">
        <v>63</v>
      </c>
      <c r="M766" t="s">
        <v>5732</v>
      </c>
      <c r="N766" t="s">
        <v>5733</v>
      </c>
      <c r="R766">
        <v>2</v>
      </c>
      <c r="S766">
        <v>0</v>
      </c>
      <c r="T766" t="b">
        <v>0</v>
      </c>
      <c r="V766" t="s">
        <v>4967</v>
      </c>
      <c r="W766" s="15">
        <v>-20.20826856</v>
      </c>
      <c r="X766" s="15">
        <v>28.577963860000001</v>
      </c>
      <c r="Y766">
        <v>7813</v>
      </c>
      <c r="AC766">
        <v>7813</v>
      </c>
      <c r="AF766" t="b">
        <v>0</v>
      </c>
      <c r="AI766" t="s">
        <v>71</v>
      </c>
      <c r="AJ766" t="s">
        <v>70</v>
      </c>
      <c r="AK766" t="s">
        <v>71</v>
      </c>
      <c r="AL766" t="s">
        <v>72</v>
      </c>
      <c r="AM766">
        <v>346053</v>
      </c>
      <c r="AO766" s="16" t="s">
        <v>73</v>
      </c>
      <c r="AP766" s="17" t="str">
        <f t="shared" si="51"/>
        <v>Off-nest female</v>
      </c>
      <c r="AX766" s="22" t="str">
        <f>IF(AND('[1]observations-276632'!W766&gt;'[1]Methods write-up'!$Q$16,'[1]observations-276632'!W766&lt;'[1]Methods write-up'!$R$16,'[1]observations-276632'!X766&gt;'[1]Methods write-up'!$S$16,'[1]observations-276632'!X766&lt;'[1]Methods write-up'!$T$16),"West and Central Africa","")</f>
        <v/>
      </c>
      <c r="AY766" s="22" t="str">
        <f>IF(AND('[1]observations-276632'!W766&gt;'[1]Methods write-up'!$Q$17,'[1]observations-276632'!W766&lt;'[1]Methods write-up'!$R$17,'[1]observations-276632'!X766&gt;'[1]Methods write-up'!$S$17,'[1]observations-276632'!X766&lt;'[1]Methods write-up'!$T$17),"Equatorial tropical forest","")</f>
        <v/>
      </c>
      <c r="AZ766" s="22" t="str">
        <f>IF(AND('[1]observations-276632'!W766&gt;'[1]Methods write-up'!$Q$18,'[1]observations-276632'!W766&lt;'[1]Methods write-up'!$R$18,'[1]observations-276632'!X766&gt;'[1]Methods write-up'!$S$18,'[1]observations-276632'!X766&lt;'[1]Methods write-up'!$T$18),"Somali peninsula","")</f>
        <v/>
      </c>
      <c r="BA766" s="22" t="str">
        <f>IF(AND('[1]observations-276632'!W766&gt;'[1]Methods write-up'!$Q$19,'[1]observations-276632'!W766&lt;'[1]Methods write-up'!$R$19,'[1]observations-276632'!X766&gt;'[1]Methods write-up'!$S$19,'[1]observations-276632'!X766&lt;'[1]Methods write-up'!$T$19),"East Africa","")</f>
        <v/>
      </c>
      <c r="BB766" s="22" t="str">
        <f>IF(AND('[1]observations-276632'!W766&gt;'[1]Methods write-up'!$Q$20,'[1]observations-276632'!W766&lt;'[1]Methods write-up'!$R$20,'[1]observations-276632'!X766&gt;'[1]Methods write-up'!$S$20,'[1]observations-276632'!X766&lt;'[1]Methods write-up'!$T$20),"Temperate seasonal","")</f>
        <v/>
      </c>
      <c r="BC766" s="22" t="str">
        <f>IF(AND('[1]observations-276632'!W766&gt;'[1]Methods write-up'!$Q$21,'[1]observations-276632'!W766&lt;'[1]Methods write-up'!$R$21,'[1]observations-276632'!X766&gt;'[1]Methods write-up'!$S$21,'[1]observations-276632'!X766&lt;'[1]Methods write-up'!$T$21),"Desert and high aridity","")</f>
        <v/>
      </c>
      <c r="BD766" s="23" t="str">
        <f t="shared" si="50"/>
        <v/>
      </c>
      <c r="BE766" s="24">
        <f t="shared" si="48"/>
        <v>29</v>
      </c>
      <c r="BF766" s="24">
        <f t="shared" si="49"/>
        <v>5</v>
      </c>
    </row>
    <row r="767" spans="1:58" ht="16.25" customHeight="1" x14ac:dyDescent="0.2">
      <c r="A767">
        <v>83916690</v>
      </c>
      <c r="B767" t="s">
        <v>5734</v>
      </c>
      <c r="C767" s="14">
        <v>39473</v>
      </c>
      <c r="D767" t="s">
        <v>5735</v>
      </c>
      <c r="E767" t="s">
        <v>243</v>
      </c>
      <c r="F767">
        <v>4540433</v>
      </c>
      <c r="G767" t="s">
        <v>5736</v>
      </c>
      <c r="H767" t="s">
        <v>5737</v>
      </c>
      <c r="I767" t="s">
        <v>5738</v>
      </c>
      <c r="J767" t="s">
        <v>5739</v>
      </c>
      <c r="K767" t="s">
        <v>62</v>
      </c>
      <c r="L767" t="s">
        <v>63</v>
      </c>
      <c r="M767" t="s">
        <v>5740</v>
      </c>
      <c r="N767" t="s">
        <v>5741</v>
      </c>
      <c r="R767">
        <v>2</v>
      </c>
      <c r="S767">
        <v>0</v>
      </c>
      <c r="T767" t="b">
        <v>0</v>
      </c>
      <c r="V767" t="s">
        <v>5742</v>
      </c>
      <c r="W767" s="15">
        <v>-3.1916970999999998</v>
      </c>
      <c r="X767" s="15">
        <v>37.237544499999998</v>
      </c>
      <c r="Y767">
        <v>2166</v>
      </c>
      <c r="AC767">
        <v>2166</v>
      </c>
      <c r="AF767" t="b">
        <v>0</v>
      </c>
      <c r="AI767" t="s">
        <v>71</v>
      </c>
      <c r="AJ767" t="s">
        <v>70</v>
      </c>
      <c r="AK767" t="s">
        <v>71</v>
      </c>
      <c r="AL767" t="s">
        <v>72</v>
      </c>
      <c r="AM767">
        <v>346053</v>
      </c>
      <c r="AO767" s="16" t="s">
        <v>73</v>
      </c>
      <c r="AP767" s="17" t="str">
        <f t="shared" si="51"/>
        <v>Off-nest female</v>
      </c>
      <c r="AX767" s="22" t="str">
        <f>IF(AND('[1]observations-276632'!W767&gt;'[1]Methods write-up'!$Q$16,'[1]observations-276632'!W767&lt;'[1]Methods write-up'!$R$16,'[1]observations-276632'!X767&gt;'[1]Methods write-up'!$S$16,'[1]observations-276632'!X767&lt;'[1]Methods write-up'!$T$16),"West and Central Africa","")</f>
        <v/>
      </c>
      <c r="AY767" s="22" t="str">
        <f>IF(AND('[1]observations-276632'!W767&gt;'[1]Methods write-up'!$Q$17,'[1]observations-276632'!W767&lt;'[1]Methods write-up'!$R$17,'[1]observations-276632'!X767&gt;'[1]Methods write-up'!$S$17,'[1]observations-276632'!X767&lt;'[1]Methods write-up'!$T$17),"Equatorial tropical forest","")</f>
        <v/>
      </c>
      <c r="AZ767" s="22" t="str">
        <f>IF(AND('[1]observations-276632'!W767&gt;'[1]Methods write-up'!$Q$18,'[1]observations-276632'!W767&lt;'[1]Methods write-up'!$R$18,'[1]observations-276632'!X767&gt;'[1]Methods write-up'!$S$18,'[1]observations-276632'!X767&lt;'[1]Methods write-up'!$T$18),"Somali peninsula","")</f>
        <v/>
      </c>
      <c r="BA767" s="22" t="str">
        <f>IF(AND('[1]observations-276632'!W767&gt;'[1]Methods write-up'!$Q$19,'[1]observations-276632'!W767&lt;'[1]Methods write-up'!$R$19,'[1]observations-276632'!X767&gt;'[1]Methods write-up'!$S$19,'[1]observations-276632'!X767&lt;'[1]Methods write-up'!$T$19),"East Africa","")</f>
        <v>East Africa</v>
      </c>
      <c r="BB767" s="22" t="str">
        <f>IF(AND('[1]observations-276632'!W767&gt;'[1]Methods write-up'!$Q$20,'[1]observations-276632'!W767&lt;'[1]Methods write-up'!$R$20,'[1]observations-276632'!X767&gt;'[1]Methods write-up'!$S$20,'[1]observations-276632'!X767&lt;'[1]Methods write-up'!$T$20),"Temperate seasonal","")</f>
        <v/>
      </c>
      <c r="BC767" s="22" t="str">
        <f>IF(AND('[1]observations-276632'!W767&gt;'[1]Methods write-up'!$Q$21,'[1]observations-276632'!W767&lt;'[1]Methods write-up'!$R$21,'[1]observations-276632'!X767&gt;'[1]Methods write-up'!$S$21,'[1]observations-276632'!X767&lt;'[1]Methods write-up'!$T$21),"Desert and high aridity","")</f>
        <v/>
      </c>
      <c r="BD767" s="23" t="str">
        <f t="shared" si="50"/>
        <v>East Africa</v>
      </c>
      <c r="BE767" s="24">
        <f t="shared" si="48"/>
        <v>26</v>
      </c>
      <c r="BF767" s="24">
        <f t="shared" si="49"/>
        <v>1</v>
      </c>
    </row>
    <row r="768" spans="1:58" ht="16.25" customHeight="1" x14ac:dyDescent="0.2">
      <c r="A768">
        <v>83977434</v>
      </c>
      <c r="B768" t="s">
        <v>5743</v>
      </c>
      <c r="C768" s="14">
        <v>44366</v>
      </c>
      <c r="D768" t="s">
        <v>5744</v>
      </c>
      <c r="E768" t="s">
        <v>113</v>
      </c>
      <c r="F768">
        <v>679321</v>
      </c>
      <c r="G768" t="s">
        <v>478</v>
      </c>
      <c r="H768" t="s">
        <v>479</v>
      </c>
      <c r="I768" t="s">
        <v>5745</v>
      </c>
      <c r="J768" t="s">
        <v>5746</v>
      </c>
      <c r="K768" t="s">
        <v>62</v>
      </c>
      <c r="L768" t="s">
        <v>63</v>
      </c>
      <c r="M768" t="s">
        <v>5747</v>
      </c>
      <c r="N768" t="s">
        <v>5748</v>
      </c>
      <c r="R768">
        <v>2</v>
      </c>
      <c r="S768">
        <v>0</v>
      </c>
      <c r="T768" t="b">
        <v>0</v>
      </c>
      <c r="V768" t="s">
        <v>1522</v>
      </c>
      <c r="W768" s="15">
        <v>-28.05735829</v>
      </c>
      <c r="X768" s="15">
        <v>32.293735210000001</v>
      </c>
      <c r="Y768">
        <v>20</v>
      </c>
      <c r="AC768">
        <v>20</v>
      </c>
      <c r="AF768" t="b">
        <v>0</v>
      </c>
      <c r="AI768" t="s">
        <v>71</v>
      </c>
      <c r="AJ768" t="s">
        <v>70</v>
      </c>
      <c r="AK768" t="s">
        <v>71</v>
      </c>
      <c r="AL768" t="s">
        <v>72</v>
      </c>
      <c r="AM768">
        <v>346053</v>
      </c>
      <c r="AO768" s="16" t="s">
        <v>140</v>
      </c>
      <c r="AP768" s="17" t="str">
        <f t="shared" si="51"/>
        <v>Post-emergence nest</v>
      </c>
      <c r="AQ768" s="18">
        <v>4</v>
      </c>
      <c r="AT768" s="19" t="s">
        <v>141</v>
      </c>
      <c r="AU768" s="20" t="s">
        <v>104</v>
      </c>
      <c r="AX768" s="22" t="str">
        <f>IF(AND('[1]observations-276632'!W768&gt;'[1]Methods write-up'!$Q$16,'[1]observations-276632'!W768&lt;'[1]Methods write-up'!$R$16,'[1]observations-276632'!X768&gt;'[1]Methods write-up'!$S$16,'[1]observations-276632'!X768&lt;'[1]Methods write-up'!$T$16),"West and Central Africa","")</f>
        <v/>
      </c>
      <c r="AY768" s="22" t="str">
        <f>IF(AND('[1]observations-276632'!W768&gt;'[1]Methods write-up'!$Q$17,'[1]observations-276632'!W768&lt;'[1]Methods write-up'!$R$17,'[1]observations-276632'!X768&gt;'[1]Methods write-up'!$S$17,'[1]observations-276632'!X768&lt;'[1]Methods write-up'!$T$17),"Equatorial tropical forest","")</f>
        <v/>
      </c>
      <c r="AZ768" s="22" t="str">
        <f>IF(AND('[1]observations-276632'!W768&gt;'[1]Methods write-up'!$Q$18,'[1]observations-276632'!W768&lt;'[1]Methods write-up'!$R$18,'[1]observations-276632'!X768&gt;'[1]Methods write-up'!$S$18,'[1]observations-276632'!X768&lt;'[1]Methods write-up'!$T$18),"Somali peninsula","")</f>
        <v/>
      </c>
      <c r="BA768" s="22" t="str">
        <f>IF(AND('[1]observations-276632'!W768&gt;'[1]Methods write-up'!$Q$19,'[1]observations-276632'!W768&lt;'[1]Methods write-up'!$R$19,'[1]observations-276632'!X768&gt;'[1]Methods write-up'!$S$19,'[1]observations-276632'!X768&lt;'[1]Methods write-up'!$T$19),"East Africa","")</f>
        <v/>
      </c>
      <c r="BB768" s="22" t="str">
        <f>IF(AND('[1]observations-276632'!W768&gt;'[1]Methods write-up'!$Q$20,'[1]observations-276632'!W768&lt;'[1]Methods write-up'!$R$20,'[1]observations-276632'!X768&gt;'[1]Methods write-up'!$S$20,'[1]observations-276632'!X768&lt;'[1]Methods write-up'!$T$20),"Temperate seasonal","")</f>
        <v>Temperate seasonal</v>
      </c>
      <c r="BC768" s="22" t="str">
        <f>IF(AND('[1]observations-276632'!W768&gt;'[1]Methods write-up'!$Q$21,'[1]observations-276632'!W768&lt;'[1]Methods write-up'!$R$21,'[1]observations-276632'!X768&gt;'[1]Methods write-up'!$S$21,'[1]observations-276632'!X768&lt;'[1]Methods write-up'!$T$21),"Desert and high aridity","")</f>
        <v/>
      </c>
      <c r="BD768" s="23" t="str">
        <f t="shared" si="50"/>
        <v>Temperate seasonal</v>
      </c>
      <c r="BE768" s="24">
        <f t="shared" si="48"/>
        <v>19</v>
      </c>
      <c r="BF768" s="24">
        <f t="shared" si="49"/>
        <v>6</v>
      </c>
    </row>
    <row r="769" spans="1:58" ht="16.25" customHeight="1" x14ac:dyDescent="0.2">
      <c r="A769">
        <v>84088755</v>
      </c>
      <c r="B769" t="s">
        <v>5749</v>
      </c>
      <c r="C769" s="14">
        <v>44349</v>
      </c>
      <c r="D769" t="s">
        <v>5750</v>
      </c>
      <c r="E769" t="s">
        <v>113</v>
      </c>
      <c r="F769">
        <v>383144</v>
      </c>
      <c r="G769" t="s">
        <v>702</v>
      </c>
      <c r="H769" t="s">
        <v>703</v>
      </c>
      <c r="I769" t="s">
        <v>5751</v>
      </c>
      <c r="J769" t="s">
        <v>5752</v>
      </c>
      <c r="K769" t="s">
        <v>62</v>
      </c>
      <c r="L769" t="s">
        <v>118</v>
      </c>
      <c r="M769" t="s">
        <v>5753</v>
      </c>
      <c r="N769" t="s">
        <v>5754</v>
      </c>
      <c r="R769">
        <v>2</v>
      </c>
      <c r="S769">
        <v>0</v>
      </c>
      <c r="T769" t="b">
        <v>0</v>
      </c>
      <c r="V769" t="s">
        <v>5755</v>
      </c>
      <c r="W769" s="15">
        <v>-25.169549580000002</v>
      </c>
      <c r="X769" s="15">
        <v>31.268673</v>
      </c>
      <c r="Y769">
        <v>10</v>
      </c>
      <c r="AC769">
        <v>10</v>
      </c>
      <c r="AF769" t="b">
        <v>0</v>
      </c>
      <c r="AI769" t="s">
        <v>71</v>
      </c>
      <c r="AJ769" t="s">
        <v>70</v>
      </c>
      <c r="AK769" t="s">
        <v>71</v>
      </c>
      <c r="AL769" t="s">
        <v>72</v>
      </c>
      <c r="AM769">
        <v>346053</v>
      </c>
      <c r="AO769" s="16" t="s">
        <v>73</v>
      </c>
      <c r="AP769" s="17" t="str">
        <f t="shared" si="51"/>
        <v>Off-nest female</v>
      </c>
      <c r="AX769" s="22" t="str">
        <f>IF(AND('[1]observations-276632'!W769&gt;'[1]Methods write-up'!$Q$16,'[1]observations-276632'!W769&lt;'[1]Methods write-up'!$R$16,'[1]observations-276632'!X769&gt;'[1]Methods write-up'!$S$16,'[1]observations-276632'!X769&lt;'[1]Methods write-up'!$T$16),"West and Central Africa","")</f>
        <v/>
      </c>
      <c r="AY769" s="22" t="str">
        <f>IF(AND('[1]observations-276632'!W769&gt;'[1]Methods write-up'!$Q$17,'[1]observations-276632'!W769&lt;'[1]Methods write-up'!$R$17,'[1]observations-276632'!X769&gt;'[1]Methods write-up'!$S$17,'[1]observations-276632'!X769&lt;'[1]Methods write-up'!$T$17),"Equatorial tropical forest","")</f>
        <v/>
      </c>
      <c r="AZ769" s="22" t="str">
        <f>IF(AND('[1]observations-276632'!W769&gt;'[1]Methods write-up'!$Q$18,'[1]observations-276632'!W769&lt;'[1]Methods write-up'!$R$18,'[1]observations-276632'!X769&gt;'[1]Methods write-up'!$S$18,'[1]observations-276632'!X769&lt;'[1]Methods write-up'!$T$18),"Somali peninsula","")</f>
        <v/>
      </c>
      <c r="BA769" s="22" t="str">
        <f>IF(AND('[1]observations-276632'!W769&gt;'[1]Methods write-up'!$Q$19,'[1]observations-276632'!W769&lt;'[1]Methods write-up'!$R$19,'[1]observations-276632'!X769&gt;'[1]Methods write-up'!$S$19,'[1]observations-276632'!X769&lt;'[1]Methods write-up'!$T$19),"East Africa","")</f>
        <v/>
      </c>
      <c r="BB769" s="22" t="str">
        <f>IF(AND('[1]observations-276632'!W769&gt;'[1]Methods write-up'!$Q$20,'[1]observations-276632'!W769&lt;'[1]Methods write-up'!$R$20,'[1]observations-276632'!X769&gt;'[1]Methods write-up'!$S$20,'[1]observations-276632'!X769&lt;'[1]Methods write-up'!$T$20),"Temperate seasonal","")</f>
        <v>Temperate seasonal</v>
      </c>
      <c r="BC769" s="22" t="str">
        <f>IF(AND('[1]observations-276632'!W769&gt;'[1]Methods write-up'!$Q$21,'[1]observations-276632'!W769&lt;'[1]Methods write-up'!$R$21,'[1]observations-276632'!X769&gt;'[1]Methods write-up'!$S$21,'[1]observations-276632'!X769&lt;'[1]Methods write-up'!$T$21),"Desert and high aridity","")</f>
        <v/>
      </c>
      <c r="BD769" s="23" t="str">
        <f t="shared" si="50"/>
        <v>Temperate seasonal</v>
      </c>
      <c r="BE769" s="24">
        <f t="shared" si="48"/>
        <v>2</v>
      </c>
      <c r="BF769" s="24">
        <f t="shared" si="49"/>
        <v>6</v>
      </c>
    </row>
    <row r="770" spans="1:58" ht="16.25" customHeight="1" x14ac:dyDescent="0.2">
      <c r="A770">
        <v>84305020</v>
      </c>
      <c r="B770" t="s">
        <v>5756</v>
      </c>
      <c r="C770" s="14">
        <v>44289</v>
      </c>
      <c r="D770" t="s">
        <v>5757</v>
      </c>
      <c r="E770" t="s">
        <v>57</v>
      </c>
      <c r="F770">
        <v>678008</v>
      </c>
      <c r="G770" t="s">
        <v>2315</v>
      </c>
      <c r="I770" t="s">
        <v>5758</v>
      </c>
      <c r="J770" t="s">
        <v>5759</v>
      </c>
      <c r="K770" t="s">
        <v>62</v>
      </c>
      <c r="L770" t="s">
        <v>63</v>
      </c>
      <c r="M770" t="s">
        <v>5760</v>
      </c>
      <c r="N770" t="s">
        <v>5761</v>
      </c>
      <c r="R770">
        <v>2</v>
      </c>
      <c r="S770">
        <v>0</v>
      </c>
      <c r="T770" t="b">
        <v>0</v>
      </c>
      <c r="V770" t="s">
        <v>5762</v>
      </c>
      <c r="W770" s="15">
        <v>-15.496457299999999</v>
      </c>
      <c r="X770" s="15">
        <v>28.453424510000001</v>
      </c>
      <c r="Y770">
        <v>302</v>
      </c>
      <c r="AC770">
        <v>302</v>
      </c>
      <c r="AF770" t="b">
        <v>0</v>
      </c>
      <c r="AI770" t="s">
        <v>71</v>
      </c>
      <c r="AJ770" t="s">
        <v>70</v>
      </c>
      <c r="AK770" t="s">
        <v>71</v>
      </c>
      <c r="AL770" t="s">
        <v>72</v>
      </c>
      <c r="AM770">
        <v>346053</v>
      </c>
      <c r="AO770" s="16" t="s">
        <v>73</v>
      </c>
      <c r="AP770" s="17" t="str">
        <f t="shared" si="51"/>
        <v>Off-nest female</v>
      </c>
      <c r="AX770" s="22" t="str">
        <f>IF(AND('[1]observations-276632'!W770&gt;'[1]Methods write-up'!$Q$16,'[1]observations-276632'!W770&lt;'[1]Methods write-up'!$R$16,'[1]observations-276632'!X770&gt;'[1]Methods write-up'!$S$16,'[1]observations-276632'!X770&lt;'[1]Methods write-up'!$T$16),"West and Central Africa","")</f>
        <v>West and Central Africa</v>
      </c>
      <c r="AY770" s="22" t="str">
        <f>IF(AND('[1]observations-276632'!W770&gt;'[1]Methods write-up'!$Q$17,'[1]observations-276632'!W770&lt;'[1]Methods write-up'!$R$17,'[1]observations-276632'!X770&gt;'[1]Methods write-up'!$S$17,'[1]observations-276632'!X770&lt;'[1]Methods write-up'!$T$17),"Equatorial tropical forest","")</f>
        <v/>
      </c>
      <c r="AZ770" s="22" t="str">
        <f>IF(AND('[1]observations-276632'!W770&gt;'[1]Methods write-up'!$Q$18,'[1]observations-276632'!W770&lt;'[1]Methods write-up'!$R$18,'[1]observations-276632'!X770&gt;'[1]Methods write-up'!$S$18,'[1]observations-276632'!X770&lt;'[1]Methods write-up'!$T$18),"Somali peninsula","")</f>
        <v/>
      </c>
      <c r="BA770" s="22" t="str">
        <f>IF(AND('[1]observations-276632'!W770&gt;'[1]Methods write-up'!$Q$19,'[1]observations-276632'!W770&lt;'[1]Methods write-up'!$R$19,'[1]observations-276632'!X770&gt;'[1]Methods write-up'!$S$19,'[1]observations-276632'!X770&lt;'[1]Methods write-up'!$T$19),"East Africa","")</f>
        <v/>
      </c>
      <c r="BB770" s="22" t="str">
        <f>IF(AND('[1]observations-276632'!W770&gt;'[1]Methods write-up'!$Q$20,'[1]observations-276632'!W770&lt;'[1]Methods write-up'!$R$20,'[1]observations-276632'!X770&gt;'[1]Methods write-up'!$S$20,'[1]observations-276632'!X770&lt;'[1]Methods write-up'!$T$20),"Temperate seasonal","")</f>
        <v/>
      </c>
      <c r="BC770" s="22" t="str">
        <f>IF(AND('[1]observations-276632'!W770&gt;'[1]Methods write-up'!$Q$21,'[1]observations-276632'!W770&lt;'[1]Methods write-up'!$R$21,'[1]observations-276632'!X770&gt;'[1]Methods write-up'!$S$21,'[1]observations-276632'!X770&lt;'[1]Methods write-up'!$T$21),"Desert and high aridity","")</f>
        <v/>
      </c>
      <c r="BD770" s="23" t="str">
        <f t="shared" si="50"/>
        <v>West and Central Africa</v>
      </c>
      <c r="BE770" s="24">
        <f t="shared" ref="BE770:BE833" si="52">DAY(C770)</f>
        <v>3</v>
      </c>
      <c r="BF770" s="24">
        <f t="shared" ref="BF770:BF833" si="53">MONTH(C770)</f>
        <v>4</v>
      </c>
    </row>
    <row r="771" spans="1:58" ht="16.25" customHeight="1" x14ac:dyDescent="0.2">
      <c r="A771">
        <v>84338199</v>
      </c>
      <c r="B771" t="s">
        <v>5763</v>
      </c>
      <c r="C771" s="14">
        <v>44366</v>
      </c>
      <c r="D771" t="s">
        <v>5764</v>
      </c>
      <c r="E771" t="s">
        <v>113</v>
      </c>
      <c r="F771">
        <v>659922</v>
      </c>
      <c r="G771" t="s">
        <v>918</v>
      </c>
      <c r="I771" t="s">
        <v>5765</v>
      </c>
      <c r="J771" t="s">
        <v>5766</v>
      </c>
      <c r="K771" t="s">
        <v>62</v>
      </c>
      <c r="L771" t="s">
        <v>63</v>
      </c>
      <c r="M771" t="s">
        <v>5767</v>
      </c>
      <c r="N771" t="s">
        <v>5768</v>
      </c>
      <c r="R771">
        <v>2</v>
      </c>
      <c r="S771">
        <v>0</v>
      </c>
      <c r="T771" t="b">
        <v>0</v>
      </c>
      <c r="V771" t="s">
        <v>1522</v>
      </c>
      <c r="W771" s="15">
        <v>-28.0656</v>
      </c>
      <c r="X771" s="15">
        <v>32.308</v>
      </c>
      <c r="Y771">
        <v>100</v>
      </c>
      <c r="AC771">
        <v>100</v>
      </c>
      <c r="AF771" t="b">
        <v>0</v>
      </c>
      <c r="AI771" t="s">
        <v>71</v>
      </c>
      <c r="AJ771" t="s">
        <v>70</v>
      </c>
      <c r="AK771" t="s">
        <v>71</v>
      </c>
      <c r="AL771" t="s">
        <v>72</v>
      </c>
      <c r="AM771">
        <v>346053</v>
      </c>
      <c r="AO771" s="16" t="s">
        <v>73</v>
      </c>
      <c r="AP771" s="17" t="str">
        <f t="shared" si="51"/>
        <v>Off-nest female</v>
      </c>
      <c r="AX771" s="22" t="str">
        <f>IF(AND('[1]observations-276632'!W771&gt;'[1]Methods write-up'!$Q$16,'[1]observations-276632'!W771&lt;'[1]Methods write-up'!$R$16,'[1]observations-276632'!X771&gt;'[1]Methods write-up'!$S$16,'[1]observations-276632'!X771&lt;'[1]Methods write-up'!$T$16),"West and Central Africa","")</f>
        <v/>
      </c>
      <c r="AY771" s="22" t="str">
        <f>IF(AND('[1]observations-276632'!W771&gt;'[1]Methods write-up'!$Q$17,'[1]observations-276632'!W771&lt;'[1]Methods write-up'!$R$17,'[1]observations-276632'!X771&gt;'[1]Methods write-up'!$S$17,'[1]observations-276632'!X771&lt;'[1]Methods write-up'!$T$17),"Equatorial tropical forest","")</f>
        <v/>
      </c>
      <c r="AZ771" s="22" t="str">
        <f>IF(AND('[1]observations-276632'!W771&gt;'[1]Methods write-up'!$Q$18,'[1]observations-276632'!W771&lt;'[1]Methods write-up'!$R$18,'[1]observations-276632'!X771&gt;'[1]Methods write-up'!$S$18,'[1]observations-276632'!X771&lt;'[1]Methods write-up'!$T$18),"Somali peninsula","")</f>
        <v/>
      </c>
      <c r="BA771" s="22" t="str">
        <f>IF(AND('[1]observations-276632'!W771&gt;'[1]Methods write-up'!$Q$19,'[1]observations-276632'!W771&lt;'[1]Methods write-up'!$R$19,'[1]observations-276632'!X771&gt;'[1]Methods write-up'!$S$19,'[1]observations-276632'!X771&lt;'[1]Methods write-up'!$T$19),"East Africa","")</f>
        <v/>
      </c>
      <c r="BB771" s="22" t="str">
        <f>IF(AND('[1]observations-276632'!W771&gt;'[1]Methods write-up'!$Q$20,'[1]observations-276632'!W771&lt;'[1]Methods write-up'!$R$20,'[1]observations-276632'!X771&gt;'[1]Methods write-up'!$S$20,'[1]observations-276632'!X771&lt;'[1]Methods write-up'!$T$20),"Temperate seasonal","")</f>
        <v>Temperate seasonal</v>
      </c>
      <c r="BC771" s="22" t="str">
        <f>IF(AND('[1]observations-276632'!W771&gt;'[1]Methods write-up'!$Q$21,'[1]observations-276632'!W771&lt;'[1]Methods write-up'!$R$21,'[1]observations-276632'!X771&gt;'[1]Methods write-up'!$S$21,'[1]observations-276632'!X771&lt;'[1]Methods write-up'!$T$21),"Desert and high aridity","")</f>
        <v/>
      </c>
      <c r="BD771" s="23" t="str">
        <f t="shared" ref="BD771:BD834" si="54">AX771&amp;AY771&amp;AZ771&amp;BA771&amp;BB771&amp;BC771</f>
        <v>Temperate seasonal</v>
      </c>
      <c r="BE771" s="24">
        <f t="shared" si="52"/>
        <v>19</v>
      </c>
      <c r="BF771" s="24">
        <f t="shared" si="53"/>
        <v>6</v>
      </c>
    </row>
    <row r="772" spans="1:58" ht="16.25" customHeight="1" x14ac:dyDescent="0.2">
      <c r="A772">
        <v>84675732</v>
      </c>
      <c r="B772" t="s">
        <v>5769</v>
      </c>
      <c r="C772" s="14">
        <v>44370</v>
      </c>
      <c r="D772" t="s">
        <v>5770</v>
      </c>
      <c r="E772" t="s">
        <v>113</v>
      </c>
      <c r="F772">
        <v>3279164</v>
      </c>
      <c r="G772" t="s">
        <v>5771</v>
      </c>
      <c r="I772" t="s">
        <v>5772</v>
      </c>
      <c r="J772" t="s">
        <v>5773</v>
      </c>
      <c r="K772" t="s">
        <v>157</v>
      </c>
      <c r="L772" t="s">
        <v>63</v>
      </c>
      <c r="M772" t="s">
        <v>5774</v>
      </c>
      <c r="N772" t="s">
        <v>5775</v>
      </c>
      <c r="R772">
        <v>3</v>
      </c>
      <c r="S772">
        <v>1</v>
      </c>
      <c r="T772" t="b">
        <v>0</v>
      </c>
      <c r="U772">
        <v>333</v>
      </c>
      <c r="V772" t="s">
        <v>5776</v>
      </c>
      <c r="W772" s="15">
        <v>-22.436862949999998</v>
      </c>
      <c r="X772" s="15">
        <v>17.100433349999999</v>
      </c>
      <c r="Y772">
        <v>65</v>
      </c>
      <c r="AC772">
        <v>65</v>
      </c>
      <c r="AF772" t="b">
        <v>0</v>
      </c>
      <c r="AI772" t="s">
        <v>756</v>
      </c>
      <c r="AJ772" t="s">
        <v>756</v>
      </c>
      <c r="AL772" t="s">
        <v>72</v>
      </c>
      <c r="AM772">
        <v>652800</v>
      </c>
      <c r="AO772" s="16" t="s">
        <v>73</v>
      </c>
      <c r="AP772" s="17" t="str">
        <f t="shared" si="51"/>
        <v>Off-nest female</v>
      </c>
      <c r="AX772" s="22" t="str">
        <f>IF(AND('[1]observations-276632'!W772&gt;'[1]Methods write-up'!$Q$16,'[1]observations-276632'!W772&lt;'[1]Methods write-up'!$R$16,'[1]observations-276632'!X772&gt;'[1]Methods write-up'!$S$16,'[1]observations-276632'!X772&lt;'[1]Methods write-up'!$T$16),"West and Central Africa","")</f>
        <v/>
      </c>
      <c r="AY772" s="22" t="str">
        <f>IF(AND('[1]observations-276632'!W772&gt;'[1]Methods write-up'!$Q$17,'[1]observations-276632'!W772&lt;'[1]Methods write-up'!$R$17,'[1]observations-276632'!X772&gt;'[1]Methods write-up'!$S$17,'[1]observations-276632'!X772&lt;'[1]Methods write-up'!$T$17),"Equatorial tropical forest","")</f>
        <v/>
      </c>
      <c r="AZ772" s="22" t="str">
        <f>IF(AND('[1]observations-276632'!W772&gt;'[1]Methods write-up'!$Q$18,'[1]observations-276632'!W772&lt;'[1]Methods write-up'!$R$18,'[1]observations-276632'!X772&gt;'[1]Methods write-up'!$S$18,'[1]observations-276632'!X772&lt;'[1]Methods write-up'!$T$18),"Somali peninsula","")</f>
        <v/>
      </c>
      <c r="BA772" s="22" t="str">
        <f>IF(AND('[1]observations-276632'!W772&gt;'[1]Methods write-up'!$Q$19,'[1]observations-276632'!W772&lt;'[1]Methods write-up'!$R$19,'[1]observations-276632'!X772&gt;'[1]Methods write-up'!$S$19,'[1]observations-276632'!X772&lt;'[1]Methods write-up'!$T$19),"East Africa","")</f>
        <v/>
      </c>
      <c r="BB772" s="22" t="str">
        <f>IF(AND('[1]observations-276632'!W772&gt;'[1]Methods write-up'!$Q$20,'[1]observations-276632'!W772&lt;'[1]Methods write-up'!$R$20,'[1]observations-276632'!X772&gt;'[1]Methods write-up'!$S$20,'[1]observations-276632'!X772&lt;'[1]Methods write-up'!$T$20),"Temperate seasonal","")</f>
        <v/>
      </c>
      <c r="BC772" s="22" t="str">
        <f>IF(AND('[1]observations-276632'!W772&gt;'[1]Methods write-up'!$Q$21,'[1]observations-276632'!W772&lt;'[1]Methods write-up'!$R$21,'[1]observations-276632'!X772&gt;'[1]Methods write-up'!$S$21,'[1]observations-276632'!X772&lt;'[1]Methods write-up'!$T$21),"Desert and high aridity","")</f>
        <v>Desert and high aridity</v>
      </c>
      <c r="BD772" s="23" t="str">
        <f t="shared" si="54"/>
        <v>Desert and high aridity</v>
      </c>
      <c r="BE772" s="24">
        <f t="shared" si="52"/>
        <v>23</v>
      </c>
      <c r="BF772" s="24">
        <f t="shared" si="53"/>
        <v>6</v>
      </c>
    </row>
    <row r="773" spans="1:58" ht="16.25" customHeight="1" x14ac:dyDescent="0.2">
      <c r="A773">
        <v>85062373</v>
      </c>
      <c r="B773" t="s">
        <v>5777</v>
      </c>
      <c r="C773" s="14">
        <v>44361</v>
      </c>
      <c r="D773" t="s">
        <v>5778</v>
      </c>
      <c r="E773" t="s">
        <v>243</v>
      </c>
      <c r="F773">
        <v>565236</v>
      </c>
      <c r="G773" t="s">
        <v>360</v>
      </c>
      <c r="H773" t="s">
        <v>361</v>
      </c>
      <c r="I773" t="s">
        <v>5779</v>
      </c>
      <c r="J773" t="s">
        <v>5780</v>
      </c>
      <c r="K773" t="s">
        <v>62</v>
      </c>
      <c r="M773" t="s">
        <v>5781</v>
      </c>
      <c r="N773" t="s">
        <v>5782</v>
      </c>
      <c r="R773">
        <v>3</v>
      </c>
      <c r="S773">
        <v>0</v>
      </c>
      <c r="T773" t="b">
        <v>0</v>
      </c>
      <c r="V773" t="s">
        <v>5783</v>
      </c>
      <c r="W773" s="15">
        <v>2.4786272509999998</v>
      </c>
      <c r="X773" s="15">
        <v>31.543316870000002</v>
      </c>
      <c r="Y773">
        <v>31</v>
      </c>
      <c r="AC773">
        <v>31</v>
      </c>
      <c r="AF773" t="b">
        <v>0</v>
      </c>
      <c r="AI773" t="s">
        <v>71</v>
      </c>
      <c r="AJ773" t="s">
        <v>70</v>
      </c>
      <c r="AK773" t="s">
        <v>71</v>
      </c>
      <c r="AL773" t="s">
        <v>72</v>
      </c>
      <c r="AM773">
        <v>346053</v>
      </c>
      <c r="AO773" s="16" t="s">
        <v>140</v>
      </c>
      <c r="AP773" s="17" t="str">
        <f t="shared" si="51"/>
        <v>Post-emergence nest</v>
      </c>
      <c r="AQ773" s="18">
        <v>3</v>
      </c>
      <c r="AT773" s="19" t="s">
        <v>141</v>
      </c>
      <c r="AU773" s="20" t="s">
        <v>104</v>
      </c>
      <c r="AX773" s="22" t="str">
        <f>IF(AND('[1]observations-276632'!W773&gt;'[1]Methods write-up'!$Q$16,'[1]observations-276632'!W773&lt;'[1]Methods write-up'!$R$16,'[1]observations-276632'!X773&gt;'[1]Methods write-up'!$S$16,'[1]observations-276632'!X773&lt;'[1]Methods write-up'!$T$16),"West and Central Africa","")</f>
        <v/>
      </c>
      <c r="AY773" s="22" t="str">
        <f>IF(AND('[1]observations-276632'!W773&gt;'[1]Methods write-up'!$Q$17,'[1]observations-276632'!W773&lt;'[1]Methods write-up'!$R$17,'[1]observations-276632'!X773&gt;'[1]Methods write-up'!$S$17,'[1]observations-276632'!X773&lt;'[1]Methods write-up'!$T$17),"Equatorial tropical forest","")</f>
        <v/>
      </c>
      <c r="AZ773" s="22" t="str">
        <f>IF(AND('[1]observations-276632'!W773&gt;'[1]Methods write-up'!$Q$18,'[1]observations-276632'!W773&lt;'[1]Methods write-up'!$R$18,'[1]observations-276632'!X773&gt;'[1]Methods write-up'!$S$18,'[1]observations-276632'!X773&lt;'[1]Methods write-up'!$T$18),"Somali peninsula","")</f>
        <v/>
      </c>
      <c r="BA773" s="22" t="str">
        <f>IF(AND('[1]observations-276632'!W773&gt;'[1]Methods write-up'!$Q$19,'[1]observations-276632'!W773&lt;'[1]Methods write-up'!$R$19,'[1]observations-276632'!X773&gt;'[1]Methods write-up'!$S$19,'[1]observations-276632'!X773&lt;'[1]Methods write-up'!$T$19),"East Africa","")</f>
        <v/>
      </c>
      <c r="BB773" s="22" t="str">
        <f>IF(AND('[1]observations-276632'!W773&gt;'[1]Methods write-up'!$Q$20,'[1]observations-276632'!W773&lt;'[1]Methods write-up'!$R$20,'[1]observations-276632'!X773&gt;'[1]Methods write-up'!$S$20,'[1]observations-276632'!X773&lt;'[1]Methods write-up'!$T$20),"Temperate seasonal","")</f>
        <v/>
      </c>
      <c r="BC773" s="22" t="str">
        <f>IF(AND('[1]observations-276632'!W773&gt;'[1]Methods write-up'!$Q$21,'[1]observations-276632'!W773&lt;'[1]Methods write-up'!$R$21,'[1]observations-276632'!X773&gt;'[1]Methods write-up'!$S$21,'[1]observations-276632'!X773&lt;'[1]Methods write-up'!$T$21),"Desert and high aridity","")</f>
        <v/>
      </c>
      <c r="BD773" s="23" t="str">
        <f t="shared" si="54"/>
        <v/>
      </c>
      <c r="BE773" s="24">
        <f t="shared" si="52"/>
        <v>14</v>
      </c>
      <c r="BF773" s="24">
        <f t="shared" si="53"/>
        <v>6</v>
      </c>
    </row>
    <row r="774" spans="1:58" ht="16.25" customHeight="1" x14ac:dyDescent="0.2">
      <c r="A774">
        <v>85726935</v>
      </c>
      <c r="B774" t="s">
        <v>5784</v>
      </c>
      <c r="C774" s="14">
        <v>44379</v>
      </c>
      <c r="D774" t="s">
        <v>5785</v>
      </c>
      <c r="E774" t="s">
        <v>113</v>
      </c>
      <c r="F774">
        <v>2675197</v>
      </c>
      <c r="G774" t="s">
        <v>3567</v>
      </c>
      <c r="H774" t="s">
        <v>3568</v>
      </c>
      <c r="I774" t="s">
        <v>5786</v>
      </c>
      <c r="J774" t="s">
        <v>5787</v>
      </c>
      <c r="K774" t="s">
        <v>62</v>
      </c>
      <c r="L774" t="s">
        <v>63</v>
      </c>
      <c r="M774" t="s">
        <v>5788</v>
      </c>
      <c r="N774" t="s">
        <v>5789</v>
      </c>
      <c r="R774">
        <v>4</v>
      </c>
      <c r="S774">
        <v>0</v>
      </c>
      <c r="T774" t="b">
        <v>0</v>
      </c>
      <c r="V774" t="s">
        <v>5790</v>
      </c>
      <c r="W774" s="15">
        <v>-24.314396339999998</v>
      </c>
      <c r="X774" s="15">
        <v>31.333174979999999</v>
      </c>
      <c r="Y774">
        <v>10593</v>
      </c>
      <c r="AC774">
        <v>10593</v>
      </c>
      <c r="AF774" t="b">
        <v>0</v>
      </c>
      <c r="AI774" t="s">
        <v>71</v>
      </c>
      <c r="AJ774" t="s">
        <v>70</v>
      </c>
      <c r="AK774" t="s">
        <v>71</v>
      </c>
      <c r="AL774" t="s">
        <v>72</v>
      </c>
      <c r="AM774">
        <v>346053</v>
      </c>
      <c r="AO774" s="16" t="s">
        <v>140</v>
      </c>
      <c r="AP774" s="17" t="str">
        <f t="shared" si="51"/>
        <v>Post-emergence nest</v>
      </c>
      <c r="AQ774" s="18">
        <v>2</v>
      </c>
      <c r="AT774" s="19" t="s">
        <v>104</v>
      </c>
      <c r="AU774" s="20" t="s">
        <v>104</v>
      </c>
      <c r="AX774" s="22" t="str">
        <f>IF(AND('[1]observations-276632'!W774&gt;'[1]Methods write-up'!$Q$16,'[1]observations-276632'!W774&lt;'[1]Methods write-up'!$R$16,'[1]observations-276632'!X774&gt;'[1]Methods write-up'!$S$16,'[1]observations-276632'!X774&lt;'[1]Methods write-up'!$T$16),"West and Central Africa","")</f>
        <v/>
      </c>
      <c r="AY774" s="22" t="str">
        <f>IF(AND('[1]observations-276632'!W774&gt;'[1]Methods write-up'!$Q$17,'[1]observations-276632'!W774&lt;'[1]Methods write-up'!$R$17,'[1]observations-276632'!X774&gt;'[1]Methods write-up'!$S$17,'[1]observations-276632'!X774&lt;'[1]Methods write-up'!$T$17),"Equatorial tropical forest","")</f>
        <v/>
      </c>
      <c r="AZ774" s="22" t="str">
        <f>IF(AND('[1]observations-276632'!W774&gt;'[1]Methods write-up'!$Q$18,'[1]observations-276632'!W774&lt;'[1]Methods write-up'!$R$18,'[1]observations-276632'!X774&gt;'[1]Methods write-up'!$S$18,'[1]observations-276632'!X774&lt;'[1]Methods write-up'!$T$18),"Somali peninsula","")</f>
        <v/>
      </c>
      <c r="BA774" s="22" t="str">
        <f>IF(AND('[1]observations-276632'!W774&gt;'[1]Methods write-up'!$Q$19,'[1]observations-276632'!W774&lt;'[1]Methods write-up'!$R$19,'[1]observations-276632'!X774&gt;'[1]Methods write-up'!$S$19,'[1]observations-276632'!X774&lt;'[1]Methods write-up'!$T$19),"East Africa","")</f>
        <v/>
      </c>
      <c r="BB774" s="22" t="str">
        <f>IF(AND('[1]observations-276632'!W774&gt;'[1]Methods write-up'!$Q$20,'[1]observations-276632'!W774&lt;'[1]Methods write-up'!$R$20,'[1]observations-276632'!X774&gt;'[1]Methods write-up'!$S$20,'[1]observations-276632'!X774&lt;'[1]Methods write-up'!$T$20),"Temperate seasonal","")</f>
        <v/>
      </c>
      <c r="BC774" s="22" t="str">
        <f>IF(AND('[1]observations-276632'!W774&gt;'[1]Methods write-up'!$Q$21,'[1]observations-276632'!W774&lt;'[1]Methods write-up'!$R$21,'[1]observations-276632'!X774&gt;'[1]Methods write-up'!$S$21,'[1]observations-276632'!X774&lt;'[1]Methods write-up'!$T$21),"Desert and high aridity","")</f>
        <v/>
      </c>
      <c r="BD774" s="23" t="str">
        <f t="shared" si="54"/>
        <v/>
      </c>
      <c r="BE774" s="24">
        <f t="shared" si="52"/>
        <v>2</v>
      </c>
      <c r="BF774" s="24">
        <f t="shared" si="53"/>
        <v>7</v>
      </c>
    </row>
    <row r="775" spans="1:58" ht="16.25" customHeight="1" x14ac:dyDescent="0.2">
      <c r="A775">
        <v>85936386</v>
      </c>
      <c r="B775" t="s">
        <v>5791</v>
      </c>
      <c r="C775" s="14">
        <v>44382</v>
      </c>
      <c r="D775" t="s">
        <v>5792</v>
      </c>
      <c r="E775" t="s">
        <v>1408</v>
      </c>
      <c r="F775">
        <v>3805756</v>
      </c>
      <c r="G775" t="s">
        <v>5793</v>
      </c>
      <c r="H775" t="s">
        <v>5794</v>
      </c>
      <c r="I775" t="s">
        <v>5795</v>
      </c>
      <c r="J775" t="s">
        <v>5796</v>
      </c>
      <c r="K775" t="s">
        <v>62</v>
      </c>
      <c r="M775" t="s">
        <v>5797</v>
      </c>
      <c r="N775" t="s">
        <v>5798</v>
      </c>
      <c r="R775">
        <v>3</v>
      </c>
      <c r="S775">
        <v>0</v>
      </c>
      <c r="T775" t="b">
        <v>0</v>
      </c>
      <c r="V775" t="s">
        <v>5799</v>
      </c>
      <c r="W775" s="15">
        <v>-13.360761180000001</v>
      </c>
      <c r="X775" s="15">
        <v>34.012553500000003</v>
      </c>
      <c r="Y775">
        <v>558</v>
      </c>
      <c r="AC775">
        <v>558</v>
      </c>
      <c r="AF775" t="b">
        <v>0</v>
      </c>
      <c r="AI775" t="s">
        <v>71</v>
      </c>
      <c r="AJ775" t="s">
        <v>70</v>
      </c>
      <c r="AK775" t="s">
        <v>71</v>
      </c>
      <c r="AL775" t="s">
        <v>72</v>
      </c>
      <c r="AM775">
        <v>346053</v>
      </c>
      <c r="AO775" s="16" t="s">
        <v>73</v>
      </c>
      <c r="AP775" s="17" t="str">
        <f t="shared" si="51"/>
        <v>Off-nest female</v>
      </c>
      <c r="AX775" s="22" t="str">
        <f>IF(AND('[1]observations-276632'!W775&gt;'[1]Methods write-up'!$Q$16,'[1]observations-276632'!W775&lt;'[1]Methods write-up'!$R$16,'[1]observations-276632'!X775&gt;'[1]Methods write-up'!$S$16,'[1]observations-276632'!X775&lt;'[1]Methods write-up'!$T$16),"West and Central Africa","")</f>
        <v/>
      </c>
      <c r="AY775" s="22" t="str">
        <f>IF(AND('[1]observations-276632'!W775&gt;'[1]Methods write-up'!$Q$17,'[1]observations-276632'!W775&lt;'[1]Methods write-up'!$R$17,'[1]observations-276632'!X775&gt;'[1]Methods write-up'!$S$17,'[1]observations-276632'!X775&lt;'[1]Methods write-up'!$T$17),"Equatorial tropical forest","")</f>
        <v/>
      </c>
      <c r="AZ775" s="22" t="str">
        <f>IF(AND('[1]observations-276632'!W775&gt;'[1]Methods write-up'!$Q$18,'[1]observations-276632'!W775&lt;'[1]Methods write-up'!$R$18,'[1]observations-276632'!X775&gt;'[1]Methods write-up'!$S$18,'[1]observations-276632'!X775&lt;'[1]Methods write-up'!$T$18),"Somali peninsula","")</f>
        <v/>
      </c>
      <c r="BA775" s="22" t="str">
        <f>IF(AND('[1]observations-276632'!W775&gt;'[1]Methods write-up'!$Q$19,'[1]observations-276632'!W775&lt;'[1]Methods write-up'!$R$19,'[1]observations-276632'!X775&gt;'[1]Methods write-up'!$S$19,'[1]observations-276632'!X775&lt;'[1]Methods write-up'!$T$19),"East Africa","")</f>
        <v/>
      </c>
      <c r="BB775" s="22" t="str">
        <f>IF(AND('[1]observations-276632'!W775&gt;'[1]Methods write-up'!$Q$20,'[1]observations-276632'!W775&lt;'[1]Methods write-up'!$R$20,'[1]observations-276632'!X775&gt;'[1]Methods write-up'!$S$20,'[1]observations-276632'!X775&lt;'[1]Methods write-up'!$T$20),"Temperate seasonal","")</f>
        <v/>
      </c>
      <c r="BC775" s="22" t="str">
        <f>IF(AND('[1]observations-276632'!W775&gt;'[1]Methods write-up'!$Q$21,'[1]observations-276632'!W775&lt;'[1]Methods write-up'!$R$21,'[1]observations-276632'!X775&gt;'[1]Methods write-up'!$S$21,'[1]observations-276632'!X775&lt;'[1]Methods write-up'!$T$21),"Desert and high aridity","")</f>
        <v/>
      </c>
      <c r="BD775" s="23" t="str">
        <f t="shared" si="54"/>
        <v/>
      </c>
      <c r="BE775" s="24">
        <f t="shared" si="52"/>
        <v>5</v>
      </c>
      <c r="BF775" s="24">
        <f t="shared" si="53"/>
        <v>7</v>
      </c>
    </row>
    <row r="776" spans="1:58" ht="16.25" customHeight="1" x14ac:dyDescent="0.2">
      <c r="A776">
        <v>86143515</v>
      </c>
      <c r="B776" t="s">
        <v>5800</v>
      </c>
      <c r="C776" s="14">
        <v>44385</v>
      </c>
      <c r="D776" t="s">
        <v>5801</v>
      </c>
      <c r="E776" t="s">
        <v>113</v>
      </c>
      <c r="F776">
        <v>4395484</v>
      </c>
      <c r="G776" t="s">
        <v>5802</v>
      </c>
      <c r="H776" t="s">
        <v>5803</v>
      </c>
      <c r="I776" t="s">
        <v>5804</v>
      </c>
      <c r="J776" t="s">
        <v>5805</v>
      </c>
      <c r="K776" t="s">
        <v>62</v>
      </c>
      <c r="L776" t="s">
        <v>63</v>
      </c>
      <c r="M776" t="s">
        <v>5806</v>
      </c>
      <c r="N776" t="s">
        <v>5807</v>
      </c>
      <c r="R776">
        <v>3</v>
      </c>
      <c r="S776">
        <v>0</v>
      </c>
      <c r="T776" t="b">
        <v>0</v>
      </c>
      <c r="U776">
        <v>3</v>
      </c>
      <c r="V776" t="s">
        <v>5808</v>
      </c>
      <c r="W776" s="15">
        <v>-29.55423</v>
      </c>
      <c r="X776" s="15">
        <v>31.202536670000001</v>
      </c>
      <c r="Y776">
        <v>4</v>
      </c>
      <c r="AC776">
        <v>4</v>
      </c>
      <c r="AF776" t="b">
        <v>0</v>
      </c>
      <c r="AI776" t="s">
        <v>71</v>
      </c>
      <c r="AJ776" t="s">
        <v>70</v>
      </c>
      <c r="AK776" t="s">
        <v>71</v>
      </c>
      <c r="AL776" t="s">
        <v>72</v>
      </c>
      <c r="AM776">
        <v>346053</v>
      </c>
      <c r="AO776" s="16" t="s">
        <v>73</v>
      </c>
      <c r="AP776" s="17" t="str">
        <f t="shared" si="51"/>
        <v>Off-nest female</v>
      </c>
      <c r="AX776" s="22" t="str">
        <f>IF(AND('[1]observations-276632'!W776&gt;'[1]Methods write-up'!$Q$16,'[1]observations-276632'!W776&lt;'[1]Methods write-up'!$R$16,'[1]observations-276632'!X776&gt;'[1]Methods write-up'!$S$16,'[1]observations-276632'!X776&lt;'[1]Methods write-up'!$T$16),"West and Central Africa","")</f>
        <v/>
      </c>
      <c r="AY776" s="22" t="str">
        <f>IF(AND('[1]observations-276632'!W776&gt;'[1]Methods write-up'!$Q$17,'[1]observations-276632'!W776&lt;'[1]Methods write-up'!$R$17,'[1]observations-276632'!X776&gt;'[1]Methods write-up'!$S$17,'[1]observations-276632'!X776&lt;'[1]Methods write-up'!$T$17),"Equatorial tropical forest","")</f>
        <v/>
      </c>
      <c r="AZ776" s="22" t="str">
        <f>IF(AND('[1]observations-276632'!W776&gt;'[1]Methods write-up'!$Q$18,'[1]observations-276632'!W776&lt;'[1]Methods write-up'!$R$18,'[1]observations-276632'!X776&gt;'[1]Methods write-up'!$S$18,'[1]observations-276632'!X776&lt;'[1]Methods write-up'!$T$18),"Somali peninsula","")</f>
        <v/>
      </c>
      <c r="BA776" s="22" t="str">
        <f>IF(AND('[1]observations-276632'!W776&gt;'[1]Methods write-up'!$Q$19,'[1]observations-276632'!W776&lt;'[1]Methods write-up'!$R$19,'[1]observations-276632'!X776&gt;'[1]Methods write-up'!$S$19,'[1]observations-276632'!X776&lt;'[1]Methods write-up'!$T$19),"East Africa","")</f>
        <v/>
      </c>
      <c r="BB776" s="22" t="str">
        <f>IF(AND('[1]observations-276632'!W776&gt;'[1]Methods write-up'!$Q$20,'[1]observations-276632'!W776&lt;'[1]Methods write-up'!$R$20,'[1]observations-276632'!X776&gt;'[1]Methods write-up'!$S$20,'[1]observations-276632'!X776&lt;'[1]Methods write-up'!$T$20),"Temperate seasonal","")</f>
        <v>Temperate seasonal</v>
      </c>
      <c r="BC776" s="22" t="str">
        <f>IF(AND('[1]observations-276632'!W776&gt;'[1]Methods write-up'!$Q$21,'[1]observations-276632'!W776&lt;'[1]Methods write-up'!$R$21,'[1]observations-276632'!X776&gt;'[1]Methods write-up'!$S$21,'[1]observations-276632'!X776&lt;'[1]Methods write-up'!$T$21),"Desert and high aridity","")</f>
        <v/>
      </c>
      <c r="BD776" s="23" t="str">
        <f t="shared" si="54"/>
        <v>Temperate seasonal</v>
      </c>
      <c r="BE776" s="24">
        <f t="shared" si="52"/>
        <v>8</v>
      </c>
      <c r="BF776" s="24">
        <f t="shared" si="53"/>
        <v>7</v>
      </c>
    </row>
    <row r="777" spans="1:58" ht="16.25" customHeight="1" x14ac:dyDescent="0.2">
      <c r="A777">
        <v>86266925</v>
      </c>
      <c r="B777" t="s">
        <v>5809</v>
      </c>
      <c r="C777" s="14">
        <v>44365</v>
      </c>
      <c r="D777" t="s">
        <v>5810</v>
      </c>
      <c r="E777" t="s">
        <v>243</v>
      </c>
      <c r="F777">
        <v>565236</v>
      </c>
      <c r="G777" t="s">
        <v>360</v>
      </c>
      <c r="H777" t="s">
        <v>361</v>
      </c>
      <c r="I777" t="s">
        <v>5811</v>
      </c>
      <c r="J777" t="s">
        <v>5812</v>
      </c>
      <c r="K777" t="s">
        <v>62</v>
      </c>
      <c r="M777" t="s">
        <v>5813</v>
      </c>
      <c r="N777" t="s">
        <v>5814</v>
      </c>
      <c r="R777">
        <v>2</v>
      </c>
      <c r="S777">
        <v>0</v>
      </c>
      <c r="T777" t="b">
        <v>0</v>
      </c>
      <c r="V777" t="s">
        <v>5815</v>
      </c>
      <c r="W777" s="15">
        <v>3.7126583329999998</v>
      </c>
      <c r="X777" s="15">
        <v>33.670935</v>
      </c>
      <c r="AF777" t="b">
        <v>0</v>
      </c>
      <c r="AI777" t="s">
        <v>71</v>
      </c>
      <c r="AJ777" t="s">
        <v>70</v>
      </c>
      <c r="AK777" t="s">
        <v>71</v>
      </c>
      <c r="AL777" t="s">
        <v>72</v>
      </c>
      <c r="AM777">
        <v>346053</v>
      </c>
      <c r="AO777" s="16" t="s">
        <v>140</v>
      </c>
      <c r="AP777" s="17" t="str">
        <f t="shared" si="51"/>
        <v>Post-emergence nest</v>
      </c>
      <c r="AQ777" s="18">
        <v>5</v>
      </c>
      <c r="AT777" s="19" t="s">
        <v>104</v>
      </c>
      <c r="AU777" s="20" t="s">
        <v>104</v>
      </c>
      <c r="AX777" s="22" t="str">
        <f>IF(AND('[1]observations-276632'!W777&gt;'[1]Methods write-up'!$Q$16,'[1]observations-276632'!W777&lt;'[1]Methods write-up'!$R$16,'[1]observations-276632'!X777&gt;'[1]Methods write-up'!$S$16,'[1]observations-276632'!X777&lt;'[1]Methods write-up'!$T$16),"West and Central Africa","")</f>
        <v/>
      </c>
      <c r="AY777" s="22" t="str">
        <f>IF(AND('[1]observations-276632'!W777&gt;'[1]Methods write-up'!$Q$17,'[1]observations-276632'!W777&lt;'[1]Methods write-up'!$R$17,'[1]observations-276632'!X777&gt;'[1]Methods write-up'!$S$17,'[1]observations-276632'!X777&lt;'[1]Methods write-up'!$T$17),"Equatorial tropical forest","")</f>
        <v/>
      </c>
      <c r="AZ777" s="22" t="str">
        <f>IF(AND('[1]observations-276632'!W777&gt;'[1]Methods write-up'!$Q$18,'[1]observations-276632'!W777&lt;'[1]Methods write-up'!$R$18,'[1]observations-276632'!X777&gt;'[1]Methods write-up'!$S$18,'[1]observations-276632'!X777&lt;'[1]Methods write-up'!$T$18),"Somali peninsula","")</f>
        <v/>
      </c>
      <c r="BA777" s="22" t="str">
        <f>IF(AND('[1]observations-276632'!W777&gt;'[1]Methods write-up'!$Q$19,'[1]observations-276632'!W777&lt;'[1]Methods write-up'!$R$19,'[1]observations-276632'!X777&gt;'[1]Methods write-up'!$S$19,'[1]observations-276632'!X777&lt;'[1]Methods write-up'!$T$19),"East Africa","")</f>
        <v>East Africa</v>
      </c>
      <c r="BB777" s="22" t="str">
        <f>IF(AND('[1]observations-276632'!W777&gt;'[1]Methods write-up'!$Q$20,'[1]observations-276632'!W777&lt;'[1]Methods write-up'!$R$20,'[1]observations-276632'!X777&gt;'[1]Methods write-up'!$S$20,'[1]observations-276632'!X777&lt;'[1]Methods write-up'!$T$20),"Temperate seasonal","")</f>
        <v/>
      </c>
      <c r="BC777" s="22" t="str">
        <f>IF(AND('[1]observations-276632'!W777&gt;'[1]Methods write-up'!$Q$21,'[1]observations-276632'!W777&lt;'[1]Methods write-up'!$R$21,'[1]observations-276632'!X777&gt;'[1]Methods write-up'!$S$21,'[1]observations-276632'!X777&lt;'[1]Methods write-up'!$T$21),"Desert and high aridity","")</f>
        <v/>
      </c>
      <c r="BD777" s="23" t="str">
        <f t="shared" si="54"/>
        <v>East Africa</v>
      </c>
      <c r="BE777" s="24">
        <f t="shared" si="52"/>
        <v>18</v>
      </c>
      <c r="BF777" s="24">
        <f t="shared" si="53"/>
        <v>6</v>
      </c>
    </row>
    <row r="778" spans="1:58" ht="16.25" customHeight="1" x14ac:dyDescent="0.2">
      <c r="A778">
        <v>86302224</v>
      </c>
      <c r="B778" t="s">
        <v>5816</v>
      </c>
      <c r="C778" s="14">
        <v>43295</v>
      </c>
      <c r="D778" t="s">
        <v>5817</v>
      </c>
      <c r="E778" t="s">
        <v>122</v>
      </c>
      <c r="F778">
        <v>4699706</v>
      </c>
      <c r="G778" t="s">
        <v>5818</v>
      </c>
      <c r="I778" t="s">
        <v>5819</v>
      </c>
      <c r="J778" t="s">
        <v>5820</v>
      </c>
      <c r="K778" t="s">
        <v>62</v>
      </c>
      <c r="L778" t="s">
        <v>63</v>
      </c>
      <c r="M778" t="s">
        <v>5821</v>
      </c>
      <c r="N778" t="s">
        <v>5822</v>
      </c>
      <c r="R778">
        <v>2</v>
      </c>
      <c r="S778">
        <v>0</v>
      </c>
      <c r="T778" t="b">
        <v>0</v>
      </c>
      <c r="U778">
        <v>3</v>
      </c>
      <c r="V778" t="s">
        <v>5823</v>
      </c>
      <c r="W778" s="15">
        <v>-1.4047799999999999</v>
      </c>
      <c r="X778" s="15">
        <v>36.92642</v>
      </c>
      <c r="Y778">
        <v>2704</v>
      </c>
      <c r="AC778">
        <v>2704</v>
      </c>
      <c r="AF778" t="b">
        <v>0</v>
      </c>
      <c r="AI778" t="s">
        <v>71</v>
      </c>
      <c r="AJ778" t="s">
        <v>70</v>
      </c>
      <c r="AK778" t="s">
        <v>71</v>
      </c>
      <c r="AL778" t="s">
        <v>72</v>
      </c>
      <c r="AM778">
        <v>346053</v>
      </c>
      <c r="AO778" s="16" t="s">
        <v>110</v>
      </c>
      <c r="AP778" s="17" t="str">
        <f t="shared" si="51"/>
        <v>Nest (foundress)</v>
      </c>
      <c r="AQ778" s="18">
        <v>1</v>
      </c>
      <c r="AT778" s="19" t="s">
        <v>104</v>
      </c>
      <c r="AX778" s="22" t="str">
        <f>IF(AND('[1]observations-276632'!W778&gt;'[1]Methods write-up'!$Q$16,'[1]observations-276632'!W778&lt;'[1]Methods write-up'!$R$16,'[1]observations-276632'!X778&gt;'[1]Methods write-up'!$S$16,'[1]observations-276632'!X778&lt;'[1]Methods write-up'!$T$16),"West and Central Africa","")</f>
        <v/>
      </c>
      <c r="AY778" s="22" t="str">
        <f>IF(AND('[1]observations-276632'!W778&gt;'[1]Methods write-up'!$Q$17,'[1]observations-276632'!W778&lt;'[1]Methods write-up'!$R$17,'[1]observations-276632'!X778&gt;'[1]Methods write-up'!$S$17,'[1]observations-276632'!X778&lt;'[1]Methods write-up'!$T$17),"Equatorial tropical forest","")</f>
        <v/>
      </c>
      <c r="AZ778" s="22" t="str">
        <f>IF(AND('[1]observations-276632'!W778&gt;'[1]Methods write-up'!$Q$18,'[1]observations-276632'!W778&lt;'[1]Methods write-up'!$R$18,'[1]observations-276632'!X778&gt;'[1]Methods write-up'!$S$18,'[1]observations-276632'!X778&lt;'[1]Methods write-up'!$T$18),"Somali peninsula","")</f>
        <v/>
      </c>
      <c r="BA778" s="22" t="str">
        <f>IF(AND('[1]observations-276632'!W778&gt;'[1]Methods write-up'!$Q$19,'[1]observations-276632'!W778&lt;'[1]Methods write-up'!$R$19,'[1]observations-276632'!X778&gt;'[1]Methods write-up'!$S$19,'[1]observations-276632'!X778&lt;'[1]Methods write-up'!$T$19),"East Africa","")</f>
        <v>East Africa</v>
      </c>
      <c r="BB778" s="22" t="str">
        <f>IF(AND('[1]observations-276632'!W778&gt;'[1]Methods write-up'!$Q$20,'[1]observations-276632'!W778&lt;'[1]Methods write-up'!$R$20,'[1]observations-276632'!X778&gt;'[1]Methods write-up'!$S$20,'[1]observations-276632'!X778&lt;'[1]Methods write-up'!$T$20),"Temperate seasonal","")</f>
        <v/>
      </c>
      <c r="BC778" s="22" t="str">
        <f>IF(AND('[1]observations-276632'!W778&gt;'[1]Methods write-up'!$Q$21,'[1]observations-276632'!W778&lt;'[1]Methods write-up'!$R$21,'[1]observations-276632'!X778&gt;'[1]Methods write-up'!$S$21,'[1]observations-276632'!X778&lt;'[1]Methods write-up'!$T$21),"Desert and high aridity","")</f>
        <v/>
      </c>
      <c r="BD778" s="23" t="str">
        <f t="shared" si="54"/>
        <v>East Africa</v>
      </c>
      <c r="BE778" s="24">
        <f t="shared" si="52"/>
        <v>14</v>
      </c>
      <c r="BF778" s="24">
        <f t="shared" si="53"/>
        <v>7</v>
      </c>
    </row>
    <row r="779" spans="1:58" ht="16.25" customHeight="1" x14ac:dyDescent="0.2">
      <c r="A779">
        <v>86526079</v>
      </c>
      <c r="B779" t="s">
        <v>5824</v>
      </c>
      <c r="C779" s="14">
        <v>44387</v>
      </c>
      <c r="D779" t="s">
        <v>5825</v>
      </c>
      <c r="E779" t="s">
        <v>113</v>
      </c>
      <c r="F779">
        <v>679321</v>
      </c>
      <c r="G779" t="s">
        <v>478</v>
      </c>
      <c r="H779" t="s">
        <v>479</v>
      </c>
      <c r="I779" t="s">
        <v>5826</v>
      </c>
      <c r="J779" t="s">
        <v>5827</v>
      </c>
      <c r="K779" t="s">
        <v>62</v>
      </c>
      <c r="L779" t="s">
        <v>63</v>
      </c>
      <c r="M779" t="s">
        <v>5828</v>
      </c>
      <c r="N779" t="s">
        <v>5829</v>
      </c>
      <c r="R779">
        <v>3</v>
      </c>
      <c r="S779">
        <v>0</v>
      </c>
      <c r="T779" t="b">
        <v>0</v>
      </c>
      <c r="U779">
        <v>3</v>
      </c>
      <c r="V779" t="s">
        <v>5830</v>
      </c>
      <c r="W779" s="15">
        <v>-28.959131970000001</v>
      </c>
      <c r="X779" s="15">
        <v>31.779179450000001</v>
      </c>
      <c r="Y779">
        <v>5</v>
      </c>
      <c r="AC779">
        <v>5</v>
      </c>
      <c r="AF779" t="b">
        <v>0</v>
      </c>
      <c r="AI779" t="s">
        <v>71</v>
      </c>
      <c r="AJ779" t="s">
        <v>70</v>
      </c>
      <c r="AK779" t="s">
        <v>71</v>
      </c>
      <c r="AL779" t="s">
        <v>72</v>
      </c>
      <c r="AM779">
        <v>346053</v>
      </c>
      <c r="AO779" s="16" t="s">
        <v>73</v>
      </c>
      <c r="AP779" s="17" t="str">
        <f t="shared" si="51"/>
        <v>Off-nest female</v>
      </c>
      <c r="AX779" s="22" t="str">
        <f>IF(AND('[1]observations-276632'!W779&gt;'[1]Methods write-up'!$Q$16,'[1]observations-276632'!W779&lt;'[1]Methods write-up'!$R$16,'[1]observations-276632'!X779&gt;'[1]Methods write-up'!$S$16,'[1]observations-276632'!X779&lt;'[1]Methods write-up'!$T$16),"West and Central Africa","")</f>
        <v/>
      </c>
      <c r="AY779" s="22" t="str">
        <f>IF(AND('[1]observations-276632'!W779&gt;'[1]Methods write-up'!$Q$17,'[1]observations-276632'!W779&lt;'[1]Methods write-up'!$R$17,'[1]observations-276632'!X779&gt;'[1]Methods write-up'!$S$17,'[1]observations-276632'!X779&lt;'[1]Methods write-up'!$T$17),"Equatorial tropical forest","")</f>
        <v/>
      </c>
      <c r="AZ779" s="22" t="str">
        <f>IF(AND('[1]observations-276632'!W779&gt;'[1]Methods write-up'!$Q$18,'[1]observations-276632'!W779&lt;'[1]Methods write-up'!$R$18,'[1]observations-276632'!X779&gt;'[1]Methods write-up'!$S$18,'[1]observations-276632'!X779&lt;'[1]Methods write-up'!$T$18),"Somali peninsula","")</f>
        <v/>
      </c>
      <c r="BA779" s="22" t="str">
        <f>IF(AND('[1]observations-276632'!W779&gt;'[1]Methods write-up'!$Q$19,'[1]observations-276632'!W779&lt;'[1]Methods write-up'!$R$19,'[1]observations-276632'!X779&gt;'[1]Methods write-up'!$S$19,'[1]observations-276632'!X779&lt;'[1]Methods write-up'!$T$19),"East Africa","")</f>
        <v/>
      </c>
      <c r="BB779" s="22" t="str">
        <f>IF(AND('[1]observations-276632'!W779&gt;'[1]Methods write-up'!$Q$20,'[1]observations-276632'!W779&lt;'[1]Methods write-up'!$R$20,'[1]observations-276632'!X779&gt;'[1]Methods write-up'!$S$20,'[1]observations-276632'!X779&lt;'[1]Methods write-up'!$T$20),"Temperate seasonal","")</f>
        <v>Temperate seasonal</v>
      </c>
      <c r="BC779" s="22" t="str">
        <f>IF(AND('[1]observations-276632'!W779&gt;'[1]Methods write-up'!$Q$21,'[1]observations-276632'!W779&lt;'[1]Methods write-up'!$R$21,'[1]observations-276632'!X779&gt;'[1]Methods write-up'!$S$21,'[1]observations-276632'!X779&lt;'[1]Methods write-up'!$T$21),"Desert and high aridity","")</f>
        <v/>
      </c>
      <c r="BD779" s="23" t="str">
        <f t="shared" si="54"/>
        <v>Temperate seasonal</v>
      </c>
      <c r="BE779" s="24">
        <f t="shared" si="52"/>
        <v>10</v>
      </c>
      <c r="BF779" s="24">
        <f t="shared" si="53"/>
        <v>7</v>
      </c>
    </row>
    <row r="780" spans="1:58" ht="16.25" customHeight="1" x14ac:dyDescent="0.2">
      <c r="A780">
        <v>86701893</v>
      </c>
      <c r="B780" s="25">
        <v>44388.648611111108</v>
      </c>
      <c r="C780" s="14">
        <v>44388</v>
      </c>
      <c r="D780" t="s">
        <v>5831</v>
      </c>
      <c r="E780" t="s">
        <v>84</v>
      </c>
      <c r="F780">
        <v>2474339</v>
      </c>
      <c r="G780" t="s">
        <v>4294</v>
      </c>
      <c r="H780" t="s">
        <v>4295</v>
      </c>
      <c r="I780" t="s">
        <v>5832</v>
      </c>
      <c r="J780" t="s">
        <v>5833</v>
      </c>
      <c r="K780" t="s">
        <v>62</v>
      </c>
      <c r="M780" t="s">
        <v>5834</v>
      </c>
      <c r="N780" t="s">
        <v>5835</v>
      </c>
      <c r="R780">
        <v>1</v>
      </c>
      <c r="S780">
        <v>0</v>
      </c>
      <c r="T780" t="b">
        <v>0</v>
      </c>
      <c r="U780">
        <v>2</v>
      </c>
      <c r="V780" t="s">
        <v>5836</v>
      </c>
      <c r="W780" s="15">
        <v>-0.42865555599999999</v>
      </c>
      <c r="X780" s="15">
        <v>34.469013889999999</v>
      </c>
      <c r="AF780" t="b">
        <v>0</v>
      </c>
      <c r="AG780" t="s">
        <v>350</v>
      </c>
      <c r="AH780" t="s">
        <v>350</v>
      </c>
      <c r="AI780" t="s">
        <v>71</v>
      </c>
      <c r="AJ780" t="s">
        <v>70</v>
      </c>
      <c r="AK780" t="s">
        <v>71</v>
      </c>
      <c r="AL780" t="s">
        <v>72</v>
      </c>
      <c r="AM780">
        <v>346053</v>
      </c>
      <c r="AO780" s="16" t="s">
        <v>140</v>
      </c>
      <c r="AP780" s="17" t="str">
        <f t="shared" si="51"/>
        <v>Post-emergence nest</v>
      </c>
      <c r="AQ780" s="18">
        <v>9</v>
      </c>
      <c r="AT780" s="19" t="s">
        <v>141</v>
      </c>
      <c r="AU780" s="20" t="s">
        <v>315</v>
      </c>
      <c r="AX780" s="22" t="str">
        <f>IF(AND('[1]observations-276632'!W780&gt;'[1]Methods write-up'!$Q$16,'[1]observations-276632'!W780&lt;'[1]Methods write-up'!$R$16,'[1]observations-276632'!X780&gt;'[1]Methods write-up'!$S$16,'[1]observations-276632'!X780&lt;'[1]Methods write-up'!$T$16),"West and Central Africa","")</f>
        <v/>
      </c>
      <c r="AY780" s="22" t="str">
        <f>IF(AND('[1]observations-276632'!W780&gt;'[1]Methods write-up'!$Q$17,'[1]observations-276632'!W780&lt;'[1]Methods write-up'!$R$17,'[1]observations-276632'!X780&gt;'[1]Methods write-up'!$S$17,'[1]observations-276632'!X780&lt;'[1]Methods write-up'!$T$17),"Equatorial tropical forest","")</f>
        <v/>
      </c>
      <c r="AZ780" s="22" t="str">
        <f>IF(AND('[1]observations-276632'!W780&gt;'[1]Methods write-up'!$Q$18,'[1]observations-276632'!W780&lt;'[1]Methods write-up'!$R$18,'[1]observations-276632'!X780&gt;'[1]Methods write-up'!$S$18,'[1]observations-276632'!X780&lt;'[1]Methods write-up'!$T$18),"Somali peninsula","")</f>
        <v/>
      </c>
      <c r="BA780" s="22" t="str">
        <f>IF(AND('[1]observations-276632'!W780&gt;'[1]Methods write-up'!$Q$19,'[1]observations-276632'!W780&lt;'[1]Methods write-up'!$R$19,'[1]observations-276632'!X780&gt;'[1]Methods write-up'!$S$19,'[1]observations-276632'!X780&lt;'[1]Methods write-up'!$T$19),"East Africa","")</f>
        <v>East Africa</v>
      </c>
      <c r="BB780" s="22" t="str">
        <f>IF(AND('[1]observations-276632'!W780&gt;'[1]Methods write-up'!$Q$20,'[1]observations-276632'!W780&lt;'[1]Methods write-up'!$R$20,'[1]observations-276632'!X780&gt;'[1]Methods write-up'!$S$20,'[1]observations-276632'!X780&lt;'[1]Methods write-up'!$T$20),"Temperate seasonal","")</f>
        <v/>
      </c>
      <c r="BC780" s="22" t="str">
        <f>IF(AND('[1]observations-276632'!W780&gt;'[1]Methods write-up'!$Q$21,'[1]observations-276632'!W780&lt;'[1]Methods write-up'!$R$21,'[1]observations-276632'!X780&gt;'[1]Methods write-up'!$S$21,'[1]observations-276632'!X780&lt;'[1]Methods write-up'!$T$21),"Desert and high aridity","")</f>
        <v/>
      </c>
      <c r="BD780" s="23" t="str">
        <f t="shared" si="54"/>
        <v>East Africa</v>
      </c>
      <c r="BE780" s="24">
        <f t="shared" si="52"/>
        <v>11</v>
      </c>
      <c r="BF780" s="24">
        <f t="shared" si="53"/>
        <v>7</v>
      </c>
    </row>
    <row r="781" spans="1:58" ht="16.25" customHeight="1" x14ac:dyDescent="0.2">
      <c r="A781">
        <v>86872823</v>
      </c>
      <c r="B781" t="s">
        <v>5837</v>
      </c>
      <c r="C781" s="14">
        <v>44390</v>
      </c>
      <c r="D781" t="s">
        <v>5838</v>
      </c>
      <c r="E781" t="s">
        <v>193</v>
      </c>
      <c r="F781">
        <v>3857722</v>
      </c>
      <c r="G781" t="s">
        <v>4422</v>
      </c>
      <c r="H781" t="s">
        <v>4423</v>
      </c>
      <c r="I781" t="s">
        <v>5839</v>
      </c>
      <c r="J781" t="s">
        <v>5840</v>
      </c>
      <c r="K781" t="s">
        <v>62</v>
      </c>
      <c r="L781" t="s">
        <v>63</v>
      </c>
      <c r="M781" t="s">
        <v>5841</v>
      </c>
      <c r="N781" t="s">
        <v>5842</v>
      </c>
      <c r="R781">
        <v>2</v>
      </c>
      <c r="S781">
        <v>0</v>
      </c>
      <c r="T781" t="b">
        <v>0</v>
      </c>
      <c r="U781">
        <v>3</v>
      </c>
      <c r="V781" t="s">
        <v>5843</v>
      </c>
      <c r="W781" s="15">
        <v>3.8045800000000001</v>
      </c>
      <c r="X781" s="15">
        <v>11.521461670000001</v>
      </c>
      <c r="Y781">
        <v>3</v>
      </c>
      <c r="AC781">
        <v>3</v>
      </c>
      <c r="AF781" t="b">
        <v>0</v>
      </c>
      <c r="AI781" t="s">
        <v>71</v>
      </c>
      <c r="AJ781" t="s">
        <v>70</v>
      </c>
      <c r="AK781" t="s">
        <v>71</v>
      </c>
      <c r="AL781" t="s">
        <v>72</v>
      </c>
      <c r="AM781">
        <v>346053</v>
      </c>
      <c r="AO781" s="16" t="s">
        <v>140</v>
      </c>
      <c r="AP781" s="17" t="str">
        <f t="shared" si="51"/>
        <v>Post-emergence nest</v>
      </c>
      <c r="AQ781" s="18">
        <v>6</v>
      </c>
      <c r="AT781" s="19" t="s">
        <v>141</v>
      </c>
      <c r="AU781" s="20" t="s">
        <v>104</v>
      </c>
      <c r="AX781" s="22" t="str">
        <f>IF(AND('[1]observations-276632'!W781&gt;'[1]Methods write-up'!$Q$16,'[1]observations-276632'!W781&lt;'[1]Methods write-up'!$R$16,'[1]observations-276632'!X781&gt;'[1]Methods write-up'!$S$16,'[1]observations-276632'!X781&lt;'[1]Methods write-up'!$T$16),"West and Central Africa","")</f>
        <v>West and Central Africa</v>
      </c>
      <c r="AY781" s="22" t="str">
        <f>IF(AND('[1]observations-276632'!W781&gt;'[1]Methods write-up'!$Q$17,'[1]observations-276632'!W781&lt;'[1]Methods write-up'!$R$17,'[1]observations-276632'!X781&gt;'[1]Methods write-up'!$S$17,'[1]observations-276632'!X781&lt;'[1]Methods write-up'!$T$17),"Equatorial tropical forest","")</f>
        <v/>
      </c>
      <c r="AZ781" s="22" t="str">
        <f>IF(AND('[1]observations-276632'!W781&gt;'[1]Methods write-up'!$Q$18,'[1]observations-276632'!W781&lt;'[1]Methods write-up'!$R$18,'[1]observations-276632'!X781&gt;'[1]Methods write-up'!$S$18,'[1]observations-276632'!X781&lt;'[1]Methods write-up'!$T$18),"Somali peninsula","")</f>
        <v/>
      </c>
      <c r="BA781" s="22" t="str">
        <f>IF(AND('[1]observations-276632'!W781&gt;'[1]Methods write-up'!$Q$19,'[1]observations-276632'!W781&lt;'[1]Methods write-up'!$R$19,'[1]observations-276632'!X781&gt;'[1]Methods write-up'!$S$19,'[1]observations-276632'!X781&lt;'[1]Methods write-up'!$T$19),"East Africa","")</f>
        <v/>
      </c>
      <c r="BB781" s="22" t="str">
        <f>IF(AND('[1]observations-276632'!W781&gt;'[1]Methods write-up'!$Q$20,'[1]observations-276632'!W781&lt;'[1]Methods write-up'!$R$20,'[1]observations-276632'!X781&gt;'[1]Methods write-up'!$S$20,'[1]observations-276632'!X781&lt;'[1]Methods write-up'!$T$20),"Temperate seasonal","")</f>
        <v/>
      </c>
      <c r="BC781" s="22" t="str">
        <f>IF(AND('[1]observations-276632'!W781&gt;'[1]Methods write-up'!$Q$21,'[1]observations-276632'!W781&lt;'[1]Methods write-up'!$R$21,'[1]observations-276632'!X781&gt;'[1]Methods write-up'!$S$21,'[1]observations-276632'!X781&lt;'[1]Methods write-up'!$T$21),"Desert and high aridity","")</f>
        <v/>
      </c>
      <c r="BD781" s="23" t="str">
        <f t="shared" si="54"/>
        <v>West and Central Africa</v>
      </c>
      <c r="BE781" s="24">
        <f t="shared" si="52"/>
        <v>13</v>
      </c>
      <c r="BF781" s="24">
        <f t="shared" si="53"/>
        <v>7</v>
      </c>
    </row>
    <row r="782" spans="1:58" ht="16.25" customHeight="1" x14ac:dyDescent="0.2">
      <c r="A782">
        <v>87089177</v>
      </c>
      <c r="B782" t="s">
        <v>5844</v>
      </c>
      <c r="C782" s="14">
        <v>44341</v>
      </c>
      <c r="D782" t="s">
        <v>5845</v>
      </c>
      <c r="E782" t="s">
        <v>57</v>
      </c>
      <c r="F782">
        <v>678008</v>
      </c>
      <c r="G782" t="s">
        <v>2315</v>
      </c>
      <c r="I782" t="s">
        <v>5846</v>
      </c>
      <c r="J782" t="s">
        <v>5847</v>
      </c>
      <c r="K782" t="s">
        <v>62</v>
      </c>
      <c r="L782" t="s">
        <v>63</v>
      </c>
      <c r="M782" t="s">
        <v>5848</v>
      </c>
      <c r="N782" t="s">
        <v>5849</v>
      </c>
      <c r="R782">
        <v>2</v>
      </c>
      <c r="S782">
        <v>0</v>
      </c>
      <c r="T782" t="b">
        <v>0</v>
      </c>
      <c r="V782" t="s">
        <v>5762</v>
      </c>
      <c r="W782" s="15">
        <v>-15.496457299999999</v>
      </c>
      <c r="X782" s="15">
        <v>28.453424510000001</v>
      </c>
      <c r="Y782">
        <v>302</v>
      </c>
      <c r="AC782">
        <v>302</v>
      </c>
      <c r="AF782" t="b">
        <v>0</v>
      </c>
      <c r="AI782" t="s">
        <v>71</v>
      </c>
      <c r="AJ782" t="s">
        <v>70</v>
      </c>
      <c r="AK782" t="s">
        <v>71</v>
      </c>
      <c r="AL782" t="s">
        <v>72</v>
      </c>
      <c r="AM782">
        <v>346053</v>
      </c>
      <c r="AO782" s="16" t="s">
        <v>73</v>
      </c>
      <c r="AP782" s="17" t="str">
        <f t="shared" si="51"/>
        <v>Off-nest female</v>
      </c>
      <c r="AX782" s="22" t="str">
        <f>IF(AND('[1]observations-276632'!W782&gt;'[1]Methods write-up'!$Q$16,'[1]observations-276632'!W782&lt;'[1]Methods write-up'!$R$16,'[1]observations-276632'!X782&gt;'[1]Methods write-up'!$S$16,'[1]observations-276632'!X782&lt;'[1]Methods write-up'!$T$16),"West and Central Africa","")</f>
        <v>West and Central Africa</v>
      </c>
      <c r="AY782" s="22" t="str">
        <f>IF(AND('[1]observations-276632'!W782&gt;'[1]Methods write-up'!$Q$17,'[1]observations-276632'!W782&lt;'[1]Methods write-up'!$R$17,'[1]observations-276632'!X782&gt;'[1]Methods write-up'!$S$17,'[1]observations-276632'!X782&lt;'[1]Methods write-up'!$T$17),"Equatorial tropical forest","")</f>
        <v/>
      </c>
      <c r="AZ782" s="22" t="str">
        <f>IF(AND('[1]observations-276632'!W782&gt;'[1]Methods write-up'!$Q$18,'[1]observations-276632'!W782&lt;'[1]Methods write-up'!$R$18,'[1]observations-276632'!X782&gt;'[1]Methods write-up'!$S$18,'[1]observations-276632'!X782&lt;'[1]Methods write-up'!$T$18),"Somali peninsula","")</f>
        <v/>
      </c>
      <c r="BA782" s="22" t="str">
        <f>IF(AND('[1]observations-276632'!W782&gt;'[1]Methods write-up'!$Q$19,'[1]observations-276632'!W782&lt;'[1]Methods write-up'!$R$19,'[1]observations-276632'!X782&gt;'[1]Methods write-up'!$S$19,'[1]observations-276632'!X782&lt;'[1]Methods write-up'!$T$19),"East Africa","")</f>
        <v/>
      </c>
      <c r="BB782" s="22" t="str">
        <f>IF(AND('[1]observations-276632'!W782&gt;'[1]Methods write-up'!$Q$20,'[1]observations-276632'!W782&lt;'[1]Methods write-up'!$R$20,'[1]observations-276632'!X782&gt;'[1]Methods write-up'!$S$20,'[1]observations-276632'!X782&lt;'[1]Methods write-up'!$T$20),"Temperate seasonal","")</f>
        <v/>
      </c>
      <c r="BC782" s="22" t="str">
        <f>IF(AND('[1]observations-276632'!W782&gt;'[1]Methods write-up'!$Q$21,'[1]observations-276632'!W782&lt;'[1]Methods write-up'!$R$21,'[1]observations-276632'!X782&gt;'[1]Methods write-up'!$S$21,'[1]observations-276632'!X782&lt;'[1]Methods write-up'!$T$21),"Desert and high aridity","")</f>
        <v/>
      </c>
      <c r="BD782" s="23" t="str">
        <f t="shared" si="54"/>
        <v>West and Central Africa</v>
      </c>
      <c r="BE782" s="24">
        <f t="shared" si="52"/>
        <v>25</v>
      </c>
      <c r="BF782" s="24">
        <f t="shared" si="53"/>
        <v>5</v>
      </c>
    </row>
    <row r="783" spans="1:58" ht="16.25" customHeight="1" x14ac:dyDescent="0.2">
      <c r="A783">
        <v>87154031</v>
      </c>
      <c r="B783" t="s">
        <v>5850</v>
      </c>
      <c r="C783" s="14">
        <v>44392</v>
      </c>
      <c r="D783" t="s">
        <v>5851</v>
      </c>
      <c r="E783" t="s">
        <v>113</v>
      </c>
      <c r="F783">
        <v>659922</v>
      </c>
      <c r="G783" t="s">
        <v>918</v>
      </c>
      <c r="I783" t="s">
        <v>5852</v>
      </c>
      <c r="J783" t="s">
        <v>5853</v>
      </c>
      <c r="K783" t="s">
        <v>62</v>
      </c>
      <c r="L783" t="s">
        <v>63</v>
      </c>
      <c r="M783" t="s">
        <v>5854</v>
      </c>
      <c r="N783" t="s">
        <v>5855</v>
      </c>
      <c r="R783">
        <v>2</v>
      </c>
      <c r="S783">
        <v>0</v>
      </c>
      <c r="T783" t="b">
        <v>0</v>
      </c>
      <c r="V783" t="s">
        <v>5856</v>
      </c>
      <c r="W783" s="15">
        <v>-28.382000000000001</v>
      </c>
      <c r="X783" s="15">
        <v>32.420999999999999</v>
      </c>
      <c r="Y783">
        <v>200</v>
      </c>
      <c r="AC783">
        <v>200</v>
      </c>
      <c r="AF783" t="b">
        <v>0</v>
      </c>
      <c r="AI783" t="s">
        <v>71</v>
      </c>
      <c r="AJ783" t="s">
        <v>70</v>
      </c>
      <c r="AK783" t="s">
        <v>71</v>
      </c>
      <c r="AL783" t="s">
        <v>72</v>
      </c>
      <c r="AM783">
        <v>346053</v>
      </c>
      <c r="AO783" s="16" t="s">
        <v>150</v>
      </c>
      <c r="AP783" s="17" t="str">
        <f t="shared" si="51"/>
        <v>Male (off nest)</v>
      </c>
      <c r="AX783" s="22" t="str">
        <f>IF(AND('[1]observations-276632'!W783&gt;'[1]Methods write-up'!$Q$16,'[1]observations-276632'!W783&lt;'[1]Methods write-up'!$R$16,'[1]observations-276632'!X783&gt;'[1]Methods write-up'!$S$16,'[1]observations-276632'!X783&lt;'[1]Methods write-up'!$T$16),"West and Central Africa","")</f>
        <v/>
      </c>
      <c r="AY783" s="22" t="str">
        <f>IF(AND('[1]observations-276632'!W783&gt;'[1]Methods write-up'!$Q$17,'[1]observations-276632'!W783&lt;'[1]Methods write-up'!$R$17,'[1]observations-276632'!X783&gt;'[1]Methods write-up'!$S$17,'[1]observations-276632'!X783&lt;'[1]Methods write-up'!$T$17),"Equatorial tropical forest","")</f>
        <v/>
      </c>
      <c r="AZ783" s="22" t="str">
        <f>IF(AND('[1]observations-276632'!W783&gt;'[1]Methods write-up'!$Q$18,'[1]observations-276632'!W783&lt;'[1]Methods write-up'!$R$18,'[1]observations-276632'!X783&gt;'[1]Methods write-up'!$S$18,'[1]observations-276632'!X783&lt;'[1]Methods write-up'!$T$18),"Somali peninsula","")</f>
        <v/>
      </c>
      <c r="BA783" s="22" t="str">
        <f>IF(AND('[1]observations-276632'!W783&gt;'[1]Methods write-up'!$Q$19,'[1]observations-276632'!W783&lt;'[1]Methods write-up'!$R$19,'[1]observations-276632'!X783&gt;'[1]Methods write-up'!$S$19,'[1]observations-276632'!X783&lt;'[1]Methods write-up'!$T$19),"East Africa","")</f>
        <v/>
      </c>
      <c r="BB783" s="22" t="str">
        <f>IF(AND('[1]observations-276632'!W783&gt;'[1]Methods write-up'!$Q$20,'[1]observations-276632'!W783&lt;'[1]Methods write-up'!$R$20,'[1]observations-276632'!X783&gt;'[1]Methods write-up'!$S$20,'[1]observations-276632'!X783&lt;'[1]Methods write-up'!$T$20),"Temperate seasonal","")</f>
        <v>Temperate seasonal</v>
      </c>
      <c r="BC783" s="22" t="str">
        <f>IF(AND('[1]observations-276632'!W783&gt;'[1]Methods write-up'!$Q$21,'[1]observations-276632'!W783&lt;'[1]Methods write-up'!$R$21,'[1]observations-276632'!X783&gt;'[1]Methods write-up'!$S$21,'[1]observations-276632'!X783&lt;'[1]Methods write-up'!$T$21),"Desert and high aridity","")</f>
        <v/>
      </c>
      <c r="BD783" s="23" t="str">
        <f t="shared" si="54"/>
        <v>Temperate seasonal</v>
      </c>
      <c r="BE783" s="24">
        <f t="shared" si="52"/>
        <v>15</v>
      </c>
      <c r="BF783" s="24">
        <f t="shared" si="53"/>
        <v>7</v>
      </c>
    </row>
    <row r="784" spans="1:58" ht="16.25" customHeight="1" x14ac:dyDescent="0.2">
      <c r="A784">
        <v>87236633</v>
      </c>
      <c r="B784" s="25">
        <v>44378.520138888889</v>
      </c>
      <c r="C784" s="14">
        <v>44378</v>
      </c>
      <c r="D784" t="s">
        <v>5857</v>
      </c>
      <c r="E784" t="s">
        <v>84</v>
      </c>
      <c r="F784">
        <v>4443260</v>
      </c>
      <c r="G784" t="s">
        <v>5858</v>
      </c>
      <c r="H784" t="s">
        <v>5859</v>
      </c>
      <c r="I784" t="s">
        <v>5860</v>
      </c>
      <c r="J784" t="s">
        <v>5861</v>
      </c>
      <c r="K784" t="s">
        <v>62</v>
      </c>
      <c r="M784" t="s">
        <v>5862</v>
      </c>
      <c r="N784" t="s">
        <v>5863</v>
      </c>
      <c r="R784">
        <v>2</v>
      </c>
      <c r="S784">
        <v>0</v>
      </c>
      <c r="T784" t="b">
        <v>0</v>
      </c>
      <c r="U784">
        <v>2</v>
      </c>
      <c r="V784" t="s">
        <v>5864</v>
      </c>
      <c r="W784" s="15">
        <v>-1.3194979979999999</v>
      </c>
      <c r="X784" s="15">
        <v>36.837211850000003</v>
      </c>
      <c r="Y784">
        <v>216</v>
      </c>
      <c r="AC784">
        <v>216</v>
      </c>
      <c r="AF784" t="b">
        <v>0</v>
      </c>
      <c r="AG784" t="s">
        <v>350</v>
      </c>
      <c r="AH784" t="s">
        <v>350</v>
      </c>
      <c r="AI784" t="s">
        <v>71</v>
      </c>
      <c r="AJ784" t="s">
        <v>70</v>
      </c>
      <c r="AK784" t="s">
        <v>71</v>
      </c>
      <c r="AL784" t="s">
        <v>72</v>
      </c>
      <c r="AM784">
        <v>346053</v>
      </c>
      <c r="AO784" s="16" t="s">
        <v>1574</v>
      </c>
      <c r="AP784" s="17" t="str">
        <f t="shared" si="51"/>
        <v>Nest (foundress)</v>
      </c>
      <c r="AQ784" s="18">
        <v>1</v>
      </c>
      <c r="AT784" s="19" t="s">
        <v>104</v>
      </c>
      <c r="AX784" s="22" t="str">
        <f>IF(AND('[1]observations-276632'!W784&gt;'[1]Methods write-up'!$Q$16,'[1]observations-276632'!W784&lt;'[1]Methods write-up'!$R$16,'[1]observations-276632'!X784&gt;'[1]Methods write-up'!$S$16,'[1]observations-276632'!X784&lt;'[1]Methods write-up'!$T$16),"West and Central Africa","")</f>
        <v/>
      </c>
      <c r="AY784" s="22" t="str">
        <f>IF(AND('[1]observations-276632'!W784&gt;'[1]Methods write-up'!$Q$17,'[1]observations-276632'!W784&lt;'[1]Methods write-up'!$R$17,'[1]observations-276632'!X784&gt;'[1]Methods write-up'!$S$17,'[1]observations-276632'!X784&lt;'[1]Methods write-up'!$T$17),"Equatorial tropical forest","")</f>
        <v/>
      </c>
      <c r="AZ784" s="22" t="str">
        <f>IF(AND('[1]observations-276632'!W784&gt;'[1]Methods write-up'!$Q$18,'[1]observations-276632'!W784&lt;'[1]Methods write-up'!$R$18,'[1]observations-276632'!X784&gt;'[1]Methods write-up'!$S$18,'[1]observations-276632'!X784&lt;'[1]Methods write-up'!$T$18),"Somali peninsula","")</f>
        <v/>
      </c>
      <c r="BA784" s="22" t="str">
        <f>IF(AND('[1]observations-276632'!W784&gt;'[1]Methods write-up'!$Q$19,'[1]observations-276632'!W784&lt;'[1]Methods write-up'!$R$19,'[1]observations-276632'!X784&gt;'[1]Methods write-up'!$S$19,'[1]observations-276632'!X784&lt;'[1]Methods write-up'!$T$19),"East Africa","")</f>
        <v>East Africa</v>
      </c>
      <c r="BB784" s="22" t="str">
        <f>IF(AND('[1]observations-276632'!W784&gt;'[1]Methods write-up'!$Q$20,'[1]observations-276632'!W784&lt;'[1]Methods write-up'!$R$20,'[1]observations-276632'!X784&gt;'[1]Methods write-up'!$S$20,'[1]observations-276632'!X784&lt;'[1]Methods write-up'!$T$20),"Temperate seasonal","")</f>
        <v/>
      </c>
      <c r="BC784" s="22" t="str">
        <f>IF(AND('[1]observations-276632'!W784&gt;'[1]Methods write-up'!$Q$21,'[1]observations-276632'!W784&lt;'[1]Methods write-up'!$R$21,'[1]observations-276632'!X784&gt;'[1]Methods write-up'!$S$21,'[1]observations-276632'!X784&lt;'[1]Methods write-up'!$T$21),"Desert and high aridity","")</f>
        <v/>
      </c>
      <c r="BD784" s="23" t="str">
        <f t="shared" si="54"/>
        <v>East Africa</v>
      </c>
      <c r="BE784" s="24">
        <f t="shared" si="52"/>
        <v>1</v>
      </c>
      <c r="BF784" s="24">
        <f t="shared" si="53"/>
        <v>7</v>
      </c>
    </row>
    <row r="785" spans="1:58" ht="16.25" customHeight="1" x14ac:dyDescent="0.2">
      <c r="A785">
        <v>87297799</v>
      </c>
      <c r="B785" t="s">
        <v>5865</v>
      </c>
      <c r="C785" s="14">
        <v>44344</v>
      </c>
      <c r="D785" t="s">
        <v>5866</v>
      </c>
      <c r="E785" t="s">
        <v>57</v>
      </c>
      <c r="F785">
        <v>678008</v>
      </c>
      <c r="G785" t="s">
        <v>2315</v>
      </c>
      <c r="I785" t="s">
        <v>5867</v>
      </c>
      <c r="J785" t="s">
        <v>5868</v>
      </c>
      <c r="K785" t="s">
        <v>62</v>
      </c>
      <c r="L785" t="s">
        <v>63</v>
      </c>
      <c r="M785" t="s">
        <v>5869</v>
      </c>
      <c r="N785" t="s">
        <v>5870</v>
      </c>
      <c r="R785">
        <v>2</v>
      </c>
      <c r="S785">
        <v>0</v>
      </c>
      <c r="T785" t="b">
        <v>0</v>
      </c>
      <c r="V785" t="s">
        <v>2320</v>
      </c>
      <c r="W785" s="15">
        <v>-15.36985702</v>
      </c>
      <c r="X785" s="15">
        <v>28.315754519999999</v>
      </c>
      <c r="Y785">
        <v>46</v>
      </c>
      <c r="AC785">
        <v>46</v>
      </c>
      <c r="AF785" t="b">
        <v>0</v>
      </c>
      <c r="AI785" t="s">
        <v>71</v>
      </c>
      <c r="AJ785" t="s">
        <v>70</v>
      </c>
      <c r="AK785" t="s">
        <v>71</v>
      </c>
      <c r="AL785" t="s">
        <v>72</v>
      </c>
      <c r="AM785">
        <v>346053</v>
      </c>
      <c r="AO785" s="16" t="s">
        <v>150</v>
      </c>
      <c r="AP785" s="17" t="str">
        <f t="shared" si="51"/>
        <v>Male (off nest)</v>
      </c>
      <c r="AX785" s="22" t="str">
        <f>IF(AND('[1]observations-276632'!W785&gt;'[1]Methods write-up'!$Q$16,'[1]observations-276632'!W785&lt;'[1]Methods write-up'!$R$16,'[1]observations-276632'!X785&gt;'[1]Methods write-up'!$S$16,'[1]observations-276632'!X785&lt;'[1]Methods write-up'!$T$16),"West and Central Africa","")</f>
        <v>West and Central Africa</v>
      </c>
      <c r="AY785" s="22" t="str">
        <f>IF(AND('[1]observations-276632'!W785&gt;'[1]Methods write-up'!$Q$17,'[1]observations-276632'!W785&lt;'[1]Methods write-up'!$R$17,'[1]observations-276632'!X785&gt;'[1]Methods write-up'!$S$17,'[1]observations-276632'!X785&lt;'[1]Methods write-up'!$T$17),"Equatorial tropical forest","")</f>
        <v/>
      </c>
      <c r="AZ785" s="22" t="str">
        <f>IF(AND('[1]observations-276632'!W785&gt;'[1]Methods write-up'!$Q$18,'[1]observations-276632'!W785&lt;'[1]Methods write-up'!$R$18,'[1]observations-276632'!X785&gt;'[1]Methods write-up'!$S$18,'[1]observations-276632'!X785&lt;'[1]Methods write-up'!$T$18),"Somali peninsula","")</f>
        <v/>
      </c>
      <c r="BA785" s="22" t="str">
        <f>IF(AND('[1]observations-276632'!W785&gt;'[1]Methods write-up'!$Q$19,'[1]observations-276632'!W785&lt;'[1]Methods write-up'!$R$19,'[1]observations-276632'!X785&gt;'[1]Methods write-up'!$S$19,'[1]observations-276632'!X785&lt;'[1]Methods write-up'!$T$19),"East Africa","")</f>
        <v/>
      </c>
      <c r="BB785" s="22" t="str">
        <f>IF(AND('[1]observations-276632'!W785&gt;'[1]Methods write-up'!$Q$20,'[1]observations-276632'!W785&lt;'[1]Methods write-up'!$R$20,'[1]observations-276632'!X785&gt;'[1]Methods write-up'!$S$20,'[1]observations-276632'!X785&lt;'[1]Methods write-up'!$T$20),"Temperate seasonal","")</f>
        <v/>
      </c>
      <c r="BC785" s="22" t="str">
        <f>IF(AND('[1]observations-276632'!W785&gt;'[1]Methods write-up'!$Q$21,'[1]observations-276632'!W785&lt;'[1]Methods write-up'!$R$21,'[1]observations-276632'!X785&gt;'[1]Methods write-up'!$S$21,'[1]observations-276632'!X785&lt;'[1]Methods write-up'!$T$21),"Desert and high aridity","")</f>
        <v/>
      </c>
      <c r="BD785" s="23" t="str">
        <f t="shared" si="54"/>
        <v>West and Central Africa</v>
      </c>
      <c r="BE785" s="24">
        <f t="shared" si="52"/>
        <v>28</v>
      </c>
      <c r="BF785" s="24">
        <f t="shared" si="53"/>
        <v>5</v>
      </c>
    </row>
    <row r="786" spans="1:58" ht="16.25" customHeight="1" x14ac:dyDescent="0.2">
      <c r="A786">
        <v>87503266</v>
      </c>
      <c r="B786" t="s">
        <v>5871</v>
      </c>
      <c r="C786" s="14">
        <v>44394</v>
      </c>
      <c r="D786" t="s">
        <v>5872</v>
      </c>
      <c r="E786" t="s">
        <v>113</v>
      </c>
      <c r="F786">
        <v>662724</v>
      </c>
      <c r="G786" t="s">
        <v>903</v>
      </c>
      <c r="H786" t="s">
        <v>904</v>
      </c>
      <c r="I786" t="s">
        <v>5873</v>
      </c>
      <c r="J786" t="s">
        <v>5874</v>
      </c>
      <c r="K786" t="s">
        <v>62</v>
      </c>
      <c r="L786" t="s">
        <v>63</v>
      </c>
      <c r="M786" t="s">
        <v>5875</v>
      </c>
      <c r="N786" t="s">
        <v>5876</v>
      </c>
      <c r="P786" t="s">
        <v>5877</v>
      </c>
      <c r="Q786" s="26" t="s">
        <v>5878</v>
      </c>
      <c r="R786">
        <v>3</v>
      </c>
      <c r="S786">
        <v>0</v>
      </c>
      <c r="T786" t="b">
        <v>0</v>
      </c>
      <c r="V786" t="s">
        <v>5879</v>
      </c>
      <c r="W786" s="15">
        <v>-30.688006510000001</v>
      </c>
      <c r="X786" s="15">
        <v>30.4884725</v>
      </c>
      <c r="Y786">
        <v>4</v>
      </c>
      <c r="AC786">
        <v>4</v>
      </c>
      <c r="AF786" t="b">
        <v>0</v>
      </c>
      <c r="AI786" t="s">
        <v>71</v>
      </c>
      <c r="AJ786" t="s">
        <v>70</v>
      </c>
      <c r="AK786" t="s">
        <v>71</v>
      </c>
      <c r="AL786" t="s">
        <v>72</v>
      </c>
      <c r="AM786">
        <v>346053</v>
      </c>
      <c r="AO786" s="16" t="s">
        <v>1067</v>
      </c>
      <c r="AP786" s="17" t="str">
        <f t="shared" si="51"/>
        <v>Hibernation cluster</v>
      </c>
      <c r="AQ786" s="18">
        <v>16</v>
      </c>
      <c r="AX786" s="22" t="str">
        <f>IF(AND('[1]observations-276632'!W786&gt;'[1]Methods write-up'!$Q$16,'[1]observations-276632'!W786&lt;'[1]Methods write-up'!$R$16,'[1]observations-276632'!X786&gt;'[1]Methods write-up'!$S$16,'[1]observations-276632'!X786&lt;'[1]Methods write-up'!$T$16),"West and Central Africa","")</f>
        <v/>
      </c>
      <c r="AY786" s="22" t="str">
        <f>IF(AND('[1]observations-276632'!W786&gt;'[1]Methods write-up'!$Q$17,'[1]observations-276632'!W786&lt;'[1]Methods write-up'!$R$17,'[1]observations-276632'!X786&gt;'[1]Methods write-up'!$S$17,'[1]observations-276632'!X786&lt;'[1]Methods write-up'!$T$17),"Equatorial tropical forest","")</f>
        <v/>
      </c>
      <c r="AZ786" s="22" t="str">
        <f>IF(AND('[1]observations-276632'!W786&gt;'[1]Methods write-up'!$Q$18,'[1]observations-276632'!W786&lt;'[1]Methods write-up'!$R$18,'[1]observations-276632'!X786&gt;'[1]Methods write-up'!$S$18,'[1]observations-276632'!X786&lt;'[1]Methods write-up'!$T$18),"Somali peninsula","")</f>
        <v/>
      </c>
      <c r="BA786" s="22" t="str">
        <f>IF(AND('[1]observations-276632'!W786&gt;'[1]Methods write-up'!$Q$19,'[1]observations-276632'!W786&lt;'[1]Methods write-up'!$R$19,'[1]observations-276632'!X786&gt;'[1]Methods write-up'!$S$19,'[1]observations-276632'!X786&lt;'[1]Methods write-up'!$T$19),"East Africa","")</f>
        <v/>
      </c>
      <c r="BB786" s="22" t="str">
        <f>IF(AND('[1]observations-276632'!W786&gt;'[1]Methods write-up'!$Q$20,'[1]observations-276632'!W786&lt;'[1]Methods write-up'!$R$20,'[1]observations-276632'!X786&gt;'[1]Methods write-up'!$S$20,'[1]observations-276632'!X786&lt;'[1]Methods write-up'!$T$20),"Temperate seasonal","")</f>
        <v>Temperate seasonal</v>
      </c>
      <c r="BC786" s="22" t="str">
        <f>IF(AND('[1]observations-276632'!W786&gt;'[1]Methods write-up'!$Q$21,'[1]observations-276632'!W786&lt;'[1]Methods write-up'!$R$21,'[1]observations-276632'!X786&gt;'[1]Methods write-up'!$S$21,'[1]observations-276632'!X786&lt;'[1]Methods write-up'!$T$21),"Desert and high aridity","")</f>
        <v/>
      </c>
      <c r="BD786" s="23" t="str">
        <f t="shared" si="54"/>
        <v>Temperate seasonal</v>
      </c>
      <c r="BE786" s="24">
        <f t="shared" si="52"/>
        <v>17</v>
      </c>
      <c r="BF786" s="24">
        <f t="shared" si="53"/>
        <v>7</v>
      </c>
    </row>
    <row r="787" spans="1:58" ht="16.25" customHeight="1" x14ac:dyDescent="0.2">
      <c r="A787">
        <v>87530197</v>
      </c>
      <c r="B787" t="s">
        <v>5880</v>
      </c>
      <c r="C787" s="14">
        <v>44369</v>
      </c>
      <c r="D787" t="s">
        <v>5881</v>
      </c>
      <c r="E787" t="s">
        <v>243</v>
      </c>
      <c r="F787">
        <v>565236</v>
      </c>
      <c r="G787" t="s">
        <v>360</v>
      </c>
      <c r="H787" t="s">
        <v>361</v>
      </c>
      <c r="I787" t="s">
        <v>5882</v>
      </c>
      <c r="J787" t="s">
        <v>5883</v>
      </c>
      <c r="K787" t="s">
        <v>62</v>
      </c>
      <c r="M787" t="s">
        <v>5884</v>
      </c>
      <c r="N787" t="s">
        <v>5885</v>
      </c>
      <c r="R787">
        <v>1</v>
      </c>
      <c r="S787">
        <v>0</v>
      </c>
      <c r="T787" t="b">
        <v>0</v>
      </c>
      <c r="V787" t="s">
        <v>2196</v>
      </c>
      <c r="W787" s="15">
        <v>0.157880616</v>
      </c>
      <c r="X787" s="15">
        <v>32.559824829999997</v>
      </c>
      <c r="Y787">
        <v>61</v>
      </c>
      <c r="AC787">
        <v>61</v>
      </c>
      <c r="AF787" t="b">
        <v>0</v>
      </c>
      <c r="AI787" t="s">
        <v>71</v>
      </c>
      <c r="AJ787" t="s">
        <v>70</v>
      </c>
      <c r="AK787" t="s">
        <v>71</v>
      </c>
      <c r="AL787" t="s">
        <v>72</v>
      </c>
      <c r="AM787">
        <v>346053</v>
      </c>
      <c r="AO787" s="16" t="s">
        <v>140</v>
      </c>
      <c r="AP787" s="17" t="str">
        <f t="shared" si="51"/>
        <v>Post-emergence nest</v>
      </c>
      <c r="AQ787" s="18">
        <v>3</v>
      </c>
      <c r="AT787" s="19" t="s">
        <v>141</v>
      </c>
      <c r="AU787" s="20" t="s">
        <v>104</v>
      </c>
      <c r="AX787" s="22" t="str">
        <f>IF(AND('[1]observations-276632'!W787&gt;'[1]Methods write-up'!$Q$16,'[1]observations-276632'!W787&lt;'[1]Methods write-up'!$R$16,'[1]observations-276632'!X787&gt;'[1]Methods write-up'!$S$16,'[1]observations-276632'!X787&lt;'[1]Methods write-up'!$T$16),"West and Central Africa","")</f>
        <v/>
      </c>
      <c r="AY787" s="22" t="str">
        <f>IF(AND('[1]observations-276632'!W787&gt;'[1]Methods write-up'!$Q$17,'[1]observations-276632'!W787&lt;'[1]Methods write-up'!$R$17,'[1]observations-276632'!X787&gt;'[1]Methods write-up'!$S$17,'[1]observations-276632'!X787&lt;'[1]Methods write-up'!$T$17),"Equatorial tropical forest","")</f>
        <v/>
      </c>
      <c r="AZ787" s="22" t="str">
        <f>IF(AND('[1]observations-276632'!W787&gt;'[1]Methods write-up'!$Q$18,'[1]observations-276632'!W787&lt;'[1]Methods write-up'!$R$18,'[1]observations-276632'!X787&gt;'[1]Methods write-up'!$S$18,'[1]observations-276632'!X787&lt;'[1]Methods write-up'!$T$18),"Somali peninsula","")</f>
        <v/>
      </c>
      <c r="BA787" s="22" t="str">
        <f>IF(AND('[1]observations-276632'!W787&gt;'[1]Methods write-up'!$Q$19,'[1]observations-276632'!W787&lt;'[1]Methods write-up'!$R$19,'[1]observations-276632'!X787&gt;'[1]Methods write-up'!$S$19,'[1]observations-276632'!X787&lt;'[1]Methods write-up'!$T$19),"East Africa","")</f>
        <v>East Africa</v>
      </c>
      <c r="BB787" s="22" t="str">
        <f>IF(AND('[1]observations-276632'!W787&gt;'[1]Methods write-up'!$Q$20,'[1]observations-276632'!W787&lt;'[1]Methods write-up'!$R$20,'[1]observations-276632'!X787&gt;'[1]Methods write-up'!$S$20,'[1]observations-276632'!X787&lt;'[1]Methods write-up'!$T$20),"Temperate seasonal","")</f>
        <v/>
      </c>
      <c r="BC787" s="22" t="str">
        <f>IF(AND('[1]observations-276632'!W787&gt;'[1]Methods write-up'!$Q$21,'[1]observations-276632'!W787&lt;'[1]Methods write-up'!$R$21,'[1]observations-276632'!X787&gt;'[1]Methods write-up'!$S$21,'[1]observations-276632'!X787&lt;'[1]Methods write-up'!$T$21),"Desert and high aridity","")</f>
        <v/>
      </c>
      <c r="BD787" s="23" t="str">
        <f t="shared" si="54"/>
        <v>East Africa</v>
      </c>
      <c r="BE787" s="24">
        <f t="shared" si="52"/>
        <v>22</v>
      </c>
      <c r="BF787" s="24">
        <f t="shared" si="53"/>
        <v>6</v>
      </c>
    </row>
    <row r="788" spans="1:58" ht="16.25" customHeight="1" x14ac:dyDescent="0.2">
      <c r="A788">
        <v>87531611</v>
      </c>
      <c r="B788" t="s">
        <v>5886</v>
      </c>
      <c r="C788" s="14">
        <v>42638</v>
      </c>
      <c r="D788" t="s">
        <v>5887</v>
      </c>
      <c r="E788" t="s">
        <v>113</v>
      </c>
      <c r="F788">
        <v>2253860</v>
      </c>
      <c r="G788" t="s">
        <v>5888</v>
      </c>
      <c r="I788" t="s">
        <v>5889</v>
      </c>
      <c r="J788" t="s">
        <v>5890</v>
      </c>
      <c r="K788" t="s">
        <v>62</v>
      </c>
      <c r="L788" t="s">
        <v>63</v>
      </c>
      <c r="M788" t="s">
        <v>5891</v>
      </c>
      <c r="N788" t="s">
        <v>5892</v>
      </c>
      <c r="R788">
        <v>2</v>
      </c>
      <c r="S788">
        <v>0</v>
      </c>
      <c r="T788" t="b">
        <v>0</v>
      </c>
      <c r="U788">
        <v>2</v>
      </c>
      <c r="V788" t="s">
        <v>5893</v>
      </c>
      <c r="W788" s="15">
        <v>-27.51036994</v>
      </c>
      <c r="X788" s="15">
        <v>32.660310010000003</v>
      </c>
      <c r="Y788">
        <v>197</v>
      </c>
      <c r="AC788">
        <v>197</v>
      </c>
      <c r="AF788" t="b">
        <v>0</v>
      </c>
      <c r="AG788" t="s">
        <v>350</v>
      </c>
      <c r="AH788" t="s">
        <v>350</v>
      </c>
      <c r="AI788" t="s">
        <v>71</v>
      </c>
      <c r="AJ788" t="s">
        <v>70</v>
      </c>
      <c r="AK788" t="s">
        <v>71</v>
      </c>
      <c r="AL788" t="s">
        <v>72</v>
      </c>
      <c r="AM788">
        <v>346053</v>
      </c>
      <c r="AO788" s="16" t="s">
        <v>1356</v>
      </c>
      <c r="AP788" s="17" t="str">
        <f t="shared" si="51"/>
        <v>Nest (foundress)</v>
      </c>
      <c r="AQ788" s="18">
        <v>2</v>
      </c>
      <c r="AT788" s="19" t="s">
        <v>141</v>
      </c>
      <c r="AX788" s="22" t="str">
        <f>IF(AND('[1]observations-276632'!W788&gt;'[1]Methods write-up'!$Q$16,'[1]observations-276632'!W788&lt;'[1]Methods write-up'!$R$16,'[1]observations-276632'!X788&gt;'[1]Methods write-up'!$S$16,'[1]observations-276632'!X788&lt;'[1]Methods write-up'!$T$16),"West and Central Africa","")</f>
        <v/>
      </c>
      <c r="AY788" s="22" t="str">
        <f>IF(AND('[1]observations-276632'!W788&gt;'[1]Methods write-up'!$Q$17,'[1]observations-276632'!W788&lt;'[1]Methods write-up'!$R$17,'[1]observations-276632'!X788&gt;'[1]Methods write-up'!$S$17,'[1]observations-276632'!X788&lt;'[1]Methods write-up'!$T$17),"Equatorial tropical forest","")</f>
        <v/>
      </c>
      <c r="AZ788" s="22" t="str">
        <f>IF(AND('[1]observations-276632'!W788&gt;'[1]Methods write-up'!$Q$18,'[1]observations-276632'!W788&lt;'[1]Methods write-up'!$R$18,'[1]observations-276632'!X788&gt;'[1]Methods write-up'!$S$18,'[1]observations-276632'!X788&lt;'[1]Methods write-up'!$T$18),"Somali peninsula","")</f>
        <v/>
      </c>
      <c r="BA788" s="22" t="str">
        <f>IF(AND('[1]observations-276632'!W788&gt;'[1]Methods write-up'!$Q$19,'[1]observations-276632'!W788&lt;'[1]Methods write-up'!$R$19,'[1]observations-276632'!X788&gt;'[1]Methods write-up'!$S$19,'[1]observations-276632'!X788&lt;'[1]Methods write-up'!$T$19),"East Africa","")</f>
        <v/>
      </c>
      <c r="BB788" s="22" t="str">
        <f>IF(AND('[1]observations-276632'!W788&gt;'[1]Methods write-up'!$Q$20,'[1]observations-276632'!W788&lt;'[1]Methods write-up'!$R$20,'[1]observations-276632'!X788&gt;'[1]Methods write-up'!$S$20,'[1]observations-276632'!X788&lt;'[1]Methods write-up'!$T$20),"Temperate seasonal","")</f>
        <v>Temperate seasonal</v>
      </c>
      <c r="BC788" s="22" t="str">
        <f>IF(AND('[1]observations-276632'!W788&gt;'[1]Methods write-up'!$Q$21,'[1]observations-276632'!W788&lt;'[1]Methods write-up'!$R$21,'[1]observations-276632'!X788&gt;'[1]Methods write-up'!$S$21,'[1]observations-276632'!X788&lt;'[1]Methods write-up'!$T$21),"Desert and high aridity","")</f>
        <v/>
      </c>
      <c r="BD788" s="23" t="str">
        <f t="shared" si="54"/>
        <v>Temperate seasonal</v>
      </c>
      <c r="BE788" s="24">
        <f t="shared" si="52"/>
        <v>25</v>
      </c>
      <c r="BF788" s="24">
        <f t="shared" si="53"/>
        <v>9</v>
      </c>
    </row>
    <row r="789" spans="1:58" ht="16.25" customHeight="1" x14ac:dyDescent="0.2">
      <c r="A789">
        <v>87599393</v>
      </c>
      <c r="B789" s="25">
        <v>44394.850694444445</v>
      </c>
      <c r="C789" s="14">
        <v>44394</v>
      </c>
      <c r="D789" t="s">
        <v>5894</v>
      </c>
      <c r="E789" t="s">
        <v>113</v>
      </c>
      <c r="F789">
        <v>1429474</v>
      </c>
      <c r="G789" t="s">
        <v>5895</v>
      </c>
      <c r="H789" t="s">
        <v>5896</v>
      </c>
      <c r="I789" t="s">
        <v>5897</v>
      </c>
      <c r="J789" t="s">
        <v>5898</v>
      </c>
      <c r="K789" t="s">
        <v>62</v>
      </c>
      <c r="L789" t="s">
        <v>63</v>
      </c>
      <c r="M789" t="s">
        <v>5899</v>
      </c>
      <c r="N789" t="s">
        <v>5900</v>
      </c>
      <c r="R789">
        <v>1</v>
      </c>
      <c r="S789">
        <v>0</v>
      </c>
      <c r="T789" t="b">
        <v>0</v>
      </c>
      <c r="U789">
        <v>2</v>
      </c>
      <c r="V789" t="s">
        <v>5901</v>
      </c>
      <c r="W789" s="15">
        <v>-15.366358330000001</v>
      </c>
      <c r="X789" s="15">
        <v>35.267416670000003</v>
      </c>
      <c r="AF789" t="b">
        <v>0</v>
      </c>
      <c r="AG789" t="s">
        <v>350</v>
      </c>
      <c r="AH789" t="s">
        <v>350</v>
      </c>
      <c r="AI789" t="s">
        <v>71</v>
      </c>
      <c r="AJ789" t="s">
        <v>70</v>
      </c>
      <c r="AK789" t="s">
        <v>71</v>
      </c>
      <c r="AL789" t="s">
        <v>72</v>
      </c>
      <c r="AM789">
        <v>346053</v>
      </c>
      <c r="AO789" s="16" t="s">
        <v>1067</v>
      </c>
      <c r="AP789" s="17" t="str">
        <f t="shared" si="51"/>
        <v>Hibernation cluster</v>
      </c>
      <c r="AQ789" s="18">
        <v>16</v>
      </c>
      <c r="AV789" s="21" t="s">
        <v>5902</v>
      </c>
      <c r="AX789" s="22" t="str">
        <f>IF(AND('[1]observations-276632'!W789&gt;'[1]Methods write-up'!$Q$16,'[1]observations-276632'!W789&lt;'[1]Methods write-up'!$R$16,'[1]observations-276632'!X789&gt;'[1]Methods write-up'!$S$16,'[1]observations-276632'!X789&lt;'[1]Methods write-up'!$T$16),"West and Central Africa","")</f>
        <v/>
      </c>
      <c r="AY789" s="22" t="str">
        <f>IF(AND('[1]observations-276632'!W789&gt;'[1]Methods write-up'!$Q$17,'[1]observations-276632'!W789&lt;'[1]Methods write-up'!$R$17,'[1]observations-276632'!X789&gt;'[1]Methods write-up'!$S$17,'[1]observations-276632'!X789&lt;'[1]Methods write-up'!$T$17),"Equatorial tropical forest","")</f>
        <v/>
      </c>
      <c r="AZ789" s="22" t="str">
        <f>IF(AND('[1]observations-276632'!W789&gt;'[1]Methods write-up'!$Q$18,'[1]observations-276632'!W789&lt;'[1]Methods write-up'!$R$18,'[1]observations-276632'!X789&gt;'[1]Methods write-up'!$S$18,'[1]observations-276632'!X789&lt;'[1]Methods write-up'!$T$18),"Somali peninsula","")</f>
        <v/>
      </c>
      <c r="BA789" s="22" t="str">
        <f>IF(AND('[1]observations-276632'!W789&gt;'[1]Methods write-up'!$Q$19,'[1]observations-276632'!W789&lt;'[1]Methods write-up'!$R$19,'[1]observations-276632'!X789&gt;'[1]Methods write-up'!$S$19,'[1]observations-276632'!X789&lt;'[1]Methods write-up'!$T$19),"East Africa","")</f>
        <v/>
      </c>
      <c r="BB789" s="22" t="str">
        <f>IF(AND('[1]observations-276632'!W789&gt;'[1]Methods write-up'!$Q$20,'[1]observations-276632'!W789&lt;'[1]Methods write-up'!$R$20,'[1]observations-276632'!X789&gt;'[1]Methods write-up'!$S$20,'[1]observations-276632'!X789&lt;'[1]Methods write-up'!$T$20),"Temperate seasonal","")</f>
        <v/>
      </c>
      <c r="BC789" s="22" t="str">
        <f>IF(AND('[1]observations-276632'!W789&gt;'[1]Methods write-up'!$Q$21,'[1]observations-276632'!W789&lt;'[1]Methods write-up'!$R$21,'[1]observations-276632'!X789&gt;'[1]Methods write-up'!$S$21,'[1]observations-276632'!X789&lt;'[1]Methods write-up'!$T$21),"Desert and high aridity","")</f>
        <v/>
      </c>
      <c r="BD789" s="23" t="str">
        <f t="shared" si="54"/>
        <v/>
      </c>
      <c r="BE789" s="24">
        <f t="shared" si="52"/>
        <v>17</v>
      </c>
      <c r="BF789" s="24">
        <f t="shared" si="53"/>
        <v>7</v>
      </c>
    </row>
    <row r="790" spans="1:58" ht="16.25" customHeight="1" x14ac:dyDescent="0.2">
      <c r="A790">
        <v>88159486</v>
      </c>
      <c r="B790" t="s">
        <v>5903</v>
      </c>
      <c r="C790" s="14">
        <v>44353</v>
      </c>
      <c r="D790" t="s">
        <v>5904</v>
      </c>
      <c r="E790" t="s">
        <v>57</v>
      </c>
      <c r="F790">
        <v>678008</v>
      </c>
      <c r="G790" t="s">
        <v>2315</v>
      </c>
      <c r="I790" t="s">
        <v>5905</v>
      </c>
      <c r="J790" t="s">
        <v>5906</v>
      </c>
      <c r="K790" t="s">
        <v>62</v>
      </c>
      <c r="L790" t="s">
        <v>63</v>
      </c>
      <c r="M790" t="s">
        <v>5907</v>
      </c>
      <c r="N790" t="s">
        <v>5908</v>
      </c>
      <c r="R790">
        <v>2</v>
      </c>
      <c r="S790">
        <v>0</v>
      </c>
      <c r="T790" t="b">
        <v>0</v>
      </c>
      <c r="V790" t="s">
        <v>5762</v>
      </c>
      <c r="W790" s="15">
        <v>-15.496457299999999</v>
      </c>
      <c r="X790" s="15">
        <v>28.453424510000001</v>
      </c>
      <c r="Y790">
        <v>302</v>
      </c>
      <c r="AC790">
        <v>302</v>
      </c>
      <c r="AF790" t="b">
        <v>0</v>
      </c>
      <c r="AI790" t="s">
        <v>71</v>
      </c>
      <c r="AJ790" t="s">
        <v>70</v>
      </c>
      <c r="AK790" t="s">
        <v>71</v>
      </c>
      <c r="AL790" t="s">
        <v>72</v>
      </c>
      <c r="AM790">
        <v>346053</v>
      </c>
      <c r="AO790" s="16" t="s">
        <v>73</v>
      </c>
      <c r="AP790" s="17" t="str">
        <f t="shared" si="51"/>
        <v>Off-nest female</v>
      </c>
      <c r="AX790" s="22" t="str">
        <f>IF(AND('[1]observations-276632'!W790&gt;'[1]Methods write-up'!$Q$16,'[1]observations-276632'!W790&lt;'[1]Methods write-up'!$R$16,'[1]observations-276632'!X790&gt;'[1]Methods write-up'!$S$16,'[1]observations-276632'!X790&lt;'[1]Methods write-up'!$T$16),"West and Central Africa","")</f>
        <v>West and Central Africa</v>
      </c>
      <c r="AY790" s="22" t="str">
        <f>IF(AND('[1]observations-276632'!W790&gt;'[1]Methods write-up'!$Q$17,'[1]observations-276632'!W790&lt;'[1]Methods write-up'!$R$17,'[1]observations-276632'!X790&gt;'[1]Methods write-up'!$S$17,'[1]observations-276632'!X790&lt;'[1]Methods write-up'!$T$17),"Equatorial tropical forest","")</f>
        <v/>
      </c>
      <c r="AZ790" s="22" t="str">
        <f>IF(AND('[1]observations-276632'!W790&gt;'[1]Methods write-up'!$Q$18,'[1]observations-276632'!W790&lt;'[1]Methods write-up'!$R$18,'[1]observations-276632'!X790&gt;'[1]Methods write-up'!$S$18,'[1]observations-276632'!X790&lt;'[1]Methods write-up'!$T$18),"Somali peninsula","")</f>
        <v/>
      </c>
      <c r="BA790" s="22" t="str">
        <f>IF(AND('[1]observations-276632'!W790&gt;'[1]Methods write-up'!$Q$19,'[1]observations-276632'!W790&lt;'[1]Methods write-up'!$R$19,'[1]observations-276632'!X790&gt;'[1]Methods write-up'!$S$19,'[1]observations-276632'!X790&lt;'[1]Methods write-up'!$T$19),"East Africa","")</f>
        <v/>
      </c>
      <c r="BB790" s="22" t="str">
        <f>IF(AND('[1]observations-276632'!W790&gt;'[1]Methods write-up'!$Q$20,'[1]observations-276632'!W790&lt;'[1]Methods write-up'!$R$20,'[1]observations-276632'!X790&gt;'[1]Methods write-up'!$S$20,'[1]observations-276632'!X790&lt;'[1]Methods write-up'!$T$20),"Temperate seasonal","")</f>
        <v/>
      </c>
      <c r="BC790" s="22" t="str">
        <f>IF(AND('[1]observations-276632'!W790&gt;'[1]Methods write-up'!$Q$21,'[1]observations-276632'!W790&lt;'[1]Methods write-up'!$R$21,'[1]observations-276632'!X790&gt;'[1]Methods write-up'!$S$21,'[1]observations-276632'!X790&lt;'[1]Methods write-up'!$T$21),"Desert and high aridity","")</f>
        <v/>
      </c>
      <c r="BD790" s="23" t="str">
        <f t="shared" si="54"/>
        <v>West and Central Africa</v>
      </c>
      <c r="BE790" s="24">
        <f t="shared" si="52"/>
        <v>6</v>
      </c>
      <c r="BF790" s="24">
        <f t="shared" si="53"/>
        <v>6</v>
      </c>
    </row>
    <row r="791" spans="1:58" ht="16.25" customHeight="1" x14ac:dyDescent="0.2">
      <c r="A791">
        <v>88398479</v>
      </c>
      <c r="B791" t="s">
        <v>5909</v>
      </c>
      <c r="C791" s="14">
        <v>44336</v>
      </c>
      <c r="D791" t="s">
        <v>5910</v>
      </c>
      <c r="E791" t="s">
        <v>113</v>
      </c>
      <c r="F791">
        <v>121603</v>
      </c>
      <c r="G791" t="s">
        <v>1286</v>
      </c>
      <c r="I791" t="s">
        <v>5911</v>
      </c>
      <c r="J791" t="s">
        <v>5912</v>
      </c>
      <c r="K791" t="s">
        <v>62</v>
      </c>
      <c r="L791" t="s">
        <v>63</v>
      </c>
      <c r="M791" t="s">
        <v>5913</v>
      </c>
      <c r="N791" t="s">
        <v>5914</v>
      </c>
      <c r="R791">
        <v>1</v>
      </c>
      <c r="S791">
        <v>0</v>
      </c>
      <c r="T791" t="b">
        <v>0</v>
      </c>
      <c r="V791" t="s">
        <v>5915</v>
      </c>
      <c r="W791" s="15">
        <v>3.3815492919999999</v>
      </c>
      <c r="X791" s="15">
        <v>12.73252974</v>
      </c>
      <c r="Y791">
        <v>6</v>
      </c>
      <c r="AC791">
        <v>6</v>
      </c>
      <c r="AF791" t="b">
        <v>0</v>
      </c>
      <c r="AI791" t="s">
        <v>71</v>
      </c>
      <c r="AJ791" t="s">
        <v>70</v>
      </c>
      <c r="AK791" t="s">
        <v>71</v>
      </c>
      <c r="AL791" t="s">
        <v>72</v>
      </c>
      <c r="AM791">
        <v>346053</v>
      </c>
      <c r="AO791" s="16" t="s">
        <v>1574</v>
      </c>
      <c r="AP791" s="17" t="str">
        <f t="shared" si="51"/>
        <v>Nest (foundress)</v>
      </c>
      <c r="AQ791" s="18">
        <v>1</v>
      </c>
      <c r="AT791" s="19" t="s">
        <v>104</v>
      </c>
      <c r="AX791" s="22" t="str">
        <f>IF(AND('[1]observations-276632'!W791&gt;'[1]Methods write-up'!$Q$16,'[1]observations-276632'!W791&lt;'[1]Methods write-up'!$R$16,'[1]observations-276632'!X791&gt;'[1]Methods write-up'!$S$16,'[1]observations-276632'!X791&lt;'[1]Methods write-up'!$T$16),"West and Central Africa","")</f>
        <v>West and Central Africa</v>
      </c>
      <c r="AY791" s="22" t="str">
        <f>IF(AND('[1]observations-276632'!W791&gt;'[1]Methods write-up'!$Q$17,'[1]observations-276632'!W791&lt;'[1]Methods write-up'!$R$17,'[1]observations-276632'!X791&gt;'[1]Methods write-up'!$S$17,'[1]observations-276632'!X791&lt;'[1]Methods write-up'!$T$17),"Equatorial tropical forest","")</f>
        <v/>
      </c>
      <c r="AZ791" s="22" t="str">
        <f>IF(AND('[1]observations-276632'!W791&gt;'[1]Methods write-up'!$Q$18,'[1]observations-276632'!W791&lt;'[1]Methods write-up'!$R$18,'[1]observations-276632'!X791&gt;'[1]Methods write-up'!$S$18,'[1]observations-276632'!X791&lt;'[1]Methods write-up'!$T$18),"Somali peninsula","")</f>
        <v/>
      </c>
      <c r="BA791" s="22" t="str">
        <f>IF(AND('[1]observations-276632'!W791&gt;'[1]Methods write-up'!$Q$19,'[1]observations-276632'!W791&lt;'[1]Methods write-up'!$R$19,'[1]observations-276632'!X791&gt;'[1]Methods write-up'!$S$19,'[1]observations-276632'!X791&lt;'[1]Methods write-up'!$T$19),"East Africa","")</f>
        <v/>
      </c>
      <c r="BB791" s="22" t="str">
        <f>IF(AND('[1]observations-276632'!W791&gt;'[1]Methods write-up'!$Q$20,'[1]observations-276632'!W791&lt;'[1]Methods write-up'!$R$20,'[1]observations-276632'!X791&gt;'[1]Methods write-up'!$S$20,'[1]observations-276632'!X791&lt;'[1]Methods write-up'!$T$20),"Temperate seasonal","")</f>
        <v/>
      </c>
      <c r="BC791" s="22" t="str">
        <f>IF(AND('[1]observations-276632'!W791&gt;'[1]Methods write-up'!$Q$21,'[1]observations-276632'!W791&lt;'[1]Methods write-up'!$R$21,'[1]observations-276632'!X791&gt;'[1]Methods write-up'!$S$21,'[1]observations-276632'!X791&lt;'[1]Methods write-up'!$T$21),"Desert and high aridity","")</f>
        <v/>
      </c>
      <c r="BD791" s="23" t="str">
        <f t="shared" si="54"/>
        <v>West and Central Africa</v>
      </c>
      <c r="BE791" s="24">
        <f t="shared" si="52"/>
        <v>20</v>
      </c>
      <c r="BF791" s="24">
        <f t="shared" si="53"/>
        <v>5</v>
      </c>
    </row>
    <row r="792" spans="1:58" ht="16.25" customHeight="1" x14ac:dyDescent="0.2">
      <c r="A792">
        <v>88716210</v>
      </c>
      <c r="B792" t="s">
        <v>5916</v>
      </c>
      <c r="C792" s="14">
        <v>44403</v>
      </c>
      <c r="D792" t="s">
        <v>5917</v>
      </c>
      <c r="E792" t="s">
        <v>113</v>
      </c>
      <c r="F792">
        <v>778039</v>
      </c>
      <c r="G792" t="s">
        <v>3290</v>
      </c>
      <c r="H792" t="s">
        <v>3291</v>
      </c>
      <c r="I792" t="s">
        <v>5918</v>
      </c>
      <c r="J792" t="s">
        <v>5919</v>
      </c>
      <c r="K792" t="s">
        <v>62</v>
      </c>
      <c r="L792" t="s">
        <v>63</v>
      </c>
      <c r="M792" t="s">
        <v>5920</v>
      </c>
      <c r="N792" t="s">
        <v>5921</v>
      </c>
      <c r="R792">
        <v>2</v>
      </c>
      <c r="S792">
        <v>0</v>
      </c>
      <c r="T792" t="b">
        <v>0</v>
      </c>
      <c r="U792">
        <v>3</v>
      </c>
      <c r="V792" t="s">
        <v>5922</v>
      </c>
      <c r="W792" s="15">
        <v>-29.776454659999999</v>
      </c>
      <c r="X792" s="15">
        <v>30.83586335</v>
      </c>
      <c r="Y792">
        <v>240</v>
      </c>
      <c r="AC792">
        <v>240</v>
      </c>
      <c r="AF792" t="b">
        <v>0</v>
      </c>
      <c r="AI792" t="s">
        <v>71</v>
      </c>
      <c r="AJ792" t="s">
        <v>70</v>
      </c>
      <c r="AK792" t="s">
        <v>71</v>
      </c>
      <c r="AL792" t="s">
        <v>72</v>
      </c>
      <c r="AM792">
        <v>346053</v>
      </c>
      <c r="AO792" s="16" t="s">
        <v>1356</v>
      </c>
      <c r="AP792" s="17" t="str">
        <f t="shared" si="51"/>
        <v>Nest (foundress)</v>
      </c>
      <c r="AQ792" s="18">
        <v>1</v>
      </c>
      <c r="AT792" s="19" t="s">
        <v>104</v>
      </c>
      <c r="AX792" s="22" t="str">
        <f>IF(AND('[1]observations-276632'!W792&gt;'[1]Methods write-up'!$Q$16,'[1]observations-276632'!W792&lt;'[1]Methods write-up'!$R$16,'[1]observations-276632'!X792&gt;'[1]Methods write-up'!$S$16,'[1]observations-276632'!X792&lt;'[1]Methods write-up'!$T$16),"West and Central Africa","")</f>
        <v/>
      </c>
      <c r="AY792" s="22" t="str">
        <f>IF(AND('[1]observations-276632'!W792&gt;'[1]Methods write-up'!$Q$17,'[1]observations-276632'!W792&lt;'[1]Methods write-up'!$R$17,'[1]observations-276632'!X792&gt;'[1]Methods write-up'!$S$17,'[1]observations-276632'!X792&lt;'[1]Methods write-up'!$T$17),"Equatorial tropical forest","")</f>
        <v/>
      </c>
      <c r="AZ792" s="22" t="str">
        <f>IF(AND('[1]observations-276632'!W792&gt;'[1]Methods write-up'!$Q$18,'[1]observations-276632'!W792&lt;'[1]Methods write-up'!$R$18,'[1]observations-276632'!X792&gt;'[1]Methods write-up'!$S$18,'[1]observations-276632'!X792&lt;'[1]Methods write-up'!$T$18),"Somali peninsula","")</f>
        <v/>
      </c>
      <c r="BA792" s="22" t="str">
        <f>IF(AND('[1]observations-276632'!W792&gt;'[1]Methods write-up'!$Q$19,'[1]observations-276632'!W792&lt;'[1]Methods write-up'!$R$19,'[1]observations-276632'!X792&gt;'[1]Methods write-up'!$S$19,'[1]observations-276632'!X792&lt;'[1]Methods write-up'!$T$19),"East Africa","")</f>
        <v/>
      </c>
      <c r="BB792" s="22" t="str">
        <f>IF(AND('[1]observations-276632'!W792&gt;'[1]Methods write-up'!$Q$20,'[1]observations-276632'!W792&lt;'[1]Methods write-up'!$R$20,'[1]observations-276632'!X792&gt;'[1]Methods write-up'!$S$20,'[1]observations-276632'!X792&lt;'[1]Methods write-up'!$T$20),"Temperate seasonal","")</f>
        <v>Temperate seasonal</v>
      </c>
      <c r="BC792" s="22" t="str">
        <f>IF(AND('[1]observations-276632'!W792&gt;'[1]Methods write-up'!$Q$21,'[1]observations-276632'!W792&lt;'[1]Methods write-up'!$R$21,'[1]observations-276632'!X792&gt;'[1]Methods write-up'!$S$21,'[1]observations-276632'!X792&lt;'[1]Methods write-up'!$T$21),"Desert and high aridity","")</f>
        <v/>
      </c>
      <c r="BD792" s="23" t="str">
        <f t="shared" si="54"/>
        <v>Temperate seasonal</v>
      </c>
      <c r="BE792" s="24">
        <f t="shared" si="52"/>
        <v>26</v>
      </c>
      <c r="BF792" s="24">
        <f t="shared" si="53"/>
        <v>7</v>
      </c>
    </row>
    <row r="793" spans="1:58" ht="16.25" customHeight="1" x14ac:dyDescent="0.2">
      <c r="A793">
        <v>89020269</v>
      </c>
      <c r="B793" t="s">
        <v>5923</v>
      </c>
      <c r="C793" s="14">
        <v>44362</v>
      </c>
      <c r="D793" t="s">
        <v>5924</v>
      </c>
      <c r="E793" t="s">
        <v>57</v>
      </c>
      <c r="F793">
        <v>678008</v>
      </c>
      <c r="G793" t="s">
        <v>2315</v>
      </c>
      <c r="I793" t="s">
        <v>5925</v>
      </c>
      <c r="J793" t="s">
        <v>5926</v>
      </c>
      <c r="K793" t="s">
        <v>62</v>
      </c>
      <c r="L793" t="s">
        <v>63</v>
      </c>
      <c r="M793" t="s">
        <v>5927</v>
      </c>
      <c r="N793" t="s">
        <v>5928</v>
      </c>
      <c r="R793">
        <v>2</v>
      </c>
      <c r="S793">
        <v>0</v>
      </c>
      <c r="T793" t="b">
        <v>0</v>
      </c>
      <c r="V793" t="s">
        <v>2320</v>
      </c>
      <c r="W793" s="15">
        <v>-15.36985702</v>
      </c>
      <c r="X793" s="15">
        <v>28.315754519999999</v>
      </c>
      <c r="Y793">
        <v>46</v>
      </c>
      <c r="AC793">
        <v>46</v>
      </c>
      <c r="AF793" t="b">
        <v>0</v>
      </c>
      <c r="AI793" t="s">
        <v>71</v>
      </c>
      <c r="AJ793" t="s">
        <v>70</v>
      </c>
      <c r="AK793" t="s">
        <v>71</v>
      </c>
      <c r="AL793" t="s">
        <v>72</v>
      </c>
      <c r="AM793">
        <v>346053</v>
      </c>
      <c r="AO793" s="16" t="s">
        <v>150</v>
      </c>
      <c r="AP793" s="17" t="str">
        <f t="shared" si="51"/>
        <v>Male (off nest)</v>
      </c>
      <c r="AX793" s="22" t="str">
        <f>IF(AND('[1]observations-276632'!W793&gt;'[1]Methods write-up'!$Q$16,'[1]observations-276632'!W793&lt;'[1]Methods write-up'!$R$16,'[1]observations-276632'!X793&gt;'[1]Methods write-up'!$S$16,'[1]observations-276632'!X793&lt;'[1]Methods write-up'!$T$16),"West and Central Africa","")</f>
        <v>West and Central Africa</v>
      </c>
      <c r="AY793" s="22" t="str">
        <f>IF(AND('[1]observations-276632'!W793&gt;'[1]Methods write-up'!$Q$17,'[1]observations-276632'!W793&lt;'[1]Methods write-up'!$R$17,'[1]observations-276632'!X793&gt;'[1]Methods write-up'!$S$17,'[1]observations-276632'!X793&lt;'[1]Methods write-up'!$T$17),"Equatorial tropical forest","")</f>
        <v/>
      </c>
      <c r="AZ793" s="22" t="str">
        <f>IF(AND('[1]observations-276632'!W793&gt;'[1]Methods write-up'!$Q$18,'[1]observations-276632'!W793&lt;'[1]Methods write-up'!$R$18,'[1]observations-276632'!X793&gt;'[1]Methods write-up'!$S$18,'[1]observations-276632'!X793&lt;'[1]Methods write-up'!$T$18),"Somali peninsula","")</f>
        <v/>
      </c>
      <c r="BA793" s="22" t="str">
        <f>IF(AND('[1]observations-276632'!W793&gt;'[1]Methods write-up'!$Q$19,'[1]observations-276632'!W793&lt;'[1]Methods write-up'!$R$19,'[1]observations-276632'!X793&gt;'[1]Methods write-up'!$S$19,'[1]observations-276632'!X793&lt;'[1]Methods write-up'!$T$19),"East Africa","")</f>
        <v/>
      </c>
      <c r="BB793" s="22" t="str">
        <f>IF(AND('[1]observations-276632'!W793&gt;'[1]Methods write-up'!$Q$20,'[1]observations-276632'!W793&lt;'[1]Methods write-up'!$R$20,'[1]observations-276632'!X793&gt;'[1]Methods write-up'!$S$20,'[1]observations-276632'!X793&lt;'[1]Methods write-up'!$T$20),"Temperate seasonal","")</f>
        <v/>
      </c>
      <c r="BC793" s="22" t="str">
        <f>IF(AND('[1]observations-276632'!W793&gt;'[1]Methods write-up'!$Q$21,'[1]observations-276632'!W793&lt;'[1]Methods write-up'!$R$21,'[1]observations-276632'!X793&gt;'[1]Methods write-up'!$S$21,'[1]observations-276632'!X793&lt;'[1]Methods write-up'!$T$21),"Desert and high aridity","")</f>
        <v/>
      </c>
      <c r="BD793" s="23" t="str">
        <f t="shared" si="54"/>
        <v>West and Central Africa</v>
      </c>
      <c r="BE793" s="24">
        <f t="shared" si="52"/>
        <v>15</v>
      </c>
      <c r="BF793" s="24">
        <f t="shared" si="53"/>
        <v>6</v>
      </c>
    </row>
    <row r="794" spans="1:58" ht="16.25" customHeight="1" x14ac:dyDescent="0.2">
      <c r="A794">
        <v>89020807</v>
      </c>
      <c r="B794" t="s">
        <v>5929</v>
      </c>
      <c r="C794" s="14">
        <v>44363</v>
      </c>
      <c r="D794" t="s">
        <v>5930</v>
      </c>
      <c r="E794" t="s">
        <v>57</v>
      </c>
      <c r="F794">
        <v>678008</v>
      </c>
      <c r="G794" t="s">
        <v>2315</v>
      </c>
      <c r="I794" t="s">
        <v>5931</v>
      </c>
      <c r="J794" t="s">
        <v>5932</v>
      </c>
      <c r="K794" t="s">
        <v>62</v>
      </c>
      <c r="L794" t="s">
        <v>63</v>
      </c>
      <c r="M794" t="s">
        <v>5933</v>
      </c>
      <c r="N794" t="s">
        <v>5934</v>
      </c>
      <c r="R794">
        <v>2</v>
      </c>
      <c r="S794">
        <v>0</v>
      </c>
      <c r="T794" t="b">
        <v>0</v>
      </c>
      <c r="V794" t="s">
        <v>2320</v>
      </c>
      <c r="W794" s="15">
        <v>-15.36985702</v>
      </c>
      <c r="X794" s="15">
        <v>28.315754519999999</v>
      </c>
      <c r="Y794">
        <v>46</v>
      </c>
      <c r="AC794">
        <v>46</v>
      </c>
      <c r="AF794" t="b">
        <v>0</v>
      </c>
      <c r="AI794" t="s">
        <v>71</v>
      </c>
      <c r="AJ794" t="s">
        <v>70</v>
      </c>
      <c r="AK794" t="s">
        <v>71</v>
      </c>
      <c r="AL794" t="s">
        <v>72</v>
      </c>
      <c r="AM794">
        <v>346053</v>
      </c>
      <c r="AO794" s="16" t="s">
        <v>150</v>
      </c>
      <c r="AP794" s="17" t="str">
        <f t="shared" si="51"/>
        <v>Male (off nest)</v>
      </c>
      <c r="AX794" s="22" t="str">
        <f>IF(AND('[1]observations-276632'!W794&gt;'[1]Methods write-up'!$Q$16,'[1]observations-276632'!W794&lt;'[1]Methods write-up'!$R$16,'[1]observations-276632'!X794&gt;'[1]Methods write-up'!$S$16,'[1]observations-276632'!X794&lt;'[1]Methods write-up'!$T$16),"West and Central Africa","")</f>
        <v>West and Central Africa</v>
      </c>
      <c r="AY794" s="22" t="str">
        <f>IF(AND('[1]observations-276632'!W794&gt;'[1]Methods write-up'!$Q$17,'[1]observations-276632'!W794&lt;'[1]Methods write-up'!$R$17,'[1]observations-276632'!X794&gt;'[1]Methods write-up'!$S$17,'[1]observations-276632'!X794&lt;'[1]Methods write-up'!$T$17),"Equatorial tropical forest","")</f>
        <v/>
      </c>
      <c r="AZ794" s="22" t="str">
        <f>IF(AND('[1]observations-276632'!W794&gt;'[1]Methods write-up'!$Q$18,'[1]observations-276632'!W794&lt;'[1]Methods write-up'!$R$18,'[1]observations-276632'!X794&gt;'[1]Methods write-up'!$S$18,'[1]observations-276632'!X794&lt;'[1]Methods write-up'!$T$18),"Somali peninsula","")</f>
        <v/>
      </c>
      <c r="BA794" s="22" t="str">
        <f>IF(AND('[1]observations-276632'!W794&gt;'[1]Methods write-up'!$Q$19,'[1]observations-276632'!W794&lt;'[1]Methods write-up'!$R$19,'[1]observations-276632'!X794&gt;'[1]Methods write-up'!$S$19,'[1]observations-276632'!X794&lt;'[1]Methods write-up'!$T$19),"East Africa","")</f>
        <v/>
      </c>
      <c r="BB794" s="22" t="str">
        <f>IF(AND('[1]observations-276632'!W794&gt;'[1]Methods write-up'!$Q$20,'[1]observations-276632'!W794&lt;'[1]Methods write-up'!$R$20,'[1]observations-276632'!X794&gt;'[1]Methods write-up'!$S$20,'[1]observations-276632'!X794&lt;'[1]Methods write-up'!$T$20),"Temperate seasonal","")</f>
        <v/>
      </c>
      <c r="BC794" s="22" t="str">
        <f>IF(AND('[1]observations-276632'!W794&gt;'[1]Methods write-up'!$Q$21,'[1]observations-276632'!W794&lt;'[1]Methods write-up'!$R$21,'[1]observations-276632'!X794&gt;'[1]Methods write-up'!$S$21,'[1]observations-276632'!X794&lt;'[1]Methods write-up'!$T$21),"Desert and high aridity","")</f>
        <v/>
      </c>
      <c r="BD794" s="23" t="str">
        <f t="shared" si="54"/>
        <v>West and Central Africa</v>
      </c>
      <c r="BE794" s="24">
        <f t="shared" si="52"/>
        <v>16</v>
      </c>
      <c r="BF794" s="24">
        <f t="shared" si="53"/>
        <v>6</v>
      </c>
    </row>
    <row r="795" spans="1:58" ht="16.25" customHeight="1" x14ac:dyDescent="0.2">
      <c r="A795">
        <v>89034539</v>
      </c>
      <c r="B795" s="25">
        <v>44406.43472222222</v>
      </c>
      <c r="C795" s="14">
        <v>44406</v>
      </c>
      <c r="D795" t="s">
        <v>5935</v>
      </c>
      <c r="E795" t="s">
        <v>84</v>
      </c>
      <c r="F795">
        <v>2554622</v>
      </c>
      <c r="G795" t="s">
        <v>5936</v>
      </c>
      <c r="H795" t="s">
        <v>5937</v>
      </c>
      <c r="I795" t="s">
        <v>5938</v>
      </c>
      <c r="J795" t="s">
        <v>5939</v>
      </c>
      <c r="K795" t="s">
        <v>62</v>
      </c>
      <c r="M795" t="s">
        <v>5940</v>
      </c>
      <c r="N795" t="s">
        <v>5941</v>
      </c>
      <c r="R795">
        <v>2</v>
      </c>
      <c r="S795">
        <v>0</v>
      </c>
      <c r="T795" t="b">
        <v>0</v>
      </c>
      <c r="U795">
        <v>2</v>
      </c>
      <c r="V795" t="s">
        <v>5942</v>
      </c>
      <c r="W795" s="15">
        <v>-1.22278493</v>
      </c>
      <c r="X795" s="15">
        <v>36.977454829999999</v>
      </c>
      <c r="Y795">
        <v>7</v>
      </c>
      <c r="AC795">
        <v>7</v>
      </c>
      <c r="AF795" t="b">
        <v>0</v>
      </c>
      <c r="AG795" t="s">
        <v>350</v>
      </c>
      <c r="AH795" t="s">
        <v>350</v>
      </c>
      <c r="AI795" t="s">
        <v>71</v>
      </c>
      <c r="AJ795" t="s">
        <v>70</v>
      </c>
      <c r="AK795" t="s">
        <v>71</v>
      </c>
      <c r="AL795" t="s">
        <v>72</v>
      </c>
      <c r="AM795">
        <v>346053</v>
      </c>
      <c r="AO795" s="16" t="s">
        <v>73</v>
      </c>
      <c r="AP795" s="17" t="str">
        <f t="shared" si="51"/>
        <v>Off-nest female</v>
      </c>
      <c r="AX795" s="22" t="str">
        <f>IF(AND('[1]observations-276632'!W795&gt;'[1]Methods write-up'!$Q$16,'[1]observations-276632'!W795&lt;'[1]Methods write-up'!$R$16,'[1]observations-276632'!X795&gt;'[1]Methods write-up'!$S$16,'[1]observations-276632'!X795&lt;'[1]Methods write-up'!$T$16),"West and Central Africa","")</f>
        <v/>
      </c>
      <c r="AY795" s="22" t="str">
        <f>IF(AND('[1]observations-276632'!W795&gt;'[1]Methods write-up'!$Q$17,'[1]observations-276632'!W795&lt;'[1]Methods write-up'!$R$17,'[1]observations-276632'!X795&gt;'[1]Methods write-up'!$S$17,'[1]observations-276632'!X795&lt;'[1]Methods write-up'!$T$17),"Equatorial tropical forest","")</f>
        <v/>
      </c>
      <c r="AZ795" s="22" t="str">
        <f>IF(AND('[1]observations-276632'!W795&gt;'[1]Methods write-up'!$Q$18,'[1]observations-276632'!W795&lt;'[1]Methods write-up'!$R$18,'[1]observations-276632'!X795&gt;'[1]Methods write-up'!$S$18,'[1]observations-276632'!X795&lt;'[1]Methods write-up'!$T$18),"Somali peninsula","")</f>
        <v/>
      </c>
      <c r="BA795" s="22" t="str">
        <f>IF(AND('[1]observations-276632'!W795&gt;'[1]Methods write-up'!$Q$19,'[1]observations-276632'!W795&lt;'[1]Methods write-up'!$R$19,'[1]observations-276632'!X795&gt;'[1]Methods write-up'!$S$19,'[1]observations-276632'!X795&lt;'[1]Methods write-up'!$T$19),"East Africa","")</f>
        <v>East Africa</v>
      </c>
      <c r="BB795" s="22" t="str">
        <f>IF(AND('[1]observations-276632'!W795&gt;'[1]Methods write-up'!$Q$20,'[1]observations-276632'!W795&lt;'[1]Methods write-up'!$R$20,'[1]observations-276632'!X795&gt;'[1]Methods write-up'!$S$20,'[1]observations-276632'!X795&lt;'[1]Methods write-up'!$T$20),"Temperate seasonal","")</f>
        <v/>
      </c>
      <c r="BC795" s="22" t="str">
        <f>IF(AND('[1]observations-276632'!W795&gt;'[1]Methods write-up'!$Q$21,'[1]observations-276632'!W795&lt;'[1]Methods write-up'!$R$21,'[1]observations-276632'!X795&gt;'[1]Methods write-up'!$S$21,'[1]observations-276632'!X795&lt;'[1]Methods write-up'!$T$21),"Desert and high aridity","")</f>
        <v/>
      </c>
      <c r="BD795" s="23" t="str">
        <f t="shared" si="54"/>
        <v>East Africa</v>
      </c>
      <c r="BE795" s="24">
        <f t="shared" si="52"/>
        <v>29</v>
      </c>
      <c r="BF795" s="24">
        <f t="shared" si="53"/>
        <v>7</v>
      </c>
    </row>
    <row r="796" spans="1:58" ht="16.25" customHeight="1" x14ac:dyDescent="0.2">
      <c r="A796">
        <v>89231000</v>
      </c>
      <c r="B796" t="s">
        <v>5943</v>
      </c>
      <c r="C796" s="14">
        <v>44407</v>
      </c>
      <c r="D796" t="s">
        <v>5944</v>
      </c>
      <c r="E796" t="s">
        <v>403</v>
      </c>
      <c r="F796">
        <v>2628488</v>
      </c>
      <c r="G796" t="s">
        <v>5945</v>
      </c>
      <c r="H796" t="s">
        <v>5946</v>
      </c>
      <c r="I796" t="s">
        <v>5947</v>
      </c>
      <c r="J796" t="s">
        <v>5948</v>
      </c>
      <c r="K796" t="s">
        <v>62</v>
      </c>
      <c r="M796" t="s">
        <v>5949</v>
      </c>
      <c r="N796" t="s">
        <v>5950</v>
      </c>
      <c r="R796">
        <v>1</v>
      </c>
      <c r="S796">
        <v>0</v>
      </c>
      <c r="T796" t="b">
        <v>0</v>
      </c>
      <c r="U796">
        <v>3</v>
      </c>
      <c r="V796" t="s">
        <v>5951</v>
      </c>
      <c r="W796" s="15">
        <v>-3.6762800000000002</v>
      </c>
      <c r="X796" s="15">
        <v>39.864345</v>
      </c>
      <c r="Y796">
        <v>13</v>
      </c>
      <c r="AC796">
        <v>13</v>
      </c>
      <c r="AF796" t="b">
        <v>0</v>
      </c>
      <c r="AI796" t="s">
        <v>71</v>
      </c>
      <c r="AJ796" t="s">
        <v>70</v>
      </c>
      <c r="AK796" t="s">
        <v>71</v>
      </c>
      <c r="AL796" t="s">
        <v>72</v>
      </c>
      <c r="AM796">
        <v>346053</v>
      </c>
      <c r="AO796" s="16" t="s">
        <v>140</v>
      </c>
      <c r="AP796" s="17" t="str">
        <f t="shared" si="51"/>
        <v>Post-emergence nest</v>
      </c>
      <c r="AQ796" s="18">
        <v>4</v>
      </c>
      <c r="AT796" s="19" t="s">
        <v>141</v>
      </c>
      <c r="AU796" s="20" t="s">
        <v>104</v>
      </c>
      <c r="AX796" s="22" t="str">
        <f>IF(AND('[1]observations-276632'!W796&gt;'[1]Methods write-up'!$Q$16,'[1]observations-276632'!W796&lt;'[1]Methods write-up'!$R$16,'[1]observations-276632'!X796&gt;'[1]Methods write-up'!$S$16,'[1]observations-276632'!X796&lt;'[1]Methods write-up'!$T$16),"West and Central Africa","")</f>
        <v/>
      </c>
      <c r="AY796" s="22" t="str">
        <f>IF(AND('[1]observations-276632'!W796&gt;'[1]Methods write-up'!$Q$17,'[1]observations-276632'!W796&lt;'[1]Methods write-up'!$R$17,'[1]observations-276632'!X796&gt;'[1]Methods write-up'!$S$17,'[1]observations-276632'!X796&lt;'[1]Methods write-up'!$T$17),"Equatorial tropical forest","")</f>
        <v/>
      </c>
      <c r="AZ796" s="22" t="str">
        <f>IF(AND('[1]observations-276632'!W796&gt;'[1]Methods write-up'!$Q$18,'[1]observations-276632'!W796&lt;'[1]Methods write-up'!$R$18,'[1]observations-276632'!X796&gt;'[1]Methods write-up'!$S$18,'[1]observations-276632'!X796&lt;'[1]Methods write-up'!$T$18),"Somali peninsula","")</f>
        <v/>
      </c>
      <c r="BA796" s="22" t="str">
        <f>IF(AND('[1]observations-276632'!W796&gt;'[1]Methods write-up'!$Q$19,'[1]observations-276632'!W796&lt;'[1]Methods write-up'!$R$19,'[1]observations-276632'!X796&gt;'[1]Methods write-up'!$S$19,'[1]observations-276632'!X796&lt;'[1]Methods write-up'!$T$19),"East Africa","")</f>
        <v>East Africa</v>
      </c>
      <c r="BB796" s="22" t="str">
        <f>IF(AND('[1]observations-276632'!W796&gt;'[1]Methods write-up'!$Q$20,'[1]observations-276632'!W796&lt;'[1]Methods write-up'!$R$20,'[1]observations-276632'!X796&gt;'[1]Methods write-up'!$S$20,'[1]observations-276632'!X796&lt;'[1]Methods write-up'!$T$20),"Temperate seasonal","")</f>
        <v/>
      </c>
      <c r="BC796" s="22" t="str">
        <f>IF(AND('[1]observations-276632'!W796&gt;'[1]Methods write-up'!$Q$21,'[1]observations-276632'!W796&lt;'[1]Methods write-up'!$R$21,'[1]observations-276632'!X796&gt;'[1]Methods write-up'!$S$21,'[1]observations-276632'!X796&lt;'[1]Methods write-up'!$T$21),"Desert and high aridity","")</f>
        <v/>
      </c>
      <c r="BD796" s="23" t="str">
        <f t="shared" si="54"/>
        <v>East Africa</v>
      </c>
      <c r="BE796" s="24">
        <f t="shared" si="52"/>
        <v>30</v>
      </c>
      <c r="BF796" s="24">
        <f t="shared" si="53"/>
        <v>7</v>
      </c>
    </row>
    <row r="797" spans="1:58" ht="16.25" customHeight="1" x14ac:dyDescent="0.2">
      <c r="A797">
        <v>90057646</v>
      </c>
      <c r="B797" s="25">
        <v>40768.449305555558</v>
      </c>
      <c r="C797" s="14">
        <v>40768</v>
      </c>
      <c r="D797" t="s">
        <v>5952</v>
      </c>
      <c r="E797" t="s">
        <v>243</v>
      </c>
      <c r="F797">
        <v>4303576</v>
      </c>
      <c r="G797" t="s">
        <v>5953</v>
      </c>
      <c r="H797" t="s">
        <v>5954</v>
      </c>
      <c r="I797" t="s">
        <v>5955</v>
      </c>
      <c r="J797" t="s">
        <v>5956</v>
      </c>
      <c r="K797" t="s">
        <v>62</v>
      </c>
      <c r="L797" t="s">
        <v>63</v>
      </c>
      <c r="M797" t="s">
        <v>5957</v>
      </c>
      <c r="N797" t="s">
        <v>5958</v>
      </c>
      <c r="R797">
        <v>2</v>
      </c>
      <c r="S797">
        <v>0</v>
      </c>
      <c r="T797" t="b">
        <v>0</v>
      </c>
      <c r="V797" t="s">
        <v>5959</v>
      </c>
      <c r="W797" s="15">
        <v>-19.132228999999999</v>
      </c>
      <c r="X797" s="15">
        <v>44.808821000000002</v>
      </c>
      <c r="Y797">
        <v>200</v>
      </c>
      <c r="AC797">
        <v>200</v>
      </c>
      <c r="AF797" t="b">
        <v>0</v>
      </c>
      <c r="AI797" t="s">
        <v>71</v>
      </c>
      <c r="AJ797" t="s">
        <v>70</v>
      </c>
      <c r="AK797" t="s">
        <v>71</v>
      </c>
      <c r="AL797" t="s">
        <v>72</v>
      </c>
      <c r="AM797">
        <v>346053</v>
      </c>
      <c r="AO797" s="16" t="s">
        <v>140</v>
      </c>
      <c r="AP797" s="17" t="str">
        <f t="shared" si="51"/>
        <v>Post-emergence nest</v>
      </c>
      <c r="AQ797" s="18">
        <v>27</v>
      </c>
      <c r="AT797" s="19" t="s">
        <v>141</v>
      </c>
      <c r="AU797" s="20" t="s">
        <v>104</v>
      </c>
      <c r="AX797" s="22" t="str">
        <f>IF(AND('[1]observations-276632'!W797&gt;'[1]Methods write-up'!$Q$16,'[1]observations-276632'!W797&lt;'[1]Methods write-up'!$R$16,'[1]observations-276632'!X797&gt;'[1]Methods write-up'!$S$16,'[1]observations-276632'!X797&lt;'[1]Methods write-up'!$T$16),"West and Central Africa","")</f>
        <v/>
      </c>
      <c r="AY797" s="22" t="str">
        <f>IF(AND('[1]observations-276632'!W797&gt;'[1]Methods write-up'!$Q$17,'[1]observations-276632'!W797&lt;'[1]Methods write-up'!$R$17,'[1]observations-276632'!X797&gt;'[1]Methods write-up'!$S$17,'[1]observations-276632'!X797&lt;'[1]Methods write-up'!$T$17),"Equatorial tropical forest","")</f>
        <v/>
      </c>
      <c r="AZ797" s="22" t="str">
        <f>IF(AND('[1]observations-276632'!W797&gt;'[1]Methods write-up'!$Q$18,'[1]observations-276632'!W797&lt;'[1]Methods write-up'!$R$18,'[1]observations-276632'!X797&gt;'[1]Methods write-up'!$S$18,'[1]observations-276632'!X797&lt;'[1]Methods write-up'!$T$18),"Somali peninsula","")</f>
        <v/>
      </c>
      <c r="BA797" s="22" t="str">
        <f>IF(AND('[1]observations-276632'!W797&gt;'[1]Methods write-up'!$Q$19,'[1]observations-276632'!W797&lt;'[1]Methods write-up'!$R$19,'[1]observations-276632'!X797&gt;'[1]Methods write-up'!$S$19,'[1]observations-276632'!X797&lt;'[1]Methods write-up'!$T$19),"East Africa","")</f>
        <v/>
      </c>
      <c r="BB797" s="22" t="str">
        <f>IF(AND('[1]observations-276632'!W797&gt;'[1]Methods write-up'!$Q$20,'[1]observations-276632'!W797&lt;'[1]Methods write-up'!$R$20,'[1]observations-276632'!X797&gt;'[1]Methods write-up'!$S$20,'[1]observations-276632'!X797&lt;'[1]Methods write-up'!$T$20),"Temperate seasonal","")</f>
        <v/>
      </c>
      <c r="BC797" s="22" t="str">
        <f>IF(AND('[1]observations-276632'!W797&gt;'[1]Methods write-up'!$Q$21,'[1]observations-276632'!W797&lt;'[1]Methods write-up'!$R$21,'[1]observations-276632'!X797&gt;'[1]Methods write-up'!$S$21,'[1]observations-276632'!X797&lt;'[1]Methods write-up'!$T$21),"Desert and high aridity","")</f>
        <v/>
      </c>
      <c r="BD797" s="23" t="str">
        <f t="shared" si="54"/>
        <v/>
      </c>
      <c r="BE797" s="24">
        <f t="shared" si="52"/>
        <v>13</v>
      </c>
      <c r="BF797" s="24">
        <f t="shared" si="53"/>
        <v>8</v>
      </c>
    </row>
    <row r="798" spans="1:58" ht="16.25" customHeight="1" x14ac:dyDescent="0.2">
      <c r="A798">
        <v>90230903</v>
      </c>
      <c r="B798" t="s">
        <v>5960</v>
      </c>
      <c r="C798" s="14">
        <v>44409</v>
      </c>
      <c r="D798" t="s">
        <v>5961</v>
      </c>
      <c r="E798" t="s">
        <v>113</v>
      </c>
      <c r="F798">
        <v>121603</v>
      </c>
      <c r="G798" t="s">
        <v>1286</v>
      </c>
      <c r="I798" t="s">
        <v>5962</v>
      </c>
      <c r="J798" t="s">
        <v>5963</v>
      </c>
      <c r="K798" t="s">
        <v>62</v>
      </c>
      <c r="L798" t="s">
        <v>63</v>
      </c>
      <c r="M798" t="s">
        <v>5964</v>
      </c>
      <c r="N798" t="s">
        <v>5965</v>
      </c>
      <c r="R798">
        <v>2</v>
      </c>
      <c r="S798">
        <v>0</v>
      </c>
      <c r="T798" t="b">
        <v>0</v>
      </c>
      <c r="V798" t="s">
        <v>5966</v>
      </c>
      <c r="W798" s="15">
        <v>-14.2638851</v>
      </c>
      <c r="X798" s="15">
        <v>33.455827059999997</v>
      </c>
      <c r="Y798">
        <v>17</v>
      </c>
      <c r="AC798">
        <v>17</v>
      </c>
      <c r="AF798" t="b">
        <v>0</v>
      </c>
      <c r="AI798" t="s">
        <v>71</v>
      </c>
      <c r="AJ798" t="s">
        <v>70</v>
      </c>
      <c r="AK798" t="s">
        <v>71</v>
      </c>
      <c r="AL798" t="s">
        <v>72</v>
      </c>
      <c r="AM798">
        <v>346053</v>
      </c>
      <c r="AO798" s="16" t="s">
        <v>73</v>
      </c>
      <c r="AP798" s="17" t="str">
        <f t="shared" si="51"/>
        <v>Off-nest female</v>
      </c>
      <c r="AX798" s="22" t="str">
        <f>IF(AND('[1]observations-276632'!W798&gt;'[1]Methods write-up'!$Q$16,'[1]observations-276632'!W798&lt;'[1]Methods write-up'!$R$16,'[1]observations-276632'!X798&gt;'[1]Methods write-up'!$S$16,'[1]observations-276632'!X798&lt;'[1]Methods write-up'!$T$16),"West and Central Africa","")</f>
        <v/>
      </c>
      <c r="AY798" s="22" t="str">
        <f>IF(AND('[1]observations-276632'!W798&gt;'[1]Methods write-up'!$Q$17,'[1]observations-276632'!W798&lt;'[1]Methods write-up'!$R$17,'[1]observations-276632'!X798&gt;'[1]Methods write-up'!$S$17,'[1]observations-276632'!X798&lt;'[1]Methods write-up'!$T$17),"Equatorial tropical forest","")</f>
        <v/>
      </c>
      <c r="AZ798" s="22" t="str">
        <f>IF(AND('[1]observations-276632'!W798&gt;'[1]Methods write-up'!$Q$18,'[1]observations-276632'!W798&lt;'[1]Methods write-up'!$R$18,'[1]observations-276632'!X798&gt;'[1]Methods write-up'!$S$18,'[1]observations-276632'!X798&lt;'[1]Methods write-up'!$T$18),"Somali peninsula","")</f>
        <v/>
      </c>
      <c r="BA798" s="22" t="str">
        <f>IF(AND('[1]observations-276632'!W798&gt;'[1]Methods write-up'!$Q$19,'[1]observations-276632'!W798&lt;'[1]Methods write-up'!$R$19,'[1]observations-276632'!X798&gt;'[1]Methods write-up'!$S$19,'[1]observations-276632'!X798&lt;'[1]Methods write-up'!$T$19),"East Africa","")</f>
        <v/>
      </c>
      <c r="BB798" s="22" t="str">
        <f>IF(AND('[1]observations-276632'!W798&gt;'[1]Methods write-up'!$Q$20,'[1]observations-276632'!W798&lt;'[1]Methods write-up'!$R$20,'[1]observations-276632'!X798&gt;'[1]Methods write-up'!$S$20,'[1]observations-276632'!X798&lt;'[1]Methods write-up'!$T$20),"Temperate seasonal","")</f>
        <v/>
      </c>
      <c r="BC798" s="22" t="str">
        <f>IF(AND('[1]observations-276632'!W798&gt;'[1]Methods write-up'!$Q$21,'[1]observations-276632'!W798&lt;'[1]Methods write-up'!$R$21,'[1]observations-276632'!X798&gt;'[1]Methods write-up'!$S$21,'[1]observations-276632'!X798&lt;'[1]Methods write-up'!$T$21),"Desert and high aridity","")</f>
        <v/>
      </c>
      <c r="BD798" s="23" t="str">
        <f t="shared" si="54"/>
        <v/>
      </c>
      <c r="BE798" s="24">
        <f t="shared" si="52"/>
        <v>1</v>
      </c>
      <c r="BF798" s="24">
        <f t="shared" si="53"/>
        <v>8</v>
      </c>
    </row>
    <row r="799" spans="1:58" ht="16.25" customHeight="1" x14ac:dyDescent="0.2">
      <c r="A799">
        <v>90430078</v>
      </c>
      <c r="B799" t="s">
        <v>5967</v>
      </c>
      <c r="C799" s="14">
        <v>39211</v>
      </c>
      <c r="D799" t="s">
        <v>5968</v>
      </c>
      <c r="E799" t="s">
        <v>1864</v>
      </c>
      <c r="F799">
        <v>3459654</v>
      </c>
      <c r="G799" t="s">
        <v>5969</v>
      </c>
      <c r="H799" t="s">
        <v>5970</v>
      </c>
      <c r="I799" t="s">
        <v>5971</v>
      </c>
      <c r="J799" t="s">
        <v>5972</v>
      </c>
      <c r="K799" t="s">
        <v>62</v>
      </c>
      <c r="L799" t="s">
        <v>98</v>
      </c>
      <c r="M799" t="s">
        <v>5973</v>
      </c>
      <c r="N799" t="s">
        <v>5974</v>
      </c>
      <c r="R799">
        <v>1</v>
      </c>
      <c r="S799">
        <v>0</v>
      </c>
      <c r="T799" t="b">
        <v>0</v>
      </c>
      <c r="V799" t="s">
        <v>5975</v>
      </c>
      <c r="W799" s="15">
        <v>-21.656952860000001</v>
      </c>
      <c r="X799" s="15">
        <v>48.199070429999999</v>
      </c>
      <c r="Y799">
        <v>41413</v>
      </c>
      <c r="AC799">
        <v>41413</v>
      </c>
      <c r="AF799" t="b">
        <v>0</v>
      </c>
      <c r="AI799" t="s">
        <v>71</v>
      </c>
      <c r="AJ799" t="s">
        <v>2537</v>
      </c>
      <c r="AL799" t="s">
        <v>72</v>
      </c>
      <c r="AM799">
        <v>1098050</v>
      </c>
      <c r="AO799" s="16" t="s">
        <v>5976</v>
      </c>
      <c r="AP799" s="17" t="str">
        <f t="shared" si="51"/>
        <v>Close-up of male on post-emergence nest</v>
      </c>
      <c r="AX799" s="22" t="str">
        <f>IF(AND('[1]observations-276632'!W799&gt;'[1]Methods write-up'!$Q$16,'[1]observations-276632'!W799&lt;'[1]Methods write-up'!$R$16,'[1]observations-276632'!X799&gt;'[1]Methods write-up'!$S$16,'[1]observations-276632'!X799&lt;'[1]Methods write-up'!$T$16),"West and Central Africa","")</f>
        <v/>
      </c>
      <c r="AY799" s="22" t="str">
        <f>IF(AND('[1]observations-276632'!W799&gt;'[1]Methods write-up'!$Q$17,'[1]observations-276632'!W799&lt;'[1]Methods write-up'!$R$17,'[1]observations-276632'!X799&gt;'[1]Methods write-up'!$S$17,'[1]observations-276632'!X799&lt;'[1]Methods write-up'!$T$17),"Equatorial tropical forest","")</f>
        <v/>
      </c>
      <c r="AZ799" s="22" t="str">
        <f>IF(AND('[1]observations-276632'!W799&gt;'[1]Methods write-up'!$Q$18,'[1]observations-276632'!W799&lt;'[1]Methods write-up'!$R$18,'[1]observations-276632'!X799&gt;'[1]Methods write-up'!$S$18,'[1]observations-276632'!X799&lt;'[1]Methods write-up'!$T$18),"Somali peninsula","")</f>
        <v/>
      </c>
      <c r="BA799" s="22" t="str">
        <f>IF(AND('[1]observations-276632'!W799&gt;'[1]Methods write-up'!$Q$19,'[1]observations-276632'!W799&lt;'[1]Methods write-up'!$R$19,'[1]observations-276632'!X799&gt;'[1]Methods write-up'!$S$19,'[1]observations-276632'!X799&lt;'[1]Methods write-up'!$T$19),"East Africa","")</f>
        <v/>
      </c>
      <c r="BB799" s="22" t="str">
        <f>IF(AND('[1]observations-276632'!W799&gt;'[1]Methods write-up'!$Q$20,'[1]observations-276632'!W799&lt;'[1]Methods write-up'!$R$20,'[1]observations-276632'!X799&gt;'[1]Methods write-up'!$S$20,'[1]observations-276632'!X799&lt;'[1]Methods write-up'!$T$20),"Temperate seasonal","")</f>
        <v/>
      </c>
      <c r="BC799" s="22" t="str">
        <f>IF(AND('[1]observations-276632'!W799&gt;'[1]Methods write-up'!$Q$21,'[1]observations-276632'!W799&lt;'[1]Methods write-up'!$R$21,'[1]observations-276632'!X799&gt;'[1]Methods write-up'!$S$21,'[1]observations-276632'!X799&lt;'[1]Methods write-up'!$T$21),"Desert and high aridity","")</f>
        <v/>
      </c>
      <c r="BD799" s="23" t="str">
        <f t="shared" si="54"/>
        <v/>
      </c>
      <c r="BE799" s="24">
        <f t="shared" si="52"/>
        <v>9</v>
      </c>
      <c r="BF799" s="24">
        <f t="shared" si="53"/>
        <v>5</v>
      </c>
    </row>
    <row r="800" spans="1:58" ht="16.25" customHeight="1" x14ac:dyDescent="0.2">
      <c r="A800">
        <v>90537714</v>
      </c>
      <c r="B800" s="25">
        <v>44404.654166666667</v>
      </c>
      <c r="C800" s="14">
        <v>44404</v>
      </c>
      <c r="D800" t="s">
        <v>5977</v>
      </c>
      <c r="E800" t="s">
        <v>243</v>
      </c>
      <c r="F800">
        <v>18381</v>
      </c>
      <c r="G800" t="s">
        <v>291</v>
      </c>
      <c r="H800" t="s">
        <v>292</v>
      </c>
      <c r="I800" t="s">
        <v>5978</v>
      </c>
      <c r="J800" t="s">
        <v>5979</v>
      </c>
      <c r="K800" t="s">
        <v>62</v>
      </c>
      <c r="L800" t="s">
        <v>63</v>
      </c>
      <c r="M800" t="s">
        <v>5980</v>
      </c>
      <c r="N800" t="s">
        <v>5981</v>
      </c>
      <c r="R800">
        <v>2</v>
      </c>
      <c r="S800">
        <v>0</v>
      </c>
      <c r="T800" t="b">
        <v>0</v>
      </c>
      <c r="U800">
        <v>2</v>
      </c>
      <c r="V800" t="s">
        <v>5982</v>
      </c>
      <c r="W800" s="15">
        <v>-6.8969230000000001</v>
      </c>
      <c r="X800" s="15">
        <v>31.186379970000001</v>
      </c>
      <c r="AF800" t="b">
        <v>0</v>
      </c>
      <c r="AG800" t="s">
        <v>350</v>
      </c>
      <c r="AH800" t="s">
        <v>350</v>
      </c>
      <c r="AI800" t="s">
        <v>71</v>
      </c>
      <c r="AJ800" t="s">
        <v>70</v>
      </c>
      <c r="AK800" t="s">
        <v>71</v>
      </c>
      <c r="AL800" t="s">
        <v>72</v>
      </c>
      <c r="AM800">
        <v>346053</v>
      </c>
      <c r="AO800" s="16" t="s">
        <v>1356</v>
      </c>
      <c r="AP800" s="17" t="str">
        <f t="shared" si="51"/>
        <v>Nest (foundress)</v>
      </c>
      <c r="AQ800" s="18">
        <v>1</v>
      </c>
      <c r="AT800" s="19" t="s">
        <v>104</v>
      </c>
      <c r="AX800" s="22" t="str">
        <f>IF(AND('[1]observations-276632'!W800&gt;'[1]Methods write-up'!$Q$16,'[1]observations-276632'!W800&lt;'[1]Methods write-up'!$R$16,'[1]observations-276632'!X800&gt;'[1]Methods write-up'!$S$16,'[1]observations-276632'!X800&lt;'[1]Methods write-up'!$T$16),"West and Central Africa","")</f>
        <v/>
      </c>
      <c r="AY800" s="22" t="str">
        <f>IF(AND('[1]observations-276632'!W800&gt;'[1]Methods write-up'!$Q$17,'[1]observations-276632'!W800&lt;'[1]Methods write-up'!$R$17,'[1]observations-276632'!X800&gt;'[1]Methods write-up'!$S$17,'[1]observations-276632'!X800&lt;'[1]Methods write-up'!$T$17),"Equatorial tropical forest","")</f>
        <v/>
      </c>
      <c r="AZ800" s="22" t="str">
        <f>IF(AND('[1]observations-276632'!W800&gt;'[1]Methods write-up'!$Q$18,'[1]observations-276632'!W800&lt;'[1]Methods write-up'!$R$18,'[1]observations-276632'!X800&gt;'[1]Methods write-up'!$S$18,'[1]observations-276632'!X800&lt;'[1]Methods write-up'!$T$18),"Somali peninsula","")</f>
        <v/>
      </c>
      <c r="BA800" s="22" t="str">
        <f>IF(AND('[1]observations-276632'!W800&gt;'[1]Methods write-up'!$Q$19,'[1]observations-276632'!W800&lt;'[1]Methods write-up'!$R$19,'[1]observations-276632'!X800&gt;'[1]Methods write-up'!$S$19,'[1]observations-276632'!X800&lt;'[1]Methods write-up'!$T$19),"East Africa","")</f>
        <v/>
      </c>
      <c r="BB800" s="22" t="str">
        <f>IF(AND('[1]observations-276632'!W800&gt;'[1]Methods write-up'!$Q$20,'[1]observations-276632'!W800&lt;'[1]Methods write-up'!$R$20,'[1]observations-276632'!X800&gt;'[1]Methods write-up'!$S$20,'[1]observations-276632'!X800&lt;'[1]Methods write-up'!$T$20),"Temperate seasonal","")</f>
        <v/>
      </c>
      <c r="BC800" s="22" t="str">
        <f>IF(AND('[1]observations-276632'!W800&gt;'[1]Methods write-up'!$Q$21,'[1]observations-276632'!W800&lt;'[1]Methods write-up'!$R$21,'[1]observations-276632'!X800&gt;'[1]Methods write-up'!$S$21,'[1]observations-276632'!X800&lt;'[1]Methods write-up'!$T$21),"Desert and high aridity","")</f>
        <v/>
      </c>
      <c r="BD800" s="23" t="str">
        <f t="shared" si="54"/>
        <v/>
      </c>
      <c r="BE800" s="24">
        <f t="shared" si="52"/>
        <v>27</v>
      </c>
      <c r="BF800" s="24">
        <f t="shared" si="53"/>
        <v>7</v>
      </c>
    </row>
    <row r="801" spans="1:58" ht="16.25" customHeight="1" x14ac:dyDescent="0.2">
      <c r="A801">
        <v>90576177</v>
      </c>
      <c r="B801" s="25">
        <v>44416.581250000003</v>
      </c>
      <c r="C801" s="14">
        <v>44416</v>
      </c>
      <c r="D801" t="s">
        <v>5983</v>
      </c>
      <c r="E801" t="s">
        <v>1408</v>
      </c>
      <c r="F801">
        <v>3920830</v>
      </c>
      <c r="G801" t="s">
        <v>5984</v>
      </c>
      <c r="I801" t="s">
        <v>5985</v>
      </c>
      <c r="J801" t="s">
        <v>5986</v>
      </c>
      <c r="K801" t="s">
        <v>62</v>
      </c>
      <c r="L801" t="s">
        <v>63</v>
      </c>
      <c r="M801" t="s">
        <v>5987</v>
      </c>
      <c r="N801" t="s">
        <v>5988</v>
      </c>
      <c r="R801">
        <v>1</v>
      </c>
      <c r="S801">
        <v>0</v>
      </c>
      <c r="T801" t="b">
        <v>0</v>
      </c>
      <c r="U801">
        <v>2</v>
      </c>
      <c r="V801" t="s">
        <v>5989</v>
      </c>
      <c r="W801" s="15">
        <v>-19.083575100000001</v>
      </c>
      <c r="X801" s="15">
        <v>33.461365809999997</v>
      </c>
      <c r="Y801">
        <v>46</v>
      </c>
      <c r="AC801">
        <v>46</v>
      </c>
      <c r="AF801" t="b">
        <v>0</v>
      </c>
      <c r="AG801" t="s">
        <v>350</v>
      </c>
      <c r="AH801" t="s">
        <v>350</v>
      </c>
      <c r="AI801" t="s">
        <v>756</v>
      </c>
      <c r="AJ801" t="s">
        <v>756</v>
      </c>
      <c r="AL801" t="s">
        <v>72</v>
      </c>
      <c r="AM801">
        <v>652800</v>
      </c>
      <c r="AO801" s="16" t="s">
        <v>73</v>
      </c>
      <c r="AP801" s="17" t="str">
        <f t="shared" si="51"/>
        <v>Off-nest female</v>
      </c>
      <c r="AX801" s="22" t="str">
        <f>IF(AND('[1]observations-276632'!W801&gt;'[1]Methods write-up'!$Q$16,'[1]observations-276632'!W801&lt;'[1]Methods write-up'!$R$16,'[1]observations-276632'!X801&gt;'[1]Methods write-up'!$S$16,'[1]observations-276632'!X801&lt;'[1]Methods write-up'!$T$16),"West and Central Africa","")</f>
        <v/>
      </c>
      <c r="AY801" s="22" t="str">
        <f>IF(AND('[1]observations-276632'!W801&gt;'[1]Methods write-up'!$Q$17,'[1]observations-276632'!W801&lt;'[1]Methods write-up'!$R$17,'[1]observations-276632'!X801&gt;'[1]Methods write-up'!$S$17,'[1]observations-276632'!X801&lt;'[1]Methods write-up'!$T$17),"Equatorial tropical forest","")</f>
        <v/>
      </c>
      <c r="AZ801" s="22" t="str">
        <f>IF(AND('[1]observations-276632'!W801&gt;'[1]Methods write-up'!$Q$18,'[1]observations-276632'!W801&lt;'[1]Methods write-up'!$R$18,'[1]observations-276632'!X801&gt;'[1]Methods write-up'!$S$18,'[1]observations-276632'!X801&lt;'[1]Methods write-up'!$T$18),"Somali peninsula","")</f>
        <v/>
      </c>
      <c r="BA801" s="22" t="str">
        <f>IF(AND('[1]observations-276632'!W801&gt;'[1]Methods write-up'!$Q$19,'[1]observations-276632'!W801&lt;'[1]Methods write-up'!$R$19,'[1]observations-276632'!X801&gt;'[1]Methods write-up'!$S$19,'[1]observations-276632'!X801&lt;'[1]Methods write-up'!$T$19),"East Africa","")</f>
        <v/>
      </c>
      <c r="BB801" s="22" t="str">
        <f>IF(AND('[1]observations-276632'!W801&gt;'[1]Methods write-up'!$Q$20,'[1]observations-276632'!W801&lt;'[1]Methods write-up'!$R$20,'[1]observations-276632'!X801&gt;'[1]Methods write-up'!$S$20,'[1]observations-276632'!X801&lt;'[1]Methods write-up'!$T$20),"Temperate seasonal","")</f>
        <v/>
      </c>
      <c r="BC801" s="22" t="str">
        <f>IF(AND('[1]observations-276632'!W801&gt;'[1]Methods write-up'!$Q$21,'[1]observations-276632'!W801&lt;'[1]Methods write-up'!$R$21,'[1]observations-276632'!X801&gt;'[1]Methods write-up'!$S$21,'[1]observations-276632'!X801&lt;'[1]Methods write-up'!$T$21),"Desert and high aridity","")</f>
        <v/>
      </c>
      <c r="BD801" s="23" t="str">
        <f t="shared" si="54"/>
        <v/>
      </c>
      <c r="BE801" s="24">
        <f t="shared" si="52"/>
        <v>8</v>
      </c>
      <c r="BF801" s="24">
        <f t="shared" si="53"/>
        <v>8</v>
      </c>
    </row>
    <row r="802" spans="1:58" ht="16.25" customHeight="1" x14ac:dyDescent="0.2">
      <c r="A802">
        <v>91294385</v>
      </c>
      <c r="B802" t="s">
        <v>5990</v>
      </c>
      <c r="C802" s="14">
        <v>44423</v>
      </c>
      <c r="D802" t="s">
        <v>5991</v>
      </c>
      <c r="E802" t="s">
        <v>1408</v>
      </c>
      <c r="F802">
        <v>3805756</v>
      </c>
      <c r="G802" t="s">
        <v>5793</v>
      </c>
      <c r="H802" t="s">
        <v>5794</v>
      </c>
      <c r="I802" t="s">
        <v>5992</v>
      </c>
      <c r="J802" t="s">
        <v>5993</v>
      </c>
      <c r="K802" t="s">
        <v>62</v>
      </c>
      <c r="M802" t="s">
        <v>5994</v>
      </c>
      <c r="N802" t="s">
        <v>5995</v>
      </c>
      <c r="R802">
        <v>1</v>
      </c>
      <c r="S802">
        <v>0</v>
      </c>
      <c r="T802" t="b">
        <v>0</v>
      </c>
      <c r="V802" t="s">
        <v>603</v>
      </c>
      <c r="W802" s="15">
        <v>-15.366925950000001</v>
      </c>
      <c r="X802" s="15">
        <v>35.266092880000002</v>
      </c>
      <c r="Y802">
        <v>226</v>
      </c>
      <c r="AC802">
        <v>226</v>
      </c>
      <c r="AF802" t="b">
        <v>0</v>
      </c>
      <c r="AI802" t="s">
        <v>71</v>
      </c>
      <c r="AJ802" t="s">
        <v>70</v>
      </c>
      <c r="AK802" t="s">
        <v>71</v>
      </c>
      <c r="AL802" t="s">
        <v>72</v>
      </c>
      <c r="AM802">
        <v>346053</v>
      </c>
      <c r="AO802" s="16" t="s">
        <v>73</v>
      </c>
      <c r="AP802" s="17" t="str">
        <f t="shared" si="51"/>
        <v>Off-nest female</v>
      </c>
      <c r="AX802" s="22" t="str">
        <f>IF(AND('[1]observations-276632'!W802&gt;'[1]Methods write-up'!$Q$16,'[1]observations-276632'!W802&lt;'[1]Methods write-up'!$R$16,'[1]observations-276632'!X802&gt;'[1]Methods write-up'!$S$16,'[1]observations-276632'!X802&lt;'[1]Methods write-up'!$T$16),"West and Central Africa","")</f>
        <v/>
      </c>
      <c r="AY802" s="22" t="str">
        <f>IF(AND('[1]observations-276632'!W802&gt;'[1]Methods write-up'!$Q$17,'[1]observations-276632'!W802&lt;'[1]Methods write-up'!$R$17,'[1]observations-276632'!X802&gt;'[1]Methods write-up'!$S$17,'[1]observations-276632'!X802&lt;'[1]Methods write-up'!$T$17),"Equatorial tropical forest","")</f>
        <v/>
      </c>
      <c r="AZ802" s="22" t="str">
        <f>IF(AND('[1]observations-276632'!W802&gt;'[1]Methods write-up'!$Q$18,'[1]observations-276632'!W802&lt;'[1]Methods write-up'!$R$18,'[1]observations-276632'!X802&gt;'[1]Methods write-up'!$S$18,'[1]observations-276632'!X802&lt;'[1]Methods write-up'!$T$18),"Somali peninsula","")</f>
        <v/>
      </c>
      <c r="BA802" s="22" t="str">
        <f>IF(AND('[1]observations-276632'!W802&gt;'[1]Methods write-up'!$Q$19,'[1]observations-276632'!W802&lt;'[1]Methods write-up'!$R$19,'[1]observations-276632'!X802&gt;'[1]Methods write-up'!$S$19,'[1]observations-276632'!X802&lt;'[1]Methods write-up'!$T$19),"East Africa","")</f>
        <v/>
      </c>
      <c r="BB802" s="22" t="str">
        <f>IF(AND('[1]observations-276632'!W802&gt;'[1]Methods write-up'!$Q$20,'[1]observations-276632'!W802&lt;'[1]Methods write-up'!$R$20,'[1]observations-276632'!X802&gt;'[1]Methods write-up'!$S$20,'[1]observations-276632'!X802&lt;'[1]Methods write-up'!$T$20),"Temperate seasonal","")</f>
        <v/>
      </c>
      <c r="BC802" s="22" t="str">
        <f>IF(AND('[1]observations-276632'!W802&gt;'[1]Methods write-up'!$Q$21,'[1]observations-276632'!W802&lt;'[1]Methods write-up'!$R$21,'[1]observations-276632'!X802&gt;'[1]Methods write-up'!$S$21,'[1]observations-276632'!X802&lt;'[1]Methods write-up'!$T$21),"Desert and high aridity","")</f>
        <v/>
      </c>
      <c r="BD802" s="23" t="str">
        <f t="shared" si="54"/>
        <v/>
      </c>
      <c r="BE802" s="24">
        <f t="shared" si="52"/>
        <v>15</v>
      </c>
      <c r="BF802" s="24">
        <f t="shared" si="53"/>
        <v>8</v>
      </c>
    </row>
    <row r="803" spans="1:58" ht="16.25" customHeight="1" x14ac:dyDescent="0.2">
      <c r="A803">
        <v>91520393</v>
      </c>
      <c r="B803" t="s">
        <v>5996</v>
      </c>
      <c r="C803" s="14">
        <v>44423</v>
      </c>
      <c r="D803" t="s">
        <v>5997</v>
      </c>
      <c r="E803" t="s">
        <v>113</v>
      </c>
      <c r="F803">
        <v>121603</v>
      </c>
      <c r="G803" t="s">
        <v>1286</v>
      </c>
      <c r="I803" t="s">
        <v>5998</v>
      </c>
      <c r="J803" t="s">
        <v>5999</v>
      </c>
      <c r="K803" t="s">
        <v>62</v>
      </c>
      <c r="L803" t="s">
        <v>63</v>
      </c>
      <c r="M803" t="s">
        <v>6000</v>
      </c>
      <c r="N803" t="s">
        <v>6001</v>
      </c>
      <c r="R803">
        <v>2</v>
      </c>
      <c r="S803">
        <v>0</v>
      </c>
      <c r="T803" t="b">
        <v>0</v>
      </c>
      <c r="V803" t="s">
        <v>3770</v>
      </c>
      <c r="W803" s="15">
        <v>-12.86497655</v>
      </c>
      <c r="X803" s="15">
        <v>34.132612180000002</v>
      </c>
      <c r="Y803">
        <v>18</v>
      </c>
      <c r="AC803">
        <v>18</v>
      </c>
      <c r="AF803" t="b">
        <v>0</v>
      </c>
      <c r="AI803" t="s">
        <v>71</v>
      </c>
      <c r="AJ803" t="s">
        <v>70</v>
      </c>
      <c r="AK803" t="s">
        <v>71</v>
      </c>
      <c r="AL803" t="s">
        <v>72</v>
      </c>
      <c r="AM803">
        <v>346053</v>
      </c>
      <c r="AO803" s="16" t="s">
        <v>73</v>
      </c>
      <c r="AP803" s="17" t="str">
        <f t="shared" si="51"/>
        <v>Off-nest female</v>
      </c>
      <c r="AX803" s="22" t="str">
        <f>IF(AND('[1]observations-276632'!W803&gt;'[1]Methods write-up'!$Q$16,'[1]observations-276632'!W803&lt;'[1]Methods write-up'!$R$16,'[1]observations-276632'!X803&gt;'[1]Methods write-up'!$S$16,'[1]observations-276632'!X803&lt;'[1]Methods write-up'!$T$16),"West and Central Africa","")</f>
        <v/>
      </c>
      <c r="AY803" s="22" t="str">
        <f>IF(AND('[1]observations-276632'!W803&gt;'[1]Methods write-up'!$Q$17,'[1]observations-276632'!W803&lt;'[1]Methods write-up'!$R$17,'[1]observations-276632'!X803&gt;'[1]Methods write-up'!$S$17,'[1]observations-276632'!X803&lt;'[1]Methods write-up'!$T$17),"Equatorial tropical forest","")</f>
        <v/>
      </c>
      <c r="AZ803" s="22" t="str">
        <f>IF(AND('[1]observations-276632'!W803&gt;'[1]Methods write-up'!$Q$18,'[1]observations-276632'!W803&lt;'[1]Methods write-up'!$R$18,'[1]observations-276632'!X803&gt;'[1]Methods write-up'!$S$18,'[1]observations-276632'!X803&lt;'[1]Methods write-up'!$T$18),"Somali peninsula","")</f>
        <v/>
      </c>
      <c r="BA803" s="22" t="str">
        <f>IF(AND('[1]observations-276632'!W803&gt;'[1]Methods write-up'!$Q$19,'[1]observations-276632'!W803&lt;'[1]Methods write-up'!$R$19,'[1]observations-276632'!X803&gt;'[1]Methods write-up'!$S$19,'[1]observations-276632'!X803&lt;'[1]Methods write-up'!$T$19),"East Africa","")</f>
        <v/>
      </c>
      <c r="BB803" s="22" t="str">
        <f>IF(AND('[1]observations-276632'!W803&gt;'[1]Methods write-up'!$Q$20,'[1]observations-276632'!W803&lt;'[1]Methods write-up'!$R$20,'[1]observations-276632'!X803&gt;'[1]Methods write-up'!$S$20,'[1]observations-276632'!X803&lt;'[1]Methods write-up'!$T$20),"Temperate seasonal","")</f>
        <v/>
      </c>
      <c r="BC803" s="22" t="str">
        <f>IF(AND('[1]observations-276632'!W803&gt;'[1]Methods write-up'!$Q$21,'[1]observations-276632'!W803&lt;'[1]Methods write-up'!$R$21,'[1]observations-276632'!X803&gt;'[1]Methods write-up'!$S$21,'[1]observations-276632'!X803&lt;'[1]Methods write-up'!$T$21),"Desert and high aridity","")</f>
        <v/>
      </c>
      <c r="BD803" s="23" t="str">
        <f t="shared" si="54"/>
        <v/>
      </c>
      <c r="BE803" s="24">
        <f t="shared" si="52"/>
        <v>15</v>
      </c>
      <c r="BF803" s="24">
        <f t="shared" si="53"/>
        <v>8</v>
      </c>
    </row>
    <row r="804" spans="1:58" ht="16.25" customHeight="1" x14ac:dyDescent="0.2">
      <c r="A804">
        <v>91967647</v>
      </c>
      <c r="B804" s="25">
        <v>44426.620138888888</v>
      </c>
      <c r="C804" s="14">
        <v>44426</v>
      </c>
      <c r="D804" t="s">
        <v>6002</v>
      </c>
      <c r="E804" t="s">
        <v>113</v>
      </c>
      <c r="F804">
        <v>3868160</v>
      </c>
      <c r="G804" t="s">
        <v>5383</v>
      </c>
      <c r="H804" t="s">
        <v>5384</v>
      </c>
      <c r="I804" t="s">
        <v>6003</v>
      </c>
      <c r="J804" t="s">
        <v>6004</v>
      </c>
      <c r="K804" t="s">
        <v>62</v>
      </c>
      <c r="L804" t="s">
        <v>118</v>
      </c>
      <c r="M804" t="s">
        <v>6005</v>
      </c>
      <c r="N804" t="s">
        <v>6006</v>
      </c>
      <c r="R804">
        <v>1</v>
      </c>
      <c r="S804">
        <v>0</v>
      </c>
      <c r="T804" t="b">
        <v>0</v>
      </c>
      <c r="U804">
        <v>2</v>
      </c>
      <c r="V804" t="s">
        <v>6007</v>
      </c>
      <c r="W804" s="15">
        <v>-29.709162370000001</v>
      </c>
      <c r="X804" s="15">
        <v>31.089813599999999</v>
      </c>
      <c r="Y804">
        <v>131</v>
      </c>
      <c r="AC804">
        <v>131</v>
      </c>
      <c r="AF804" t="b">
        <v>0</v>
      </c>
      <c r="AG804" t="s">
        <v>350</v>
      </c>
      <c r="AH804" t="s">
        <v>350</v>
      </c>
      <c r="AI804" t="s">
        <v>71</v>
      </c>
      <c r="AJ804" t="s">
        <v>70</v>
      </c>
      <c r="AK804" t="s">
        <v>71</v>
      </c>
      <c r="AL804" t="s">
        <v>72</v>
      </c>
      <c r="AM804">
        <v>346053</v>
      </c>
      <c r="AO804" s="16" t="s">
        <v>1067</v>
      </c>
      <c r="AP804" s="17" t="str">
        <f t="shared" si="51"/>
        <v>Hibernation cluster</v>
      </c>
      <c r="AQ804" s="18">
        <v>14</v>
      </c>
      <c r="AV804" s="21" t="s">
        <v>6008</v>
      </c>
      <c r="AX804" s="22" t="str">
        <f>IF(AND('[1]observations-276632'!W804&gt;'[1]Methods write-up'!$Q$16,'[1]observations-276632'!W804&lt;'[1]Methods write-up'!$R$16,'[1]observations-276632'!X804&gt;'[1]Methods write-up'!$S$16,'[1]observations-276632'!X804&lt;'[1]Methods write-up'!$T$16),"West and Central Africa","")</f>
        <v/>
      </c>
      <c r="AY804" s="22" t="str">
        <f>IF(AND('[1]observations-276632'!W804&gt;'[1]Methods write-up'!$Q$17,'[1]observations-276632'!W804&lt;'[1]Methods write-up'!$R$17,'[1]observations-276632'!X804&gt;'[1]Methods write-up'!$S$17,'[1]observations-276632'!X804&lt;'[1]Methods write-up'!$T$17),"Equatorial tropical forest","")</f>
        <v/>
      </c>
      <c r="AZ804" s="22" t="str">
        <f>IF(AND('[1]observations-276632'!W804&gt;'[1]Methods write-up'!$Q$18,'[1]observations-276632'!W804&lt;'[1]Methods write-up'!$R$18,'[1]observations-276632'!X804&gt;'[1]Methods write-up'!$S$18,'[1]observations-276632'!X804&lt;'[1]Methods write-up'!$T$18),"Somali peninsula","")</f>
        <v/>
      </c>
      <c r="BA804" s="22" t="str">
        <f>IF(AND('[1]observations-276632'!W804&gt;'[1]Methods write-up'!$Q$19,'[1]observations-276632'!W804&lt;'[1]Methods write-up'!$R$19,'[1]observations-276632'!X804&gt;'[1]Methods write-up'!$S$19,'[1]observations-276632'!X804&lt;'[1]Methods write-up'!$T$19),"East Africa","")</f>
        <v/>
      </c>
      <c r="BB804" s="22" t="str">
        <f>IF(AND('[1]observations-276632'!W804&gt;'[1]Methods write-up'!$Q$20,'[1]observations-276632'!W804&lt;'[1]Methods write-up'!$R$20,'[1]observations-276632'!X804&gt;'[1]Methods write-up'!$S$20,'[1]observations-276632'!X804&lt;'[1]Methods write-up'!$T$20),"Temperate seasonal","")</f>
        <v>Temperate seasonal</v>
      </c>
      <c r="BC804" s="22" t="str">
        <f>IF(AND('[1]observations-276632'!W804&gt;'[1]Methods write-up'!$Q$21,'[1]observations-276632'!W804&lt;'[1]Methods write-up'!$R$21,'[1]observations-276632'!X804&gt;'[1]Methods write-up'!$S$21,'[1]observations-276632'!X804&lt;'[1]Methods write-up'!$T$21),"Desert and high aridity","")</f>
        <v/>
      </c>
      <c r="BD804" s="23" t="str">
        <f t="shared" si="54"/>
        <v>Temperate seasonal</v>
      </c>
      <c r="BE804" s="24">
        <f t="shared" si="52"/>
        <v>18</v>
      </c>
      <c r="BF804" s="24">
        <f t="shared" si="53"/>
        <v>8</v>
      </c>
    </row>
    <row r="805" spans="1:58" ht="16.25" customHeight="1" x14ac:dyDescent="0.2">
      <c r="A805">
        <v>92239946</v>
      </c>
      <c r="B805" s="25">
        <v>43745.414583333331</v>
      </c>
      <c r="C805" s="14">
        <v>43745</v>
      </c>
      <c r="D805" t="s">
        <v>6009</v>
      </c>
      <c r="E805" t="s">
        <v>113</v>
      </c>
      <c r="F805">
        <v>2425388</v>
      </c>
      <c r="G805" t="s">
        <v>6010</v>
      </c>
      <c r="H805" t="s">
        <v>6011</v>
      </c>
      <c r="I805" t="s">
        <v>6012</v>
      </c>
      <c r="J805" t="s">
        <v>6013</v>
      </c>
      <c r="K805" t="s">
        <v>2038</v>
      </c>
      <c r="M805" t="s">
        <v>6014</v>
      </c>
      <c r="N805" t="s">
        <v>6015</v>
      </c>
      <c r="R805">
        <v>0</v>
      </c>
      <c r="S805">
        <v>0</v>
      </c>
      <c r="T805" t="b">
        <v>0</v>
      </c>
      <c r="U805">
        <v>2</v>
      </c>
      <c r="AD805" t="s">
        <v>4705</v>
      </c>
      <c r="AF805" t="b">
        <v>0</v>
      </c>
      <c r="AI805" t="s">
        <v>71</v>
      </c>
      <c r="AJ805" t="s">
        <v>70</v>
      </c>
      <c r="AK805" t="s">
        <v>71</v>
      </c>
      <c r="AL805" t="s">
        <v>72</v>
      </c>
      <c r="AM805">
        <v>346053</v>
      </c>
      <c r="AO805" s="16" t="s">
        <v>110</v>
      </c>
      <c r="AP805" s="17" t="str">
        <f t="shared" si="51"/>
        <v>Nest (foundress)</v>
      </c>
      <c r="AQ805" s="18">
        <v>1</v>
      </c>
      <c r="AT805" s="19" t="s">
        <v>104</v>
      </c>
      <c r="AX805" s="22" t="str">
        <f>IF(AND('[1]observations-276632'!W805&gt;'[1]Methods write-up'!$Q$16,'[1]observations-276632'!W805&lt;'[1]Methods write-up'!$R$16,'[1]observations-276632'!X805&gt;'[1]Methods write-up'!$S$16,'[1]observations-276632'!X805&lt;'[1]Methods write-up'!$T$16),"West and Central Africa","")</f>
        <v>West and Central Africa</v>
      </c>
      <c r="AY805" s="22" t="str">
        <f>IF(AND('[1]observations-276632'!W805&gt;'[1]Methods write-up'!$Q$17,'[1]observations-276632'!W805&lt;'[1]Methods write-up'!$R$17,'[1]observations-276632'!X805&gt;'[1]Methods write-up'!$S$17,'[1]observations-276632'!X805&lt;'[1]Methods write-up'!$T$17),"Equatorial tropical forest","")</f>
        <v/>
      </c>
      <c r="AZ805" s="22" t="str">
        <f>IF(AND('[1]observations-276632'!W805&gt;'[1]Methods write-up'!$Q$18,'[1]observations-276632'!W805&lt;'[1]Methods write-up'!$R$18,'[1]observations-276632'!X805&gt;'[1]Methods write-up'!$S$18,'[1]observations-276632'!X805&lt;'[1]Methods write-up'!$T$18),"Somali peninsula","")</f>
        <v/>
      </c>
      <c r="BA805" s="22" t="str">
        <f>IF(AND('[1]observations-276632'!W805&gt;'[1]Methods write-up'!$Q$19,'[1]observations-276632'!W805&lt;'[1]Methods write-up'!$R$19,'[1]observations-276632'!X805&gt;'[1]Methods write-up'!$S$19,'[1]observations-276632'!X805&lt;'[1]Methods write-up'!$T$19),"East Africa","")</f>
        <v/>
      </c>
      <c r="BB805" s="22" t="str">
        <f>IF(AND('[1]observations-276632'!W805&gt;'[1]Methods write-up'!$Q$20,'[1]observations-276632'!W805&lt;'[1]Methods write-up'!$R$20,'[1]observations-276632'!X805&gt;'[1]Methods write-up'!$S$20,'[1]observations-276632'!X805&lt;'[1]Methods write-up'!$T$20),"Temperate seasonal","")</f>
        <v/>
      </c>
      <c r="BC805" s="22" t="str">
        <f>IF(AND('[1]observations-276632'!W805&gt;'[1]Methods write-up'!$Q$21,'[1]observations-276632'!W805&lt;'[1]Methods write-up'!$R$21,'[1]observations-276632'!X805&gt;'[1]Methods write-up'!$S$21,'[1]observations-276632'!X805&lt;'[1]Methods write-up'!$T$21),"Desert and high aridity","")</f>
        <v/>
      </c>
      <c r="BD805" s="23" t="str">
        <f t="shared" si="54"/>
        <v>West and Central Africa</v>
      </c>
      <c r="BE805" s="24">
        <f t="shared" si="52"/>
        <v>7</v>
      </c>
      <c r="BF805" s="24">
        <f t="shared" si="53"/>
        <v>10</v>
      </c>
    </row>
    <row r="806" spans="1:58" ht="16.25" customHeight="1" x14ac:dyDescent="0.2">
      <c r="A806">
        <v>92263957</v>
      </c>
      <c r="B806" t="s">
        <v>6016</v>
      </c>
      <c r="C806" s="14">
        <v>44428</v>
      </c>
      <c r="D806" t="s">
        <v>6017</v>
      </c>
      <c r="E806" t="s">
        <v>193</v>
      </c>
      <c r="F806">
        <v>3857722</v>
      </c>
      <c r="G806" t="s">
        <v>4422</v>
      </c>
      <c r="H806" t="s">
        <v>4423</v>
      </c>
      <c r="I806" t="s">
        <v>6018</v>
      </c>
      <c r="J806" t="s">
        <v>6019</v>
      </c>
      <c r="K806" t="s">
        <v>62</v>
      </c>
      <c r="L806" t="s">
        <v>63</v>
      </c>
      <c r="M806" t="s">
        <v>6020</v>
      </c>
      <c r="N806" t="s">
        <v>6021</v>
      </c>
      <c r="R806">
        <v>2</v>
      </c>
      <c r="S806">
        <v>0</v>
      </c>
      <c r="T806" t="b">
        <v>0</v>
      </c>
      <c r="U806">
        <v>3</v>
      </c>
      <c r="V806" t="s">
        <v>6022</v>
      </c>
      <c r="W806" s="15">
        <v>3.9778633330000002</v>
      </c>
      <c r="X806" s="15">
        <v>11.602686670000001</v>
      </c>
      <c r="Y806">
        <v>4</v>
      </c>
      <c r="AC806">
        <v>4</v>
      </c>
      <c r="AF806" t="b">
        <v>0</v>
      </c>
      <c r="AI806" t="s">
        <v>71</v>
      </c>
      <c r="AJ806" t="s">
        <v>70</v>
      </c>
      <c r="AK806" t="s">
        <v>71</v>
      </c>
      <c r="AL806" t="s">
        <v>72</v>
      </c>
      <c r="AM806">
        <v>346053</v>
      </c>
      <c r="AO806" s="16" t="s">
        <v>73</v>
      </c>
      <c r="AP806" s="17" t="str">
        <f t="shared" si="51"/>
        <v>Off-nest female</v>
      </c>
      <c r="AX806" s="22" t="str">
        <f>IF(AND('[1]observations-276632'!W806&gt;'[1]Methods write-up'!$Q$16,'[1]observations-276632'!W806&lt;'[1]Methods write-up'!$R$16,'[1]observations-276632'!X806&gt;'[1]Methods write-up'!$S$16,'[1]observations-276632'!X806&lt;'[1]Methods write-up'!$T$16),"West and Central Africa","")</f>
        <v>West and Central Africa</v>
      </c>
      <c r="AY806" s="22" t="str">
        <f>IF(AND('[1]observations-276632'!W806&gt;'[1]Methods write-up'!$Q$17,'[1]observations-276632'!W806&lt;'[1]Methods write-up'!$R$17,'[1]observations-276632'!X806&gt;'[1]Methods write-up'!$S$17,'[1]observations-276632'!X806&lt;'[1]Methods write-up'!$T$17),"Equatorial tropical forest","")</f>
        <v/>
      </c>
      <c r="AZ806" s="22" t="str">
        <f>IF(AND('[1]observations-276632'!W806&gt;'[1]Methods write-up'!$Q$18,'[1]observations-276632'!W806&lt;'[1]Methods write-up'!$R$18,'[1]observations-276632'!X806&gt;'[1]Methods write-up'!$S$18,'[1]observations-276632'!X806&lt;'[1]Methods write-up'!$T$18),"Somali peninsula","")</f>
        <v/>
      </c>
      <c r="BA806" s="22" t="str">
        <f>IF(AND('[1]observations-276632'!W806&gt;'[1]Methods write-up'!$Q$19,'[1]observations-276632'!W806&lt;'[1]Methods write-up'!$R$19,'[1]observations-276632'!X806&gt;'[1]Methods write-up'!$S$19,'[1]observations-276632'!X806&lt;'[1]Methods write-up'!$T$19),"East Africa","")</f>
        <v/>
      </c>
      <c r="BB806" s="22" t="str">
        <f>IF(AND('[1]observations-276632'!W806&gt;'[1]Methods write-up'!$Q$20,'[1]observations-276632'!W806&lt;'[1]Methods write-up'!$R$20,'[1]observations-276632'!X806&gt;'[1]Methods write-up'!$S$20,'[1]observations-276632'!X806&lt;'[1]Methods write-up'!$T$20),"Temperate seasonal","")</f>
        <v/>
      </c>
      <c r="BC806" s="22" t="str">
        <f>IF(AND('[1]observations-276632'!W806&gt;'[1]Methods write-up'!$Q$21,'[1]observations-276632'!W806&lt;'[1]Methods write-up'!$R$21,'[1]observations-276632'!X806&gt;'[1]Methods write-up'!$S$21,'[1]observations-276632'!X806&lt;'[1]Methods write-up'!$T$21),"Desert and high aridity","")</f>
        <v/>
      </c>
      <c r="BD806" s="23" t="str">
        <f t="shared" si="54"/>
        <v>West and Central Africa</v>
      </c>
      <c r="BE806" s="24">
        <f t="shared" si="52"/>
        <v>20</v>
      </c>
      <c r="BF806" s="24">
        <f t="shared" si="53"/>
        <v>8</v>
      </c>
    </row>
    <row r="807" spans="1:58" ht="16.25" customHeight="1" x14ac:dyDescent="0.2">
      <c r="A807">
        <v>92334946</v>
      </c>
      <c r="B807" s="25">
        <v>44345.518055555556</v>
      </c>
      <c r="C807" s="14">
        <v>44345</v>
      </c>
      <c r="D807" t="s">
        <v>6023</v>
      </c>
      <c r="E807" t="s">
        <v>1408</v>
      </c>
      <c r="F807">
        <v>4901012</v>
      </c>
      <c r="G807" t="s">
        <v>6024</v>
      </c>
      <c r="H807" t="s">
        <v>6025</v>
      </c>
      <c r="I807" t="s">
        <v>6026</v>
      </c>
      <c r="J807" t="s">
        <v>6027</v>
      </c>
      <c r="K807" t="s">
        <v>62</v>
      </c>
      <c r="M807" t="s">
        <v>6028</v>
      </c>
      <c r="N807" t="s">
        <v>6029</v>
      </c>
      <c r="R807">
        <v>1</v>
      </c>
      <c r="S807">
        <v>0</v>
      </c>
      <c r="T807" t="b">
        <v>0</v>
      </c>
      <c r="U807">
        <v>2</v>
      </c>
      <c r="V807" t="s">
        <v>6030</v>
      </c>
      <c r="W807" s="15">
        <v>-25.68806893</v>
      </c>
      <c r="X807" s="15">
        <v>28.220349850000002</v>
      </c>
      <c r="Y807">
        <v>347403</v>
      </c>
      <c r="AC807">
        <v>347403</v>
      </c>
      <c r="AF807" t="b">
        <v>0</v>
      </c>
      <c r="AI807" t="s">
        <v>71</v>
      </c>
      <c r="AJ807" t="s">
        <v>70</v>
      </c>
      <c r="AK807" t="s">
        <v>71</v>
      </c>
      <c r="AL807" t="s">
        <v>72</v>
      </c>
      <c r="AM807">
        <v>346053</v>
      </c>
      <c r="AO807" s="16" t="s">
        <v>73</v>
      </c>
      <c r="AP807" s="17" t="str">
        <f t="shared" si="51"/>
        <v>Off-nest female</v>
      </c>
      <c r="AX807" s="22" t="str">
        <f>IF(AND('[1]observations-276632'!W807&gt;'[1]Methods write-up'!$Q$16,'[1]observations-276632'!W807&lt;'[1]Methods write-up'!$R$16,'[1]observations-276632'!X807&gt;'[1]Methods write-up'!$S$16,'[1]observations-276632'!X807&lt;'[1]Methods write-up'!$T$16),"West and Central Africa","")</f>
        <v/>
      </c>
      <c r="AY807" s="22" t="str">
        <f>IF(AND('[1]observations-276632'!W807&gt;'[1]Methods write-up'!$Q$17,'[1]observations-276632'!W807&lt;'[1]Methods write-up'!$R$17,'[1]observations-276632'!X807&gt;'[1]Methods write-up'!$S$17,'[1]observations-276632'!X807&lt;'[1]Methods write-up'!$T$17),"Equatorial tropical forest","")</f>
        <v/>
      </c>
      <c r="AZ807" s="22" t="str">
        <f>IF(AND('[1]observations-276632'!W807&gt;'[1]Methods write-up'!$Q$18,'[1]observations-276632'!W807&lt;'[1]Methods write-up'!$R$18,'[1]observations-276632'!X807&gt;'[1]Methods write-up'!$S$18,'[1]observations-276632'!X807&lt;'[1]Methods write-up'!$T$18),"Somali peninsula","")</f>
        <v/>
      </c>
      <c r="BA807" s="22" t="str">
        <f>IF(AND('[1]observations-276632'!W807&gt;'[1]Methods write-up'!$Q$19,'[1]observations-276632'!W807&lt;'[1]Methods write-up'!$R$19,'[1]observations-276632'!X807&gt;'[1]Methods write-up'!$S$19,'[1]observations-276632'!X807&lt;'[1]Methods write-up'!$T$19),"East Africa","")</f>
        <v/>
      </c>
      <c r="BB807" s="22" t="str">
        <f>IF(AND('[1]observations-276632'!W807&gt;'[1]Methods write-up'!$Q$20,'[1]observations-276632'!W807&lt;'[1]Methods write-up'!$R$20,'[1]observations-276632'!X807&gt;'[1]Methods write-up'!$S$20,'[1]observations-276632'!X807&lt;'[1]Methods write-up'!$T$20),"Temperate seasonal","")</f>
        <v>Temperate seasonal</v>
      </c>
      <c r="BC807" s="22" t="str">
        <f>IF(AND('[1]observations-276632'!W807&gt;'[1]Methods write-up'!$Q$21,'[1]observations-276632'!W807&lt;'[1]Methods write-up'!$R$21,'[1]observations-276632'!X807&gt;'[1]Methods write-up'!$S$21,'[1]observations-276632'!X807&lt;'[1]Methods write-up'!$T$21),"Desert and high aridity","")</f>
        <v/>
      </c>
      <c r="BD807" s="23" t="str">
        <f t="shared" si="54"/>
        <v>Temperate seasonal</v>
      </c>
      <c r="BE807" s="24">
        <f t="shared" si="52"/>
        <v>29</v>
      </c>
      <c r="BF807" s="24">
        <f t="shared" si="53"/>
        <v>5</v>
      </c>
    </row>
    <row r="808" spans="1:58" ht="16.25" customHeight="1" x14ac:dyDescent="0.2">
      <c r="A808">
        <v>93697933</v>
      </c>
      <c r="B808" s="13">
        <v>44444</v>
      </c>
      <c r="C808" s="14">
        <v>44444</v>
      </c>
      <c r="E808" t="s">
        <v>74</v>
      </c>
      <c r="F808">
        <v>2498450</v>
      </c>
      <c r="G808" t="s">
        <v>2851</v>
      </c>
      <c r="H808" t="s">
        <v>2852</v>
      </c>
      <c r="I808" t="s">
        <v>6031</v>
      </c>
      <c r="J808" t="s">
        <v>6032</v>
      </c>
      <c r="K808" t="s">
        <v>62</v>
      </c>
      <c r="M808" t="s">
        <v>6033</v>
      </c>
      <c r="N808" t="s">
        <v>6034</v>
      </c>
      <c r="R808">
        <v>2</v>
      </c>
      <c r="S808">
        <v>0</v>
      </c>
      <c r="T808" t="b">
        <v>0</v>
      </c>
      <c r="U808">
        <v>2</v>
      </c>
      <c r="V808" t="s">
        <v>6035</v>
      </c>
      <c r="W808" s="15">
        <v>-30.71279749</v>
      </c>
      <c r="X808" s="15">
        <v>30.447154980000001</v>
      </c>
      <c r="Y808">
        <v>234</v>
      </c>
      <c r="AC808">
        <v>234</v>
      </c>
      <c r="AF808" t="b">
        <v>0</v>
      </c>
      <c r="AG808" t="s">
        <v>350</v>
      </c>
      <c r="AH808" t="s">
        <v>350</v>
      </c>
      <c r="AI808" t="s">
        <v>71</v>
      </c>
      <c r="AJ808" t="s">
        <v>70</v>
      </c>
      <c r="AK808" t="s">
        <v>71</v>
      </c>
      <c r="AL808" t="s">
        <v>72</v>
      </c>
      <c r="AM808">
        <v>346053</v>
      </c>
      <c r="AO808" s="16" t="s">
        <v>73</v>
      </c>
      <c r="AP808" s="17" t="str">
        <f t="shared" si="51"/>
        <v>Off-nest female</v>
      </c>
      <c r="AX808" s="22" t="str">
        <f>IF(AND('[1]observations-276632'!W808&gt;'[1]Methods write-up'!$Q$16,'[1]observations-276632'!W808&lt;'[1]Methods write-up'!$R$16,'[1]observations-276632'!X808&gt;'[1]Methods write-up'!$S$16,'[1]observations-276632'!X808&lt;'[1]Methods write-up'!$T$16),"West and Central Africa","")</f>
        <v/>
      </c>
      <c r="AY808" s="22" t="str">
        <f>IF(AND('[1]observations-276632'!W808&gt;'[1]Methods write-up'!$Q$17,'[1]observations-276632'!W808&lt;'[1]Methods write-up'!$R$17,'[1]observations-276632'!X808&gt;'[1]Methods write-up'!$S$17,'[1]observations-276632'!X808&lt;'[1]Methods write-up'!$T$17),"Equatorial tropical forest","")</f>
        <v/>
      </c>
      <c r="AZ808" s="22" t="str">
        <f>IF(AND('[1]observations-276632'!W808&gt;'[1]Methods write-up'!$Q$18,'[1]observations-276632'!W808&lt;'[1]Methods write-up'!$R$18,'[1]observations-276632'!X808&gt;'[1]Methods write-up'!$S$18,'[1]observations-276632'!X808&lt;'[1]Methods write-up'!$T$18),"Somali peninsula","")</f>
        <v/>
      </c>
      <c r="BA808" s="22" t="str">
        <f>IF(AND('[1]observations-276632'!W808&gt;'[1]Methods write-up'!$Q$19,'[1]observations-276632'!W808&lt;'[1]Methods write-up'!$R$19,'[1]observations-276632'!X808&gt;'[1]Methods write-up'!$S$19,'[1]observations-276632'!X808&lt;'[1]Methods write-up'!$T$19),"East Africa","")</f>
        <v/>
      </c>
      <c r="BB808" s="22" t="str">
        <f>IF(AND('[1]observations-276632'!W808&gt;'[1]Methods write-up'!$Q$20,'[1]observations-276632'!W808&lt;'[1]Methods write-up'!$R$20,'[1]observations-276632'!X808&gt;'[1]Methods write-up'!$S$20,'[1]observations-276632'!X808&lt;'[1]Methods write-up'!$T$20),"Temperate seasonal","")</f>
        <v>Temperate seasonal</v>
      </c>
      <c r="BC808" s="22" t="str">
        <f>IF(AND('[1]observations-276632'!W808&gt;'[1]Methods write-up'!$Q$21,'[1]observations-276632'!W808&lt;'[1]Methods write-up'!$R$21,'[1]observations-276632'!X808&gt;'[1]Methods write-up'!$S$21,'[1]observations-276632'!X808&lt;'[1]Methods write-up'!$T$21),"Desert and high aridity","")</f>
        <v/>
      </c>
      <c r="BD808" s="23" t="str">
        <f t="shared" si="54"/>
        <v>Temperate seasonal</v>
      </c>
      <c r="BE808" s="24">
        <f t="shared" si="52"/>
        <v>5</v>
      </c>
      <c r="BF808" s="24">
        <f t="shared" si="53"/>
        <v>9</v>
      </c>
    </row>
    <row r="809" spans="1:58" ht="16.25" customHeight="1" x14ac:dyDescent="0.2">
      <c r="A809">
        <v>93722993</v>
      </c>
      <c r="B809" t="s">
        <v>6036</v>
      </c>
      <c r="C809" s="14">
        <v>43052</v>
      </c>
      <c r="D809" t="s">
        <v>6037</v>
      </c>
      <c r="E809" t="s">
        <v>113</v>
      </c>
      <c r="F809">
        <v>3983748</v>
      </c>
      <c r="G809" t="s">
        <v>6038</v>
      </c>
      <c r="H809" t="s">
        <v>6039</v>
      </c>
      <c r="I809" t="s">
        <v>6040</v>
      </c>
      <c r="J809" t="s">
        <v>6041</v>
      </c>
      <c r="K809" t="s">
        <v>62</v>
      </c>
      <c r="L809" t="s">
        <v>98</v>
      </c>
      <c r="M809" t="s">
        <v>6042</v>
      </c>
      <c r="N809" t="s">
        <v>6043</v>
      </c>
      <c r="R809">
        <v>1</v>
      </c>
      <c r="S809">
        <v>0</v>
      </c>
      <c r="T809" t="b">
        <v>0</v>
      </c>
      <c r="V809" t="s">
        <v>6044</v>
      </c>
      <c r="W809" s="15">
        <v>-29.769629299999998</v>
      </c>
      <c r="X809" s="15">
        <v>30.781360400000001</v>
      </c>
      <c r="Y809">
        <v>208</v>
      </c>
      <c r="AC809">
        <v>208</v>
      </c>
      <c r="AF809" t="b">
        <v>0</v>
      </c>
      <c r="AI809" t="s">
        <v>71</v>
      </c>
      <c r="AJ809" t="s">
        <v>70</v>
      </c>
      <c r="AK809" t="s">
        <v>71</v>
      </c>
      <c r="AL809" t="s">
        <v>72</v>
      </c>
      <c r="AM809">
        <v>346053</v>
      </c>
      <c r="AO809" s="16" t="s">
        <v>73</v>
      </c>
      <c r="AP809" s="17" t="str">
        <f t="shared" si="51"/>
        <v>Off-nest female</v>
      </c>
      <c r="AX809" s="22" t="str">
        <f>IF(AND('[1]observations-276632'!W809&gt;'[1]Methods write-up'!$Q$16,'[1]observations-276632'!W809&lt;'[1]Methods write-up'!$R$16,'[1]observations-276632'!X809&gt;'[1]Methods write-up'!$S$16,'[1]observations-276632'!X809&lt;'[1]Methods write-up'!$T$16),"West and Central Africa","")</f>
        <v/>
      </c>
      <c r="AY809" s="22" t="str">
        <f>IF(AND('[1]observations-276632'!W809&gt;'[1]Methods write-up'!$Q$17,'[1]observations-276632'!W809&lt;'[1]Methods write-up'!$R$17,'[1]observations-276632'!X809&gt;'[1]Methods write-up'!$S$17,'[1]observations-276632'!X809&lt;'[1]Methods write-up'!$T$17),"Equatorial tropical forest","")</f>
        <v/>
      </c>
      <c r="AZ809" s="22" t="str">
        <f>IF(AND('[1]observations-276632'!W809&gt;'[1]Methods write-up'!$Q$18,'[1]observations-276632'!W809&lt;'[1]Methods write-up'!$R$18,'[1]observations-276632'!X809&gt;'[1]Methods write-up'!$S$18,'[1]observations-276632'!X809&lt;'[1]Methods write-up'!$T$18),"Somali peninsula","")</f>
        <v/>
      </c>
      <c r="BA809" s="22" t="str">
        <f>IF(AND('[1]observations-276632'!W809&gt;'[1]Methods write-up'!$Q$19,'[1]observations-276632'!W809&lt;'[1]Methods write-up'!$R$19,'[1]observations-276632'!X809&gt;'[1]Methods write-up'!$S$19,'[1]observations-276632'!X809&lt;'[1]Methods write-up'!$T$19),"East Africa","")</f>
        <v/>
      </c>
      <c r="BB809" s="22" t="str">
        <f>IF(AND('[1]observations-276632'!W809&gt;'[1]Methods write-up'!$Q$20,'[1]observations-276632'!W809&lt;'[1]Methods write-up'!$R$20,'[1]observations-276632'!X809&gt;'[1]Methods write-up'!$S$20,'[1]observations-276632'!X809&lt;'[1]Methods write-up'!$T$20),"Temperate seasonal","")</f>
        <v>Temperate seasonal</v>
      </c>
      <c r="BC809" s="22" t="str">
        <f>IF(AND('[1]observations-276632'!W809&gt;'[1]Methods write-up'!$Q$21,'[1]observations-276632'!W809&lt;'[1]Methods write-up'!$R$21,'[1]observations-276632'!X809&gt;'[1]Methods write-up'!$S$21,'[1]observations-276632'!X809&lt;'[1]Methods write-up'!$T$21),"Desert and high aridity","")</f>
        <v/>
      </c>
      <c r="BD809" s="23" t="str">
        <f t="shared" si="54"/>
        <v>Temperate seasonal</v>
      </c>
      <c r="BE809" s="24">
        <f t="shared" si="52"/>
        <v>13</v>
      </c>
      <c r="BF809" s="24">
        <f t="shared" si="53"/>
        <v>11</v>
      </c>
    </row>
    <row r="810" spans="1:58" ht="16.25" customHeight="1" x14ac:dyDescent="0.2">
      <c r="A810">
        <v>94895032</v>
      </c>
      <c r="B810" t="s">
        <v>6045</v>
      </c>
      <c r="C810" s="14">
        <v>44376</v>
      </c>
      <c r="D810" t="s">
        <v>6046</v>
      </c>
      <c r="E810" t="s">
        <v>57</v>
      </c>
      <c r="F810">
        <v>678008</v>
      </c>
      <c r="G810" t="s">
        <v>2315</v>
      </c>
      <c r="I810" t="s">
        <v>6047</v>
      </c>
      <c r="J810" t="s">
        <v>6048</v>
      </c>
      <c r="K810" t="s">
        <v>62</v>
      </c>
      <c r="L810" t="s">
        <v>63</v>
      </c>
      <c r="M810" t="s">
        <v>6049</v>
      </c>
      <c r="N810" t="s">
        <v>6050</v>
      </c>
      <c r="R810">
        <v>1</v>
      </c>
      <c r="S810">
        <v>0</v>
      </c>
      <c r="T810" t="b">
        <v>0</v>
      </c>
      <c r="V810" t="s">
        <v>2320</v>
      </c>
      <c r="W810" s="15">
        <v>-15.36985702</v>
      </c>
      <c r="X810" s="15">
        <v>28.315754519999999</v>
      </c>
      <c r="Y810">
        <v>46</v>
      </c>
      <c r="AC810">
        <v>46</v>
      </c>
      <c r="AF810" t="b">
        <v>0</v>
      </c>
      <c r="AI810" t="s">
        <v>71</v>
      </c>
      <c r="AJ810" t="s">
        <v>70</v>
      </c>
      <c r="AK810" t="s">
        <v>71</v>
      </c>
      <c r="AL810" t="s">
        <v>72</v>
      </c>
      <c r="AM810">
        <v>346053</v>
      </c>
      <c r="AO810" s="16" t="s">
        <v>150</v>
      </c>
      <c r="AP810" s="17" t="str">
        <f t="shared" si="51"/>
        <v>Male (off nest)</v>
      </c>
      <c r="AX810" s="22" t="str">
        <f>IF(AND('[1]observations-276632'!W810&gt;'[1]Methods write-up'!$Q$16,'[1]observations-276632'!W810&lt;'[1]Methods write-up'!$R$16,'[1]observations-276632'!X810&gt;'[1]Methods write-up'!$S$16,'[1]observations-276632'!X810&lt;'[1]Methods write-up'!$T$16),"West and Central Africa","")</f>
        <v>West and Central Africa</v>
      </c>
      <c r="AY810" s="22" t="str">
        <f>IF(AND('[1]observations-276632'!W810&gt;'[1]Methods write-up'!$Q$17,'[1]observations-276632'!W810&lt;'[1]Methods write-up'!$R$17,'[1]observations-276632'!X810&gt;'[1]Methods write-up'!$S$17,'[1]observations-276632'!X810&lt;'[1]Methods write-up'!$T$17),"Equatorial tropical forest","")</f>
        <v/>
      </c>
      <c r="AZ810" s="22" t="str">
        <f>IF(AND('[1]observations-276632'!W810&gt;'[1]Methods write-up'!$Q$18,'[1]observations-276632'!W810&lt;'[1]Methods write-up'!$R$18,'[1]observations-276632'!X810&gt;'[1]Methods write-up'!$S$18,'[1]observations-276632'!X810&lt;'[1]Methods write-up'!$T$18),"Somali peninsula","")</f>
        <v/>
      </c>
      <c r="BA810" s="22" t="str">
        <f>IF(AND('[1]observations-276632'!W810&gt;'[1]Methods write-up'!$Q$19,'[1]observations-276632'!W810&lt;'[1]Methods write-up'!$R$19,'[1]observations-276632'!X810&gt;'[1]Methods write-up'!$S$19,'[1]observations-276632'!X810&lt;'[1]Methods write-up'!$T$19),"East Africa","")</f>
        <v/>
      </c>
      <c r="BB810" s="22" t="str">
        <f>IF(AND('[1]observations-276632'!W810&gt;'[1]Methods write-up'!$Q$20,'[1]observations-276632'!W810&lt;'[1]Methods write-up'!$R$20,'[1]observations-276632'!X810&gt;'[1]Methods write-up'!$S$20,'[1]observations-276632'!X810&lt;'[1]Methods write-up'!$T$20),"Temperate seasonal","")</f>
        <v/>
      </c>
      <c r="BC810" s="22" t="str">
        <f>IF(AND('[1]observations-276632'!W810&gt;'[1]Methods write-up'!$Q$21,'[1]observations-276632'!W810&lt;'[1]Methods write-up'!$R$21,'[1]observations-276632'!X810&gt;'[1]Methods write-up'!$S$21,'[1]observations-276632'!X810&lt;'[1]Methods write-up'!$T$21),"Desert and high aridity","")</f>
        <v/>
      </c>
      <c r="BD810" s="23" t="str">
        <f t="shared" si="54"/>
        <v>West and Central Africa</v>
      </c>
      <c r="BE810" s="24">
        <f t="shared" si="52"/>
        <v>29</v>
      </c>
      <c r="BF810" s="24">
        <f t="shared" si="53"/>
        <v>6</v>
      </c>
    </row>
    <row r="811" spans="1:58" ht="16.25" customHeight="1" x14ac:dyDescent="0.2">
      <c r="A811">
        <v>95133263</v>
      </c>
      <c r="B811" t="s">
        <v>6051</v>
      </c>
      <c r="C811" s="14">
        <v>44454</v>
      </c>
      <c r="D811" t="s">
        <v>6052</v>
      </c>
      <c r="E811" t="s">
        <v>57</v>
      </c>
      <c r="F811">
        <v>2232453</v>
      </c>
      <c r="G811" t="s">
        <v>3874</v>
      </c>
      <c r="H811" t="s">
        <v>3875</v>
      </c>
      <c r="I811" t="s">
        <v>6053</v>
      </c>
      <c r="J811" t="s">
        <v>6054</v>
      </c>
      <c r="K811" t="s">
        <v>62</v>
      </c>
      <c r="M811" t="s">
        <v>6055</v>
      </c>
      <c r="N811" t="s">
        <v>6056</v>
      </c>
      <c r="R811">
        <v>0</v>
      </c>
      <c r="S811">
        <v>0</v>
      </c>
      <c r="T811" t="b">
        <v>0</v>
      </c>
      <c r="V811" t="s">
        <v>6057</v>
      </c>
      <c r="W811" s="15">
        <v>-17.820852859999999</v>
      </c>
      <c r="X811" s="15">
        <v>31.015886949999999</v>
      </c>
      <c r="Y811">
        <v>2</v>
      </c>
      <c r="AC811">
        <v>2</v>
      </c>
      <c r="AF811" t="b">
        <v>0</v>
      </c>
      <c r="AI811" t="s">
        <v>6058</v>
      </c>
      <c r="AJ811" t="s">
        <v>6058</v>
      </c>
      <c r="AL811" t="s">
        <v>72</v>
      </c>
      <c r="AM811">
        <v>652799</v>
      </c>
      <c r="AO811" s="16" t="s">
        <v>73</v>
      </c>
      <c r="AP811" s="17" t="str">
        <f t="shared" si="51"/>
        <v>Off-nest female</v>
      </c>
      <c r="AX811" s="22" t="str">
        <f>IF(AND('[1]observations-276632'!W811&gt;'[1]Methods write-up'!$Q$16,'[1]observations-276632'!W811&lt;'[1]Methods write-up'!$R$16,'[1]observations-276632'!X811&gt;'[1]Methods write-up'!$S$16,'[1]observations-276632'!X811&lt;'[1]Methods write-up'!$T$16),"West and Central Africa","")</f>
        <v/>
      </c>
      <c r="AY811" s="22" t="str">
        <f>IF(AND('[1]observations-276632'!W811&gt;'[1]Methods write-up'!$Q$17,'[1]observations-276632'!W811&lt;'[1]Methods write-up'!$R$17,'[1]observations-276632'!X811&gt;'[1]Methods write-up'!$S$17,'[1]observations-276632'!X811&lt;'[1]Methods write-up'!$T$17),"Equatorial tropical forest","")</f>
        <v/>
      </c>
      <c r="AZ811" s="22" t="str">
        <f>IF(AND('[1]observations-276632'!W811&gt;'[1]Methods write-up'!$Q$18,'[1]observations-276632'!W811&lt;'[1]Methods write-up'!$R$18,'[1]observations-276632'!X811&gt;'[1]Methods write-up'!$S$18,'[1]observations-276632'!X811&lt;'[1]Methods write-up'!$T$18),"Somali peninsula","")</f>
        <v/>
      </c>
      <c r="BA811" s="22" t="str">
        <f>IF(AND('[1]observations-276632'!W811&gt;'[1]Methods write-up'!$Q$19,'[1]observations-276632'!W811&lt;'[1]Methods write-up'!$R$19,'[1]observations-276632'!X811&gt;'[1]Methods write-up'!$S$19,'[1]observations-276632'!X811&lt;'[1]Methods write-up'!$T$19),"East Africa","")</f>
        <v/>
      </c>
      <c r="BB811" s="22" t="str">
        <f>IF(AND('[1]observations-276632'!W811&gt;'[1]Methods write-up'!$Q$20,'[1]observations-276632'!W811&lt;'[1]Methods write-up'!$R$20,'[1]observations-276632'!X811&gt;'[1]Methods write-up'!$S$20,'[1]observations-276632'!X811&lt;'[1]Methods write-up'!$T$20),"Temperate seasonal","")</f>
        <v/>
      </c>
      <c r="BC811" s="22" t="str">
        <f>IF(AND('[1]observations-276632'!W811&gt;'[1]Methods write-up'!$Q$21,'[1]observations-276632'!W811&lt;'[1]Methods write-up'!$R$21,'[1]observations-276632'!X811&gt;'[1]Methods write-up'!$S$21,'[1]observations-276632'!X811&lt;'[1]Methods write-up'!$T$21),"Desert and high aridity","")</f>
        <v/>
      </c>
      <c r="BD811" s="23" t="str">
        <f t="shared" si="54"/>
        <v/>
      </c>
      <c r="BE811" s="24">
        <f t="shared" si="52"/>
        <v>15</v>
      </c>
      <c r="BF811" s="24">
        <f t="shared" si="53"/>
        <v>9</v>
      </c>
    </row>
    <row r="812" spans="1:58" ht="16.25" customHeight="1" x14ac:dyDescent="0.2">
      <c r="A812">
        <v>95373036</v>
      </c>
      <c r="B812" s="25">
        <v>44433.384722222225</v>
      </c>
      <c r="C812" s="14">
        <v>44433</v>
      </c>
      <c r="D812" t="s">
        <v>6059</v>
      </c>
      <c r="E812" t="s">
        <v>201</v>
      </c>
      <c r="F812">
        <v>1851285</v>
      </c>
      <c r="G812" t="s">
        <v>6060</v>
      </c>
      <c r="H812" t="s">
        <v>6061</v>
      </c>
      <c r="I812" t="s">
        <v>6062</v>
      </c>
      <c r="J812" t="s">
        <v>6063</v>
      </c>
      <c r="K812" t="s">
        <v>62</v>
      </c>
      <c r="L812" t="s">
        <v>63</v>
      </c>
      <c r="M812" t="s">
        <v>6064</v>
      </c>
      <c r="N812" t="s">
        <v>6065</v>
      </c>
      <c r="R812">
        <v>1</v>
      </c>
      <c r="S812">
        <v>0</v>
      </c>
      <c r="T812" t="b">
        <v>0</v>
      </c>
      <c r="U812">
        <v>2</v>
      </c>
      <c r="V812" t="s">
        <v>6066</v>
      </c>
      <c r="W812" s="15">
        <v>10.822588059999999</v>
      </c>
      <c r="X812" s="15">
        <v>1.1413549999999999</v>
      </c>
      <c r="AF812" t="b">
        <v>0</v>
      </c>
      <c r="AG812" t="s">
        <v>350</v>
      </c>
      <c r="AH812" t="s">
        <v>350</v>
      </c>
      <c r="AI812" t="s">
        <v>71</v>
      </c>
      <c r="AJ812" t="s">
        <v>70</v>
      </c>
      <c r="AK812" t="s">
        <v>71</v>
      </c>
      <c r="AL812" t="s">
        <v>72</v>
      </c>
      <c r="AM812">
        <v>346053</v>
      </c>
      <c r="AO812" s="16" t="s">
        <v>73</v>
      </c>
      <c r="AP812" s="17" t="str">
        <f t="shared" si="51"/>
        <v>Off-nest female</v>
      </c>
      <c r="AX812" s="22" t="str">
        <f>IF(AND('[1]observations-276632'!W812&gt;'[1]Methods write-up'!$Q$16,'[1]observations-276632'!W812&lt;'[1]Methods write-up'!$R$16,'[1]observations-276632'!X812&gt;'[1]Methods write-up'!$S$16,'[1]observations-276632'!X812&lt;'[1]Methods write-up'!$T$16),"West and Central Africa","")</f>
        <v>West and Central Africa</v>
      </c>
      <c r="AY812" s="22" t="str">
        <f>IF(AND('[1]observations-276632'!W812&gt;'[1]Methods write-up'!$Q$17,'[1]observations-276632'!W812&lt;'[1]Methods write-up'!$R$17,'[1]observations-276632'!X812&gt;'[1]Methods write-up'!$S$17,'[1]observations-276632'!X812&lt;'[1]Methods write-up'!$T$17),"Equatorial tropical forest","")</f>
        <v/>
      </c>
      <c r="AZ812" s="22" t="str">
        <f>IF(AND('[1]observations-276632'!W812&gt;'[1]Methods write-up'!$Q$18,'[1]observations-276632'!W812&lt;'[1]Methods write-up'!$R$18,'[1]observations-276632'!X812&gt;'[1]Methods write-up'!$S$18,'[1]observations-276632'!X812&lt;'[1]Methods write-up'!$T$18),"Somali peninsula","")</f>
        <v/>
      </c>
      <c r="BA812" s="22" t="str">
        <f>IF(AND('[1]observations-276632'!W812&gt;'[1]Methods write-up'!$Q$19,'[1]observations-276632'!W812&lt;'[1]Methods write-up'!$R$19,'[1]observations-276632'!X812&gt;'[1]Methods write-up'!$S$19,'[1]observations-276632'!X812&lt;'[1]Methods write-up'!$T$19),"East Africa","")</f>
        <v/>
      </c>
      <c r="BB812" s="22" t="str">
        <f>IF(AND('[1]observations-276632'!W812&gt;'[1]Methods write-up'!$Q$20,'[1]observations-276632'!W812&lt;'[1]Methods write-up'!$R$20,'[1]observations-276632'!X812&gt;'[1]Methods write-up'!$S$20,'[1]observations-276632'!X812&lt;'[1]Methods write-up'!$T$20),"Temperate seasonal","")</f>
        <v/>
      </c>
      <c r="BC812" s="22" t="str">
        <f>IF(AND('[1]observations-276632'!W812&gt;'[1]Methods write-up'!$Q$21,'[1]observations-276632'!W812&lt;'[1]Methods write-up'!$R$21,'[1]observations-276632'!X812&gt;'[1]Methods write-up'!$S$21,'[1]observations-276632'!X812&lt;'[1]Methods write-up'!$T$21),"Desert and high aridity","")</f>
        <v/>
      </c>
      <c r="BD812" s="23" t="str">
        <f t="shared" si="54"/>
        <v>West and Central Africa</v>
      </c>
      <c r="BE812" s="24">
        <f t="shared" si="52"/>
        <v>25</v>
      </c>
      <c r="BF812" s="24">
        <f t="shared" si="53"/>
        <v>8</v>
      </c>
    </row>
    <row r="813" spans="1:58" ht="16.25" customHeight="1" x14ac:dyDescent="0.2">
      <c r="A813">
        <v>95943485</v>
      </c>
      <c r="B813" t="s">
        <v>6067</v>
      </c>
      <c r="C813" s="14">
        <v>44456</v>
      </c>
      <c r="D813" t="s">
        <v>6068</v>
      </c>
      <c r="E813" t="s">
        <v>1408</v>
      </c>
      <c r="F813">
        <v>4524569</v>
      </c>
      <c r="G813" t="s">
        <v>6069</v>
      </c>
      <c r="H813" t="s">
        <v>6070</v>
      </c>
      <c r="I813" t="s">
        <v>6071</v>
      </c>
      <c r="J813" t="s">
        <v>6072</v>
      </c>
      <c r="K813" t="s">
        <v>157</v>
      </c>
      <c r="L813" t="s">
        <v>63</v>
      </c>
      <c r="M813" t="s">
        <v>6073</v>
      </c>
      <c r="N813" t="s">
        <v>6074</v>
      </c>
      <c r="Q813" t="s">
        <v>6075</v>
      </c>
      <c r="R813">
        <v>2</v>
      </c>
      <c r="S813">
        <v>0</v>
      </c>
      <c r="T813" t="b">
        <v>0</v>
      </c>
      <c r="V813" t="s">
        <v>6076</v>
      </c>
      <c r="W813" s="15">
        <v>11.5742086</v>
      </c>
      <c r="X813" s="15">
        <v>37.361353299999998</v>
      </c>
      <c r="Y813">
        <v>13399</v>
      </c>
      <c r="AC813">
        <v>13399</v>
      </c>
      <c r="AF813" t="b">
        <v>0</v>
      </c>
      <c r="AI813" t="s">
        <v>3123</v>
      </c>
      <c r="AJ813" t="s">
        <v>3123</v>
      </c>
      <c r="AL813" t="s">
        <v>72</v>
      </c>
      <c r="AM813">
        <v>652801</v>
      </c>
      <c r="AO813" s="16" t="s">
        <v>73</v>
      </c>
      <c r="AP813" s="17" t="str">
        <f t="shared" ref="AP813:AP820" si="55">IF(COUNTIF(AO813,"*foundress*"),"Nest (foundress)",AO813)</f>
        <v>Off-nest female</v>
      </c>
      <c r="AX813" s="22" t="str">
        <f>IF(AND('[1]observations-276632'!W813&gt;'[1]Methods write-up'!$Q$16,'[1]observations-276632'!W813&lt;'[1]Methods write-up'!$R$16,'[1]observations-276632'!X813&gt;'[1]Methods write-up'!$S$16,'[1]observations-276632'!X813&lt;'[1]Methods write-up'!$T$16),"West and Central Africa","")</f>
        <v/>
      </c>
      <c r="AY813" s="22" t="str">
        <f>IF(AND('[1]observations-276632'!W813&gt;'[1]Methods write-up'!$Q$17,'[1]observations-276632'!W813&lt;'[1]Methods write-up'!$R$17,'[1]observations-276632'!X813&gt;'[1]Methods write-up'!$S$17,'[1]observations-276632'!X813&lt;'[1]Methods write-up'!$T$17),"Equatorial tropical forest","")</f>
        <v/>
      </c>
      <c r="AZ813" s="22" t="str">
        <f>IF(AND('[1]observations-276632'!W813&gt;'[1]Methods write-up'!$Q$18,'[1]observations-276632'!W813&lt;'[1]Methods write-up'!$R$18,'[1]observations-276632'!X813&gt;'[1]Methods write-up'!$S$18,'[1]observations-276632'!X813&lt;'[1]Methods write-up'!$T$18),"Somali peninsula","")</f>
        <v>Somali peninsula</v>
      </c>
      <c r="BA813" s="22" t="str">
        <f>IF(AND('[1]observations-276632'!W813&gt;'[1]Methods write-up'!$Q$19,'[1]observations-276632'!W813&lt;'[1]Methods write-up'!$R$19,'[1]observations-276632'!X813&gt;'[1]Methods write-up'!$S$19,'[1]observations-276632'!X813&lt;'[1]Methods write-up'!$T$19),"East Africa","")</f>
        <v/>
      </c>
      <c r="BB813" s="22" t="str">
        <f>IF(AND('[1]observations-276632'!W813&gt;'[1]Methods write-up'!$Q$20,'[1]observations-276632'!W813&lt;'[1]Methods write-up'!$R$20,'[1]observations-276632'!X813&gt;'[1]Methods write-up'!$S$20,'[1]observations-276632'!X813&lt;'[1]Methods write-up'!$T$20),"Temperate seasonal","")</f>
        <v/>
      </c>
      <c r="BC813" s="22" t="str">
        <f>IF(AND('[1]observations-276632'!W813&gt;'[1]Methods write-up'!$Q$21,'[1]observations-276632'!W813&lt;'[1]Methods write-up'!$R$21,'[1]observations-276632'!X813&gt;'[1]Methods write-up'!$S$21,'[1]observations-276632'!X813&lt;'[1]Methods write-up'!$T$21),"Desert and high aridity","")</f>
        <v/>
      </c>
      <c r="BD813" s="23" t="str">
        <f t="shared" si="54"/>
        <v>Somali peninsula</v>
      </c>
      <c r="BE813" s="24">
        <f t="shared" si="52"/>
        <v>17</v>
      </c>
      <c r="BF813" s="24">
        <f t="shared" si="53"/>
        <v>9</v>
      </c>
    </row>
    <row r="814" spans="1:58" ht="16.25" customHeight="1" x14ac:dyDescent="0.2">
      <c r="A814">
        <v>95960173</v>
      </c>
      <c r="B814" s="25">
        <v>44462.674305555556</v>
      </c>
      <c r="C814" s="14">
        <v>44462</v>
      </c>
      <c r="D814" t="s">
        <v>6077</v>
      </c>
      <c r="E814" t="s">
        <v>1408</v>
      </c>
      <c r="F814">
        <v>5045089</v>
      </c>
      <c r="G814" t="s">
        <v>6078</v>
      </c>
      <c r="H814" t="s">
        <v>6079</v>
      </c>
      <c r="I814" t="s">
        <v>6080</v>
      </c>
      <c r="J814" t="s">
        <v>6081</v>
      </c>
      <c r="K814" t="s">
        <v>62</v>
      </c>
      <c r="M814" t="s">
        <v>6082</v>
      </c>
      <c r="N814" t="s">
        <v>6083</v>
      </c>
      <c r="R814">
        <v>0</v>
      </c>
      <c r="S814">
        <v>0</v>
      </c>
      <c r="T814" t="b">
        <v>0</v>
      </c>
      <c r="U814">
        <v>2</v>
      </c>
      <c r="V814" t="s">
        <v>6084</v>
      </c>
      <c r="W814" s="15">
        <v>-25.572426270000001</v>
      </c>
      <c r="X814" s="15">
        <v>31.18108045</v>
      </c>
      <c r="Y814">
        <v>202</v>
      </c>
      <c r="AC814">
        <v>202</v>
      </c>
      <c r="AF814" t="b">
        <v>0</v>
      </c>
      <c r="AG814" t="s">
        <v>350</v>
      </c>
      <c r="AH814" t="s">
        <v>350</v>
      </c>
      <c r="AI814" t="s">
        <v>102</v>
      </c>
      <c r="AJ814" t="s">
        <v>102</v>
      </c>
      <c r="AL814" t="s">
        <v>72</v>
      </c>
      <c r="AM814">
        <v>1070939</v>
      </c>
      <c r="AO814" s="16" t="s">
        <v>110</v>
      </c>
      <c r="AP814" s="17" t="str">
        <f t="shared" si="55"/>
        <v>Nest (foundress)</v>
      </c>
      <c r="AQ814" s="18">
        <v>1</v>
      </c>
      <c r="AT814" s="19" t="s">
        <v>104</v>
      </c>
      <c r="AX814" s="22" t="str">
        <f>IF(AND('[1]observations-276632'!W814&gt;'[1]Methods write-up'!$Q$16,'[1]observations-276632'!W814&lt;'[1]Methods write-up'!$R$16,'[1]observations-276632'!X814&gt;'[1]Methods write-up'!$S$16,'[1]observations-276632'!X814&lt;'[1]Methods write-up'!$T$16),"West and Central Africa","")</f>
        <v/>
      </c>
      <c r="AY814" s="22" t="str">
        <f>IF(AND('[1]observations-276632'!W814&gt;'[1]Methods write-up'!$Q$17,'[1]observations-276632'!W814&lt;'[1]Methods write-up'!$R$17,'[1]observations-276632'!X814&gt;'[1]Methods write-up'!$S$17,'[1]observations-276632'!X814&lt;'[1]Methods write-up'!$T$17),"Equatorial tropical forest","")</f>
        <v/>
      </c>
      <c r="AZ814" s="22" t="str">
        <f>IF(AND('[1]observations-276632'!W814&gt;'[1]Methods write-up'!$Q$18,'[1]observations-276632'!W814&lt;'[1]Methods write-up'!$R$18,'[1]observations-276632'!X814&gt;'[1]Methods write-up'!$S$18,'[1]observations-276632'!X814&lt;'[1]Methods write-up'!$T$18),"Somali peninsula","")</f>
        <v/>
      </c>
      <c r="BA814" s="22" t="str">
        <f>IF(AND('[1]observations-276632'!W814&gt;'[1]Methods write-up'!$Q$19,'[1]observations-276632'!W814&lt;'[1]Methods write-up'!$R$19,'[1]observations-276632'!X814&gt;'[1]Methods write-up'!$S$19,'[1]observations-276632'!X814&lt;'[1]Methods write-up'!$T$19),"East Africa","")</f>
        <v/>
      </c>
      <c r="BB814" s="22" t="str">
        <f>IF(AND('[1]observations-276632'!W814&gt;'[1]Methods write-up'!$Q$20,'[1]observations-276632'!W814&lt;'[1]Methods write-up'!$R$20,'[1]observations-276632'!X814&gt;'[1]Methods write-up'!$S$20,'[1]observations-276632'!X814&lt;'[1]Methods write-up'!$T$20),"Temperate seasonal","")</f>
        <v>Temperate seasonal</v>
      </c>
      <c r="BC814" s="22" t="str">
        <f>IF(AND('[1]observations-276632'!W814&gt;'[1]Methods write-up'!$Q$21,'[1]observations-276632'!W814&lt;'[1]Methods write-up'!$R$21,'[1]observations-276632'!X814&gt;'[1]Methods write-up'!$S$21,'[1]observations-276632'!X814&lt;'[1]Methods write-up'!$T$21),"Desert and high aridity","")</f>
        <v/>
      </c>
      <c r="BD814" s="23" t="str">
        <f t="shared" si="54"/>
        <v>Temperate seasonal</v>
      </c>
      <c r="BE814" s="24">
        <f t="shared" si="52"/>
        <v>23</v>
      </c>
      <c r="BF814" s="24">
        <f t="shared" si="53"/>
        <v>9</v>
      </c>
    </row>
    <row r="815" spans="1:58" ht="16.25" customHeight="1" x14ac:dyDescent="0.2">
      <c r="A815">
        <v>96609730</v>
      </c>
      <c r="B815" t="s">
        <v>6085</v>
      </c>
      <c r="C815" s="14">
        <v>43015</v>
      </c>
      <c r="D815" t="s">
        <v>6086</v>
      </c>
      <c r="E815" t="s">
        <v>243</v>
      </c>
      <c r="F815">
        <v>2697567</v>
      </c>
      <c r="G815" t="s">
        <v>6087</v>
      </c>
      <c r="I815" t="s">
        <v>6088</v>
      </c>
      <c r="J815" t="s">
        <v>6089</v>
      </c>
      <c r="K815" t="s">
        <v>62</v>
      </c>
      <c r="L815" t="s">
        <v>63</v>
      </c>
      <c r="M815" t="s">
        <v>6090</v>
      </c>
      <c r="N815" t="s">
        <v>6091</v>
      </c>
      <c r="R815">
        <v>3</v>
      </c>
      <c r="S815">
        <v>0</v>
      </c>
      <c r="T815" t="b">
        <v>0</v>
      </c>
      <c r="V815" t="s">
        <v>6092</v>
      </c>
      <c r="W815" s="15">
        <v>-26.050567699999998</v>
      </c>
      <c r="X815" s="15">
        <v>28.245038600000001</v>
      </c>
      <c r="Y815">
        <v>201</v>
      </c>
      <c r="AC815">
        <v>201</v>
      </c>
      <c r="AF815" t="b">
        <v>0</v>
      </c>
      <c r="AI815" t="s">
        <v>71</v>
      </c>
      <c r="AJ815" t="s">
        <v>70</v>
      </c>
      <c r="AK815" t="s">
        <v>71</v>
      </c>
      <c r="AL815" t="s">
        <v>72</v>
      </c>
      <c r="AM815">
        <v>346053</v>
      </c>
      <c r="AO815" s="16" t="s">
        <v>73</v>
      </c>
      <c r="AP815" s="17" t="str">
        <f t="shared" si="55"/>
        <v>Off-nest female</v>
      </c>
      <c r="AX815" s="22" t="str">
        <f>IF(AND('[1]observations-276632'!W815&gt;'[1]Methods write-up'!$Q$16,'[1]observations-276632'!W815&lt;'[1]Methods write-up'!$R$16,'[1]observations-276632'!X815&gt;'[1]Methods write-up'!$S$16,'[1]observations-276632'!X815&lt;'[1]Methods write-up'!$T$16),"West and Central Africa","")</f>
        <v/>
      </c>
      <c r="AY815" s="22" t="str">
        <f>IF(AND('[1]observations-276632'!W815&gt;'[1]Methods write-up'!$Q$17,'[1]observations-276632'!W815&lt;'[1]Methods write-up'!$R$17,'[1]observations-276632'!X815&gt;'[1]Methods write-up'!$S$17,'[1]observations-276632'!X815&lt;'[1]Methods write-up'!$T$17),"Equatorial tropical forest","")</f>
        <v/>
      </c>
      <c r="AZ815" s="22" t="str">
        <f>IF(AND('[1]observations-276632'!W815&gt;'[1]Methods write-up'!$Q$18,'[1]observations-276632'!W815&lt;'[1]Methods write-up'!$R$18,'[1]observations-276632'!X815&gt;'[1]Methods write-up'!$S$18,'[1]observations-276632'!X815&lt;'[1]Methods write-up'!$T$18),"Somali peninsula","")</f>
        <v/>
      </c>
      <c r="BA815" s="22" t="str">
        <f>IF(AND('[1]observations-276632'!W815&gt;'[1]Methods write-up'!$Q$19,'[1]observations-276632'!W815&lt;'[1]Methods write-up'!$R$19,'[1]observations-276632'!X815&gt;'[1]Methods write-up'!$S$19,'[1]observations-276632'!X815&lt;'[1]Methods write-up'!$T$19),"East Africa","")</f>
        <v/>
      </c>
      <c r="BB815" s="22" t="str">
        <f>IF(AND('[1]observations-276632'!W815&gt;'[1]Methods write-up'!$Q$20,'[1]observations-276632'!W815&lt;'[1]Methods write-up'!$R$20,'[1]observations-276632'!X815&gt;'[1]Methods write-up'!$S$20,'[1]observations-276632'!X815&lt;'[1]Methods write-up'!$T$20),"Temperate seasonal","")</f>
        <v>Temperate seasonal</v>
      </c>
      <c r="BC815" s="22" t="str">
        <f>IF(AND('[1]observations-276632'!W815&gt;'[1]Methods write-up'!$Q$21,'[1]observations-276632'!W815&lt;'[1]Methods write-up'!$R$21,'[1]observations-276632'!X815&gt;'[1]Methods write-up'!$S$21,'[1]observations-276632'!X815&lt;'[1]Methods write-up'!$T$21),"Desert and high aridity","")</f>
        <v/>
      </c>
      <c r="BD815" s="23" t="str">
        <f t="shared" si="54"/>
        <v>Temperate seasonal</v>
      </c>
      <c r="BE815" s="24">
        <f t="shared" si="52"/>
        <v>7</v>
      </c>
      <c r="BF815" s="24">
        <f t="shared" si="53"/>
        <v>10</v>
      </c>
    </row>
    <row r="816" spans="1:58" ht="16.25" customHeight="1" x14ac:dyDescent="0.2">
      <c r="A816">
        <v>96609765</v>
      </c>
      <c r="B816" t="s">
        <v>6093</v>
      </c>
      <c r="C816" s="14">
        <v>43004</v>
      </c>
      <c r="D816" t="s">
        <v>6094</v>
      </c>
      <c r="E816" t="s">
        <v>243</v>
      </c>
      <c r="F816">
        <v>2697567</v>
      </c>
      <c r="G816" t="s">
        <v>6087</v>
      </c>
      <c r="I816" t="s">
        <v>6095</v>
      </c>
      <c r="J816" t="s">
        <v>6096</v>
      </c>
      <c r="K816" t="s">
        <v>62</v>
      </c>
      <c r="L816" t="s">
        <v>63</v>
      </c>
      <c r="M816" t="s">
        <v>6097</v>
      </c>
      <c r="N816" t="s">
        <v>6098</v>
      </c>
      <c r="R816">
        <v>3</v>
      </c>
      <c r="S816">
        <v>0</v>
      </c>
      <c r="T816" t="b">
        <v>0</v>
      </c>
      <c r="V816" t="s">
        <v>6092</v>
      </c>
      <c r="W816" s="15">
        <v>-26.050567699999998</v>
      </c>
      <c r="X816" s="15">
        <v>28.245038600000001</v>
      </c>
      <c r="Y816">
        <v>201</v>
      </c>
      <c r="AC816">
        <v>201</v>
      </c>
      <c r="AF816" t="b">
        <v>0</v>
      </c>
      <c r="AI816" t="s">
        <v>71</v>
      </c>
      <c r="AJ816" t="s">
        <v>70</v>
      </c>
      <c r="AK816" t="s">
        <v>71</v>
      </c>
      <c r="AL816" t="s">
        <v>72</v>
      </c>
      <c r="AM816">
        <v>346053</v>
      </c>
      <c r="AO816" s="16" t="s">
        <v>110</v>
      </c>
      <c r="AP816" s="17" t="str">
        <f t="shared" si="55"/>
        <v>Nest (foundress)</v>
      </c>
      <c r="AQ816" s="18">
        <v>1</v>
      </c>
      <c r="AT816" s="19" t="s">
        <v>104</v>
      </c>
      <c r="AX816" s="22" t="str">
        <f>IF(AND('[1]observations-276632'!W816&gt;'[1]Methods write-up'!$Q$16,'[1]observations-276632'!W816&lt;'[1]Methods write-up'!$R$16,'[1]observations-276632'!X816&gt;'[1]Methods write-up'!$S$16,'[1]observations-276632'!X816&lt;'[1]Methods write-up'!$T$16),"West and Central Africa","")</f>
        <v/>
      </c>
      <c r="AY816" s="22" t="str">
        <f>IF(AND('[1]observations-276632'!W816&gt;'[1]Methods write-up'!$Q$17,'[1]observations-276632'!W816&lt;'[1]Methods write-up'!$R$17,'[1]observations-276632'!X816&gt;'[1]Methods write-up'!$S$17,'[1]observations-276632'!X816&lt;'[1]Methods write-up'!$T$17),"Equatorial tropical forest","")</f>
        <v/>
      </c>
      <c r="AZ816" s="22" t="str">
        <f>IF(AND('[1]observations-276632'!W816&gt;'[1]Methods write-up'!$Q$18,'[1]observations-276632'!W816&lt;'[1]Methods write-up'!$R$18,'[1]observations-276632'!X816&gt;'[1]Methods write-up'!$S$18,'[1]observations-276632'!X816&lt;'[1]Methods write-up'!$T$18),"Somali peninsula","")</f>
        <v/>
      </c>
      <c r="BA816" s="22" t="str">
        <f>IF(AND('[1]observations-276632'!W816&gt;'[1]Methods write-up'!$Q$19,'[1]observations-276632'!W816&lt;'[1]Methods write-up'!$R$19,'[1]observations-276632'!X816&gt;'[1]Methods write-up'!$S$19,'[1]observations-276632'!X816&lt;'[1]Methods write-up'!$T$19),"East Africa","")</f>
        <v/>
      </c>
      <c r="BB816" s="22" t="str">
        <f>IF(AND('[1]observations-276632'!W816&gt;'[1]Methods write-up'!$Q$20,'[1]observations-276632'!W816&lt;'[1]Methods write-up'!$R$20,'[1]observations-276632'!X816&gt;'[1]Methods write-up'!$S$20,'[1]observations-276632'!X816&lt;'[1]Methods write-up'!$T$20),"Temperate seasonal","")</f>
        <v>Temperate seasonal</v>
      </c>
      <c r="BC816" s="22" t="str">
        <f>IF(AND('[1]observations-276632'!W816&gt;'[1]Methods write-up'!$Q$21,'[1]observations-276632'!W816&lt;'[1]Methods write-up'!$R$21,'[1]observations-276632'!X816&gt;'[1]Methods write-up'!$S$21,'[1]observations-276632'!X816&lt;'[1]Methods write-up'!$T$21),"Desert and high aridity","")</f>
        <v/>
      </c>
      <c r="BD816" s="23" t="str">
        <f t="shared" si="54"/>
        <v>Temperate seasonal</v>
      </c>
      <c r="BE816" s="24">
        <f t="shared" si="52"/>
        <v>26</v>
      </c>
      <c r="BF816" s="24">
        <f t="shared" si="53"/>
        <v>9</v>
      </c>
    </row>
    <row r="817" spans="1:58" ht="16.25" customHeight="1" x14ac:dyDescent="0.2">
      <c r="A817">
        <v>97045904</v>
      </c>
      <c r="B817" t="s">
        <v>6099</v>
      </c>
      <c r="C817" s="14">
        <v>44472</v>
      </c>
      <c r="D817" t="s">
        <v>6100</v>
      </c>
      <c r="E817" t="s">
        <v>113</v>
      </c>
      <c r="F817">
        <v>121603</v>
      </c>
      <c r="G817" t="s">
        <v>1286</v>
      </c>
      <c r="I817" t="s">
        <v>6101</v>
      </c>
      <c r="J817" t="s">
        <v>6102</v>
      </c>
      <c r="K817" t="s">
        <v>62</v>
      </c>
      <c r="L817" t="s">
        <v>63</v>
      </c>
      <c r="M817" t="s">
        <v>6103</v>
      </c>
      <c r="N817" t="s">
        <v>6104</v>
      </c>
      <c r="R817">
        <v>1</v>
      </c>
      <c r="S817">
        <v>0</v>
      </c>
      <c r="T817" t="b">
        <v>0</v>
      </c>
      <c r="U817">
        <v>3</v>
      </c>
      <c r="V817" t="s">
        <v>6105</v>
      </c>
      <c r="W817" s="15">
        <v>-15.345995</v>
      </c>
      <c r="X817" s="15">
        <v>35.300258329999998</v>
      </c>
      <c r="Y817">
        <v>4</v>
      </c>
      <c r="AC817">
        <v>4</v>
      </c>
      <c r="AF817" t="b">
        <v>0</v>
      </c>
      <c r="AI817" t="s">
        <v>71</v>
      </c>
      <c r="AJ817" t="s">
        <v>70</v>
      </c>
      <c r="AK817" t="s">
        <v>71</v>
      </c>
      <c r="AL817" t="s">
        <v>72</v>
      </c>
      <c r="AM817">
        <v>346053</v>
      </c>
      <c r="AO817" s="16" t="s">
        <v>73</v>
      </c>
      <c r="AP817" s="17" t="str">
        <f t="shared" si="55"/>
        <v>Off-nest female</v>
      </c>
      <c r="AX817" s="22" t="str">
        <f>IF(AND('[1]observations-276632'!W817&gt;'[1]Methods write-up'!$Q$16,'[1]observations-276632'!W817&lt;'[1]Methods write-up'!$R$16,'[1]observations-276632'!X817&gt;'[1]Methods write-up'!$S$16,'[1]observations-276632'!X817&lt;'[1]Methods write-up'!$T$16),"West and Central Africa","")</f>
        <v/>
      </c>
      <c r="AY817" s="22" t="str">
        <f>IF(AND('[1]observations-276632'!W817&gt;'[1]Methods write-up'!$Q$17,'[1]observations-276632'!W817&lt;'[1]Methods write-up'!$R$17,'[1]observations-276632'!X817&gt;'[1]Methods write-up'!$S$17,'[1]observations-276632'!X817&lt;'[1]Methods write-up'!$T$17),"Equatorial tropical forest","")</f>
        <v/>
      </c>
      <c r="AZ817" s="22" t="str">
        <f>IF(AND('[1]observations-276632'!W817&gt;'[1]Methods write-up'!$Q$18,'[1]observations-276632'!W817&lt;'[1]Methods write-up'!$R$18,'[1]observations-276632'!X817&gt;'[1]Methods write-up'!$S$18,'[1]observations-276632'!X817&lt;'[1]Methods write-up'!$T$18),"Somali peninsula","")</f>
        <v/>
      </c>
      <c r="BA817" s="22" t="str">
        <f>IF(AND('[1]observations-276632'!W817&gt;'[1]Methods write-up'!$Q$19,'[1]observations-276632'!W817&lt;'[1]Methods write-up'!$R$19,'[1]observations-276632'!X817&gt;'[1]Methods write-up'!$S$19,'[1]observations-276632'!X817&lt;'[1]Methods write-up'!$T$19),"East Africa","")</f>
        <v/>
      </c>
      <c r="BB817" s="22" t="str">
        <f>IF(AND('[1]observations-276632'!W817&gt;'[1]Methods write-up'!$Q$20,'[1]observations-276632'!W817&lt;'[1]Methods write-up'!$R$20,'[1]observations-276632'!X817&gt;'[1]Methods write-up'!$S$20,'[1]observations-276632'!X817&lt;'[1]Methods write-up'!$T$20),"Temperate seasonal","")</f>
        <v/>
      </c>
      <c r="BC817" s="22" t="str">
        <f>IF(AND('[1]observations-276632'!W817&gt;'[1]Methods write-up'!$Q$21,'[1]observations-276632'!W817&lt;'[1]Methods write-up'!$R$21,'[1]observations-276632'!X817&gt;'[1]Methods write-up'!$S$21,'[1]observations-276632'!X817&lt;'[1]Methods write-up'!$T$21),"Desert and high aridity","")</f>
        <v/>
      </c>
      <c r="BD817" s="23" t="str">
        <f t="shared" si="54"/>
        <v/>
      </c>
      <c r="BE817" s="24">
        <f t="shared" si="52"/>
        <v>3</v>
      </c>
      <c r="BF817" s="24">
        <f t="shared" si="53"/>
        <v>10</v>
      </c>
    </row>
    <row r="818" spans="1:58" ht="16.25" customHeight="1" x14ac:dyDescent="0.2">
      <c r="A818">
        <v>97337420</v>
      </c>
      <c r="B818" t="s">
        <v>6106</v>
      </c>
      <c r="C818" s="14">
        <v>44475</v>
      </c>
      <c r="D818" t="s">
        <v>6107</v>
      </c>
      <c r="E818" t="s">
        <v>113</v>
      </c>
      <c r="F818">
        <v>3857722</v>
      </c>
      <c r="G818" t="s">
        <v>4422</v>
      </c>
      <c r="H818" t="s">
        <v>4423</v>
      </c>
      <c r="I818" t="s">
        <v>6108</v>
      </c>
      <c r="J818" t="s">
        <v>6109</v>
      </c>
      <c r="K818" t="s">
        <v>62</v>
      </c>
      <c r="L818" t="s">
        <v>63</v>
      </c>
      <c r="M818" t="s">
        <v>6110</v>
      </c>
      <c r="N818" t="s">
        <v>6111</v>
      </c>
      <c r="R818">
        <v>2</v>
      </c>
      <c r="S818">
        <v>0</v>
      </c>
      <c r="T818" t="b">
        <v>0</v>
      </c>
      <c r="U818">
        <v>3</v>
      </c>
      <c r="V818" t="s">
        <v>6112</v>
      </c>
      <c r="W818" s="15">
        <v>-15.746446669999999</v>
      </c>
      <c r="X818" s="15">
        <v>34.995800000000003</v>
      </c>
      <c r="Y818">
        <v>4</v>
      </c>
      <c r="AC818">
        <v>4</v>
      </c>
      <c r="AF818" t="b">
        <v>0</v>
      </c>
      <c r="AI818" t="s">
        <v>71</v>
      </c>
      <c r="AJ818" t="s">
        <v>70</v>
      </c>
      <c r="AK818" t="s">
        <v>71</v>
      </c>
      <c r="AL818" t="s">
        <v>72</v>
      </c>
      <c r="AM818">
        <v>346053</v>
      </c>
      <c r="AO818" s="16" t="s">
        <v>140</v>
      </c>
      <c r="AP818" s="17" t="str">
        <f t="shared" si="55"/>
        <v>Post-emergence nest</v>
      </c>
      <c r="AQ818" s="18">
        <v>2</v>
      </c>
      <c r="AT818" s="19" t="s">
        <v>104</v>
      </c>
      <c r="AU818" s="20" t="s">
        <v>104</v>
      </c>
      <c r="AX818" s="22" t="str">
        <f>IF(AND('[1]observations-276632'!W818&gt;'[1]Methods write-up'!$Q$16,'[1]observations-276632'!W818&lt;'[1]Methods write-up'!$R$16,'[1]observations-276632'!X818&gt;'[1]Methods write-up'!$S$16,'[1]observations-276632'!X818&lt;'[1]Methods write-up'!$T$16),"West and Central Africa","")</f>
        <v/>
      </c>
      <c r="AY818" s="22" t="str">
        <f>IF(AND('[1]observations-276632'!W818&gt;'[1]Methods write-up'!$Q$17,'[1]observations-276632'!W818&lt;'[1]Methods write-up'!$R$17,'[1]observations-276632'!X818&gt;'[1]Methods write-up'!$S$17,'[1]observations-276632'!X818&lt;'[1]Methods write-up'!$T$17),"Equatorial tropical forest","")</f>
        <v/>
      </c>
      <c r="AZ818" s="22" t="str">
        <f>IF(AND('[1]observations-276632'!W818&gt;'[1]Methods write-up'!$Q$18,'[1]observations-276632'!W818&lt;'[1]Methods write-up'!$R$18,'[1]observations-276632'!X818&gt;'[1]Methods write-up'!$S$18,'[1]observations-276632'!X818&lt;'[1]Methods write-up'!$T$18),"Somali peninsula","")</f>
        <v/>
      </c>
      <c r="BA818" s="22" t="str">
        <f>IF(AND('[1]observations-276632'!W818&gt;'[1]Methods write-up'!$Q$19,'[1]observations-276632'!W818&lt;'[1]Methods write-up'!$R$19,'[1]observations-276632'!X818&gt;'[1]Methods write-up'!$S$19,'[1]observations-276632'!X818&lt;'[1]Methods write-up'!$T$19),"East Africa","")</f>
        <v/>
      </c>
      <c r="BB818" s="22" t="str">
        <f>IF(AND('[1]observations-276632'!W818&gt;'[1]Methods write-up'!$Q$20,'[1]observations-276632'!W818&lt;'[1]Methods write-up'!$R$20,'[1]observations-276632'!X818&gt;'[1]Methods write-up'!$S$20,'[1]observations-276632'!X818&lt;'[1]Methods write-up'!$T$20),"Temperate seasonal","")</f>
        <v/>
      </c>
      <c r="BC818" s="22" t="str">
        <f>IF(AND('[1]observations-276632'!W818&gt;'[1]Methods write-up'!$Q$21,'[1]observations-276632'!W818&lt;'[1]Methods write-up'!$R$21,'[1]observations-276632'!X818&gt;'[1]Methods write-up'!$S$21,'[1]observations-276632'!X818&lt;'[1]Methods write-up'!$T$21),"Desert and high aridity","")</f>
        <v/>
      </c>
      <c r="BD818" s="23" t="str">
        <f t="shared" si="54"/>
        <v/>
      </c>
      <c r="BE818" s="24">
        <f t="shared" si="52"/>
        <v>6</v>
      </c>
      <c r="BF818" s="24">
        <f t="shared" si="53"/>
        <v>10</v>
      </c>
    </row>
    <row r="819" spans="1:58" ht="16.25" customHeight="1" x14ac:dyDescent="0.2">
      <c r="A819">
        <v>97978457</v>
      </c>
      <c r="B819" s="25">
        <v>43927.575694444444</v>
      </c>
      <c r="C819" s="14">
        <v>43927</v>
      </c>
      <c r="D819" t="s">
        <v>6113</v>
      </c>
      <c r="E819" t="s">
        <v>84</v>
      </c>
      <c r="F819">
        <v>4443260</v>
      </c>
      <c r="G819" t="s">
        <v>5858</v>
      </c>
      <c r="H819" t="s">
        <v>5859</v>
      </c>
      <c r="I819" t="s">
        <v>6114</v>
      </c>
      <c r="J819" t="s">
        <v>6115</v>
      </c>
      <c r="K819" t="s">
        <v>62</v>
      </c>
      <c r="M819" t="s">
        <v>6116</v>
      </c>
      <c r="N819" t="s">
        <v>6117</v>
      </c>
      <c r="R819">
        <v>2</v>
      </c>
      <c r="S819">
        <v>0</v>
      </c>
      <c r="T819" t="b">
        <v>0</v>
      </c>
      <c r="U819">
        <v>2</v>
      </c>
      <c r="V819" t="s">
        <v>6118</v>
      </c>
      <c r="W819" s="15">
        <v>-1.2840808610000001</v>
      </c>
      <c r="X819" s="15">
        <v>36.988955140000002</v>
      </c>
      <c r="Y819">
        <v>213</v>
      </c>
      <c r="AC819">
        <v>213</v>
      </c>
      <c r="AF819" t="b">
        <v>0</v>
      </c>
      <c r="AG819" t="s">
        <v>350</v>
      </c>
      <c r="AH819" t="s">
        <v>350</v>
      </c>
      <c r="AI819" t="s">
        <v>71</v>
      </c>
      <c r="AJ819" t="s">
        <v>70</v>
      </c>
      <c r="AK819" t="s">
        <v>71</v>
      </c>
      <c r="AL819" t="s">
        <v>72</v>
      </c>
      <c r="AM819">
        <v>346053</v>
      </c>
      <c r="AO819" s="16" t="s">
        <v>73</v>
      </c>
      <c r="AP819" s="17" t="str">
        <f t="shared" si="55"/>
        <v>Off-nest female</v>
      </c>
      <c r="AX819" s="22" t="str">
        <f>IF(AND('[1]observations-276632'!W819&gt;'[1]Methods write-up'!$Q$16,'[1]observations-276632'!W819&lt;'[1]Methods write-up'!$R$16,'[1]observations-276632'!X819&gt;'[1]Methods write-up'!$S$16,'[1]observations-276632'!X819&lt;'[1]Methods write-up'!$T$16),"West and Central Africa","")</f>
        <v/>
      </c>
      <c r="AY819" s="22" t="str">
        <f>IF(AND('[1]observations-276632'!W819&gt;'[1]Methods write-up'!$Q$17,'[1]observations-276632'!W819&lt;'[1]Methods write-up'!$R$17,'[1]observations-276632'!X819&gt;'[1]Methods write-up'!$S$17,'[1]observations-276632'!X819&lt;'[1]Methods write-up'!$T$17),"Equatorial tropical forest","")</f>
        <v/>
      </c>
      <c r="AZ819" s="22" t="str">
        <f>IF(AND('[1]observations-276632'!W819&gt;'[1]Methods write-up'!$Q$18,'[1]observations-276632'!W819&lt;'[1]Methods write-up'!$R$18,'[1]observations-276632'!X819&gt;'[1]Methods write-up'!$S$18,'[1]observations-276632'!X819&lt;'[1]Methods write-up'!$T$18),"Somali peninsula","")</f>
        <v/>
      </c>
      <c r="BA819" s="22" t="str">
        <f>IF(AND('[1]observations-276632'!W819&gt;'[1]Methods write-up'!$Q$19,'[1]observations-276632'!W819&lt;'[1]Methods write-up'!$R$19,'[1]observations-276632'!X819&gt;'[1]Methods write-up'!$S$19,'[1]observations-276632'!X819&lt;'[1]Methods write-up'!$T$19),"East Africa","")</f>
        <v>East Africa</v>
      </c>
      <c r="BB819" s="22" t="str">
        <f>IF(AND('[1]observations-276632'!W819&gt;'[1]Methods write-up'!$Q$20,'[1]observations-276632'!W819&lt;'[1]Methods write-up'!$R$20,'[1]observations-276632'!X819&gt;'[1]Methods write-up'!$S$20,'[1]observations-276632'!X819&lt;'[1]Methods write-up'!$T$20),"Temperate seasonal","")</f>
        <v/>
      </c>
      <c r="BC819" s="22" t="str">
        <f>IF(AND('[1]observations-276632'!W819&gt;'[1]Methods write-up'!$Q$21,'[1]observations-276632'!W819&lt;'[1]Methods write-up'!$R$21,'[1]observations-276632'!X819&gt;'[1]Methods write-up'!$S$21,'[1]observations-276632'!X819&lt;'[1]Methods write-up'!$T$21),"Desert and high aridity","")</f>
        <v/>
      </c>
      <c r="BD819" s="23" t="str">
        <f t="shared" si="54"/>
        <v>East Africa</v>
      </c>
      <c r="BE819" s="24">
        <f t="shared" si="52"/>
        <v>6</v>
      </c>
      <c r="BF819" s="24">
        <f t="shared" si="53"/>
        <v>4</v>
      </c>
    </row>
    <row r="820" spans="1:58" ht="16.25" customHeight="1" x14ac:dyDescent="0.2">
      <c r="A820">
        <v>98023680</v>
      </c>
      <c r="B820" s="25">
        <v>44481.512499999997</v>
      </c>
      <c r="C820" s="14">
        <v>44481</v>
      </c>
      <c r="D820" t="s">
        <v>6119</v>
      </c>
      <c r="E820" t="s">
        <v>201</v>
      </c>
      <c r="F820">
        <v>2048113</v>
      </c>
      <c r="G820" t="s">
        <v>6120</v>
      </c>
      <c r="H820" t="s">
        <v>6121</v>
      </c>
      <c r="I820" t="s">
        <v>6122</v>
      </c>
      <c r="J820" t="s">
        <v>6123</v>
      </c>
      <c r="K820" t="s">
        <v>62</v>
      </c>
      <c r="L820" t="s">
        <v>98</v>
      </c>
      <c r="M820" t="s">
        <v>6124</v>
      </c>
      <c r="N820" t="s">
        <v>6125</v>
      </c>
      <c r="Q820" t="s">
        <v>6126</v>
      </c>
      <c r="R820">
        <v>2</v>
      </c>
      <c r="S820">
        <v>0</v>
      </c>
      <c r="T820" t="b">
        <v>0</v>
      </c>
      <c r="U820">
        <v>2</v>
      </c>
      <c r="V820" t="s">
        <v>6127</v>
      </c>
      <c r="W820" s="15">
        <v>6.8744702499999999</v>
      </c>
      <c r="X820" s="15">
        <v>2.148099889</v>
      </c>
      <c r="AF820" t="b">
        <v>0</v>
      </c>
      <c r="AG820" t="s">
        <v>350</v>
      </c>
      <c r="AH820" t="s">
        <v>350</v>
      </c>
      <c r="AI820" t="s">
        <v>71</v>
      </c>
      <c r="AJ820" t="s">
        <v>70</v>
      </c>
      <c r="AK820" t="s">
        <v>71</v>
      </c>
      <c r="AL820" t="s">
        <v>72</v>
      </c>
      <c r="AM820">
        <v>346053</v>
      </c>
      <c r="AO820" s="16" t="s">
        <v>140</v>
      </c>
      <c r="AP820" s="17" t="str">
        <f t="shared" si="55"/>
        <v>Post-emergence nest</v>
      </c>
      <c r="AQ820" s="18">
        <v>5</v>
      </c>
      <c r="AT820" s="19" t="s">
        <v>141</v>
      </c>
      <c r="AU820" s="20" t="s">
        <v>104</v>
      </c>
      <c r="AX820" s="22" t="str">
        <f>IF(AND('[1]observations-276632'!W820&gt;'[1]Methods write-up'!$Q$16,'[1]observations-276632'!W820&lt;'[1]Methods write-up'!$R$16,'[1]observations-276632'!X820&gt;'[1]Methods write-up'!$S$16,'[1]observations-276632'!X820&lt;'[1]Methods write-up'!$T$16),"West and Central Africa","")</f>
        <v>West and Central Africa</v>
      </c>
      <c r="AY820" s="22" t="str">
        <f>IF(AND('[1]observations-276632'!W820&gt;'[1]Methods write-up'!$Q$17,'[1]observations-276632'!W820&lt;'[1]Methods write-up'!$R$17,'[1]observations-276632'!X820&gt;'[1]Methods write-up'!$S$17,'[1]observations-276632'!X820&lt;'[1]Methods write-up'!$T$17),"Equatorial tropical forest","")</f>
        <v/>
      </c>
      <c r="AZ820" s="22" t="str">
        <f>IF(AND('[1]observations-276632'!W820&gt;'[1]Methods write-up'!$Q$18,'[1]observations-276632'!W820&lt;'[1]Methods write-up'!$R$18,'[1]observations-276632'!X820&gt;'[1]Methods write-up'!$S$18,'[1]observations-276632'!X820&lt;'[1]Methods write-up'!$T$18),"Somali peninsula","")</f>
        <v/>
      </c>
      <c r="BA820" s="22" t="str">
        <f>IF(AND('[1]observations-276632'!W820&gt;'[1]Methods write-up'!$Q$19,'[1]observations-276632'!W820&lt;'[1]Methods write-up'!$R$19,'[1]observations-276632'!X820&gt;'[1]Methods write-up'!$S$19,'[1]observations-276632'!X820&lt;'[1]Methods write-up'!$T$19),"East Africa","")</f>
        <v/>
      </c>
      <c r="BB820" s="22" t="str">
        <f>IF(AND('[1]observations-276632'!W820&gt;'[1]Methods write-up'!$Q$20,'[1]observations-276632'!W820&lt;'[1]Methods write-up'!$R$20,'[1]observations-276632'!X820&gt;'[1]Methods write-up'!$S$20,'[1]observations-276632'!X820&lt;'[1]Methods write-up'!$T$20),"Temperate seasonal","")</f>
        <v/>
      </c>
      <c r="BC820" s="22" t="str">
        <f>IF(AND('[1]observations-276632'!W820&gt;'[1]Methods write-up'!$Q$21,'[1]observations-276632'!W820&lt;'[1]Methods write-up'!$R$21,'[1]observations-276632'!X820&gt;'[1]Methods write-up'!$S$21,'[1]observations-276632'!X820&lt;'[1]Methods write-up'!$T$21),"Desert and high aridity","")</f>
        <v/>
      </c>
      <c r="BD820" s="23" t="str">
        <f t="shared" si="54"/>
        <v>West and Central Africa</v>
      </c>
      <c r="BE820" s="24">
        <f t="shared" si="52"/>
        <v>12</v>
      </c>
      <c r="BF820" s="24">
        <f t="shared" si="53"/>
        <v>10</v>
      </c>
    </row>
    <row r="821" spans="1:58" ht="16.25" customHeight="1" x14ac:dyDescent="0.2">
      <c r="A821">
        <v>99007382</v>
      </c>
      <c r="B821" t="s">
        <v>6128</v>
      </c>
      <c r="C821" s="14">
        <v>44491</v>
      </c>
      <c r="D821" t="s">
        <v>6129</v>
      </c>
      <c r="E821" t="s">
        <v>113</v>
      </c>
      <c r="F821">
        <v>778039</v>
      </c>
      <c r="G821" t="s">
        <v>3290</v>
      </c>
      <c r="H821" t="s">
        <v>3291</v>
      </c>
      <c r="I821" t="s">
        <v>6130</v>
      </c>
      <c r="J821" t="s">
        <v>6131</v>
      </c>
      <c r="K821" t="s">
        <v>62</v>
      </c>
      <c r="L821" t="s">
        <v>63</v>
      </c>
      <c r="M821" t="s">
        <v>6132</v>
      </c>
      <c r="N821" t="s">
        <v>6133</v>
      </c>
      <c r="R821">
        <v>1</v>
      </c>
      <c r="S821">
        <v>0</v>
      </c>
      <c r="T821" t="b">
        <v>0</v>
      </c>
      <c r="U821">
        <v>3</v>
      </c>
      <c r="V821" t="s">
        <v>6134</v>
      </c>
      <c r="W821" s="15">
        <v>-29.768261670000001</v>
      </c>
      <c r="X821" s="15">
        <v>30.843125000000001</v>
      </c>
      <c r="AF821" t="b">
        <v>0</v>
      </c>
      <c r="AI821" t="s">
        <v>71</v>
      </c>
      <c r="AJ821" t="s">
        <v>70</v>
      </c>
      <c r="AK821" t="s">
        <v>71</v>
      </c>
      <c r="AL821" t="s">
        <v>72</v>
      </c>
      <c r="AM821">
        <v>346053</v>
      </c>
      <c r="AO821" s="16" t="s">
        <v>2421</v>
      </c>
      <c r="AP821" s="16"/>
      <c r="AX821" s="22" t="str">
        <f>IF(AND('[1]observations-276632'!W821&gt;'[1]Methods write-up'!$Q$16,'[1]observations-276632'!W821&lt;'[1]Methods write-up'!$R$16,'[1]observations-276632'!X821&gt;'[1]Methods write-up'!$S$16,'[1]observations-276632'!X821&lt;'[1]Methods write-up'!$T$16),"West Africa","")</f>
        <v/>
      </c>
      <c r="AY821" s="22" t="str">
        <f>IF(AND('[1]observations-276632'!W821&gt;'[1]Methods write-up'!$Q$17,'[1]observations-276632'!W821&lt;'[1]Methods write-up'!$R$17,'[1]observations-276632'!X821&gt;'[1]Methods write-up'!$S$17,'[1]observations-276632'!X821&lt;'[1]Methods write-up'!$T$17),"Equatorial tropical forest","")</f>
        <v/>
      </c>
      <c r="AZ821" s="22" t="str">
        <f>IF(AND('[1]observations-276632'!W821&gt;'[1]Methods write-up'!$Q$18,'[1]observations-276632'!W821&lt;'[1]Methods write-up'!$R$18,'[1]observations-276632'!X821&gt;'[1]Methods write-up'!$S$18,'[1]observations-276632'!X821&lt;'[1]Methods write-up'!$T$18),"Somali peninsula","")</f>
        <v/>
      </c>
      <c r="BA821" s="22" t="str">
        <f>IF(AND('[1]observations-276632'!W821&gt;'[1]Methods write-up'!$Q$19,'[1]observations-276632'!W821&lt;'[1]Methods write-up'!$R$19,'[1]observations-276632'!X821&gt;'[1]Methods write-up'!$S$19,'[1]observations-276632'!X821&lt;'[1]Methods write-up'!$T$19),"East Africa","")</f>
        <v/>
      </c>
      <c r="BB821" s="22" t="str">
        <f>IF(AND('[1]observations-276632'!W821&gt;'[1]Methods write-up'!$Q$20,'[1]observations-276632'!W821&lt;'[1]Methods write-up'!$R$20,'[1]observations-276632'!X821&gt;'[1]Methods write-up'!$S$20,'[1]observations-276632'!X821&lt;'[1]Methods write-up'!$T$20),"Temperate seasonal","")</f>
        <v>Temperate seasonal</v>
      </c>
      <c r="BC821" s="22" t="str">
        <f>IF(AND('[1]observations-276632'!W821&gt;'[1]Methods write-up'!$Q$21,'[1]observations-276632'!W821&lt;'[1]Methods write-up'!$R$21,'[1]observations-276632'!X821&gt;'[1]Methods write-up'!$S$21,'[1]observations-276632'!X821&lt;'[1]Methods write-up'!$T$21),"Desert and high aridity","")</f>
        <v/>
      </c>
      <c r="BD821" s="23" t="str">
        <f t="shared" si="54"/>
        <v>Temperate seasonal</v>
      </c>
      <c r="BE821" s="24">
        <f t="shared" si="52"/>
        <v>22</v>
      </c>
      <c r="BF821" s="24">
        <f t="shared" si="53"/>
        <v>10</v>
      </c>
    </row>
    <row r="822" spans="1:58" ht="16.25" customHeight="1" x14ac:dyDescent="0.2">
      <c r="A822">
        <v>99012230</v>
      </c>
      <c r="B822" t="s">
        <v>6135</v>
      </c>
      <c r="C822" s="14">
        <v>44491</v>
      </c>
      <c r="D822" t="s">
        <v>6136</v>
      </c>
      <c r="E822" t="s">
        <v>113</v>
      </c>
      <c r="F822">
        <v>778039</v>
      </c>
      <c r="G822" t="s">
        <v>3290</v>
      </c>
      <c r="H822" t="s">
        <v>3291</v>
      </c>
      <c r="I822" t="s">
        <v>6137</v>
      </c>
      <c r="J822" t="s">
        <v>6138</v>
      </c>
      <c r="K822" t="s">
        <v>62</v>
      </c>
      <c r="L822" t="s">
        <v>63</v>
      </c>
      <c r="M822" t="s">
        <v>6139</v>
      </c>
      <c r="N822" t="s">
        <v>6140</v>
      </c>
      <c r="R822">
        <v>0</v>
      </c>
      <c r="S822">
        <v>0</v>
      </c>
      <c r="T822" t="b">
        <v>0</v>
      </c>
      <c r="U822">
        <v>3</v>
      </c>
      <c r="V822" t="s">
        <v>6141</v>
      </c>
      <c r="W822" s="15">
        <v>-29.771013329999999</v>
      </c>
      <c r="X822" s="15">
        <v>30.841275</v>
      </c>
      <c r="Y822">
        <v>90</v>
      </c>
      <c r="AC822">
        <v>90</v>
      </c>
      <c r="AF822" t="b">
        <v>0</v>
      </c>
      <c r="AJ822" t="s">
        <v>70</v>
      </c>
      <c r="AK822" t="s">
        <v>71</v>
      </c>
      <c r="AL822" t="s">
        <v>72</v>
      </c>
      <c r="AM822">
        <v>346053</v>
      </c>
      <c r="AO822" s="16" t="s">
        <v>73</v>
      </c>
      <c r="AP822" s="17" t="str">
        <f t="shared" ref="AP822:AP833" si="56">IF(COUNTIF(AO822,"*foundress*"),"Nest (foundress)",AO822)</f>
        <v>Off-nest female</v>
      </c>
      <c r="AX822" s="22" t="str">
        <f>IF(AND('[1]observations-276632'!W822&gt;'[1]Methods write-up'!$Q$16,'[1]observations-276632'!W822&lt;'[1]Methods write-up'!$R$16,'[1]observations-276632'!X822&gt;'[1]Methods write-up'!$S$16,'[1]observations-276632'!X822&lt;'[1]Methods write-up'!$T$16),"West and Central Africa","")</f>
        <v/>
      </c>
      <c r="AY822" s="22" t="str">
        <f>IF(AND('[1]observations-276632'!W822&gt;'[1]Methods write-up'!$Q$17,'[1]observations-276632'!W822&lt;'[1]Methods write-up'!$R$17,'[1]observations-276632'!X822&gt;'[1]Methods write-up'!$S$17,'[1]observations-276632'!X822&lt;'[1]Methods write-up'!$T$17),"Equatorial tropical forest","")</f>
        <v/>
      </c>
      <c r="AZ822" s="22" t="str">
        <f>IF(AND('[1]observations-276632'!W822&gt;'[1]Methods write-up'!$Q$18,'[1]observations-276632'!W822&lt;'[1]Methods write-up'!$R$18,'[1]observations-276632'!X822&gt;'[1]Methods write-up'!$S$18,'[1]observations-276632'!X822&lt;'[1]Methods write-up'!$T$18),"Somali peninsula","")</f>
        <v/>
      </c>
      <c r="BA822" s="22" t="str">
        <f>IF(AND('[1]observations-276632'!W822&gt;'[1]Methods write-up'!$Q$19,'[1]observations-276632'!W822&lt;'[1]Methods write-up'!$R$19,'[1]observations-276632'!X822&gt;'[1]Methods write-up'!$S$19,'[1]observations-276632'!X822&lt;'[1]Methods write-up'!$T$19),"East Africa","")</f>
        <v/>
      </c>
      <c r="BB822" s="22" t="str">
        <f>IF(AND('[1]observations-276632'!W822&gt;'[1]Methods write-up'!$Q$20,'[1]observations-276632'!W822&lt;'[1]Methods write-up'!$R$20,'[1]observations-276632'!X822&gt;'[1]Methods write-up'!$S$20,'[1]observations-276632'!X822&lt;'[1]Methods write-up'!$T$20),"Temperate seasonal","")</f>
        <v>Temperate seasonal</v>
      </c>
      <c r="BC822" s="22" t="str">
        <f>IF(AND('[1]observations-276632'!W822&gt;'[1]Methods write-up'!$Q$21,'[1]observations-276632'!W822&lt;'[1]Methods write-up'!$R$21,'[1]observations-276632'!X822&gt;'[1]Methods write-up'!$S$21,'[1]observations-276632'!X822&lt;'[1]Methods write-up'!$T$21),"Desert and high aridity","")</f>
        <v/>
      </c>
      <c r="BD822" s="23" t="str">
        <f t="shared" si="54"/>
        <v>Temperate seasonal</v>
      </c>
      <c r="BE822" s="24">
        <f t="shared" si="52"/>
        <v>22</v>
      </c>
      <c r="BF822" s="24">
        <f t="shared" si="53"/>
        <v>10</v>
      </c>
    </row>
    <row r="823" spans="1:58" ht="16.25" customHeight="1" x14ac:dyDescent="0.2">
      <c r="A823">
        <v>99057319</v>
      </c>
      <c r="B823" t="s">
        <v>6142</v>
      </c>
      <c r="C823" s="14">
        <v>44491</v>
      </c>
      <c r="D823" t="s">
        <v>6143</v>
      </c>
      <c r="E823" t="s">
        <v>113</v>
      </c>
      <c r="F823">
        <v>3465995</v>
      </c>
      <c r="G823" t="s">
        <v>4866</v>
      </c>
      <c r="H823" t="s">
        <v>4867</v>
      </c>
      <c r="I823" t="s">
        <v>6144</v>
      </c>
      <c r="J823" t="s">
        <v>6145</v>
      </c>
      <c r="K823" t="s">
        <v>62</v>
      </c>
      <c r="L823" t="s">
        <v>63</v>
      </c>
      <c r="M823" t="s">
        <v>6146</v>
      </c>
      <c r="N823" t="s">
        <v>6147</v>
      </c>
      <c r="R823">
        <v>1</v>
      </c>
      <c r="S823">
        <v>0</v>
      </c>
      <c r="T823" t="b">
        <v>0</v>
      </c>
      <c r="V823" t="s">
        <v>6148</v>
      </c>
      <c r="W823" s="15">
        <v>-20.194604699999999</v>
      </c>
      <c r="X823" s="15">
        <v>28.6136284</v>
      </c>
      <c r="Y823">
        <v>209</v>
      </c>
      <c r="AC823">
        <v>209</v>
      </c>
      <c r="AF823" t="b">
        <v>0</v>
      </c>
      <c r="AI823" t="s">
        <v>756</v>
      </c>
      <c r="AJ823" t="s">
        <v>756</v>
      </c>
      <c r="AL823" t="s">
        <v>72</v>
      </c>
      <c r="AM823">
        <v>652800</v>
      </c>
      <c r="AO823" s="16" t="s">
        <v>73</v>
      </c>
      <c r="AP823" s="17" t="str">
        <f t="shared" si="56"/>
        <v>Off-nest female</v>
      </c>
      <c r="AX823" s="22" t="str">
        <f>IF(AND('[1]observations-276632'!W823&gt;'[1]Methods write-up'!$Q$16,'[1]observations-276632'!W823&lt;'[1]Methods write-up'!$R$16,'[1]observations-276632'!X823&gt;'[1]Methods write-up'!$S$16,'[1]observations-276632'!X823&lt;'[1]Methods write-up'!$T$16),"West and Central Africa","")</f>
        <v/>
      </c>
      <c r="AY823" s="22" t="str">
        <f>IF(AND('[1]observations-276632'!W823&gt;'[1]Methods write-up'!$Q$17,'[1]observations-276632'!W823&lt;'[1]Methods write-up'!$R$17,'[1]observations-276632'!X823&gt;'[1]Methods write-up'!$S$17,'[1]observations-276632'!X823&lt;'[1]Methods write-up'!$T$17),"Equatorial tropical forest","")</f>
        <v/>
      </c>
      <c r="AZ823" s="22" t="str">
        <f>IF(AND('[1]observations-276632'!W823&gt;'[1]Methods write-up'!$Q$18,'[1]observations-276632'!W823&lt;'[1]Methods write-up'!$R$18,'[1]observations-276632'!X823&gt;'[1]Methods write-up'!$S$18,'[1]observations-276632'!X823&lt;'[1]Methods write-up'!$T$18),"Somali peninsula","")</f>
        <v/>
      </c>
      <c r="BA823" s="22" t="str">
        <f>IF(AND('[1]observations-276632'!W823&gt;'[1]Methods write-up'!$Q$19,'[1]observations-276632'!W823&lt;'[1]Methods write-up'!$R$19,'[1]observations-276632'!X823&gt;'[1]Methods write-up'!$S$19,'[1]observations-276632'!X823&lt;'[1]Methods write-up'!$T$19),"East Africa","")</f>
        <v/>
      </c>
      <c r="BB823" s="22" t="str">
        <f>IF(AND('[1]observations-276632'!W823&gt;'[1]Methods write-up'!$Q$20,'[1]observations-276632'!W823&lt;'[1]Methods write-up'!$R$20,'[1]observations-276632'!X823&gt;'[1]Methods write-up'!$S$20,'[1]observations-276632'!X823&lt;'[1]Methods write-up'!$T$20),"Temperate seasonal","")</f>
        <v/>
      </c>
      <c r="BC823" s="22" t="str">
        <f>IF(AND('[1]observations-276632'!W823&gt;'[1]Methods write-up'!$Q$21,'[1]observations-276632'!W823&lt;'[1]Methods write-up'!$R$21,'[1]observations-276632'!X823&gt;'[1]Methods write-up'!$S$21,'[1]observations-276632'!X823&lt;'[1]Methods write-up'!$T$21),"Desert and high aridity","")</f>
        <v/>
      </c>
      <c r="BD823" s="23" t="str">
        <f t="shared" si="54"/>
        <v/>
      </c>
      <c r="BE823" s="24">
        <f t="shared" si="52"/>
        <v>22</v>
      </c>
      <c r="BF823" s="24">
        <f t="shared" si="53"/>
        <v>10</v>
      </c>
    </row>
    <row r="824" spans="1:58" ht="16.25" customHeight="1" x14ac:dyDescent="0.2">
      <c r="A824">
        <v>99059368</v>
      </c>
      <c r="B824" t="s">
        <v>6149</v>
      </c>
      <c r="C824" s="14">
        <v>44468</v>
      </c>
      <c r="D824" t="s">
        <v>6150</v>
      </c>
      <c r="E824" t="s">
        <v>57</v>
      </c>
      <c r="F824">
        <v>703114</v>
      </c>
      <c r="G824" t="s">
        <v>2136</v>
      </c>
      <c r="H824" t="s">
        <v>2137</v>
      </c>
      <c r="I824" t="s">
        <v>6151</v>
      </c>
      <c r="J824" t="s">
        <v>6152</v>
      </c>
      <c r="K824" t="s">
        <v>62</v>
      </c>
      <c r="L824" t="s">
        <v>98</v>
      </c>
      <c r="M824" t="s">
        <v>6153</v>
      </c>
      <c r="N824" t="s">
        <v>6154</v>
      </c>
      <c r="R824">
        <v>1</v>
      </c>
      <c r="S824">
        <v>0</v>
      </c>
      <c r="T824" t="b">
        <v>0</v>
      </c>
      <c r="V824" t="s">
        <v>6155</v>
      </c>
      <c r="W824" s="15">
        <v>-23.52222167</v>
      </c>
      <c r="X824" s="15">
        <v>31.395894999999999</v>
      </c>
      <c r="AF824" t="b">
        <v>0</v>
      </c>
      <c r="AI824" t="s">
        <v>71</v>
      </c>
      <c r="AJ824" t="s">
        <v>70</v>
      </c>
      <c r="AK824" t="s">
        <v>71</v>
      </c>
      <c r="AL824" t="s">
        <v>72</v>
      </c>
      <c r="AM824">
        <v>346053</v>
      </c>
      <c r="AO824" s="16" t="s">
        <v>818</v>
      </c>
      <c r="AP824" s="17" t="str">
        <f t="shared" si="56"/>
        <v>Abandoned post-emergence nest</v>
      </c>
      <c r="AV824" s="21" t="s">
        <v>6156</v>
      </c>
      <c r="AX824" s="22" t="str">
        <f>IF(AND('[1]observations-276632'!W824&gt;'[1]Methods write-up'!$Q$16,'[1]observations-276632'!W824&lt;'[1]Methods write-up'!$R$16,'[1]observations-276632'!X824&gt;'[1]Methods write-up'!$S$16,'[1]observations-276632'!X824&lt;'[1]Methods write-up'!$T$16),"West and Central Africa","")</f>
        <v/>
      </c>
      <c r="AY824" s="22" t="str">
        <f>IF(AND('[1]observations-276632'!W824&gt;'[1]Methods write-up'!$Q$17,'[1]observations-276632'!W824&lt;'[1]Methods write-up'!$R$17,'[1]observations-276632'!X824&gt;'[1]Methods write-up'!$S$17,'[1]observations-276632'!X824&lt;'[1]Methods write-up'!$T$17),"Equatorial tropical forest","")</f>
        <v/>
      </c>
      <c r="AZ824" s="22" t="str">
        <f>IF(AND('[1]observations-276632'!W824&gt;'[1]Methods write-up'!$Q$18,'[1]observations-276632'!W824&lt;'[1]Methods write-up'!$R$18,'[1]observations-276632'!X824&gt;'[1]Methods write-up'!$S$18,'[1]observations-276632'!X824&lt;'[1]Methods write-up'!$T$18),"Somali peninsula","")</f>
        <v/>
      </c>
      <c r="BA824" s="22" t="str">
        <f>IF(AND('[1]observations-276632'!W824&gt;'[1]Methods write-up'!$Q$19,'[1]observations-276632'!W824&lt;'[1]Methods write-up'!$R$19,'[1]observations-276632'!X824&gt;'[1]Methods write-up'!$S$19,'[1]observations-276632'!X824&lt;'[1]Methods write-up'!$T$19),"East Africa","")</f>
        <v/>
      </c>
      <c r="BB824" s="22" t="str">
        <f>IF(AND('[1]observations-276632'!W824&gt;'[1]Methods write-up'!$Q$20,'[1]observations-276632'!W824&lt;'[1]Methods write-up'!$R$20,'[1]observations-276632'!X824&gt;'[1]Methods write-up'!$S$20,'[1]observations-276632'!X824&lt;'[1]Methods write-up'!$T$20),"Temperate seasonal","")</f>
        <v/>
      </c>
      <c r="BC824" s="22" t="str">
        <f>IF(AND('[1]observations-276632'!W824&gt;'[1]Methods write-up'!$Q$21,'[1]observations-276632'!W824&lt;'[1]Methods write-up'!$R$21,'[1]observations-276632'!X824&gt;'[1]Methods write-up'!$S$21,'[1]observations-276632'!X824&lt;'[1]Methods write-up'!$T$21),"Desert and high aridity","")</f>
        <v/>
      </c>
      <c r="BD824" s="23" t="str">
        <f t="shared" si="54"/>
        <v/>
      </c>
      <c r="BE824" s="24">
        <f t="shared" si="52"/>
        <v>29</v>
      </c>
      <c r="BF824" s="24">
        <f t="shared" si="53"/>
        <v>9</v>
      </c>
    </row>
    <row r="825" spans="1:58" ht="16.25" customHeight="1" x14ac:dyDescent="0.2">
      <c r="A825">
        <v>99059370</v>
      </c>
      <c r="B825" t="s">
        <v>6157</v>
      </c>
      <c r="C825" s="14">
        <v>44468</v>
      </c>
      <c r="D825" t="s">
        <v>6158</v>
      </c>
      <c r="E825" t="s">
        <v>57</v>
      </c>
      <c r="F825">
        <v>703114</v>
      </c>
      <c r="G825" t="s">
        <v>2136</v>
      </c>
      <c r="H825" t="s">
        <v>2137</v>
      </c>
      <c r="I825" t="s">
        <v>6159</v>
      </c>
      <c r="J825" t="s">
        <v>6160</v>
      </c>
      <c r="K825" t="s">
        <v>62</v>
      </c>
      <c r="L825" t="s">
        <v>98</v>
      </c>
      <c r="M825" t="s">
        <v>6161</v>
      </c>
      <c r="N825" t="s">
        <v>6162</v>
      </c>
      <c r="R825">
        <v>2</v>
      </c>
      <c r="S825">
        <v>0</v>
      </c>
      <c r="T825" t="b">
        <v>0</v>
      </c>
      <c r="V825" t="s">
        <v>6155</v>
      </c>
      <c r="W825" s="15">
        <v>-23.520959999999999</v>
      </c>
      <c r="X825" s="15">
        <v>31.395193330000001</v>
      </c>
      <c r="AF825" t="b">
        <v>0</v>
      </c>
      <c r="AI825" t="s">
        <v>71</v>
      </c>
      <c r="AJ825" t="s">
        <v>70</v>
      </c>
      <c r="AK825" t="s">
        <v>71</v>
      </c>
      <c r="AL825" t="s">
        <v>72</v>
      </c>
      <c r="AM825">
        <v>346053</v>
      </c>
      <c r="AO825" s="16" t="s">
        <v>140</v>
      </c>
      <c r="AP825" s="17" t="str">
        <f t="shared" si="56"/>
        <v>Post-emergence nest</v>
      </c>
      <c r="AQ825" s="18">
        <v>6</v>
      </c>
      <c r="AT825" s="19" t="s">
        <v>104</v>
      </c>
      <c r="AX825" s="22" t="str">
        <f>IF(AND('[1]observations-276632'!W825&gt;'[1]Methods write-up'!$Q$16,'[1]observations-276632'!W825&lt;'[1]Methods write-up'!$R$16,'[1]observations-276632'!X825&gt;'[1]Methods write-up'!$S$16,'[1]observations-276632'!X825&lt;'[1]Methods write-up'!$T$16),"West and Central Africa","")</f>
        <v/>
      </c>
      <c r="AY825" s="22" t="str">
        <f>IF(AND('[1]observations-276632'!W825&gt;'[1]Methods write-up'!$Q$17,'[1]observations-276632'!W825&lt;'[1]Methods write-up'!$R$17,'[1]observations-276632'!X825&gt;'[1]Methods write-up'!$S$17,'[1]observations-276632'!X825&lt;'[1]Methods write-up'!$T$17),"Equatorial tropical forest","")</f>
        <v/>
      </c>
      <c r="AZ825" s="22" t="str">
        <f>IF(AND('[1]observations-276632'!W825&gt;'[1]Methods write-up'!$Q$18,'[1]observations-276632'!W825&lt;'[1]Methods write-up'!$R$18,'[1]observations-276632'!X825&gt;'[1]Methods write-up'!$S$18,'[1]observations-276632'!X825&lt;'[1]Methods write-up'!$T$18),"Somali peninsula","")</f>
        <v/>
      </c>
      <c r="BA825" s="22" t="str">
        <f>IF(AND('[1]observations-276632'!W825&gt;'[1]Methods write-up'!$Q$19,'[1]observations-276632'!W825&lt;'[1]Methods write-up'!$R$19,'[1]observations-276632'!X825&gt;'[1]Methods write-up'!$S$19,'[1]observations-276632'!X825&lt;'[1]Methods write-up'!$T$19),"East Africa","")</f>
        <v/>
      </c>
      <c r="BB825" s="22" t="str">
        <f>IF(AND('[1]observations-276632'!W825&gt;'[1]Methods write-up'!$Q$20,'[1]observations-276632'!W825&lt;'[1]Methods write-up'!$R$20,'[1]observations-276632'!X825&gt;'[1]Methods write-up'!$S$20,'[1]observations-276632'!X825&lt;'[1]Methods write-up'!$T$20),"Temperate seasonal","")</f>
        <v/>
      </c>
      <c r="BC825" s="22" t="str">
        <f>IF(AND('[1]observations-276632'!W825&gt;'[1]Methods write-up'!$Q$21,'[1]observations-276632'!W825&lt;'[1]Methods write-up'!$R$21,'[1]observations-276632'!X825&gt;'[1]Methods write-up'!$S$21,'[1]observations-276632'!X825&lt;'[1]Methods write-up'!$T$21),"Desert and high aridity","")</f>
        <v/>
      </c>
      <c r="BD825" s="23" t="str">
        <f t="shared" si="54"/>
        <v/>
      </c>
      <c r="BE825" s="24">
        <f t="shared" si="52"/>
        <v>29</v>
      </c>
      <c r="BF825" s="24">
        <f t="shared" si="53"/>
        <v>9</v>
      </c>
    </row>
    <row r="826" spans="1:58" ht="16.25" customHeight="1" x14ac:dyDescent="0.2">
      <c r="A826">
        <v>99063696</v>
      </c>
      <c r="B826" s="25">
        <v>44492.425000000003</v>
      </c>
      <c r="C826" s="14">
        <v>44492</v>
      </c>
      <c r="D826" t="s">
        <v>6163</v>
      </c>
      <c r="E826" t="s">
        <v>113</v>
      </c>
      <c r="F826">
        <v>5147989</v>
      </c>
      <c r="G826" t="s">
        <v>6164</v>
      </c>
      <c r="H826" t="s">
        <v>6165</v>
      </c>
      <c r="I826" t="s">
        <v>6166</v>
      </c>
      <c r="J826" t="s">
        <v>6167</v>
      </c>
      <c r="K826" t="s">
        <v>62</v>
      </c>
      <c r="L826" t="s">
        <v>63</v>
      </c>
      <c r="M826" t="s">
        <v>6168</v>
      </c>
      <c r="N826" t="s">
        <v>6169</v>
      </c>
      <c r="Q826" t="s">
        <v>4418</v>
      </c>
      <c r="R826">
        <v>2</v>
      </c>
      <c r="S826">
        <v>0</v>
      </c>
      <c r="T826" t="b">
        <v>0</v>
      </c>
      <c r="U826">
        <v>2</v>
      </c>
      <c r="V826" t="s">
        <v>6170</v>
      </c>
      <c r="W826" s="15">
        <v>-24.30907667</v>
      </c>
      <c r="X826" s="15">
        <v>28.121798330000001</v>
      </c>
      <c r="Y826">
        <v>8</v>
      </c>
      <c r="AC826">
        <v>8</v>
      </c>
      <c r="AF826" t="b">
        <v>0</v>
      </c>
      <c r="AI826" t="s">
        <v>71</v>
      </c>
      <c r="AJ826" t="s">
        <v>70</v>
      </c>
      <c r="AK826" t="s">
        <v>71</v>
      </c>
      <c r="AL826" t="s">
        <v>72</v>
      </c>
      <c r="AM826">
        <v>346053</v>
      </c>
      <c r="AO826" s="16" t="s">
        <v>73</v>
      </c>
      <c r="AP826" s="17" t="str">
        <f t="shared" si="56"/>
        <v>Off-nest female</v>
      </c>
      <c r="AX826" s="22" t="str">
        <f>IF(AND('[1]observations-276632'!W826&gt;'[1]Methods write-up'!$Q$16,'[1]observations-276632'!W826&lt;'[1]Methods write-up'!$R$16,'[1]observations-276632'!X826&gt;'[1]Methods write-up'!$S$16,'[1]observations-276632'!X826&lt;'[1]Methods write-up'!$T$16),"West and Central Africa","")</f>
        <v/>
      </c>
      <c r="AY826" s="22" t="str">
        <f>IF(AND('[1]observations-276632'!W826&gt;'[1]Methods write-up'!$Q$17,'[1]observations-276632'!W826&lt;'[1]Methods write-up'!$R$17,'[1]observations-276632'!X826&gt;'[1]Methods write-up'!$S$17,'[1]observations-276632'!X826&lt;'[1]Methods write-up'!$T$17),"Equatorial tropical forest","")</f>
        <v/>
      </c>
      <c r="AZ826" s="22" t="str">
        <f>IF(AND('[1]observations-276632'!W826&gt;'[1]Methods write-up'!$Q$18,'[1]observations-276632'!W826&lt;'[1]Methods write-up'!$R$18,'[1]observations-276632'!X826&gt;'[1]Methods write-up'!$S$18,'[1]observations-276632'!X826&lt;'[1]Methods write-up'!$T$18),"Somali peninsula","")</f>
        <v/>
      </c>
      <c r="BA826" s="22" t="str">
        <f>IF(AND('[1]observations-276632'!W826&gt;'[1]Methods write-up'!$Q$19,'[1]observations-276632'!W826&lt;'[1]Methods write-up'!$R$19,'[1]observations-276632'!X826&gt;'[1]Methods write-up'!$S$19,'[1]observations-276632'!X826&lt;'[1]Methods write-up'!$T$19),"East Africa","")</f>
        <v/>
      </c>
      <c r="BB826" s="22" t="str">
        <f>IF(AND('[1]observations-276632'!W826&gt;'[1]Methods write-up'!$Q$20,'[1]observations-276632'!W826&lt;'[1]Methods write-up'!$R$20,'[1]observations-276632'!X826&gt;'[1]Methods write-up'!$S$20,'[1]observations-276632'!X826&lt;'[1]Methods write-up'!$T$20),"Temperate seasonal","")</f>
        <v/>
      </c>
      <c r="BC826" s="22" t="str">
        <f>IF(AND('[1]observations-276632'!W826&gt;'[1]Methods write-up'!$Q$21,'[1]observations-276632'!W826&lt;'[1]Methods write-up'!$R$21,'[1]observations-276632'!X826&gt;'[1]Methods write-up'!$S$21,'[1]observations-276632'!X826&lt;'[1]Methods write-up'!$T$21),"Desert and high aridity","")</f>
        <v/>
      </c>
      <c r="BD826" s="23" t="str">
        <f t="shared" si="54"/>
        <v/>
      </c>
      <c r="BE826" s="24">
        <f t="shared" si="52"/>
        <v>23</v>
      </c>
      <c r="BF826" s="24">
        <f t="shared" si="53"/>
        <v>10</v>
      </c>
    </row>
    <row r="827" spans="1:58" ht="16.25" customHeight="1" x14ac:dyDescent="0.2">
      <c r="A827">
        <v>99133071</v>
      </c>
      <c r="B827" t="s">
        <v>6171</v>
      </c>
      <c r="C827" s="14">
        <v>44491</v>
      </c>
      <c r="D827" t="s">
        <v>6172</v>
      </c>
      <c r="E827" t="s">
        <v>113</v>
      </c>
      <c r="F827">
        <v>3465995</v>
      </c>
      <c r="G827" t="s">
        <v>4866</v>
      </c>
      <c r="H827" t="s">
        <v>4867</v>
      </c>
      <c r="I827" t="s">
        <v>6173</v>
      </c>
      <c r="J827" t="s">
        <v>6174</v>
      </c>
      <c r="K827" t="s">
        <v>62</v>
      </c>
      <c r="L827" t="s">
        <v>63</v>
      </c>
      <c r="M827" t="s">
        <v>6175</v>
      </c>
      <c r="N827" t="s">
        <v>6176</v>
      </c>
      <c r="R827">
        <v>2</v>
      </c>
      <c r="S827">
        <v>0</v>
      </c>
      <c r="T827" t="b">
        <v>0</v>
      </c>
      <c r="V827" t="s">
        <v>6148</v>
      </c>
      <c r="W827" s="15">
        <v>-20.194604699999999</v>
      </c>
      <c r="X827" s="15">
        <v>28.6136284</v>
      </c>
      <c r="Y827">
        <v>209</v>
      </c>
      <c r="AC827">
        <v>209</v>
      </c>
      <c r="AF827" t="b">
        <v>0</v>
      </c>
      <c r="AI827" t="s">
        <v>71</v>
      </c>
      <c r="AJ827" t="s">
        <v>70</v>
      </c>
      <c r="AK827" t="s">
        <v>71</v>
      </c>
      <c r="AL827" t="s">
        <v>72</v>
      </c>
      <c r="AM827">
        <v>346053</v>
      </c>
      <c r="AO827" s="16" t="s">
        <v>73</v>
      </c>
      <c r="AP827" s="17" t="str">
        <f t="shared" si="56"/>
        <v>Off-nest female</v>
      </c>
      <c r="AX827" s="22" t="str">
        <f>IF(AND('[1]observations-276632'!W827&gt;'[1]Methods write-up'!$Q$16,'[1]observations-276632'!W827&lt;'[1]Methods write-up'!$R$16,'[1]observations-276632'!X827&gt;'[1]Methods write-up'!$S$16,'[1]observations-276632'!X827&lt;'[1]Methods write-up'!$T$16),"West and Central Africa","")</f>
        <v/>
      </c>
      <c r="AY827" s="22" t="str">
        <f>IF(AND('[1]observations-276632'!W827&gt;'[1]Methods write-up'!$Q$17,'[1]observations-276632'!W827&lt;'[1]Methods write-up'!$R$17,'[1]observations-276632'!X827&gt;'[1]Methods write-up'!$S$17,'[1]observations-276632'!X827&lt;'[1]Methods write-up'!$T$17),"Equatorial tropical forest","")</f>
        <v/>
      </c>
      <c r="AZ827" s="22" t="str">
        <f>IF(AND('[1]observations-276632'!W827&gt;'[1]Methods write-up'!$Q$18,'[1]observations-276632'!W827&lt;'[1]Methods write-up'!$R$18,'[1]observations-276632'!X827&gt;'[1]Methods write-up'!$S$18,'[1]observations-276632'!X827&lt;'[1]Methods write-up'!$T$18),"Somali peninsula","")</f>
        <v/>
      </c>
      <c r="BA827" s="22" t="str">
        <f>IF(AND('[1]observations-276632'!W827&gt;'[1]Methods write-up'!$Q$19,'[1]observations-276632'!W827&lt;'[1]Methods write-up'!$R$19,'[1]observations-276632'!X827&gt;'[1]Methods write-up'!$S$19,'[1]observations-276632'!X827&lt;'[1]Methods write-up'!$T$19),"East Africa","")</f>
        <v/>
      </c>
      <c r="BB827" s="22" t="str">
        <f>IF(AND('[1]observations-276632'!W827&gt;'[1]Methods write-up'!$Q$20,'[1]observations-276632'!W827&lt;'[1]Methods write-up'!$R$20,'[1]observations-276632'!X827&gt;'[1]Methods write-up'!$S$20,'[1]observations-276632'!X827&lt;'[1]Methods write-up'!$T$20),"Temperate seasonal","")</f>
        <v/>
      </c>
      <c r="BC827" s="22" t="str">
        <f>IF(AND('[1]observations-276632'!W827&gt;'[1]Methods write-up'!$Q$21,'[1]observations-276632'!W827&lt;'[1]Methods write-up'!$R$21,'[1]observations-276632'!X827&gt;'[1]Methods write-up'!$S$21,'[1]observations-276632'!X827&lt;'[1]Methods write-up'!$T$21),"Desert and high aridity","")</f>
        <v/>
      </c>
      <c r="BD827" s="23" t="str">
        <f t="shared" si="54"/>
        <v/>
      </c>
      <c r="BE827" s="24">
        <f t="shared" si="52"/>
        <v>22</v>
      </c>
      <c r="BF827" s="24">
        <f t="shared" si="53"/>
        <v>10</v>
      </c>
    </row>
    <row r="828" spans="1:58" ht="16.25" customHeight="1" x14ac:dyDescent="0.2">
      <c r="A828">
        <v>99190135</v>
      </c>
      <c r="B828" s="25">
        <v>44493.42083333333</v>
      </c>
      <c r="C828" s="14">
        <v>44493</v>
      </c>
      <c r="D828" t="s">
        <v>6177</v>
      </c>
      <c r="E828" t="s">
        <v>74</v>
      </c>
      <c r="F828">
        <v>1759775</v>
      </c>
      <c r="G828" t="s">
        <v>3998</v>
      </c>
      <c r="H828" t="s">
        <v>3999</v>
      </c>
      <c r="I828" t="s">
        <v>6178</v>
      </c>
      <c r="J828" t="s">
        <v>6179</v>
      </c>
      <c r="K828" t="s">
        <v>62</v>
      </c>
      <c r="L828" t="s">
        <v>63</v>
      </c>
      <c r="M828" t="s">
        <v>6180</v>
      </c>
      <c r="N828" t="s">
        <v>6181</v>
      </c>
      <c r="R828">
        <v>0</v>
      </c>
      <c r="S828">
        <v>0</v>
      </c>
      <c r="T828" t="b">
        <v>0</v>
      </c>
      <c r="U828">
        <v>2</v>
      </c>
      <c r="V828" t="s">
        <v>6182</v>
      </c>
      <c r="W828" s="15">
        <v>-20.184534580000001</v>
      </c>
      <c r="X828" s="15">
        <v>28.603088</v>
      </c>
      <c r="AF828" t="b">
        <v>0</v>
      </c>
      <c r="AG828" t="s">
        <v>350</v>
      </c>
      <c r="AH828" t="s">
        <v>350</v>
      </c>
      <c r="AI828" t="s">
        <v>161</v>
      </c>
      <c r="AJ828" t="s">
        <v>161</v>
      </c>
      <c r="AL828" t="s">
        <v>72</v>
      </c>
      <c r="AM828">
        <v>366867</v>
      </c>
      <c r="AO828" s="16" t="s">
        <v>1574</v>
      </c>
      <c r="AP828" s="17" t="str">
        <f t="shared" si="56"/>
        <v>Nest (foundress)</v>
      </c>
      <c r="AQ828" s="18">
        <v>1</v>
      </c>
      <c r="AT828" s="19" t="s">
        <v>104</v>
      </c>
      <c r="AX828" s="22" t="str">
        <f>IF(AND('[1]observations-276632'!W828&gt;'[1]Methods write-up'!$Q$16,'[1]observations-276632'!W828&lt;'[1]Methods write-up'!$R$16,'[1]observations-276632'!X828&gt;'[1]Methods write-up'!$S$16,'[1]observations-276632'!X828&lt;'[1]Methods write-up'!$T$16),"West and Central Africa","")</f>
        <v/>
      </c>
      <c r="AY828" s="22" t="str">
        <f>IF(AND('[1]observations-276632'!W828&gt;'[1]Methods write-up'!$Q$17,'[1]observations-276632'!W828&lt;'[1]Methods write-up'!$R$17,'[1]observations-276632'!X828&gt;'[1]Methods write-up'!$S$17,'[1]observations-276632'!X828&lt;'[1]Methods write-up'!$T$17),"Equatorial tropical forest","")</f>
        <v/>
      </c>
      <c r="AZ828" s="22" t="str">
        <f>IF(AND('[1]observations-276632'!W828&gt;'[1]Methods write-up'!$Q$18,'[1]observations-276632'!W828&lt;'[1]Methods write-up'!$R$18,'[1]observations-276632'!X828&gt;'[1]Methods write-up'!$S$18,'[1]observations-276632'!X828&lt;'[1]Methods write-up'!$T$18),"Somali peninsula","")</f>
        <v/>
      </c>
      <c r="BA828" s="22" t="str">
        <f>IF(AND('[1]observations-276632'!W828&gt;'[1]Methods write-up'!$Q$19,'[1]observations-276632'!W828&lt;'[1]Methods write-up'!$R$19,'[1]observations-276632'!X828&gt;'[1]Methods write-up'!$S$19,'[1]observations-276632'!X828&lt;'[1]Methods write-up'!$T$19),"East Africa","")</f>
        <v/>
      </c>
      <c r="BB828" s="22" t="str">
        <f>IF(AND('[1]observations-276632'!W828&gt;'[1]Methods write-up'!$Q$20,'[1]observations-276632'!W828&lt;'[1]Methods write-up'!$R$20,'[1]observations-276632'!X828&gt;'[1]Methods write-up'!$S$20,'[1]observations-276632'!X828&lt;'[1]Methods write-up'!$T$20),"Temperate seasonal","")</f>
        <v/>
      </c>
      <c r="BC828" s="22" t="str">
        <f>IF(AND('[1]observations-276632'!W828&gt;'[1]Methods write-up'!$Q$21,'[1]observations-276632'!W828&lt;'[1]Methods write-up'!$R$21,'[1]observations-276632'!X828&gt;'[1]Methods write-up'!$S$21,'[1]observations-276632'!X828&lt;'[1]Methods write-up'!$T$21),"Desert and high aridity","")</f>
        <v/>
      </c>
      <c r="BD828" s="23" t="str">
        <f t="shared" si="54"/>
        <v/>
      </c>
      <c r="BE828" s="24">
        <f t="shared" si="52"/>
        <v>24</v>
      </c>
      <c r="BF828" s="24">
        <f t="shared" si="53"/>
        <v>10</v>
      </c>
    </row>
    <row r="829" spans="1:58" ht="16.25" customHeight="1" x14ac:dyDescent="0.2">
      <c r="A829">
        <v>99204448</v>
      </c>
      <c r="B829" s="25">
        <v>44493.431944444441</v>
      </c>
      <c r="C829" s="14">
        <v>44493</v>
      </c>
      <c r="D829" t="s">
        <v>6183</v>
      </c>
      <c r="E829" t="s">
        <v>113</v>
      </c>
      <c r="F829">
        <v>5154651</v>
      </c>
      <c r="G829" t="s">
        <v>6184</v>
      </c>
      <c r="I829" t="s">
        <v>6185</v>
      </c>
      <c r="J829" t="s">
        <v>6186</v>
      </c>
      <c r="K829" t="s">
        <v>62</v>
      </c>
      <c r="L829" t="s">
        <v>63</v>
      </c>
      <c r="M829" t="s">
        <v>6187</v>
      </c>
      <c r="N829" t="s">
        <v>6188</v>
      </c>
      <c r="R829">
        <v>2</v>
      </c>
      <c r="S829">
        <v>0</v>
      </c>
      <c r="T829" t="b">
        <v>0</v>
      </c>
      <c r="U829">
        <v>2</v>
      </c>
      <c r="V829" t="s">
        <v>6189</v>
      </c>
      <c r="W829" s="15">
        <v>-29.917402299999999</v>
      </c>
      <c r="X829" s="15">
        <v>30.937253900000002</v>
      </c>
      <c r="Y829">
        <v>1299</v>
      </c>
      <c r="AC829">
        <v>1299</v>
      </c>
      <c r="AF829" t="b">
        <v>0</v>
      </c>
      <c r="AI829" t="s">
        <v>71</v>
      </c>
      <c r="AJ829" t="s">
        <v>70</v>
      </c>
      <c r="AK829" t="s">
        <v>71</v>
      </c>
      <c r="AL829" t="s">
        <v>72</v>
      </c>
      <c r="AM829">
        <v>346053</v>
      </c>
      <c r="AO829" s="16" t="s">
        <v>73</v>
      </c>
      <c r="AP829" s="17" t="str">
        <f t="shared" si="56"/>
        <v>Off-nest female</v>
      </c>
      <c r="AX829" s="22" t="str">
        <f>IF(AND('[1]observations-276632'!W829&gt;'[1]Methods write-up'!$Q$16,'[1]observations-276632'!W829&lt;'[1]Methods write-up'!$R$16,'[1]observations-276632'!X829&gt;'[1]Methods write-up'!$S$16,'[1]observations-276632'!X829&lt;'[1]Methods write-up'!$T$16),"West and Central Africa","")</f>
        <v/>
      </c>
      <c r="AY829" s="22" t="str">
        <f>IF(AND('[1]observations-276632'!W829&gt;'[1]Methods write-up'!$Q$17,'[1]observations-276632'!W829&lt;'[1]Methods write-up'!$R$17,'[1]observations-276632'!X829&gt;'[1]Methods write-up'!$S$17,'[1]observations-276632'!X829&lt;'[1]Methods write-up'!$T$17),"Equatorial tropical forest","")</f>
        <v/>
      </c>
      <c r="AZ829" s="22" t="str">
        <f>IF(AND('[1]observations-276632'!W829&gt;'[1]Methods write-up'!$Q$18,'[1]observations-276632'!W829&lt;'[1]Methods write-up'!$R$18,'[1]observations-276632'!X829&gt;'[1]Methods write-up'!$S$18,'[1]observations-276632'!X829&lt;'[1]Methods write-up'!$T$18),"Somali peninsula","")</f>
        <v/>
      </c>
      <c r="BA829" s="22" t="str">
        <f>IF(AND('[1]observations-276632'!W829&gt;'[1]Methods write-up'!$Q$19,'[1]observations-276632'!W829&lt;'[1]Methods write-up'!$R$19,'[1]observations-276632'!X829&gt;'[1]Methods write-up'!$S$19,'[1]observations-276632'!X829&lt;'[1]Methods write-up'!$T$19),"East Africa","")</f>
        <v/>
      </c>
      <c r="BB829" s="22" t="str">
        <f>IF(AND('[1]observations-276632'!W829&gt;'[1]Methods write-up'!$Q$20,'[1]observations-276632'!W829&lt;'[1]Methods write-up'!$R$20,'[1]observations-276632'!X829&gt;'[1]Methods write-up'!$S$20,'[1]observations-276632'!X829&lt;'[1]Methods write-up'!$T$20),"Temperate seasonal","")</f>
        <v>Temperate seasonal</v>
      </c>
      <c r="BC829" s="22" t="str">
        <f>IF(AND('[1]observations-276632'!W829&gt;'[1]Methods write-up'!$Q$21,'[1]observations-276632'!W829&lt;'[1]Methods write-up'!$R$21,'[1]observations-276632'!X829&gt;'[1]Methods write-up'!$S$21,'[1]observations-276632'!X829&lt;'[1]Methods write-up'!$T$21),"Desert and high aridity","")</f>
        <v/>
      </c>
      <c r="BD829" s="23" t="str">
        <f t="shared" si="54"/>
        <v>Temperate seasonal</v>
      </c>
      <c r="BE829" s="24">
        <f t="shared" si="52"/>
        <v>24</v>
      </c>
      <c r="BF829" s="24">
        <f t="shared" si="53"/>
        <v>10</v>
      </c>
    </row>
    <row r="830" spans="1:58" ht="16.25" customHeight="1" x14ac:dyDescent="0.2">
      <c r="A830">
        <v>99218935</v>
      </c>
      <c r="B830" t="s">
        <v>6190</v>
      </c>
      <c r="C830" s="14">
        <v>44493</v>
      </c>
      <c r="D830" t="s">
        <v>6191</v>
      </c>
      <c r="E830" t="s">
        <v>1408</v>
      </c>
      <c r="F830">
        <v>3634225</v>
      </c>
      <c r="G830" t="s">
        <v>6192</v>
      </c>
      <c r="H830" t="s">
        <v>6193</v>
      </c>
      <c r="I830" t="s">
        <v>6194</v>
      </c>
      <c r="J830" t="s">
        <v>6195</v>
      </c>
      <c r="K830" t="s">
        <v>62</v>
      </c>
      <c r="L830" t="s">
        <v>63</v>
      </c>
      <c r="M830" t="s">
        <v>6196</v>
      </c>
      <c r="N830" t="s">
        <v>6197</v>
      </c>
      <c r="R830">
        <v>1</v>
      </c>
      <c r="S830">
        <v>0</v>
      </c>
      <c r="T830" t="b">
        <v>0</v>
      </c>
      <c r="V830" t="s">
        <v>6198</v>
      </c>
      <c r="W830" s="15">
        <v>-3.377165083</v>
      </c>
      <c r="X830" s="15">
        <v>39.98862836</v>
      </c>
      <c r="AF830" t="b">
        <v>0</v>
      </c>
      <c r="AI830" t="s">
        <v>71</v>
      </c>
      <c r="AJ830" t="s">
        <v>70</v>
      </c>
      <c r="AK830" t="s">
        <v>71</v>
      </c>
      <c r="AL830" t="s">
        <v>72</v>
      </c>
      <c r="AM830">
        <v>346053</v>
      </c>
      <c r="AO830" s="16" t="s">
        <v>73</v>
      </c>
      <c r="AP830" s="17" t="str">
        <f t="shared" si="56"/>
        <v>Off-nest female</v>
      </c>
      <c r="AX830" s="22" t="str">
        <f>IF(AND('[1]observations-276632'!W830&gt;'[1]Methods write-up'!$Q$16,'[1]observations-276632'!W830&lt;'[1]Methods write-up'!$R$16,'[1]observations-276632'!X830&gt;'[1]Methods write-up'!$S$16,'[1]observations-276632'!X830&lt;'[1]Methods write-up'!$T$16),"West and Central Africa","")</f>
        <v/>
      </c>
      <c r="AY830" s="22" t="str">
        <f>IF(AND('[1]observations-276632'!W830&gt;'[1]Methods write-up'!$Q$17,'[1]observations-276632'!W830&lt;'[1]Methods write-up'!$R$17,'[1]observations-276632'!X830&gt;'[1]Methods write-up'!$S$17,'[1]observations-276632'!X830&lt;'[1]Methods write-up'!$T$17),"Equatorial tropical forest","")</f>
        <v/>
      </c>
      <c r="AZ830" s="22" t="str">
        <f>IF(AND('[1]observations-276632'!W830&gt;'[1]Methods write-up'!$Q$18,'[1]observations-276632'!W830&lt;'[1]Methods write-up'!$R$18,'[1]observations-276632'!X830&gt;'[1]Methods write-up'!$S$18,'[1]observations-276632'!X830&lt;'[1]Methods write-up'!$T$18),"Somali peninsula","")</f>
        <v/>
      </c>
      <c r="BA830" s="22" t="str">
        <f>IF(AND('[1]observations-276632'!W830&gt;'[1]Methods write-up'!$Q$19,'[1]observations-276632'!W830&lt;'[1]Methods write-up'!$R$19,'[1]observations-276632'!X830&gt;'[1]Methods write-up'!$S$19,'[1]observations-276632'!X830&lt;'[1]Methods write-up'!$T$19),"East Africa","")</f>
        <v>East Africa</v>
      </c>
      <c r="BB830" s="22" t="str">
        <f>IF(AND('[1]observations-276632'!W830&gt;'[1]Methods write-up'!$Q$20,'[1]observations-276632'!W830&lt;'[1]Methods write-up'!$R$20,'[1]observations-276632'!X830&gt;'[1]Methods write-up'!$S$20,'[1]observations-276632'!X830&lt;'[1]Methods write-up'!$T$20),"Temperate seasonal","")</f>
        <v/>
      </c>
      <c r="BC830" s="22" t="str">
        <f>IF(AND('[1]observations-276632'!W830&gt;'[1]Methods write-up'!$Q$21,'[1]observations-276632'!W830&lt;'[1]Methods write-up'!$R$21,'[1]observations-276632'!X830&gt;'[1]Methods write-up'!$S$21,'[1]observations-276632'!X830&lt;'[1]Methods write-up'!$T$21),"Desert and high aridity","")</f>
        <v/>
      </c>
      <c r="BD830" s="23" t="str">
        <f t="shared" si="54"/>
        <v>East Africa</v>
      </c>
      <c r="BE830" s="24">
        <f t="shared" si="52"/>
        <v>24</v>
      </c>
      <c r="BF830" s="24">
        <f t="shared" si="53"/>
        <v>10</v>
      </c>
    </row>
    <row r="831" spans="1:58" ht="16.25" customHeight="1" x14ac:dyDescent="0.2">
      <c r="A831">
        <v>99238190</v>
      </c>
      <c r="B831" t="s">
        <v>6199</v>
      </c>
      <c r="C831" s="14">
        <v>44493</v>
      </c>
      <c r="D831" t="s">
        <v>6200</v>
      </c>
      <c r="E831" t="s">
        <v>6201</v>
      </c>
      <c r="F831">
        <v>5151352</v>
      </c>
      <c r="G831" t="s">
        <v>6202</v>
      </c>
      <c r="H831" t="s">
        <v>6203</v>
      </c>
      <c r="I831" t="s">
        <v>6204</v>
      </c>
      <c r="J831" t="s">
        <v>6205</v>
      </c>
      <c r="K831" t="s">
        <v>62</v>
      </c>
      <c r="M831" t="s">
        <v>6206</v>
      </c>
      <c r="N831" t="s">
        <v>6207</v>
      </c>
      <c r="R831">
        <v>2</v>
      </c>
      <c r="S831">
        <v>0</v>
      </c>
      <c r="T831" t="b">
        <v>0</v>
      </c>
      <c r="U831">
        <v>3</v>
      </c>
      <c r="V831" t="s">
        <v>6208</v>
      </c>
      <c r="W831" s="15">
        <v>-29.913324710000001</v>
      </c>
      <c r="X831" s="15">
        <v>30.933539679999999</v>
      </c>
      <c r="Y831">
        <v>48</v>
      </c>
      <c r="AC831">
        <v>48</v>
      </c>
      <c r="AF831" t="b">
        <v>0</v>
      </c>
      <c r="AI831" t="s">
        <v>71</v>
      </c>
      <c r="AJ831" t="s">
        <v>70</v>
      </c>
      <c r="AK831" t="s">
        <v>71</v>
      </c>
      <c r="AL831" t="s">
        <v>72</v>
      </c>
      <c r="AM831">
        <v>346053</v>
      </c>
      <c r="AO831" s="16" t="s">
        <v>1574</v>
      </c>
      <c r="AP831" s="17" t="str">
        <f t="shared" si="56"/>
        <v>Nest (foundress)</v>
      </c>
      <c r="AQ831" s="18">
        <v>1</v>
      </c>
      <c r="AT831" s="19" t="s">
        <v>104</v>
      </c>
      <c r="AX831" s="22" t="str">
        <f>IF(AND('[1]observations-276632'!W831&gt;'[1]Methods write-up'!$Q$16,'[1]observations-276632'!W831&lt;'[1]Methods write-up'!$R$16,'[1]observations-276632'!X831&gt;'[1]Methods write-up'!$S$16,'[1]observations-276632'!X831&lt;'[1]Methods write-up'!$T$16),"West and Central Africa","")</f>
        <v/>
      </c>
      <c r="AY831" s="22" t="str">
        <f>IF(AND('[1]observations-276632'!W831&gt;'[1]Methods write-up'!$Q$17,'[1]observations-276632'!W831&lt;'[1]Methods write-up'!$R$17,'[1]observations-276632'!X831&gt;'[1]Methods write-up'!$S$17,'[1]observations-276632'!X831&lt;'[1]Methods write-up'!$T$17),"Equatorial tropical forest","")</f>
        <v/>
      </c>
      <c r="AZ831" s="22" t="str">
        <f>IF(AND('[1]observations-276632'!W831&gt;'[1]Methods write-up'!$Q$18,'[1]observations-276632'!W831&lt;'[1]Methods write-up'!$R$18,'[1]observations-276632'!X831&gt;'[1]Methods write-up'!$S$18,'[1]observations-276632'!X831&lt;'[1]Methods write-up'!$T$18),"Somali peninsula","")</f>
        <v/>
      </c>
      <c r="BA831" s="22" t="str">
        <f>IF(AND('[1]observations-276632'!W831&gt;'[1]Methods write-up'!$Q$19,'[1]observations-276632'!W831&lt;'[1]Methods write-up'!$R$19,'[1]observations-276632'!X831&gt;'[1]Methods write-up'!$S$19,'[1]observations-276632'!X831&lt;'[1]Methods write-up'!$T$19),"East Africa","")</f>
        <v/>
      </c>
      <c r="BB831" s="22" t="str">
        <f>IF(AND('[1]observations-276632'!W831&gt;'[1]Methods write-up'!$Q$20,'[1]observations-276632'!W831&lt;'[1]Methods write-up'!$R$20,'[1]observations-276632'!X831&gt;'[1]Methods write-up'!$S$20,'[1]observations-276632'!X831&lt;'[1]Methods write-up'!$T$20),"Temperate seasonal","")</f>
        <v>Temperate seasonal</v>
      </c>
      <c r="BC831" s="22" t="str">
        <f>IF(AND('[1]observations-276632'!W831&gt;'[1]Methods write-up'!$Q$21,'[1]observations-276632'!W831&lt;'[1]Methods write-up'!$R$21,'[1]observations-276632'!X831&gt;'[1]Methods write-up'!$S$21,'[1]observations-276632'!X831&lt;'[1]Methods write-up'!$T$21),"Desert and high aridity","")</f>
        <v/>
      </c>
      <c r="BD831" s="23" t="str">
        <f t="shared" si="54"/>
        <v>Temperate seasonal</v>
      </c>
      <c r="BE831" s="24">
        <f t="shared" si="52"/>
        <v>24</v>
      </c>
      <c r="BF831" s="24">
        <f t="shared" si="53"/>
        <v>10</v>
      </c>
    </row>
    <row r="832" spans="1:58" ht="16.25" customHeight="1" x14ac:dyDescent="0.2">
      <c r="A832">
        <v>99324800</v>
      </c>
      <c r="B832" t="s">
        <v>6209</v>
      </c>
      <c r="C832" s="14">
        <v>44494</v>
      </c>
      <c r="D832" t="s">
        <v>6210</v>
      </c>
      <c r="E832" t="s">
        <v>1408</v>
      </c>
      <c r="F832">
        <v>1812003</v>
      </c>
      <c r="G832" t="s">
        <v>4158</v>
      </c>
      <c r="I832" t="s">
        <v>6211</v>
      </c>
      <c r="J832" t="s">
        <v>6212</v>
      </c>
      <c r="K832" t="s">
        <v>62</v>
      </c>
      <c r="L832" t="s">
        <v>63</v>
      </c>
      <c r="M832" t="s">
        <v>6213</v>
      </c>
      <c r="N832" t="s">
        <v>6214</v>
      </c>
      <c r="R832">
        <v>3</v>
      </c>
      <c r="S832">
        <v>0</v>
      </c>
      <c r="T832" t="b">
        <v>0</v>
      </c>
      <c r="V832" t="s">
        <v>6215</v>
      </c>
      <c r="W832" s="15">
        <v>-20.209947379999999</v>
      </c>
      <c r="X832" s="15">
        <v>28.590183799999998</v>
      </c>
      <c r="Y832">
        <v>108</v>
      </c>
      <c r="AC832">
        <v>108</v>
      </c>
      <c r="AF832" t="b">
        <v>0</v>
      </c>
      <c r="AI832" t="s">
        <v>71</v>
      </c>
      <c r="AJ832" t="s">
        <v>70</v>
      </c>
      <c r="AK832" t="s">
        <v>71</v>
      </c>
      <c r="AL832" t="s">
        <v>72</v>
      </c>
      <c r="AM832">
        <v>346053</v>
      </c>
      <c r="AO832" s="16" t="s">
        <v>140</v>
      </c>
      <c r="AP832" s="17" t="str">
        <f t="shared" si="56"/>
        <v>Post-emergence nest</v>
      </c>
      <c r="AQ832" s="18">
        <v>4</v>
      </c>
      <c r="AT832" s="19" t="s">
        <v>104</v>
      </c>
      <c r="AU832" s="20" t="s">
        <v>104</v>
      </c>
      <c r="AX832" s="22" t="str">
        <f>IF(AND('[1]observations-276632'!W832&gt;'[1]Methods write-up'!$Q$16,'[1]observations-276632'!W832&lt;'[1]Methods write-up'!$R$16,'[1]observations-276632'!X832&gt;'[1]Methods write-up'!$S$16,'[1]observations-276632'!X832&lt;'[1]Methods write-up'!$T$16),"West and Central Africa","")</f>
        <v/>
      </c>
      <c r="AY832" s="22" t="str">
        <f>IF(AND('[1]observations-276632'!W832&gt;'[1]Methods write-up'!$Q$17,'[1]observations-276632'!W832&lt;'[1]Methods write-up'!$R$17,'[1]observations-276632'!X832&gt;'[1]Methods write-up'!$S$17,'[1]observations-276632'!X832&lt;'[1]Methods write-up'!$T$17),"Equatorial tropical forest","")</f>
        <v/>
      </c>
      <c r="AZ832" s="22" t="str">
        <f>IF(AND('[1]observations-276632'!W832&gt;'[1]Methods write-up'!$Q$18,'[1]observations-276632'!W832&lt;'[1]Methods write-up'!$R$18,'[1]observations-276632'!X832&gt;'[1]Methods write-up'!$S$18,'[1]observations-276632'!X832&lt;'[1]Methods write-up'!$T$18),"Somali peninsula","")</f>
        <v/>
      </c>
      <c r="BA832" s="22" t="str">
        <f>IF(AND('[1]observations-276632'!W832&gt;'[1]Methods write-up'!$Q$19,'[1]observations-276632'!W832&lt;'[1]Methods write-up'!$R$19,'[1]observations-276632'!X832&gt;'[1]Methods write-up'!$S$19,'[1]observations-276632'!X832&lt;'[1]Methods write-up'!$T$19),"East Africa","")</f>
        <v/>
      </c>
      <c r="BB832" s="22" t="str">
        <f>IF(AND('[1]observations-276632'!W832&gt;'[1]Methods write-up'!$Q$20,'[1]observations-276632'!W832&lt;'[1]Methods write-up'!$R$20,'[1]observations-276632'!X832&gt;'[1]Methods write-up'!$S$20,'[1]observations-276632'!X832&lt;'[1]Methods write-up'!$T$20),"Temperate seasonal","")</f>
        <v/>
      </c>
      <c r="BC832" s="22" t="str">
        <f>IF(AND('[1]observations-276632'!W832&gt;'[1]Methods write-up'!$Q$21,'[1]observations-276632'!W832&lt;'[1]Methods write-up'!$R$21,'[1]observations-276632'!X832&gt;'[1]Methods write-up'!$S$21,'[1]observations-276632'!X832&lt;'[1]Methods write-up'!$T$21),"Desert and high aridity","")</f>
        <v/>
      </c>
      <c r="BD832" s="23" t="str">
        <f t="shared" si="54"/>
        <v/>
      </c>
      <c r="BE832" s="24">
        <f t="shared" si="52"/>
        <v>25</v>
      </c>
      <c r="BF832" s="24">
        <f t="shared" si="53"/>
        <v>10</v>
      </c>
    </row>
    <row r="833" spans="1:58" ht="16.25" customHeight="1" x14ac:dyDescent="0.2">
      <c r="A833">
        <v>99329956</v>
      </c>
      <c r="B833" t="s">
        <v>6216</v>
      </c>
      <c r="C833" s="14">
        <v>44492</v>
      </c>
      <c r="D833" t="s">
        <v>6217</v>
      </c>
      <c r="E833" t="s">
        <v>1408</v>
      </c>
      <c r="F833">
        <v>4311616</v>
      </c>
      <c r="G833" t="s">
        <v>5392</v>
      </c>
      <c r="H833" t="s">
        <v>5393</v>
      </c>
      <c r="I833" t="s">
        <v>6218</v>
      </c>
      <c r="J833" t="s">
        <v>6219</v>
      </c>
      <c r="K833" t="s">
        <v>62</v>
      </c>
      <c r="M833" t="s">
        <v>6220</v>
      </c>
      <c r="N833" t="s">
        <v>6221</v>
      </c>
      <c r="R833">
        <v>1</v>
      </c>
      <c r="S833">
        <v>0</v>
      </c>
      <c r="T833" t="b">
        <v>0</v>
      </c>
      <c r="V833" t="s">
        <v>5398</v>
      </c>
      <c r="W833" s="15">
        <v>-17.807701529999999</v>
      </c>
      <c r="X833" s="15">
        <v>25.159022610000001</v>
      </c>
      <c r="Y833">
        <v>15</v>
      </c>
      <c r="AC833">
        <v>15</v>
      </c>
      <c r="AF833" t="b">
        <v>0</v>
      </c>
      <c r="AI833" t="s">
        <v>71</v>
      </c>
      <c r="AJ833" t="s">
        <v>70</v>
      </c>
      <c r="AK833" t="s">
        <v>71</v>
      </c>
      <c r="AL833" t="s">
        <v>72</v>
      </c>
      <c r="AM833">
        <v>346053</v>
      </c>
      <c r="AO833" s="16" t="s">
        <v>253</v>
      </c>
      <c r="AP833" s="17" t="str">
        <f t="shared" si="56"/>
        <v>Aggregation of females off-nest</v>
      </c>
      <c r="AQ833" s="18">
        <v>13</v>
      </c>
      <c r="AV833" s="21" t="s">
        <v>6222</v>
      </c>
      <c r="AX833" s="22" t="str">
        <f>IF(AND('[1]observations-276632'!W833&gt;'[1]Methods write-up'!$Q$16,'[1]observations-276632'!W833&lt;'[1]Methods write-up'!$R$16,'[1]observations-276632'!X833&gt;'[1]Methods write-up'!$S$16,'[1]observations-276632'!X833&lt;'[1]Methods write-up'!$T$16),"West and Central Africa","")</f>
        <v>West and Central Africa</v>
      </c>
      <c r="AY833" s="22" t="str">
        <f>IF(AND('[1]observations-276632'!W833&gt;'[1]Methods write-up'!$Q$17,'[1]observations-276632'!W833&lt;'[1]Methods write-up'!$R$17,'[1]observations-276632'!X833&gt;'[1]Methods write-up'!$S$17,'[1]observations-276632'!X833&lt;'[1]Methods write-up'!$T$17),"Equatorial tropical forest","")</f>
        <v/>
      </c>
      <c r="AZ833" s="22" t="str">
        <f>IF(AND('[1]observations-276632'!W833&gt;'[1]Methods write-up'!$Q$18,'[1]observations-276632'!W833&lt;'[1]Methods write-up'!$R$18,'[1]observations-276632'!X833&gt;'[1]Methods write-up'!$S$18,'[1]observations-276632'!X833&lt;'[1]Methods write-up'!$T$18),"Somali peninsula","")</f>
        <v/>
      </c>
      <c r="BA833" s="22" t="str">
        <f>IF(AND('[1]observations-276632'!W833&gt;'[1]Methods write-up'!$Q$19,'[1]observations-276632'!W833&lt;'[1]Methods write-up'!$R$19,'[1]observations-276632'!X833&gt;'[1]Methods write-up'!$S$19,'[1]observations-276632'!X833&lt;'[1]Methods write-up'!$T$19),"East Africa","")</f>
        <v/>
      </c>
      <c r="BB833" s="22" t="str">
        <f>IF(AND('[1]observations-276632'!W833&gt;'[1]Methods write-up'!$Q$20,'[1]observations-276632'!W833&lt;'[1]Methods write-up'!$R$20,'[1]observations-276632'!X833&gt;'[1]Methods write-up'!$S$20,'[1]observations-276632'!X833&lt;'[1]Methods write-up'!$T$20),"Temperate seasonal","")</f>
        <v/>
      </c>
      <c r="BC833" s="22" t="str">
        <f>IF(AND('[1]observations-276632'!W833&gt;'[1]Methods write-up'!$Q$21,'[1]observations-276632'!W833&lt;'[1]Methods write-up'!$R$21,'[1]observations-276632'!X833&gt;'[1]Methods write-up'!$S$21,'[1]observations-276632'!X833&lt;'[1]Methods write-up'!$T$21),"Desert and high aridity","")</f>
        <v/>
      </c>
      <c r="BD833" s="23" t="str">
        <f t="shared" si="54"/>
        <v>West and Central Africa</v>
      </c>
      <c r="BE833" s="24">
        <f t="shared" si="52"/>
        <v>23</v>
      </c>
      <c r="BF833" s="24">
        <f t="shared" si="53"/>
        <v>10</v>
      </c>
    </row>
    <row r="834" spans="1:58" ht="16.25" customHeight="1" x14ac:dyDescent="0.2">
      <c r="A834">
        <v>99331289</v>
      </c>
      <c r="B834" t="s">
        <v>6223</v>
      </c>
      <c r="C834" s="14">
        <v>44492</v>
      </c>
      <c r="D834" t="s">
        <v>6224</v>
      </c>
      <c r="E834" t="s">
        <v>6201</v>
      </c>
      <c r="F834">
        <v>1636096</v>
      </c>
      <c r="G834" t="s">
        <v>4875</v>
      </c>
      <c r="H834" t="s">
        <v>4876</v>
      </c>
      <c r="I834" t="s">
        <v>6225</v>
      </c>
      <c r="J834" t="s">
        <v>6226</v>
      </c>
      <c r="K834" t="s">
        <v>62</v>
      </c>
      <c r="L834" t="s">
        <v>63</v>
      </c>
      <c r="M834" t="s">
        <v>6227</v>
      </c>
      <c r="N834" t="s">
        <v>6228</v>
      </c>
      <c r="R834">
        <v>0</v>
      </c>
      <c r="S834">
        <v>0</v>
      </c>
      <c r="T834" t="b">
        <v>0</v>
      </c>
      <c r="U834">
        <v>3</v>
      </c>
      <c r="V834" t="s">
        <v>6229</v>
      </c>
      <c r="W834" s="15">
        <v>-25.72489436</v>
      </c>
      <c r="X834" s="15">
        <v>27.19690825</v>
      </c>
      <c r="Y834">
        <v>357</v>
      </c>
      <c r="AC834">
        <v>357</v>
      </c>
      <c r="AF834" t="b">
        <v>0</v>
      </c>
      <c r="AJ834" t="s">
        <v>70</v>
      </c>
      <c r="AK834" t="s">
        <v>71</v>
      </c>
      <c r="AL834" t="s">
        <v>72</v>
      </c>
      <c r="AM834">
        <v>346053</v>
      </c>
      <c r="AO834" s="16" t="s">
        <v>2421</v>
      </c>
      <c r="AP834" s="16"/>
      <c r="AX834" s="22" t="str">
        <f>IF(AND('[1]observations-276632'!W834&gt;'[1]Methods write-up'!$Q$16,'[1]observations-276632'!W834&lt;'[1]Methods write-up'!$R$16,'[1]observations-276632'!X834&gt;'[1]Methods write-up'!$S$16,'[1]observations-276632'!X834&lt;'[1]Methods write-up'!$T$16),"West Africa","")</f>
        <v/>
      </c>
      <c r="AY834" s="22" t="str">
        <f>IF(AND('[1]observations-276632'!W834&gt;'[1]Methods write-up'!$Q$17,'[1]observations-276632'!W834&lt;'[1]Methods write-up'!$R$17,'[1]observations-276632'!X834&gt;'[1]Methods write-up'!$S$17,'[1]observations-276632'!X834&lt;'[1]Methods write-up'!$T$17),"Equatorial tropical forest","")</f>
        <v/>
      </c>
      <c r="AZ834" s="22" t="str">
        <f>IF(AND('[1]observations-276632'!W834&gt;'[1]Methods write-up'!$Q$18,'[1]observations-276632'!W834&lt;'[1]Methods write-up'!$R$18,'[1]observations-276632'!X834&gt;'[1]Methods write-up'!$S$18,'[1]observations-276632'!X834&lt;'[1]Methods write-up'!$T$18),"Somali peninsula","")</f>
        <v/>
      </c>
      <c r="BA834" s="22" t="str">
        <f>IF(AND('[1]observations-276632'!W834&gt;'[1]Methods write-up'!$Q$19,'[1]observations-276632'!W834&lt;'[1]Methods write-up'!$R$19,'[1]observations-276632'!X834&gt;'[1]Methods write-up'!$S$19,'[1]observations-276632'!X834&lt;'[1]Methods write-up'!$T$19),"East Africa","")</f>
        <v/>
      </c>
      <c r="BB834" s="22" t="str">
        <f>IF(AND('[1]observations-276632'!W834&gt;'[1]Methods write-up'!$Q$20,'[1]observations-276632'!W834&lt;'[1]Methods write-up'!$R$20,'[1]observations-276632'!X834&gt;'[1]Methods write-up'!$S$20,'[1]observations-276632'!X834&lt;'[1]Methods write-up'!$T$20),"Temperate seasonal","")</f>
        <v>Temperate seasonal</v>
      </c>
      <c r="BC834" s="22" t="str">
        <f>IF(AND('[1]observations-276632'!W834&gt;'[1]Methods write-up'!$Q$21,'[1]observations-276632'!W834&lt;'[1]Methods write-up'!$R$21,'[1]observations-276632'!X834&gt;'[1]Methods write-up'!$S$21,'[1]observations-276632'!X834&lt;'[1]Methods write-up'!$T$21),"Desert and high aridity","")</f>
        <v/>
      </c>
      <c r="BD834" s="23" t="str">
        <f t="shared" si="54"/>
        <v>Temperate seasonal</v>
      </c>
      <c r="BE834" s="24">
        <f t="shared" ref="BE834:BE897" si="57">DAY(C834)</f>
        <v>23</v>
      </c>
      <c r="BF834" s="24">
        <f t="shared" ref="BF834:BF897" si="58">MONTH(C834)</f>
        <v>10</v>
      </c>
    </row>
    <row r="835" spans="1:58" ht="16.25" customHeight="1" x14ac:dyDescent="0.2">
      <c r="A835">
        <v>99364948</v>
      </c>
      <c r="B835" s="25">
        <v>44493.915972222225</v>
      </c>
      <c r="C835" s="14">
        <v>44493</v>
      </c>
      <c r="D835" t="s">
        <v>6230</v>
      </c>
      <c r="E835" t="s">
        <v>113</v>
      </c>
      <c r="F835">
        <v>5153405</v>
      </c>
      <c r="G835" t="s">
        <v>6231</v>
      </c>
      <c r="I835" t="s">
        <v>6232</v>
      </c>
      <c r="J835" t="s">
        <v>6233</v>
      </c>
      <c r="K835" t="s">
        <v>62</v>
      </c>
      <c r="L835" t="s">
        <v>63</v>
      </c>
      <c r="M835" t="s">
        <v>6234</v>
      </c>
      <c r="N835" t="s">
        <v>6235</v>
      </c>
      <c r="R835">
        <v>1</v>
      </c>
      <c r="S835">
        <v>0</v>
      </c>
      <c r="T835" t="b">
        <v>0</v>
      </c>
      <c r="U835">
        <v>2</v>
      </c>
      <c r="V835" t="s">
        <v>6236</v>
      </c>
      <c r="W835" s="15">
        <v>-29.752241389999998</v>
      </c>
      <c r="X835" s="15">
        <v>30.842356389999999</v>
      </c>
      <c r="AF835" t="b">
        <v>0</v>
      </c>
      <c r="AG835" t="s">
        <v>350</v>
      </c>
      <c r="AH835" t="s">
        <v>350</v>
      </c>
      <c r="AI835" t="s">
        <v>71</v>
      </c>
      <c r="AJ835" t="s">
        <v>70</v>
      </c>
      <c r="AK835" t="s">
        <v>71</v>
      </c>
      <c r="AL835" t="s">
        <v>72</v>
      </c>
      <c r="AM835">
        <v>346053</v>
      </c>
      <c r="AO835" s="16" t="s">
        <v>140</v>
      </c>
      <c r="AP835" s="17" t="str">
        <f t="shared" ref="AP835:AP836" si="59">IF(COUNTIF(AO835,"*foundress*"),"Nest (foundress)",AO835)</f>
        <v>Post-emergence nest</v>
      </c>
      <c r="AQ835" s="18">
        <v>3</v>
      </c>
      <c r="AT835" s="19" t="s">
        <v>141</v>
      </c>
      <c r="AU835" s="20" t="s">
        <v>104</v>
      </c>
      <c r="AX835" s="22" t="str">
        <f>IF(AND('[1]observations-276632'!W835&gt;'[1]Methods write-up'!$Q$16,'[1]observations-276632'!W835&lt;'[1]Methods write-up'!$R$16,'[1]observations-276632'!X835&gt;'[1]Methods write-up'!$S$16,'[1]observations-276632'!X835&lt;'[1]Methods write-up'!$T$16),"West and Central Africa","")</f>
        <v/>
      </c>
      <c r="AY835" s="22" t="str">
        <f>IF(AND('[1]observations-276632'!W835&gt;'[1]Methods write-up'!$Q$17,'[1]observations-276632'!W835&lt;'[1]Methods write-up'!$R$17,'[1]observations-276632'!X835&gt;'[1]Methods write-up'!$S$17,'[1]observations-276632'!X835&lt;'[1]Methods write-up'!$T$17),"Equatorial tropical forest","")</f>
        <v/>
      </c>
      <c r="AZ835" s="22" t="str">
        <f>IF(AND('[1]observations-276632'!W835&gt;'[1]Methods write-up'!$Q$18,'[1]observations-276632'!W835&lt;'[1]Methods write-up'!$R$18,'[1]observations-276632'!X835&gt;'[1]Methods write-up'!$S$18,'[1]observations-276632'!X835&lt;'[1]Methods write-up'!$T$18),"Somali peninsula","")</f>
        <v/>
      </c>
      <c r="BA835" s="22" t="str">
        <f>IF(AND('[1]observations-276632'!W835&gt;'[1]Methods write-up'!$Q$19,'[1]observations-276632'!W835&lt;'[1]Methods write-up'!$R$19,'[1]observations-276632'!X835&gt;'[1]Methods write-up'!$S$19,'[1]observations-276632'!X835&lt;'[1]Methods write-up'!$T$19),"East Africa","")</f>
        <v/>
      </c>
      <c r="BB835" s="22" t="str">
        <f>IF(AND('[1]observations-276632'!W835&gt;'[1]Methods write-up'!$Q$20,'[1]observations-276632'!W835&lt;'[1]Methods write-up'!$R$20,'[1]observations-276632'!X835&gt;'[1]Methods write-up'!$S$20,'[1]observations-276632'!X835&lt;'[1]Methods write-up'!$T$20),"Temperate seasonal","")</f>
        <v>Temperate seasonal</v>
      </c>
      <c r="BC835" s="22" t="str">
        <f>IF(AND('[1]observations-276632'!W835&gt;'[1]Methods write-up'!$Q$21,'[1]observations-276632'!W835&lt;'[1]Methods write-up'!$R$21,'[1]observations-276632'!X835&gt;'[1]Methods write-up'!$S$21,'[1]observations-276632'!X835&lt;'[1]Methods write-up'!$T$21),"Desert and high aridity","")</f>
        <v/>
      </c>
      <c r="BD835" s="23" t="str">
        <f t="shared" ref="BD835:BD898" si="60">AX835&amp;AY835&amp;AZ835&amp;BA835&amp;BB835&amp;BC835</f>
        <v>Temperate seasonal</v>
      </c>
      <c r="BE835" s="24">
        <f t="shared" si="57"/>
        <v>24</v>
      </c>
      <c r="BF835" s="24">
        <f t="shared" si="58"/>
        <v>10</v>
      </c>
    </row>
    <row r="836" spans="1:58" ht="16.25" customHeight="1" x14ac:dyDescent="0.2">
      <c r="A836">
        <v>99517002</v>
      </c>
      <c r="B836" t="s">
        <v>6237</v>
      </c>
      <c r="C836" s="14">
        <v>44494</v>
      </c>
      <c r="D836" t="s">
        <v>6238</v>
      </c>
      <c r="E836" t="s">
        <v>57</v>
      </c>
      <c r="F836">
        <v>678008</v>
      </c>
      <c r="G836" t="s">
        <v>2315</v>
      </c>
      <c r="I836" t="s">
        <v>6239</v>
      </c>
      <c r="J836" t="s">
        <v>6240</v>
      </c>
      <c r="K836" t="s">
        <v>62</v>
      </c>
      <c r="L836" t="s">
        <v>63</v>
      </c>
      <c r="M836" t="s">
        <v>6241</v>
      </c>
      <c r="N836" t="s">
        <v>6242</v>
      </c>
      <c r="R836">
        <v>1</v>
      </c>
      <c r="S836">
        <v>0</v>
      </c>
      <c r="T836" t="b">
        <v>0</v>
      </c>
      <c r="V836" t="s">
        <v>6243</v>
      </c>
      <c r="W836" s="15">
        <v>-15.22534608</v>
      </c>
      <c r="X836" s="15">
        <v>28.412493489999999</v>
      </c>
      <c r="Y836">
        <v>89</v>
      </c>
      <c r="AC836">
        <v>89</v>
      </c>
      <c r="AF836" t="b">
        <v>0</v>
      </c>
      <c r="AI836" t="s">
        <v>71</v>
      </c>
      <c r="AJ836" t="s">
        <v>70</v>
      </c>
      <c r="AK836" t="s">
        <v>71</v>
      </c>
      <c r="AL836" t="s">
        <v>72</v>
      </c>
      <c r="AM836">
        <v>346053</v>
      </c>
      <c r="AO836" s="16" t="s">
        <v>73</v>
      </c>
      <c r="AP836" s="17" t="str">
        <f t="shared" si="59"/>
        <v>Off-nest female</v>
      </c>
      <c r="AX836" s="22" t="str">
        <f>IF(AND('[1]observations-276632'!W836&gt;'[1]Methods write-up'!$Q$16,'[1]observations-276632'!W836&lt;'[1]Methods write-up'!$R$16,'[1]observations-276632'!X836&gt;'[1]Methods write-up'!$S$16,'[1]observations-276632'!X836&lt;'[1]Methods write-up'!$T$16),"West and Central Africa","")</f>
        <v>West and Central Africa</v>
      </c>
      <c r="AY836" s="22" t="str">
        <f>IF(AND('[1]observations-276632'!W836&gt;'[1]Methods write-up'!$Q$17,'[1]observations-276632'!W836&lt;'[1]Methods write-up'!$R$17,'[1]observations-276632'!X836&gt;'[1]Methods write-up'!$S$17,'[1]observations-276632'!X836&lt;'[1]Methods write-up'!$T$17),"Equatorial tropical forest","")</f>
        <v/>
      </c>
      <c r="AZ836" s="22" t="str">
        <f>IF(AND('[1]observations-276632'!W836&gt;'[1]Methods write-up'!$Q$18,'[1]observations-276632'!W836&lt;'[1]Methods write-up'!$R$18,'[1]observations-276632'!X836&gt;'[1]Methods write-up'!$S$18,'[1]observations-276632'!X836&lt;'[1]Methods write-up'!$T$18),"Somali peninsula","")</f>
        <v/>
      </c>
      <c r="BA836" s="22" t="str">
        <f>IF(AND('[1]observations-276632'!W836&gt;'[1]Methods write-up'!$Q$19,'[1]observations-276632'!W836&lt;'[1]Methods write-up'!$R$19,'[1]observations-276632'!X836&gt;'[1]Methods write-up'!$S$19,'[1]observations-276632'!X836&lt;'[1]Methods write-up'!$T$19),"East Africa","")</f>
        <v/>
      </c>
      <c r="BB836" s="22" t="str">
        <f>IF(AND('[1]observations-276632'!W836&gt;'[1]Methods write-up'!$Q$20,'[1]observations-276632'!W836&lt;'[1]Methods write-up'!$R$20,'[1]observations-276632'!X836&gt;'[1]Methods write-up'!$S$20,'[1]observations-276632'!X836&lt;'[1]Methods write-up'!$T$20),"Temperate seasonal","")</f>
        <v/>
      </c>
      <c r="BC836" s="22" t="str">
        <f>IF(AND('[1]observations-276632'!W836&gt;'[1]Methods write-up'!$Q$21,'[1]observations-276632'!W836&lt;'[1]Methods write-up'!$R$21,'[1]observations-276632'!X836&gt;'[1]Methods write-up'!$S$21,'[1]observations-276632'!X836&lt;'[1]Methods write-up'!$T$21),"Desert and high aridity","")</f>
        <v/>
      </c>
      <c r="BD836" s="23" t="str">
        <f t="shared" si="60"/>
        <v>West and Central Africa</v>
      </c>
      <c r="BE836" s="24">
        <f t="shared" si="57"/>
        <v>25</v>
      </c>
      <c r="BF836" s="24">
        <f t="shared" si="58"/>
        <v>10</v>
      </c>
    </row>
    <row r="837" spans="1:58" ht="16.25" customHeight="1" x14ac:dyDescent="0.2">
      <c r="A837">
        <v>99517003</v>
      </c>
      <c r="B837" t="s">
        <v>6244</v>
      </c>
      <c r="C837" s="14">
        <v>44494</v>
      </c>
      <c r="D837" t="s">
        <v>6245</v>
      </c>
      <c r="E837" t="s">
        <v>57</v>
      </c>
      <c r="F837">
        <v>678008</v>
      </c>
      <c r="G837" t="s">
        <v>2315</v>
      </c>
      <c r="I837" t="s">
        <v>6239</v>
      </c>
      <c r="J837" t="s">
        <v>6246</v>
      </c>
      <c r="K837" t="s">
        <v>62</v>
      </c>
      <c r="L837" t="s">
        <v>63</v>
      </c>
      <c r="M837" t="s">
        <v>6247</v>
      </c>
      <c r="N837" t="s">
        <v>6248</v>
      </c>
      <c r="R837">
        <v>1</v>
      </c>
      <c r="S837">
        <v>0</v>
      </c>
      <c r="T837" t="b">
        <v>0</v>
      </c>
      <c r="V837" t="s">
        <v>6243</v>
      </c>
      <c r="W837" s="15">
        <v>-15.22534608</v>
      </c>
      <c r="X837" s="15">
        <v>28.412493489999999</v>
      </c>
      <c r="Y837">
        <v>89</v>
      </c>
      <c r="AC837">
        <v>89</v>
      </c>
      <c r="AF837" t="b">
        <v>0</v>
      </c>
      <c r="AI837" t="s">
        <v>71</v>
      </c>
      <c r="AJ837" t="s">
        <v>70</v>
      </c>
      <c r="AK837" t="s">
        <v>71</v>
      </c>
      <c r="AL837" t="s">
        <v>72</v>
      </c>
      <c r="AM837">
        <v>346053</v>
      </c>
      <c r="AO837" s="16" t="s">
        <v>5601</v>
      </c>
      <c r="AP837" s="16"/>
      <c r="AX837" s="22" t="str">
        <f>IF(AND('[1]observations-276632'!W837&gt;'[1]Methods write-up'!$Q$16,'[1]observations-276632'!W837&lt;'[1]Methods write-up'!$R$16,'[1]observations-276632'!X837&gt;'[1]Methods write-up'!$S$16,'[1]observations-276632'!X837&lt;'[1]Methods write-up'!$T$16),"West Africa","")</f>
        <v>West Africa</v>
      </c>
      <c r="AY837" s="22" t="str">
        <f>IF(AND('[1]observations-276632'!W837&gt;'[1]Methods write-up'!$Q$17,'[1]observations-276632'!W837&lt;'[1]Methods write-up'!$R$17,'[1]observations-276632'!X837&gt;'[1]Methods write-up'!$S$17,'[1]observations-276632'!X837&lt;'[1]Methods write-up'!$T$17),"Equatorial tropical forest","")</f>
        <v/>
      </c>
      <c r="AZ837" s="22" t="str">
        <f>IF(AND('[1]observations-276632'!W837&gt;'[1]Methods write-up'!$Q$18,'[1]observations-276632'!W837&lt;'[1]Methods write-up'!$R$18,'[1]observations-276632'!X837&gt;'[1]Methods write-up'!$S$18,'[1]observations-276632'!X837&lt;'[1]Methods write-up'!$T$18),"Somali peninsula","")</f>
        <v/>
      </c>
      <c r="BA837" s="22" t="str">
        <f>IF(AND('[1]observations-276632'!W837&gt;'[1]Methods write-up'!$Q$19,'[1]observations-276632'!W837&lt;'[1]Methods write-up'!$R$19,'[1]observations-276632'!X837&gt;'[1]Methods write-up'!$S$19,'[1]observations-276632'!X837&lt;'[1]Methods write-up'!$T$19),"East Africa","")</f>
        <v/>
      </c>
      <c r="BB837" s="22" t="str">
        <f>IF(AND('[1]observations-276632'!W837&gt;'[1]Methods write-up'!$Q$20,'[1]observations-276632'!W837&lt;'[1]Methods write-up'!$R$20,'[1]observations-276632'!X837&gt;'[1]Methods write-up'!$S$20,'[1]observations-276632'!X837&lt;'[1]Methods write-up'!$T$20),"Temperate seasonal","")</f>
        <v/>
      </c>
      <c r="BC837" s="22" t="str">
        <f>IF(AND('[1]observations-276632'!W837&gt;'[1]Methods write-up'!$Q$21,'[1]observations-276632'!W837&lt;'[1]Methods write-up'!$R$21,'[1]observations-276632'!X837&gt;'[1]Methods write-up'!$S$21,'[1]observations-276632'!X837&lt;'[1]Methods write-up'!$T$21),"Desert and high aridity","")</f>
        <v/>
      </c>
      <c r="BD837" s="23" t="str">
        <f t="shared" si="60"/>
        <v>West Africa</v>
      </c>
      <c r="BE837" s="24">
        <f t="shared" si="57"/>
        <v>25</v>
      </c>
      <c r="BF837" s="24">
        <f t="shared" si="58"/>
        <v>10</v>
      </c>
    </row>
    <row r="838" spans="1:58" ht="16.25" customHeight="1" x14ac:dyDescent="0.2">
      <c r="A838">
        <v>99898078</v>
      </c>
      <c r="B838" t="s">
        <v>6249</v>
      </c>
      <c r="C838" s="14">
        <v>44389</v>
      </c>
      <c r="D838" t="s">
        <v>6250</v>
      </c>
      <c r="E838" t="s">
        <v>57</v>
      </c>
      <c r="F838">
        <v>678008</v>
      </c>
      <c r="G838" t="s">
        <v>2315</v>
      </c>
      <c r="I838" t="s">
        <v>6251</v>
      </c>
      <c r="J838" t="s">
        <v>6252</v>
      </c>
      <c r="K838" t="s">
        <v>62</v>
      </c>
      <c r="L838" t="s">
        <v>63</v>
      </c>
      <c r="M838" t="s">
        <v>6253</v>
      </c>
      <c r="N838" t="s">
        <v>6254</v>
      </c>
      <c r="R838">
        <v>2</v>
      </c>
      <c r="S838">
        <v>0</v>
      </c>
      <c r="T838" t="b">
        <v>0</v>
      </c>
      <c r="V838" t="s">
        <v>2320</v>
      </c>
      <c r="W838" s="15">
        <v>-15.36985702</v>
      </c>
      <c r="X838" s="15">
        <v>28.315754519999999</v>
      </c>
      <c r="Y838">
        <v>46</v>
      </c>
      <c r="AC838">
        <v>46</v>
      </c>
      <c r="AF838" t="b">
        <v>0</v>
      </c>
      <c r="AI838" t="s">
        <v>71</v>
      </c>
      <c r="AJ838" t="s">
        <v>70</v>
      </c>
      <c r="AK838" t="s">
        <v>71</v>
      </c>
      <c r="AL838" t="s">
        <v>72</v>
      </c>
      <c r="AM838">
        <v>346053</v>
      </c>
      <c r="AO838" s="16" t="s">
        <v>73</v>
      </c>
      <c r="AP838" s="17" t="str">
        <f t="shared" ref="AP838:AP901" si="61">IF(COUNTIF(AO838,"*foundress*"),"Nest (foundress)",AO838)</f>
        <v>Off-nest female</v>
      </c>
      <c r="AX838" s="22" t="str">
        <f>IF(AND('[1]observations-276632'!W838&gt;'[1]Methods write-up'!$Q$16,'[1]observations-276632'!W838&lt;'[1]Methods write-up'!$R$16,'[1]observations-276632'!X838&gt;'[1]Methods write-up'!$S$16,'[1]observations-276632'!X838&lt;'[1]Methods write-up'!$T$16),"West and Central Africa","")</f>
        <v>West and Central Africa</v>
      </c>
      <c r="AY838" s="22" t="str">
        <f>IF(AND('[1]observations-276632'!W838&gt;'[1]Methods write-up'!$Q$17,'[1]observations-276632'!W838&lt;'[1]Methods write-up'!$R$17,'[1]observations-276632'!X838&gt;'[1]Methods write-up'!$S$17,'[1]observations-276632'!X838&lt;'[1]Methods write-up'!$T$17),"Equatorial tropical forest","")</f>
        <v/>
      </c>
      <c r="AZ838" s="22" t="str">
        <f>IF(AND('[1]observations-276632'!W838&gt;'[1]Methods write-up'!$Q$18,'[1]observations-276632'!W838&lt;'[1]Methods write-up'!$R$18,'[1]observations-276632'!X838&gt;'[1]Methods write-up'!$S$18,'[1]observations-276632'!X838&lt;'[1]Methods write-up'!$T$18),"Somali peninsula","")</f>
        <v/>
      </c>
      <c r="BA838" s="22" t="str">
        <f>IF(AND('[1]observations-276632'!W838&gt;'[1]Methods write-up'!$Q$19,'[1]observations-276632'!W838&lt;'[1]Methods write-up'!$R$19,'[1]observations-276632'!X838&gt;'[1]Methods write-up'!$S$19,'[1]observations-276632'!X838&lt;'[1]Methods write-up'!$T$19),"East Africa","")</f>
        <v/>
      </c>
      <c r="BB838" s="22" t="str">
        <f>IF(AND('[1]observations-276632'!W838&gt;'[1]Methods write-up'!$Q$20,'[1]observations-276632'!W838&lt;'[1]Methods write-up'!$R$20,'[1]observations-276632'!X838&gt;'[1]Methods write-up'!$S$20,'[1]observations-276632'!X838&lt;'[1]Methods write-up'!$T$20),"Temperate seasonal","")</f>
        <v/>
      </c>
      <c r="BC838" s="22" t="str">
        <f>IF(AND('[1]observations-276632'!W838&gt;'[1]Methods write-up'!$Q$21,'[1]observations-276632'!W838&lt;'[1]Methods write-up'!$R$21,'[1]observations-276632'!X838&gt;'[1]Methods write-up'!$S$21,'[1]observations-276632'!X838&lt;'[1]Methods write-up'!$T$21),"Desert and high aridity","")</f>
        <v/>
      </c>
      <c r="BD838" s="23" t="str">
        <f t="shared" si="60"/>
        <v>West and Central Africa</v>
      </c>
      <c r="BE838" s="24">
        <f t="shared" si="57"/>
        <v>12</v>
      </c>
      <c r="BF838" s="24">
        <f t="shared" si="58"/>
        <v>7</v>
      </c>
    </row>
    <row r="839" spans="1:58" ht="16.25" customHeight="1" x14ac:dyDescent="0.2">
      <c r="A839">
        <v>99947267</v>
      </c>
      <c r="B839" t="s">
        <v>6255</v>
      </c>
      <c r="C839" s="14">
        <v>44499</v>
      </c>
      <c r="D839" t="s">
        <v>6256</v>
      </c>
      <c r="E839" t="s">
        <v>113</v>
      </c>
      <c r="F839">
        <v>2852980</v>
      </c>
      <c r="G839" t="s">
        <v>6257</v>
      </c>
      <c r="H839" t="s">
        <v>6258</v>
      </c>
      <c r="I839" t="s">
        <v>6259</v>
      </c>
      <c r="J839" t="s">
        <v>6260</v>
      </c>
      <c r="K839" t="s">
        <v>62</v>
      </c>
      <c r="L839" t="s">
        <v>63</v>
      </c>
      <c r="M839" t="s">
        <v>6261</v>
      </c>
      <c r="N839" t="s">
        <v>6262</v>
      </c>
      <c r="R839">
        <v>3</v>
      </c>
      <c r="S839">
        <v>0</v>
      </c>
      <c r="T839" t="b">
        <v>0</v>
      </c>
      <c r="V839" t="s">
        <v>6263</v>
      </c>
      <c r="W839" s="15">
        <v>-30.4921501</v>
      </c>
      <c r="X839" s="15">
        <v>30.632623819999999</v>
      </c>
      <c r="Y839">
        <v>333</v>
      </c>
      <c r="AC839">
        <v>333</v>
      </c>
      <c r="AF839" t="b">
        <v>0</v>
      </c>
      <c r="AI839" t="s">
        <v>71</v>
      </c>
      <c r="AJ839" t="s">
        <v>70</v>
      </c>
      <c r="AK839" t="s">
        <v>71</v>
      </c>
      <c r="AL839" t="s">
        <v>72</v>
      </c>
      <c r="AM839">
        <v>346053</v>
      </c>
      <c r="AO839" s="16" t="s">
        <v>73</v>
      </c>
      <c r="AP839" s="17" t="str">
        <f t="shared" si="61"/>
        <v>Off-nest female</v>
      </c>
      <c r="AX839" s="22" t="str">
        <f>IF(AND('[1]observations-276632'!W839&gt;'[1]Methods write-up'!$Q$16,'[1]observations-276632'!W839&lt;'[1]Methods write-up'!$R$16,'[1]observations-276632'!X839&gt;'[1]Methods write-up'!$S$16,'[1]observations-276632'!X839&lt;'[1]Methods write-up'!$T$16),"West and Central Africa","")</f>
        <v/>
      </c>
      <c r="AY839" s="22" t="str">
        <f>IF(AND('[1]observations-276632'!W839&gt;'[1]Methods write-up'!$Q$17,'[1]observations-276632'!W839&lt;'[1]Methods write-up'!$R$17,'[1]observations-276632'!X839&gt;'[1]Methods write-up'!$S$17,'[1]observations-276632'!X839&lt;'[1]Methods write-up'!$T$17),"Equatorial tropical forest","")</f>
        <v/>
      </c>
      <c r="AZ839" s="22" t="str">
        <f>IF(AND('[1]observations-276632'!W839&gt;'[1]Methods write-up'!$Q$18,'[1]observations-276632'!W839&lt;'[1]Methods write-up'!$R$18,'[1]observations-276632'!X839&gt;'[1]Methods write-up'!$S$18,'[1]observations-276632'!X839&lt;'[1]Methods write-up'!$T$18),"Somali peninsula","")</f>
        <v/>
      </c>
      <c r="BA839" s="22" t="str">
        <f>IF(AND('[1]observations-276632'!W839&gt;'[1]Methods write-up'!$Q$19,'[1]observations-276632'!W839&lt;'[1]Methods write-up'!$R$19,'[1]observations-276632'!X839&gt;'[1]Methods write-up'!$S$19,'[1]observations-276632'!X839&lt;'[1]Methods write-up'!$T$19),"East Africa","")</f>
        <v/>
      </c>
      <c r="BB839" s="22" t="str">
        <f>IF(AND('[1]observations-276632'!W839&gt;'[1]Methods write-up'!$Q$20,'[1]observations-276632'!W839&lt;'[1]Methods write-up'!$R$20,'[1]observations-276632'!X839&gt;'[1]Methods write-up'!$S$20,'[1]observations-276632'!X839&lt;'[1]Methods write-up'!$T$20),"Temperate seasonal","")</f>
        <v>Temperate seasonal</v>
      </c>
      <c r="BC839" s="22" t="str">
        <f>IF(AND('[1]observations-276632'!W839&gt;'[1]Methods write-up'!$Q$21,'[1]observations-276632'!W839&lt;'[1]Methods write-up'!$R$21,'[1]observations-276632'!X839&gt;'[1]Methods write-up'!$S$21,'[1]observations-276632'!X839&lt;'[1]Methods write-up'!$T$21),"Desert and high aridity","")</f>
        <v/>
      </c>
      <c r="BD839" s="23" t="str">
        <f t="shared" si="60"/>
        <v>Temperate seasonal</v>
      </c>
      <c r="BE839" s="24">
        <f t="shared" si="57"/>
        <v>30</v>
      </c>
      <c r="BF839" s="24">
        <f t="shared" si="58"/>
        <v>10</v>
      </c>
    </row>
    <row r="840" spans="1:58" ht="16.25" customHeight="1" x14ac:dyDescent="0.2">
      <c r="A840">
        <v>100123683</v>
      </c>
      <c r="B840" s="25">
        <v>44503.291666666664</v>
      </c>
      <c r="C840" s="14">
        <v>44503</v>
      </c>
      <c r="D840" t="s">
        <v>6264</v>
      </c>
      <c r="E840" t="s">
        <v>113</v>
      </c>
      <c r="F840">
        <v>4062341</v>
      </c>
      <c r="G840" t="s">
        <v>6265</v>
      </c>
      <c r="H840" t="s">
        <v>6266</v>
      </c>
      <c r="I840" t="s">
        <v>6267</v>
      </c>
      <c r="J840" t="s">
        <v>6268</v>
      </c>
      <c r="K840" t="s">
        <v>62</v>
      </c>
      <c r="L840" t="s">
        <v>373</v>
      </c>
      <c r="M840" t="s">
        <v>6269</v>
      </c>
      <c r="N840" t="s">
        <v>6270</v>
      </c>
      <c r="R840">
        <v>2</v>
      </c>
      <c r="S840">
        <v>0</v>
      </c>
      <c r="T840" t="b">
        <v>0</v>
      </c>
      <c r="U840">
        <v>2</v>
      </c>
      <c r="V840" t="s">
        <v>5595</v>
      </c>
      <c r="W840" s="15">
        <v>-23.907996000000001</v>
      </c>
      <c r="X840" s="15">
        <v>28.276302000000001</v>
      </c>
      <c r="AF840" t="b">
        <v>0</v>
      </c>
      <c r="AG840" t="s">
        <v>350</v>
      </c>
      <c r="AH840" t="s">
        <v>350</v>
      </c>
      <c r="AI840" t="s">
        <v>70</v>
      </c>
      <c r="AJ840" t="s">
        <v>70</v>
      </c>
      <c r="AK840" t="s">
        <v>71</v>
      </c>
      <c r="AL840" t="s">
        <v>72</v>
      </c>
      <c r="AM840">
        <v>346053</v>
      </c>
      <c r="AO840" s="16" t="s">
        <v>386</v>
      </c>
      <c r="AP840" s="17" t="str">
        <f t="shared" si="61"/>
        <v>Nest (foundress)</v>
      </c>
      <c r="AQ840" s="18">
        <v>1</v>
      </c>
      <c r="AT840" s="19" t="s">
        <v>104</v>
      </c>
      <c r="AX840" s="22" t="str">
        <f>IF(AND('[1]observations-276632'!W840&gt;'[1]Methods write-up'!$Q$16,'[1]observations-276632'!W840&lt;'[1]Methods write-up'!$R$16,'[1]observations-276632'!X840&gt;'[1]Methods write-up'!$S$16,'[1]observations-276632'!X840&lt;'[1]Methods write-up'!$T$16),"West and Central Africa","")</f>
        <v/>
      </c>
      <c r="AY840" s="22" t="str">
        <f>IF(AND('[1]observations-276632'!W840&gt;'[1]Methods write-up'!$Q$17,'[1]observations-276632'!W840&lt;'[1]Methods write-up'!$R$17,'[1]observations-276632'!X840&gt;'[1]Methods write-up'!$S$17,'[1]observations-276632'!X840&lt;'[1]Methods write-up'!$T$17),"Equatorial tropical forest","")</f>
        <v/>
      </c>
      <c r="AZ840" s="22" t="str">
        <f>IF(AND('[1]observations-276632'!W840&gt;'[1]Methods write-up'!$Q$18,'[1]observations-276632'!W840&lt;'[1]Methods write-up'!$R$18,'[1]observations-276632'!X840&gt;'[1]Methods write-up'!$S$18,'[1]observations-276632'!X840&lt;'[1]Methods write-up'!$T$18),"Somali peninsula","")</f>
        <v/>
      </c>
      <c r="BA840" s="22" t="str">
        <f>IF(AND('[1]observations-276632'!W840&gt;'[1]Methods write-up'!$Q$19,'[1]observations-276632'!W840&lt;'[1]Methods write-up'!$R$19,'[1]observations-276632'!X840&gt;'[1]Methods write-up'!$S$19,'[1]observations-276632'!X840&lt;'[1]Methods write-up'!$T$19),"East Africa","")</f>
        <v/>
      </c>
      <c r="BB840" s="22" t="str">
        <f>IF(AND('[1]observations-276632'!W840&gt;'[1]Methods write-up'!$Q$20,'[1]observations-276632'!W840&lt;'[1]Methods write-up'!$R$20,'[1]observations-276632'!X840&gt;'[1]Methods write-up'!$S$20,'[1]observations-276632'!X840&lt;'[1]Methods write-up'!$T$20),"Temperate seasonal","")</f>
        <v/>
      </c>
      <c r="BC840" s="22" t="str">
        <f>IF(AND('[1]observations-276632'!W840&gt;'[1]Methods write-up'!$Q$21,'[1]observations-276632'!W840&lt;'[1]Methods write-up'!$R$21,'[1]observations-276632'!X840&gt;'[1]Methods write-up'!$S$21,'[1]observations-276632'!X840&lt;'[1]Methods write-up'!$T$21),"Desert and high aridity","")</f>
        <v/>
      </c>
      <c r="BD840" s="23" t="str">
        <f t="shared" si="60"/>
        <v/>
      </c>
      <c r="BE840" s="24">
        <f t="shared" si="57"/>
        <v>3</v>
      </c>
      <c r="BF840" s="24">
        <f t="shared" si="58"/>
        <v>11</v>
      </c>
    </row>
    <row r="841" spans="1:58" ht="16.25" customHeight="1" x14ac:dyDescent="0.2">
      <c r="A841">
        <v>100351882</v>
      </c>
      <c r="B841" t="s">
        <v>6271</v>
      </c>
      <c r="C841" s="14">
        <v>43051</v>
      </c>
      <c r="D841" t="s">
        <v>6272</v>
      </c>
      <c r="E841" t="s">
        <v>1408</v>
      </c>
      <c r="F841">
        <v>550350</v>
      </c>
      <c r="G841" t="s">
        <v>6273</v>
      </c>
      <c r="I841" t="s">
        <v>6274</v>
      </c>
      <c r="J841" t="s">
        <v>6275</v>
      </c>
      <c r="K841" t="s">
        <v>62</v>
      </c>
      <c r="M841" t="s">
        <v>6276</v>
      </c>
      <c r="N841" t="s">
        <v>6277</v>
      </c>
      <c r="R841">
        <v>2</v>
      </c>
      <c r="S841">
        <v>0</v>
      </c>
      <c r="T841" t="b">
        <v>0</v>
      </c>
      <c r="V841" t="s">
        <v>2551</v>
      </c>
      <c r="W841" s="15">
        <v>-22.885290609999998</v>
      </c>
      <c r="X841" s="15">
        <v>44.692787709999998</v>
      </c>
      <c r="Y841">
        <v>1583</v>
      </c>
      <c r="AC841">
        <v>1583</v>
      </c>
      <c r="AF841" t="b">
        <v>0</v>
      </c>
      <c r="AI841" t="s">
        <v>71</v>
      </c>
      <c r="AJ841" t="s">
        <v>70</v>
      </c>
      <c r="AK841" t="s">
        <v>71</v>
      </c>
      <c r="AL841" t="s">
        <v>72</v>
      </c>
      <c r="AM841">
        <v>346053</v>
      </c>
      <c r="AO841" s="16" t="s">
        <v>110</v>
      </c>
      <c r="AP841" s="17" t="str">
        <f t="shared" si="61"/>
        <v>Nest (foundress)</v>
      </c>
      <c r="AQ841" s="18">
        <v>1</v>
      </c>
      <c r="AT841" s="19" t="s">
        <v>104</v>
      </c>
      <c r="AX841" s="22" t="str">
        <f>IF(AND('[1]observations-276632'!W841&gt;'[1]Methods write-up'!$Q$16,'[1]observations-276632'!W841&lt;'[1]Methods write-up'!$R$16,'[1]observations-276632'!X841&gt;'[1]Methods write-up'!$S$16,'[1]observations-276632'!X841&lt;'[1]Methods write-up'!$T$16),"West and Central Africa","")</f>
        <v/>
      </c>
      <c r="AY841" s="22" t="str">
        <f>IF(AND('[1]observations-276632'!W841&gt;'[1]Methods write-up'!$Q$17,'[1]observations-276632'!W841&lt;'[1]Methods write-up'!$R$17,'[1]observations-276632'!X841&gt;'[1]Methods write-up'!$S$17,'[1]observations-276632'!X841&lt;'[1]Methods write-up'!$T$17),"Equatorial tropical forest","")</f>
        <v/>
      </c>
      <c r="AZ841" s="22" t="str">
        <f>IF(AND('[1]observations-276632'!W841&gt;'[1]Methods write-up'!$Q$18,'[1]observations-276632'!W841&lt;'[1]Methods write-up'!$R$18,'[1]observations-276632'!X841&gt;'[1]Methods write-up'!$S$18,'[1]observations-276632'!X841&lt;'[1]Methods write-up'!$T$18),"Somali peninsula","")</f>
        <v/>
      </c>
      <c r="BA841" s="22" t="str">
        <f>IF(AND('[1]observations-276632'!W841&gt;'[1]Methods write-up'!$Q$19,'[1]observations-276632'!W841&lt;'[1]Methods write-up'!$R$19,'[1]observations-276632'!X841&gt;'[1]Methods write-up'!$S$19,'[1]observations-276632'!X841&lt;'[1]Methods write-up'!$T$19),"East Africa","")</f>
        <v/>
      </c>
      <c r="BB841" s="22" t="str">
        <f>IF(AND('[1]observations-276632'!W841&gt;'[1]Methods write-up'!$Q$20,'[1]observations-276632'!W841&lt;'[1]Methods write-up'!$R$20,'[1]observations-276632'!X841&gt;'[1]Methods write-up'!$S$20,'[1]observations-276632'!X841&lt;'[1]Methods write-up'!$T$20),"Temperate seasonal","")</f>
        <v/>
      </c>
      <c r="BC841" s="22" t="str">
        <f>IF(AND('[1]observations-276632'!W841&gt;'[1]Methods write-up'!$Q$21,'[1]observations-276632'!W841&lt;'[1]Methods write-up'!$R$21,'[1]observations-276632'!X841&gt;'[1]Methods write-up'!$S$21,'[1]observations-276632'!X841&lt;'[1]Methods write-up'!$T$21),"Desert and high aridity","")</f>
        <v/>
      </c>
      <c r="BD841" s="23" t="str">
        <f t="shared" si="60"/>
        <v/>
      </c>
      <c r="BE841" s="24">
        <f t="shared" si="57"/>
        <v>12</v>
      </c>
      <c r="BF841" s="24">
        <f t="shared" si="58"/>
        <v>11</v>
      </c>
    </row>
    <row r="842" spans="1:58" ht="16.25" customHeight="1" x14ac:dyDescent="0.2">
      <c r="A842">
        <v>100399833</v>
      </c>
      <c r="B842" s="25">
        <v>44506.672222222223</v>
      </c>
      <c r="C842" s="14">
        <v>44506</v>
      </c>
      <c r="D842" t="s">
        <v>6278</v>
      </c>
      <c r="E842" t="s">
        <v>113</v>
      </c>
      <c r="F842">
        <v>4923904</v>
      </c>
      <c r="G842" t="s">
        <v>6279</v>
      </c>
      <c r="H842" t="s">
        <v>6280</v>
      </c>
      <c r="I842" t="s">
        <v>6281</v>
      </c>
      <c r="J842" t="s">
        <v>6282</v>
      </c>
      <c r="K842" t="s">
        <v>62</v>
      </c>
      <c r="M842" t="s">
        <v>6283</v>
      </c>
      <c r="N842" t="s">
        <v>6284</v>
      </c>
      <c r="R842">
        <v>3</v>
      </c>
      <c r="S842">
        <v>0</v>
      </c>
      <c r="T842" t="b">
        <v>0</v>
      </c>
      <c r="U842">
        <v>2</v>
      </c>
      <c r="V842" t="s">
        <v>1186</v>
      </c>
      <c r="W842" s="15">
        <v>-28.959670370000001</v>
      </c>
      <c r="X842" s="15">
        <v>31.750077569999998</v>
      </c>
      <c r="Y842">
        <v>4175</v>
      </c>
      <c r="AC842">
        <v>4175</v>
      </c>
      <c r="AF842" t="b">
        <v>0</v>
      </c>
      <c r="AG842" t="s">
        <v>350</v>
      </c>
      <c r="AH842" t="s">
        <v>350</v>
      </c>
      <c r="AI842" t="s">
        <v>71</v>
      </c>
      <c r="AJ842" t="s">
        <v>70</v>
      </c>
      <c r="AK842" t="s">
        <v>71</v>
      </c>
      <c r="AL842" t="s">
        <v>72</v>
      </c>
      <c r="AM842">
        <v>346053</v>
      </c>
      <c r="AO842" s="16" t="s">
        <v>73</v>
      </c>
      <c r="AP842" s="17" t="str">
        <f t="shared" si="61"/>
        <v>Off-nest female</v>
      </c>
      <c r="AX842" s="22" t="str">
        <f>IF(AND('[1]observations-276632'!W842&gt;'[1]Methods write-up'!$Q$16,'[1]observations-276632'!W842&lt;'[1]Methods write-up'!$R$16,'[1]observations-276632'!X842&gt;'[1]Methods write-up'!$S$16,'[1]observations-276632'!X842&lt;'[1]Methods write-up'!$T$16),"West and Central Africa","")</f>
        <v/>
      </c>
      <c r="AY842" s="22" t="str">
        <f>IF(AND('[1]observations-276632'!W842&gt;'[1]Methods write-up'!$Q$17,'[1]observations-276632'!W842&lt;'[1]Methods write-up'!$R$17,'[1]observations-276632'!X842&gt;'[1]Methods write-up'!$S$17,'[1]observations-276632'!X842&lt;'[1]Methods write-up'!$T$17),"Equatorial tropical forest","")</f>
        <v/>
      </c>
      <c r="AZ842" s="22" t="str">
        <f>IF(AND('[1]observations-276632'!W842&gt;'[1]Methods write-up'!$Q$18,'[1]observations-276632'!W842&lt;'[1]Methods write-up'!$R$18,'[1]observations-276632'!X842&gt;'[1]Methods write-up'!$S$18,'[1]observations-276632'!X842&lt;'[1]Methods write-up'!$T$18),"Somali peninsula","")</f>
        <v/>
      </c>
      <c r="BA842" s="22" t="str">
        <f>IF(AND('[1]observations-276632'!W842&gt;'[1]Methods write-up'!$Q$19,'[1]observations-276632'!W842&lt;'[1]Methods write-up'!$R$19,'[1]observations-276632'!X842&gt;'[1]Methods write-up'!$S$19,'[1]observations-276632'!X842&lt;'[1]Methods write-up'!$T$19),"East Africa","")</f>
        <v/>
      </c>
      <c r="BB842" s="22" t="str">
        <f>IF(AND('[1]observations-276632'!W842&gt;'[1]Methods write-up'!$Q$20,'[1]observations-276632'!W842&lt;'[1]Methods write-up'!$R$20,'[1]observations-276632'!X842&gt;'[1]Methods write-up'!$S$20,'[1]observations-276632'!X842&lt;'[1]Methods write-up'!$T$20),"Temperate seasonal","")</f>
        <v>Temperate seasonal</v>
      </c>
      <c r="BC842" s="22" t="str">
        <f>IF(AND('[1]observations-276632'!W842&gt;'[1]Methods write-up'!$Q$21,'[1]observations-276632'!W842&lt;'[1]Methods write-up'!$R$21,'[1]observations-276632'!X842&gt;'[1]Methods write-up'!$S$21,'[1]observations-276632'!X842&lt;'[1]Methods write-up'!$T$21),"Desert and high aridity","")</f>
        <v/>
      </c>
      <c r="BD842" s="23" t="str">
        <f t="shared" si="60"/>
        <v>Temperate seasonal</v>
      </c>
      <c r="BE842" s="24">
        <f t="shared" si="57"/>
        <v>6</v>
      </c>
      <c r="BF842" s="24">
        <f t="shared" si="58"/>
        <v>11</v>
      </c>
    </row>
    <row r="843" spans="1:58" ht="16.25" customHeight="1" x14ac:dyDescent="0.2">
      <c r="A843">
        <v>100448015</v>
      </c>
      <c r="B843" t="s">
        <v>6285</v>
      </c>
      <c r="C843" s="14">
        <v>44188</v>
      </c>
      <c r="D843" t="s">
        <v>6286</v>
      </c>
      <c r="E843" t="s">
        <v>1408</v>
      </c>
      <c r="F843">
        <v>3487313</v>
      </c>
      <c r="G843" t="s">
        <v>6287</v>
      </c>
      <c r="I843" t="s">
        <v>6288</v>
      </c>
      <c r="J843" t="s">
        <v>6289</v>
      </c>
      <c r="K843" t="s">
        <v>62</v>
      </c>
      <c r="L843" t="s">
        <v>63</v>
      </c>
      <c r="M843" t="s">
        <v>6290</v>
      </c>
      <c r="N843" t="s">
        <v>6291</v>
      </c>
      <c r="R843">
        <v>1</v>
      </c>
      <c r="S843">
        <v>0</v>
      </c>
      <c r="T843" t="b">
        <v>0</v>
      </c>
      <c r="V843" t="s">
        <v>6292</v>
      </c>
      <c r="W843" s="15">
        <v>-2.0789777659999999</v>
      </c>
      <c r="X843" s="15">
        <v>9.4402598490000003</v>
      </c>
      <c r="Y843">
        <v>244</v>
      </c>
      <c r="AC843">
        <v>244</v>
      </c>
      <c r="AF843" t="b">
        <v>0</v>
      </c>
      <c r="AI843" t="s">
        <v>6293</v>
      </c>
      <c r="AJ843" t="s">
        <v>70</v>
      </c>
      <c r="AK843" t="s">
        <v>71</v>
      </c>
      <c r="AL843" t="s">
        <v>72</v>
      </c>
      <c r="AM843">
        <v>346053</v>
      </c>
      <c r="AO843" s="16" t="s">
        <v>110</v>
      </c>
      <c r="AP843" s="17" t="str">
        <f t="shared" si="61"/>
        <v>Nest (foundress)</v>
      </c>
      <c r="AQ843" s="18">
        <v>1</v>
      </c>
      <c r="AT843" s="19" t="s">
        <v>104</v>
      </c>
      <c r="AX843" s="22" t="str">
        <f>IF(AND('[1]observations-276632'!W843&gt;'[1]Methods write-up'!$Q$16,'[1]observations-276632'!W843&lt;'[1]Methods write-up'!$R$16,'[1]observations-276632'!X843&gt;'[1]Methods write-up'!$S$16,'[1]observations-276632'!X843&lt;'[1]Methods write-up'!$T$16),"West and Central Africa","")</f>
        <v>West and Central Africa</v>
      </c>
      <c r="AY843" s="22" t="str">
        <f>IF(AND('[1]observations-276632'!W843&gt;'[1]Methods write-up'!$Q$17,'[1]observations-276632'!W843&lt;'[1]Methods write-up'!$R$17,'[1]observations-276632'!X843&gt;'[1]Methods write-up'!$S$17,'[1]observations-276632'!X843&lt;'[1]Methods write-up'!$T$17),"Equatorial tropical forest","")</f>
        <v/>
      </c>
      <c r="AZ843" s="22" t="str">
        <f>IF(AND('[1]observations-276632'!W843&gt;'[1]Methods write-up'!$Q$18,'[1]observations-276632'!W843&lt;'[1]Methods write-up'!$R$18,'[1]observations-276632'!X843&gt;'[1]Methods write-up'!$S$18,'[1]observations-276632'!X843&lt;'[1]Methods write-up'!$T$18),"Somali peninsula","")</f>
        <v/>
      </c>
      <c r="BA843" s="22" t="str">
        <f>IF(AND('[1]observations-276632'!W843&gt;'[1]Methods write-up'!$Q$19,'[1]observations-276632'!W843&lt;'[1]Methods write-up'!$R$19,'[1]observations-276632'!X843&gt;'[1]Methods write-up'!$S$19,'[1]observations-276632'!X843&lt;'[1]Methods write-up'!$T$19),"East Africa","")</f>
        <v/>
      </c>
      <c r="BB843" s="22" t="str">
        <f>IF(AND('[1]observations-276632'!W843&gt;'[1]Methods write-up'!$Q$20,'[1]observations-276632'!W843&lt;'[1]Methods write-up'!$R$20,'[1]observations-276632'!X843&gt;'[1]Methods write-up'!$S$20,'[1]observations-276632'!X843&lt;'[1]Methods write-up'!$T$20),"Temperate seasonal","")</f>
        <v/>
      </c>
      <c r="BC843" s="22" t="str">
        <f>IF(AND('[1]observations-276632'!W843&gt;'[1]Methods write-up'!$Q$21,'[1]observations-276632'!W843&lt;'[1]Methods write-up'!$R$21,'[1]observations-276632'!X843&gt;'[1]Methods write-up'!$S$21,'[1]observations-276632'!X843&lt;'[1]Methods write-up'!$T$21),"Desert and high aridity","")</f>
        <v/>
      </c>
      <c r="BD843" s="23" t="str">
        <f t="shared" si="60"/>
        <v>West and Central Africa</v>
      </c>
      <c r="BE843" s="24">
        <f t="shared" si="57"/>
        <v>23</v>
      </c>
      <c r="BF843" s="24">
        <f t="shared" si="58"/>
        <v>12</v>
      </c>
    </row>
    <row r="844" spans="1:58" ht="16.25" customHeight="1" x14ac:dyDescent="0.2">
      <c r="A844">
        <v>100511742</v>
      </c>
      <c r="B844" s="25">
        <v>44507.498611111114</v>
      </c>
      <c r="C844" s="14">
        <v>44507</v>
      </c>
      <c r="D844" t="s">
        <v>6294</v>
      </c>
      <c r="E844" t="s">
        <v>113</v>
      </c>
      <c r="F844">
        <v>4923904</v>
      </c>
      <c r="G844" t="s">
        <v>6279</v>
      </c>
      <c r="H844" t="s">
        <v>6280</v>
      </c>
      <c r="I844" t="s">
        <v>6295</v>
      </c>
      <c r="J844" t="s">
        <v>6296</v>
      </c>
      <c r="K844" t="s">
        <v>62</v>
      </c>
      <c r="M844" t="s">
        <v>6297</v>
      </c>
      <c r="N844" t="s">
        <v>6298</v>
      </c>
      <c r="R844">
        <v>4</v>
      </c>
      <c r="S844">
        <v>0</v>
      </c>
      <c r="T844" t="b">
        <v>0</v>
      </c>
      <c r="U844">
        <v>2</v>
      </c>
      <c r="V844" t="s">
        <v>1186</v>
      </c>
      <c r="W844" s="15">
        <v>-28.959670370000001</v>
      </c>
      <c r="X844" s="15">
        <v>31.750077569999998</v>
      </c>
      <c r="Y844">
        <v>4175</v>
      </c>
      <c r="AC844">
        <v>4175</v>
      </c>
      <c r="AF844" t="b">
        <v>0</v>
      </c>
      <c r="AG844" t="s">
        <v>350</v>
      </c>
      <c r="AH844" t="s">
        <v>350</v>
      </c>
      <c r="AI844" t="s">
        <v>71</v>
      </c>
      <c r="AJ844" t="s">
        <v>70</v>
      </c>
      <c r="AK844" t="s">
        <v>71</v>
      </c>
      <c r="AL844" t="s">
        <v>72</v>
      </c>
      <c r="AM844">
        <v>346053</v>
      </c>
      <c r="AO844" s="16" t="s">
        <v>73</v>
      </c>
      <c r="AP844" s="17" t="str">
        <f t="shared" si="61"/>
        <v>Off-nest female</v>
      </c>
      <c r="AX844" s="22" t="str">
        <f>IF(AND('[1]observations-276632'!W844&gt;'[1]Methods write-up'!$Q$16,'[1]observations-276632'!W844&lt;'[1]Methods write-up'!$R$16,'[1]observations-276632'!X844&gt;'[1]Methods write-up'!$S$16,'[1]observations-276632'!X844&lt;'[1]Methods write-up'!$T$16),"West and Central Africa","")</f>
        <v/>
      </c>
      <c r="AY844" s="22" t="str">
        <f>IF(AND('[1]observations-276632'!W844&gt;'[1]Methods write-up'!$Q$17,'[1]observations-276632'!W844&lt;'[1]Methods write-up'!$R$17,'[1]observations-276632'!X844&gt;'[1]Methods write-up'!$S$17,'[1]observations-276632'!X844&lt;'[1]Methods write-up'!$T$17),"Equatorial tropical forest","")</f>
        <v/>
      </c>
      <c r="AZ844" s="22" t="str">
        <f>IF(AND('[1]observations-276632'!W844&gt;'[1]Methods write-up'!$Q$18,'[1]observations-276632'!W844&lt;'[1]Methods write-up'!$R$18,'[1]observations-276632'!X844&gt;'[1]Methods write-up'!$S$18,'[1]observations-276632'!X844&lt;'[1]Methods write-up'!$T$18),"Somali peninsula","")</f>
        <v/>
      </c>
      <c r="BA844" s="22" t="str">
        <f>IF(AND('[1]observations-276632'!W844&gt;'[1]Methods write-up'!$Q$19,'[1]observations-276632'!W844&lt;'[1]Methods write-up'!$R$19,'[1]observations-276632'!X844&gt;'[1]Methods write-up'!$S$19,'[1]observations-276632'!X844&lt;'[1]Methods write-up'!$T$19),"East Africa","")</f>
        <v/>
      </c>
      <c r="BB844" s="22" t="str">
        <f>IF(AND('[1]observations-276632'!W844&gt;'[1]Methods write-up'!$Q$20,'[1]observations-276632'!W844&lt;'[1]Methods write-up'!$R$20,'[1]observations-276632'!X844&gt;'[1]Methods write-up'!$S$20,'[1]observations-276632'!X844&lt;'[1]Methods write-up'!$T$20),"Temperate seasonal","")</f>
        <v>Temperate seasonal</v>
      </c>
      <c r="BC844" s="22" t="str">
        <f>IF(AND('[1]observations-276632'!W844&gt;'[1]Methods write-up'!$Q$21,'[1]observations-276632'!W844&lt;'[1]Methods write-up'!$R$21,'[1]observations-276632'!X844&gt;'[1]Methods write-up'!$S$21,'[1]observations-276632'!X844&lt;'[1]Methods write-up'!$T$21),"Desert and high aridity","")</f>
        <v/>
      </c>
      <c r="BD844" s="23" t="str">
        <f t="shared" si="60"/>
        <v>Temperate seasonal</v>
      </c>
      <c r="BE844" s="24">
        <f t="shared" si="57"/>
        <v>7</v>
      </c>
      <c r="BF844" s="24">
        <f t="shared" si="58"/>
        <v>11</v>
      </c>
    </row>
    <row r="845" spans="1:58" ht="16.25" customHeight="1" x14ac:dyDescent="0.2">
      <c r="A845">
        <v>100599129</v>
      </c>
      <c r="B845" t="s">
        <v>6299</v>
      </c>
      <c r="C845" s="14">
        <v>44508</v>
      </c>
      <c r="D845" t="s">
        <v>6300</v>
      </c>
      <c r="E845" t="s">
        <v>84</v>
      </c>
      <c r="F845">
        <v>4478150</v>
      </c>
      <c r="G845" t="s">
        <v>6301</v>
      </c>
      <c r="I845" t="s">
        <v>6302</v>
      </c>
      <c r="J845" t="s">
        <v>6303</v>
      </c>
      <c r="K845" t="s">
        <v>2038</v>
      </c>
      <c r="L845" t="s">
        <v>63</v>
      </c>
      <c r="M845" t="s">
        <v>6304</v>
      </c>
      <c r="N845" t="s">
        <v>6305</v>
      </c>
      <c r="R845">
        <v>0</v>
      </c>
      <c r="S845">
        <v>0</v>
      </c>
      <c r="T845" t="b">
        <v>0</v>
      </c>
      <c r="U845">
        <v>333</v>
      </c>
      <c r="AF845" t="b">
        <v>0</v>
      </c>
      <c r="AJ845" t="s">
        <v>70</v>
      </c>
      <c r="AK845" t="s">
        <v>71</v>
      </c>
      <c r="AL845" t="s">
        <v>72</v>
      </c>
      <c r="AM845">
        <v>346053</v>
      </c>
      <c r="AO845" s="16" t="s">
        <v>442</v>
      </c>
      <c r="AP845" s="17" t="str">
        <f t="shared" si="61"/>
        <v>Dead female</v>
      </c>
      <c r="AX845" s="22" t="str">
        <f>IF(AND('[1]observations-276632'!W845&gt;'[1]Methods write-up'!$Q$16,'[1]observations-276632'!W845&lt;'[1]Methods write-up'!$R$16,'[1]observations-276632'!X845&gt;'[1]Methods write-up'!$S$16,'[1]observations-276632'!X845&lt;'[1]Methods write-up'!$T$16),"West and Central Africa","")</f>
        <v>West and Central Africa</v>
      </c>
      <c r="AY845" s="22" t="str">
        <f>IF(AND('[1]observations-276632'!W845&gt;'[1]Methods write-up'!$Q$17,'[1]observations-276632'!W845&lt;'[1]Methods write-up'!$R$17,'[1]observations-276632'!X845&gt;'[1]Methods write-up'!$S$17,'[1]observations-276632'!X845&lt;'[1]Methods write-up'!$T$17),"Equatorial tropical forest","")</f>
        <v/>
      </c>
      <c r="AZ845" s="22" t="str">
        <f>IF(AND('[1]observations-276632'!W845&gt;'[1]Methods write-up'!$Q$18,'[1]observations-276632'!W845&lt;'[1]Methods write-up'!$R$18,'[1]observations-276632'!X845&gt;'[1]Methods write-up'!$S$18,'[1]observations-276632'!X845&lt;'[1]Methods write-up'!$T$18),"Somali peninsula","")</f>
        <v/>
      </c>
      <c r="BA845" s="22" t="str">
        <f>IF(AND('[1]observations-276632'!W845&gt;'[1]Methods write-up'!$Q$19,'[1]observations-276632'!W845&lt;'[1]Methods write-up'!$R$19,'[1]observations-276632'!X845&gt;'[1]Methods write-up'!$S$19,'[1]observations-276632'!X845&lt;'[1]Methods write-up'!$T$19),"East Africa","")</f>
        <v/>
      </c>
      <c r="BB845" s="22" t="str">
        <f>IF(AND('[1]observations-276632'!W845&gt;'[1]Methods write-up'!$Q$20,'[1]observations-276632'!W845&lt;'[1]Methods write-up'!$R$20,'[1]observations-276632'!X845&gt;'[1]Methods write-up'!$S$20,'[1]observations-276632'!X845&lt;'[1]Methods write-up'!$T$20),"Temperate seasonal","")</f>
        <v/>
      </c>
      <c r="BC845" s="22" t="str">
        <f>IF(AND('[1]observations-276632'!W845&gt;'[1]Methods write-up'!$Q$21,'[1]observations-276632'!W845&lt;'[1]Methods write-up'!$R$21,'[1]observations-276632'!X845&gt;'[1]Methods write-up'!$S$21,'[1]observations-276632'!X845&lt;'[1]Methods write-up'!$T$21),"Desert and high aridity","")</f>
        <v/>
      </c>
      <c r="BD845" s="23" t="str">
        <f t="shared" si="60"/>
        <v>West and Central Africa</v>
      </c>
      <c r="BE845" s="24">
        <f t="shared" si="57"/>
        <v>8</v>
      </c>
      <c r="BF845" s="24">
        <f t="shared" si="58"/>
        <v>11</v>
      </c>
    </row>
    <row r="846" spans="1:58" ht="16.25" customHeight="1" x14ac:dyDescent="0.2">
      <c r="A846">
        <v>100686551</v>
      </c>
      <c r="B846" s="25">
        <v>44509.711111111108</v>
      </c>
      <c r="C846" s="14">
        <v>44509</v>
      </c>
      <c r="D846" t="s">
        <v>6306</v>
      </c>
      <c r="E846" t="s">
        <v>113</v>
      </c>
      <c r="F846">
        <v>3949746</v>
      </c>
      <c r="G846" t="s">
        <v>6307</v>
      </c>
      <c r="H846" t="s">
        <v>6308</v>
      </c>
      <c r="I846" t="s">
        <v>6309</v>
      </c>
      <c r="J846" t="s">
        <v>6310</v>
      </c>
      <c r="K846" t="s">
        <v>62</v>
      </c>
      <c r="M846" t="s">
        <v>6311</v>
      </c>
      <c r="N846" t="s">
        <v>6312</v>
      </c>
      <c r="R846">
        <v>3</v>
      </c>
      <c r="S846">
        <v>0</v>
      </c>
      <c r="T846" t="b">
        <v>0</v>
      </c>
      <c r="U846">
        <v>2</v>
      </c>
      <c r="V846" t="s">
        <v>6313</v>
      </c>
      <c r="W846" s="15">
        <v>-25.744077319999999</v>
      </c>
      <c r="X846" s="15">
        <v>28.288353910000001</v>
      </c>
      <c r="Y846">
        <v>613</v>
      </c>
      <c r="AC846">
        <v>613</v>
      </c>
      <c r="AF846" t="b">
        <v>0</v>
      </c>
      <c r="AG846" t="s">
        <v>350</v>
      </c>
      <c r="AH846" t="s">
        <v>350</v>
      </c>
      <c r="AI846" t="s">
        <v>71</v>
      </c>
      <c r="AJ846" t="s">
        <v>70</v>
      </c>
      <c r="AK846" t="s">
        <v>71</v>
      </c>
      <c r="AL846" t="s">
        <v>72</v>
      </c>
      <c r="AM846">
        <v>346053</v>
      </c>
      <c r="AO846" s="16" t="s">
        <v>73</v>
      </c>
      <c r="AP846" s="17" t="str">
        <f t="shared" si="61"/>
        <v>Off-nest female</v>
      </c>
      <c r="AX846" s="22" t="str">
        <f>IF(AND('[1]observations-276632'!W846&gt;'[1]Methods write-up'!$Q$16,'[1]observations-276632'!W846&lt;'[1]Methods write-up'!$R$16,'[1]observations-276632'!X846&gt;'[1]Methods write-up'!$S$16,'[1]observations-276632'!X846&lt;'[1]Methods write-up'!$T$16),"West and Central Africa","")</f>
        <v/>
      </c>
      <c r="AY846" s="22" t="str">
        <f>IF(AND('[1]observations-276632'!W846&gt;'[1]Methods write-up'!$Q$17,'[1]observations-276632'!W846&lt;'[1]Methods write-up'!$R$17,'[1]observations-276632'!X846&gt;'[1]Methods write-up'!$S$17,'[1]observations-276632'!X846&lt;'[1]Methods write-up'!$T$17),"Equatorial tropical forest","")</f>
        <v/>
      </c>
      <c r="AZ846" s="22" t="str">
        <f>IF(AND('[1]observations-276632'!W846&gt;'[1]Methods write-up'!$Q$18,'[1]observations-276632'!W846&lt;'[1]Methods write-up'!$R$18,'[1]observations-276632'!X846&gt;'[1]Methods write-up'!$S$18,'[1]observations-276632'!X846&lt;'[1]Methods write-up'!$T$18),"Somali peninsula","")</f>
        <v/>
      </c>
      <c r="BA846" s="22" t="str">
        <f>IF(AND('[1]observations-276632'!W846&gt;'[1]Methods write-up'!$Q$19,'[1]observations-276632'!W846&lt;'[1]Methods write-up'!$R$19,'[1]observations-276632'!X846&gt;'[1]Methods write-up'!$S$19,'[1]observations-276632'!X846&lt;'[1]Methods write-up'!$T$19),"East Africa","")</f>
        <v/>
      </c>
      <c r="BB846" s="22" t="str">
        <f>IF(AND('[1]observations-276632'!W846&gt;'[1]Methods write-up'!$Q$20,'[1]observations-276632'!W846&lt;'[1]Methods write-up'!$R$20,'[1]observations-276632'!X846&gt;'[1]Methods write-up'!$S$20,'[1]observations-276632'!X846&lt;'[1]Methods write-up'!$T$20),"Temperate seasonal","")</f>
        <v>Temperate seasonal</v>
      </c>
      <c r="BC846" s="22" t="str">
        <f>IF(AND('[1]observations-276632'!W846&gt;'[1]Methods write-up'!$Q$21,'[1]observations-276632'!W846&lt;'[1]Methods write-up'!$R$21,'[1]observations-276632'!X846&gt;'[1]Methods write-up'!$S$21,'[1]observations-276632'!X846&lt;'[1]Methods write-up'!$T$21),"Desert and high aridity","")</f>
        <v/>
      </c>
      <c r="BD846" s="23" t="str">
        <f t="shared" si="60"/>
        <v>Temperate seasonal</v>
      </c>
      <c r="BE846" s="24">
        <f t="shared" si="57"/>
        <v>9</v>
      </c>
      <c r="BF846" s="24">
        <f t="shared" si="58"/>
        <v>11</v>
      </c>
    </row>
    <row r="847" spans="1:58" ht="16.25" customHeight="1" x14ac:dyDescent="0.2">
      <c r="A847">
        <v>100687022</v>
      </c>
      <c r="B847" t="s">
        <v>6314</v>
      </c>
      <c r="C847" s="14">
        <v>44509</v>
      </c>
      <c r="D847" t="s">
        <v>6315</v>
      </c>
      <c r="E847" t="s">
        <v>403</v>
      </c>
      <c r="F847">
        <v>1753079</v>
      </c>
      <c r="G847" t="s">
        <v>6316</v>
      </c>
      <c r="H847" t="s">
        <v>6317</v>
      </c>
      <c r="I847" t="s">
        <v>6318</v>
      </c>
      <c r="J847" t="s">
        <v>6319</v>
      </c>
      <c r="K847" t="s">
        <v>62</v>
      </c>
      <c r="M847" t="s">
        <v>6320</v>
      </c>
      <c r="N847" t="s">
        <v>6321</v>
      </c>
      <c r="R847">
        <v>2</v>
      </c>
      <c r="S847">
        <v>0</v>
      </c>
      <c r="T847" t="b">
        <v>0</v>
      </c>
      <c r="U847">
        <v>3</v>
      </c>
      <c r="V847" t="s">
        <v>6322</v>
      </c>
      <c r="W847" s="15">
        <v>-3.3610500000000001</v>
      </c>
      <c r="X847" s="15">
        <v>36.715538330000001</v>
      </c>
      <c r="Y847">
        <v>4</v>
      </c>
      <c r="AC847">
        <v>4</v>
      </c>
      <c r="AF847" t="b">
        <v>0</v>
      </c>
      <c r="AI847" t="s">
        <v>71</v>
      </c>
      <c r="AJ847" t="s">
        <v>70</v>
      </c>
      <c r="AK847" t="s">
        <v>71</v>
      </c>
      <c r="AL847" t="s">
        <v>72</v>
      </c>
      <c r="AM847">
        <v>346053</v>
      </c>
      <c r="AO847" s="16" t="s">
        <v>73</v>
      </c>
      <c r="AP847" s="17" t="str">
        <f t="shared" si="61"/>
        <v>Off-nest female</v>
      </c>
      <c r="AX847" s="22" t="str">
        <f>IF(AND('[1]observations-276632'!W847&gt;'[1]Methods write-up'!$Q$16,'[1]observations-276632'!W847&lt;'[1]Methods write-up'!$R$16,'[1]observations-276632'!X847&gt;'[1]Methods write-up'!$S$16,'[1]observations-276632'!X847&lt;'[1]Methods write-up'!$T$16),"West and Central Africa","")</f>
        <v/>
      </c>
      <c r="AY847" s="22" t="str">
        <f>IF(AND('[1]observations-276632'!W847&gt;'[1]Methods write-up'!$Q$17,'[1]observations-276632'!W847&lt;'[1]Methods write-up'!$R$17,'[1]observations-276632'!X847&gt;'[1]Methods write-up'!$S$17,'[1]observations-276632'!X847&lt;'[1]Methods write-up'!$T$17),"Equatorial tropical forest","")</f>
        <v/>
      </c>
      <c r="AZ847" s="22" t="str">
        <f>IF(AND('[1]observations-276632'!W847&gt;'[1]Methods write-up'!$Q$18,'[1]observations-276632'!W847&lt;'[1]Methods write-up'!$R$18,'[1]observations-276632'!X847&gt;'[1]Methods write-up'!$S$18,'[1]observations-276632'!X847&lt;'[1]Methods write-up'!$T$18),"Somali peninsula","")</f>
        <v/>
      </c>
      <c r="BA847" s="22" t="str">
        <f>IF(AND('[1]observations-276632'!W847&gt;'[1]Methods write-up'!$Q$19,'[1]observations-276632'!W847&lt;'[1]Methods write-up'!$R$19,'[1]observations-276632'!X847&gt;'[1]Methods write-up'!$S$19,'[1]observations-276632'!X847&lt;'[1]Methods write-up'!$T$19),"East Africa","")</f>
        <v>East Africa</v>
      </c>
      <c r="BB847" s="22" t="str">
        <f>IF(AND('[1]observations-276632'!W847&gt;'[1]Methods write-up'!$Q$20,'[1]observations-276632'!W847&lt;'[1]Methods write-up'!$R$20,'[1]observations-276632'!X847&gt;'[1]Methods write-up'!$S$20,'[1]observations-276632'!X847&lt;'[1]Methods write-up'!$T$20),"Temperate seasonal","")</f>
        <v/>
      </c>
      <c r="BC847" s="22" t="str">
        <f>IF(AND('[1]observations-276632'!W847&gt;'[1]Methods write-up'!$Q$21,'[1]observations-276632'!W847&lt;'[1]Methods write-up'!$R$21,'[1]observations-276632'!X847&gt;'[1]Methods write-up'!$S$21,'[1]observations-276632'!X847&lt;'[1]Methods write-up'!$T$21),"Desert and high aridity","")</f>
        <v/>
      </c>
      <c r="BD847" s="23" t="str">
        <f t="shared" si="60"/>
        <v>East Africa</v>
      </c>
      <c r="BE847" s="24">
        <f t="shared" si="57"/>
        <v>9</v>
      </c>
      <c r="BF847" s="24">
        <f t="shared" si="58"/>
        <v>11</v>
      </c>
    </row>
    <row r="848" spans="1:58" ht="16.25" customHeight="1" x14ac:dyDescent="0.2">
      <c r="A848">
        <v>100698165</v>
      </c>
      <c r="B848" t="s">
        <v>6323</v>
      </c>
      <c r="C848" s="14">
        <v>44505</v>
      </c>
      <c r="D848" t="s">
        <v>6324</v>
      </c>
      <c r="E848" t="s">
        <v>403</v>
      </c>
      <c r="F848">
        <v>121603</v>
      </c>
      <c r="G848" t="s">
        <v>1286</v>
      </c>
      <c r="I848" t="s">
        <v>6325</v>
      </c>
      <c r="J848" t="s">
        <v>6326</v>
      </c>
      <c r="K848" t="s">
        <v>62</v>
      </c>
      <c r="L848" t="s">
        <v>63</v>
      </c>
      <c r="M848" t="s">
        <v>6327</v>
      </c>
      <c r="N848" t="s">
        <v>6328</v>
      </c>
      <c r="R848">
        <v>2</v>
      </c>
      <c r="S848">
        <v>0</v>
      </c>
      <c r="T848" t="b">
        <v>0</v>
      </c>
      <c r="U848">
        <v>3</v>
      </c>
      <c r="V848" t="s">
        <v>6329</v>
      </c>
      <c r="W848" s="15">
        <v>-12.80049167</v>
      </c>
      <c r="X848" s="15">
        <v>34.189011669999999</v>
      </c>
      <c r="Y848">
        <v>4</v>
      </c>
      <c r="AC848">
        <v>4</v>
      </c>
      <c r="AF848" t="b">
        <v>0</v>
      </c>
      <c r="AI848" t="s">
        <v>71</v>
      </c>
      <c r="AJ848" t="s">
        <v>70</v>
      </c>
      <c r="AK848" t="s">
        <v>71</v>
      </c>
      <c r="AL848" t="s">
        <v>72</v>
      </c>
      <c r="AM848">
        <v>346053</v>
      </c>
      <c r="AO848" s="16" t="s">
        <v>1574</v>
      </c>
      <c r="AP848" s="17" t="str">
        <f t="shared" si="61"/>
        <v>Nest (foundress)</v>
      </c>
      <c r="AQ848" s="18">
        <v>1</v>
      </c>
      <c r="AT848" s="19" t="s">
        <v>104</v>
      </c>
      <c r="AX848" s="22" t="str">
        <f>IF(AND('[1]observations-276632'!W848&gt;'[1]Methods write-up'!$Q$16,'[1]observations-276632'!W848&lt;'[1]Methods write-up'!$R$16,'[1]observations-276632'!X848&gt;'[1]Methods write-up'!$S$16,'[1]observations-276632'!X848&lt;'[1]Methods write-up'!$T$16),"West and Central Africa","")</f>
        <v/>
      </c>
      <c r="AY848" s="22" t="str">
        <f>IF(AND('[1]observations-276632'!W848&gt;'[1]Methods write-up'!$Q$17,'[1]observations-276632'!W848&lt;'[1]Methods write-up'!$R$17,'[1]observations-276632'!X848&gt;'[1]Methods write-up'!$S$17,'[1]observations-276632'!X848&lt;'[1]Methods write-up'!$T$17),"Equatorial tropical forest","")</f>
        <v/>
      </c>
      <c r="AZ848" s="22" t="str">
        <f>IF(AND('[1]observations-276632'!W848&gt;'[1]Methods write-up'!$Q$18,'[1]observations-276632'!W848&lt;'[1]Methods write-up'!$R$18,'[1]observations-276632'!X848&gt;'[1]Methods write-up'!$S$18,'[1]observations-276632'!X848&lt;'[1]Methods write-up'!$T$18),"Somali peninsula","")</f>
        <v/>
      </c>
      <c r="BA848" s="22" t="str">
        <f>IF(AND('[1]observations-276632'!W848&gt;'[1]Methods write-up'!$Q$19,'[1]observations-276632'!W848&lt;'[1]Methods write-up'!$R$19,'[1]observations-276632'!X848&gt;'[1]Methods write-up'!$S$19,'[1]observations-276632'!X848&lt;'[1]Methods write-up'!$T$19),"East Africa","")</f>
        <v/>
      </c>
      <c r="BB848" s="22" t="str">
        <f>IF(AND('[1]observations-276632'!W848&gt;'[1]Methods write-up'!$Q$20,'[1]observations-276632'!W848&lt;'[1]Methods write-up'!$R$20,'[1]observations-276632'!X848&gt;'[1]Methods write-up'!$S$20,'[1]observations-276632'!X848&lt;'[1]Methods write-up'!$T$20),"Temperate seasonal","")</f>
        <v/>
      </c>
      <c r="BC848" s="22" t="str">
        <f>IF(AND('[1]observations-276632'!W848&gt;'[1]Methods write-up'!$Q$21,'[1]observations-276632'!W848&lt;'[1]Methods write-up'!$R$21,'[1]observations-276632'!X848&gt;'[1]Methods write-up'!$S$21,'[1]observations-276632'!X848&lt;'[1]Methods write-up'!$T$21),"Desert and high aridity","")</f>
        <v/>
      </c>
      <c r="BD848" s="23" t="str">
        <f t="shared" si="60"/>
        <v/>
      </c>
      <c r="BE848" s="24">
        <f t="shared" si="57"/>
        <v>5</v>
      </c>
      <c r="BF848" s="24">
        <f t="shared" si="58"/>
        <v>11</v>
      </c>
    </row>
    <row r="849" spans="1:58" ht="16.25" customHeight="1" x14ac:dyDescent="0.2">
      <c r="A849">
        <v>100832373</v>
      </c>
      <c r="B849" t="s">
        <v>6330</v>
      </c>
      <c r="C849" s="14">
        <v>44511</v>
      </c>
      <c r="D849" t="s">
        <v>6331</v>
      </c>
      <c r="E849" t="s">
        <v>403</v>
      </c>
      <c r="F849">
        <v>1591751</v>
      </c>
      <c r="G849" t="s">
        <v>6332</v>
      </c>
      <c r="H849" t="s">
        <v>6333</v>
      </c>
      <c r="I849" t="s">
        <v>6334</v>
      </c>
      <c r="J849" t="s">
        <v>6335</v>
      </c>
      <c r="K849" t="s">
        <v>62</v>
      </c>
      <c r="L849" t="s">
        <v>63</v>
      </c>
      <c r="M849" t="s">
        <v>6336</v>
      </c>
      <c r="N849" t="s">
        <v>6337</v>
      </c>
      <c r="R849">
        <v>2</v>
      </c>
      <c r="S849">
        <v>0</v>
      </c>
      <c r="T849" t="b">
        <v>0</v>
      </c>
      <c r="U849">
        <v>2</v>
      </c>
      <c r="V849" t="s">
        <v>6338</v>
      </c>
      <c r="W849" s="15">
        <v>-3.3782716399999999</v>
      </c>
      <c r="X849" s="15">
        <v>39.98891003</v>
      </c>
      <c r="Y849">
        <v>10</v>
      </c>
      <c r="AC849">
        <v>10</v>
      </c>
      <c r="AF849" t="b">
        <v>0</v>
      </c>
      <c r="AG849" t="s">
        <v>350</v>
      </c>
      <c r="AH849" t="s">
        <v>350</v>
      </c>
      <c r="AI849" t="s">
        <v>71</v>
      </c>
      <c r="AJ849" t="s">
        <v>70</v>
      </c>
      <c r="AK849" t="s">
        <v>71</v>
      </c>
      <c r="AL849" t="s">
        <v>72</v>
      </c>
      <c r="AM849">
        <v>346053</v>
      </c>
      <c r="AO849" s="16" t="s">
        <v>1356</v>
      </c>
      <c r="AP849" s="17" t="str">
        <f t="shared" si="61"/>
        <v>Nest (foundress)</v>
      </c>
      <c r="AQ849" s="18">
        <v>1</v>
      </c>
      <c r="AT849" s="19" t="s">
        <v>104</v>
      </c>
      <c r="AX849" s="22" t="str">
        <f>IF(AND('[1]observations-276632'!W849&gt;'[1]Methods write-up'!$Q$16,'[1]observations-276632'!W849&lt;'[1]Methods write-up'!$R$16,'[1]observations-276632'!X849&gt;'[1]Methods write-up'!$S$16,'[1]observations-276632'!X849&lt;'[1]Methods write-up'!$T$16),"West and Central Africa","")</f>
        <v/>
      </c>
      <c r="AY849" s="22" t="str">
        <f>IF(AND('[1]observations-276632'!W849&gt;'[1]Methods write-up'!$Q$17,'[1]observations-276632'!W849&lt;'[1]Methods write-up'!$R$17,'[1]observations-276632'!X849&gt;'[1]Methods write-up'!$S$17,'[1]observations-276632'!X849&lt;'[1]Methods write-up'!$T$17),"Equatorial tropical forest","")</f>
        <v/>
      </c>
      <c r="AZ849" s="22" t="str">
        <f>IF(AND('[1]observations-276632'!W849&gt;'[1]Methods write-up'!$Q$18,'[1]observations-276632'!W849&lt;'[1]Methods write-up'!$R$18,'[1]observations-276632'!X849&gt;'[1]Methods write-up'!$S$18,'[1]observations-276632'!X849&lt;'[1]Methods write-up'!$T$18),"Somali peninsula","")</f>
        <v/>
      </c>
      <c r="BA849" s="22" t="str">
        <f>IF(AND('[1]observations-276632'!W849&gt;'[1]Methods write-up'!$Q$19,'[1]observations-276632'!W849&lt;'[1]Methods write-up'!$R$19,'[1]observations-276632'!X849&gt;'[1]Methods write-up'!$S$19,'[1]observations-276632'!X849&lt;'[1]Methods write-up'!$T$19),"East Africa","")</f>
        <v>East Africa</v>
      </c>
      <c r="BB849" s="22" t="str">
        <f>IF(AND('[1]observations-276632'!W849&gt;'[1]Methods write-up'!$Q$20,'[1]observations-276632'!W849&lt;'[1]Methods write-up'!$R$20,'[1]observations-276632'!X849&gt;'[1]Methods write-up'!$S$20,'[1]observations-276632'!X849&lt;'[1]Methods write-up'!$T$20),"Temperate seasonal","")</f>
        <v/>
      </c>
      <c r="BC849" s="22" t="str">
        <f>IF(AND('[1]observations-276632'!W849&gt;'[1]Methods write-up'!$Q$21,'[1]observations-276632'!W849&lt;'[1]Methods write-up'!$R$21,'[1]observations-276632'!X849&gt;'[1]Methods write-up'!$S$21,'[1]observations-276632'!X849&lt;'[1]Methods write-up'!$T$21),"Desert and high aridity","")</f>
        <v/>
      </c>
      <c r="BD849" s="23" t="str">
        <f t="shared" si="60"/>
        <v>East Africa</v>
      </c>
      <c r="BE849" s="24">
        <f t="shared" si="57"/>
        <v>11</v>
      </c>
      <c r="BF849" s="24">
        <f t="shared" si="58"/>
        <v>11</v>
      </c>
    </row>
    <row r="850" spans="1:58" ht="16.25" customHeight="1" x14ac:dyDescent="0.2">
      <c r="A850">
        <v>100841988</v>
      </c>
      <c r="B850" s="13">
        <v>44511</v>
      </c>
      <c r="C850" s="14">
        <v>44511</v>
      </c>
      <c r="E850" t="s">
        <v>113</v>
      </c>
      <c r="F850">
        <v>3814194</v>
      </c>
      <c r="G850" t="s">
        <v>5242</v>
      </c>
      <c r="H850" t="s">
        <v>5243</v>
      </c>
      <c r="I850" t="s">
        <v>6339</v>
      </c>
      <c r="J850" t="s">
        <v>6340</v>
      </c>
      <c r="K850" t="s">
        <v>62</v>
      </c>
      <c r="L850" t="s">
        <v>63</v>
      </c>
      <c r="M850" t="s">
        <v>6341</v>
      </c>
      <c r="N850" t="s">
        <v>6342</v>
      </c>
      <c r="P850" t="s">
        <v>6343</v>
      </c>
      <c r="Q850" t="s">
        <v>6344</v>
      </c>
      <c r="R850">
        <v>3</v>
      </c>
      <c r="S850">
        <v>0</v>
      </c>
      <c r="T850" t="b">
        <v>0</v>
      </c>
      <c r="V850" t="s">
        <v>5250</v>
      </c>
      <c r="W850" s="15">
        <v>-26.0585816</v>
      </c>
      <c r="X850" s="15">
        <v>27.975387999999999</v>
      </c>
      <c r="Y850">
        <v>1769</v>
      </c>
      <c r="AC850">
        <v>1769</v>
      </c>
      <c r="AF850" t="b">
        <v>0</v>
      </c>
      <c r="AI850" t="s">
        <v>71</v>
      </c>
      <c r="AJ850" t="s">
        <v>70</v>
      </c>
      <c r="AK850" t="s">
        <v>71</v>
      </c>
      <c r="AL850" t="s">
        <v>72</v>
      </c>
      <c r="AM850">
        <v>346053</v>
      </c>
      <c r="AO850" s="16" t="s">
        <v>73</v>
      </c>
      <c r="AP850" s="17" t="str">
        <f t="shared" si="61"/>
        <v>Off-nest female</v>
      </c>
      <c r="AX850" s="22" t="str">
        <f>IF(AND('[1]observations-276632'!W850&gt;'[1]Methods write-up'!$Q$16,'[1]observations-276632'!W850&lt;'[1]Methods write-up'!$R$16,'[1]observations-276632'!X850&gt;'[1]Methods write-up'!$S$16,'[1]observations-276632'!X850&lt;'[1]Methods write-up'!$T$16),"West and Central Africa","")</f>
        <v/>
      </c>
      <c r="AY850" s="22" t="str">
        <f>IF(AND('[1]observations-276632'!W850&gt;'[1]Methods write-up'!$Q$17,'[1]observations-276632'!W850&lt;'[1]Methods write-up'!$R$17,'[1]observations-276632'!X850&gt;'[1]Methods write-up'!$S$17,'[1]observations-276632'!X850&lt;'[1]Methods write-up'!$T$17),"Equatorial tropical forest","")</f>
        <v/>
      </c>
      <c r="AZ850" s="22" t="str">
        <f>IF(AND('[1]observations-276632'!W850&gt;'[1]Methods write-up'!$Q$18,'[1]observations-276632'!W850&lt;'[1]Methods write-up'!$R$18,'[1]observations-276632'!X850&gt;'[1]Methods write-up'!$S$18,'[1]observations-276632'!X850&lt;'[1]Methods write-up'!$T$18),"Somali peninsula","")</f>
        <v/>
      </c>
      <c r="BA850" s="22" t="str">
        <f>IF(AND('[1]observations-276632'!W850&gt;'[1]Methods write-up'!$Q$19,'[1]observations-276632'!W850&lt;'[1]Methods write-up'!$R$19,'[1]observations-276632'!X850&gt;'[1]Methods write-up'!$S$19,'[1]observations-276632'!X850&lt;'[1]Methods write-up'!$T$19),"East Africa","")</f>
        <v/>
      </c>
      <c r="BB850" s="22" t="str">
        <f>IF(AND('[1]observations-276632'!W850&gt;'[1]Methods write-up'!$Q$20,'[1]observations-276632'!W850&lt;'[1]Methods write-up'!$R$20,'[1]observations-276632'!X850&gt;'[1]Methods write-up'!$S$20,'[1]observations-276632'!X850&lt;'[1]Methods write-up'!$T$20),"Temperate seasonal","")</f>
        <v>Temperate seasonal</v>
      </c>
      <c r="BC850" s="22" t="str">
        <f>IF(AND('[1]observations-276632'!W850&gt;'[1]Methods write-up'!$Q$21,'[1]observations-276632'!W850&lt;'[1]Methods write-up'!$R$21,'[1]observations-276632'!X850&gt;'[1]Methods write-up'!$S$21,'[1]observations-276632'!X850&lt;'[1]Methods write-up'!$T$21),"Desert and high aridity","")</f>
        <v/>
      </c>
      <c r="BD850" s="23" t="str">
        <f t="shared" si="60"/>
        <v>Temperate seasonal</v>
      </c>
      <c r="BE850" s="24">
        <f t="shared" si="57"/>
        <v>11</v>
      </c>
      <c r="BF850" s="24">
        <f t="shared" si="58"/>
        <v>11</v>
      </c>
    </row>
    <row r="851" spans="1:58" ht="16.25" customHeight="1" x14ac:dyDescent="0.2">
      <c r="A851">
        <v>100852591</v>
      </c>
      <c r="B851" t="s">
        <v>6345</v>
      </c>
      <c r="C851" s="14">
        <v>44510</v>
      </c>
      <c r="D851" t="s">
        <v>6346</v>
      </c>
      <c r="E851" t="s">
        <v>6201</v>
      </c>
      <c r="F851">
        <v>5074728</v>
      </c>
      <c r="G851" t="s">
        <v>6347</v>
      </c>
      <c r="I851" t="s">
        <v>6348</v>
      </c>
      <c r="J851" t="s">
        <v>6349</v>
      </c>
      <c r="K851" t="s">
        <v>62</v>
      </c>
      <c r="L851" t="s">
        <v>63</v>
      </c>
      <c r="M851" t="s">
        <v>6350</v>
      </c>
      <c r="N851" t="s">
        <v>6351</v>
      </c>
      <c r="R851">
        <v>2</v>
      </c>
      <c r="S851">
        <v>0</v>
      </c>
      <c r="T851" t="b">
        <v>0</v>
      </c>
      <c r="U851">
        <v>3</v>
      </c>
      <c r="V851" t="s">
        <v>6352</v>
      </c>
      <c r="W851" s="15">
        <v>-29.84552394</v>
      </c>
      <c r="X851" s="15">
        <v>31.007049070000001</v>
      </c>
      <c r="Y851">
        <v>121</v>
      </c>
      <c r="AC851">
        <v>121</v>
      </c>
      <c r="AF851" t="b">
        <v>0</v>
      </c>
      <c r="AI851" t="s">
        <v>71</v>
      </c>
      <c r="AJ851" t="s">
        <v>70</v>
      </c>
      <c r="AK851" t="s">
        <v>71</v>
      </c>
      <c r="AL851" t="s">
        <v>72</v>
      </c>
      <c r="AM851">
        <v>346053</v>
      </c>
      <c r="AO851" s="16" t="s">
        <v>73</v>
      </c>
      <c r="AP851" s="17" t="str">
        <f t="shared" si="61"/>
        <v>Off-nest female</v>
      </c>
      <c r="AX851" s="22" t="str">
        <f>IF(AND('[1]observations-276632'!W851&gt;'[1]Methods write-up'!$Q$16,'[1]observations-276632'!W851&lt;'[1]Methods write-up'!$R$16,'[1]observations-276632'!X851&gt;'[1]Methods write-up'!$S$16,'[1]observations-276632'!X851&lt;'[1]Methods write-up'!$T$16),"West and Central Africa","")</f>
        <v/>
      </c>
      <c r="AY851" s="22" t="str">
        <f>IF(AND('[1]observations-276632'!W851&gt;'[1]Methods write-up'!$Q$17,'[1]observations-276632'!W851&lt;'[1]Methods write-up'!$R$17,'[1]observations-276632'!X851&gt;'[1]Methods write-up'!$S$17,'[1]observations-276632'!X851&lt;'[1]Methods write-up'!$T$17),"Equatorial tropical forest","")</f>
        <v/>
      </c>
      <c r="AZ851" s="22" t="str">
        <f>IF(AND('[1]observations-276632'!W851&gt;'[1]Methods write-up'!$Q$18,'[1]observations-276632'!W851&lt;'[1]Methods write-up'!$R$18,'[1]observations-276632'!X851&gt;'[1]Methods write-up'!$S$18,'[1]observations-276632'!X851&lt;'[1]Methods write-up'!$T$18),"Somali peninsula","")</f>
        <v/>
      </c>
      <c r="BA851" s="22" t="str">
        <f>IF(AND('[1]observations-276632'!W851&gt;'[1]Methods write-up'!$Q$19,'[1]observations-276632'!W851&lt;'[1]Methods write-up'!$R$19,'[1]observations-276632'!X851&gt;'[1]Methods write-up'!$S$19,'[1]observations-276632'!X851&lt;'[1]Methods write-up'!$T$19),"East Africa","")</f>
        <v/>
      </c>
      <c r="BB851" s="22" t="str">
        <f>IF(AND('[1]observations-276632'!W851&gt;'[1]Methods write-up'!$Q$20,'[1]observations-276632'!W851&lt;'[1]Methods write-up'!$R$20,'[1]observations-276632'!X851&gt;'[1]Methods write-up'!$S$20,'[1]observations-276632'!X851&lt;'[1]Methods write-up'!$T$20),"Temperate seasonal","")</f>
        <v>Temperate seasonal</v>
      </c>
      <c r="BC851" s="22" t="str">
        <f>IF(AND('[1]observations-276632'!W851&gt;'[1]Methods write-up'!$Q$21,'[1]observations-276632'!W851&lt;'[1]Methods write-up'!$R$21,'[1]observations-276632'!X851&gt;'[1]Methods write-up'!$S$21,'[1]observations-276632'!X851&lt;'[1]Methods write-up'!$T$21),"Desert and high aridity","")</f>
        <v/>
      </c>
      <c r="BD851" s="23" t="str">
        <f t="shared" si="60"/>
        <v>Temperate seasonal</v>
      </c>
      <c r="BE851" s="24">
        <f t="shared" si="57"/>
        <v>10</v>
      </c>
      <c r="BF851" s="24">
        <f t="shared" si="58"/>
        <v>11</v>
      </c>
    </row>
    <row r="852" spans="1:58" ht="16.25" customHeight="1" x14ac:dyDescent="0.2">
      <c r="A852">
        <v>100936556</v>
      </c>
      <c r="B852" t="s">
        <v>6353</v>
      </c>
      <c r="C852" s="14">
        <v>44507</v>
      </c>
      <c r="D852" t="s">
        <v>6354</v>
      </c>
      <c r="E852" t="s">
        <v>93</v>
      </c>
      <c r="F852">
        <v>1374169</v>
      </c>
      <c r="G852" t="s">
        <v>6355</v>
      </c>
      <c r="H852" t="s">
        <v>6356</v>
      </c>
      <c r="I852" t="s">
        <v>6357</v>
      </c>
      <c r="J852" t="s">
        <v>6358</v>
      </c>
      <c r="K852" t="s">
        <v>62</v>
      </c>
      <c r="L852" t="s">
        <v>63</v>
      </c>
      <c r="M852" t="s">
        <v>6359</v>
      </c>
      <c r="N852" t="s">
        <v>6360</v>
      </c>
      <c r="R852">
        <v>4</v>
      </c>
      <c r="S852">
        <v>0</v>
      </c>
      <c r="T852" t="b">
        <v>0</v>
      </c>
      <c r="V852" t="s">
        <v>6361</v>
      </c>
      <c r="W852" s="15">
        <v>-31.062416580000001</v>
      </c>
      <c r="X852" s="15">
        <v>30.173555539999999</v>
      </c>
      <c r="Y852">
        <v>8</v>
      </c>
      <c r="AC852">
        <v>8</v>
      </c>
      <c r="AF852" t="b">
        <v>0</v>
      </c>
      <c r="AI852" t="s">
        <v>71</v>
      </c>
      <c r="AJ852" t="s">
        <v>70</v>
      </c>
      <c r="AK852" t="s">
        <v>71</v>
      </c>
      <c r="AL852" t="s">
        <v>72</v>
      </c>
      <c r="AM852">
        <v>346053</v>
      </c>
      <c r="AO852" s="16" t="s">
        <v>1574</v>
      </c>
      <c r="AP852" s="17" t="str">
        <f t="shared" si="61"/>
        <v>Nest (foundress)</v>
      </c>
      <c r="AQ852" s="18">
        <v>1</v>
      </c>
      <c r="AT852" s="19" t="s">
        <v>141</v>
      </c>
      <c r="AU852" s="20" t="s">
        <v>104</v>
      </c>
      <c r="AV852" s="21" t="s">
        <v>6362</v>
      </c>
      <c r="AX852" s="22" t="str">
        <f>IF(AND('[1]observations-276632'!W852&gt;'[1]Methods write-up'!$Q$16,'[1]observations-276632'!W852&lt;'[1]Methods write-up'!$R$16,'[1]observations-276632'!X852&gt;'[1]Methods write-up'!$S$16,'[1]observations-276632'!X852&lt;'[1]Methods write-up'!$T$16),"West and Central Africa","")</f>
        <v/>
      </c>
      <c r="AY852" s="22" t="str">
        <f>IF(AND('[1]observations-276632'!W852&gt;'[1]Methods write-up'!$Q$17,'[1]observations-276632'!W852&lt;'[1]Methods write-up'!$R$17,'[1]observations-276632'!X852&gt;'[1]Methods write-up'!$S$17,'[1]observations-276632'!X852&lt;'[1]Methods write-up'!$T$17),"Equatorial tropical forest","")</f>
        <v/>
      </c>
      <c r="AZ852" s="22" t="str">
        <f>IF(AND('[1]observations-276632'!W852&gt;'[1]Methods write-up'!$Q$18,'[1]observations-276632'!W852&lt;'[1]Methods write-up'!$R$18,'[1]observations-276632'!X852&gt;'[1]Methods write-up'!$S$18,'[1]observations-276632'!X852&lt;'[1]Methods write-up'!$T$18),"Somali peninsula","")</f>
        <v/>
      </c>
      <c r="BA852" s="22" t="str">
        <f>IF(AND('[1]observations-276632'!W852&gt;'[1]Methods write-up'!$Q$19,'[1]observations-276632'!W852&lt;'[1]Methods write-up'!$R$19,'[1]observations-276632'!X852&gt;'[1]Methods write-up'!$S$19,'[1]observations-276632'!X852&lt;'[1]Methods write-up'!$T$19),"East Africa","")</f>
        <v/>
      </c>
      <c r="BB852" s="22" t="str">
        <f>IF(AND('[1]observations-276632'!W852&gt;'[1]Methods write-up'!$Q$20,'[1]observations-276632'!W852&lt;'[1]Methods write-up'!$R$20,'[1]observations-276632'!X852&gt;'[1]Methods write-up'!$S$20,'[1]observations-276632'!X852&lt;'[1]Methods write-up'!$T$20),"Temperate seasonal","")</f>
        <v>Temperate seasonal</v>
      </c>
      <c r="BC852" s="22" t="str">
        <f>IF(AND('[1]observations-276632'!W852&gt;'[1]Methods write-up'!$Q$21,'[1]observations-276632'!W852&lt;'[1]Methods write-up'!$R$21,'[1]observations-276632'!X852&gt;'[1]Methods write-up'!$S$21,'[1]observations-276632'!X852&lt;'[1]Methods write-up'!$T$21),"Desert and high aridity","")</f>
        <v/>
      </c>
      <c r="BD852" s="23" t="str">
        <f t="shared" si="60"/>
        <v>Temperate seasonal</v>
      </c>
      <c r="BE852" s="24">
        <f t="shared" si="57"/>
        <v>7</v>
      </c>
      <c r="BF852" s="24">
        <f t="shared" si="58"/>
        <v>11</v>
      </c>
    </row>
    <row r="853" spans="1:58" ht="16.25" customHeight="1" x14ac:dyDescent="0.2">
      <c r="A853">
        <v>100939372</v>
      </c>
      <c r="B853" t="s">
        <v>6363</v>
      </c>
      <c r="C853" s="14">
        <v>44512</v>
      </c>
      <c r="D853" t="s">
        <v>6364</v>
      </c>
      <c r="E853" t="s">
        <v>113</v>
      </c>
      <c r="F853">
        <v>759731</v>
      </c>
      <c r="G853" t="s">
        <v>3372</v>
      </c>
      <c r="I853" t="s">
        <v>6365</v>
      </c>
      <c r="J853" t="s">
        <v>6366</v>
      </c>
      <c r="K853" t="s">
        <v>62</v>
      </c>
      <c r="L853" t="s">
        <v>63</v>
      </c>
      <c r="M853" t="s">
        <v>6367</v>
      </c>
      <c r="N853" t="s">
        <v>6368</v>
      </c>
      <c r="R853">
        <v>3</v>
      </c>
      <c r="S853">
        <v>0</v>
      </c>
      <c r="T853" t="b">
        <v>0</v>
      </c>
      <c r="V853" t="s">
        <v>3377</v>
      </c>
      <c r="W853" s="15">
        <v>-29.831835000000002</v>
      </c>
      <c r="X853" s="15">
        <v>30.918131670000001</v>
      </c>
      <c r="AF853" t="b">
        <v>0</v>
      </c>
      <c r="AI853" t="s">
        <v>71</v>
      </c>
      <c r="AJ853" t="s">
        <v>70</v>
      </c>
      <c r="AK853" t="s">
        <v>71</v>
      </c>
      <c r="AL853" t="s">
        <v>72</v>
      </c>
      <c r="AM853">
        <v>346053</v>
      </c>
      <c r="AO853" s="16" t="s">
        <v>140</v>
      </c>
      <c r="AP853" s="17" t="str">
        <f t="shared" si="61"/>
        <v>Post-emergence nest</v>
      </c>
      <c r="AQ853" s="18">
        <v>5</v>
      </c>
      <c r="AT853" s="19" t="s">
        <v>141</v>
      </c>
      <c r="AU853" s="20" t="s">
        <v>104</v>
      </c>
      <c r="AX853" s="22" t="str">
        <f>IF(AND('[1]observations-276632'!W853&gt;'[1]Methods write-up'!$Q$16,'[1]observations-276632'!W853&lt;'[1]Methods write-up'!$R$16,'[1]observations-276632'!X853&gt;'[1]Methods write-up'!$S$16,'[1]observations-276632'!X853&lt;'[1]Methods write-up'!$T$16),"West and Central Africa","")</f>
        <v/>
      </c>
      <c r="AY853" s="22" t="str">
        <f>IF(AND('[1]observations-276632'!W853&gt;'[1]Methods write-up'!$Q$17,'[1]observations-276632'!W853&lt;'[1]Methods write-up'!$R$17,'[1]observations-276632'!X853&gt;'[1]Methods write-up'!$S$17,'[1]observations-276632'!X853&lt;'[1]Methods write-up'!$T$17),"Equatorial tropical forest","")</f>
        <v/>
      </c>
      <c r="AZ853" s="22" t="str">
        <f>IF(AND('[1]observations-276632'!W853&gt;'[1]Methods write-up'!$Q$18,'[1]observations-276632'!W853&lt;'[1]Methods write-up'!$R$18,'[1]observations-276632'!X853&gt;'[1]Methods write-up'!$S$18,'[1]observations-276632'!X853&lt;'[1]Methods write-up'!$T$18),"Somali peninsula","")</f>
        <v/>
      </c>
      <c r="BA853" s="22" t="str">
        <f>IF(AND('[1]observations-276632'!W853&gt;'[1]Methods write-up'!$Q$19,'[1]observations-276632'!W853&lt;'[1]Methods write-up'!$R$19,'[1]observations-276632'!X853&gt;'[1]Methods write-up'!$S$19,'[1]observations-276632'!X853&lt;'[1]Methods write-up'!$T$19),"East Africa","")</f>
        <v/>
      </c>
      <c r="BB853" s="22" t="str">
        <f>IF(AND('[1]observations-276632'!W853&gt;'[1]Methods write-up'!$Q$20,'[1]observations-276632'!W853&lt;'[1]Methods write-up'!$R$20,'[1]observations-276632'!X853&gt;'[1]Methods write-up'!$S$20,'[1]observations-276632'!X853&lt;'[1]Methods write-up'!$T$20),"Temperate seasonal","")</f>
        <v>Temperate seasonal</v>
      </c>
      <c r="BC853" s="22" t="str">
        <f>IF(AND('[1]observations-276632'!W853&gt;'[1]Methods write-up'!$Q$21,'[1]observations-276632'!W853&lt;'[1]Methods write-up'!$R$21,'[1]observations-276632'!X853&gt;'[1]Methods write-up'!$S$21,'[1]observations-276632'!X853&lt;'[1]Methods write-up'!$T$21),"Desert and high aridity","")</f>
        <v/>
      </c>
      <c r="BD853" s="23" t="str">
        <f t="shared" si="60"/>
        <v>Temperate seasonal</v>
      </c>
      <c r="BE853" s="24">
        <f t="shared" si="57"/>
        <v>12</v>
      </c>
      <c r="BF853" s="24">
        <f t="shared" si="58"/>
        <v>11</v>
      </c>
    </row>
    <row r="854" spans="1:58" ht="16.25" customHeight="1" x14ac:dyDescent="0.2">
      <c r="A854">
        <v>101153109</v>
      </c>
      <c r="B854" s="25">
        <v>44513.707638888889</v>
      </c>
      <c r="C854" s="14">
        <v>44513</v>
      </c>
      <c r="D854" t="s">
        <v>6369</v>
      </c>
      <c r="E854" t="s">
        <v>113</v>
      </c>
      <c r="F854">
        <v>4948438</v>
      </c>
      <c r="G854" t="s">
        <v>6370</v>
      </c>
      <c r="H854" t="s">
        <v>6371</v>
      </c>
      <c r="I854" t="s">
        <v>6372</v>
      </c>
      <c r="J854" t="s">
        <v>6373</v>
      </c>
      <c r="K854" t="s">
        <v>62</v>
      </c>
      <c r="L854" t="s">
        <v>63</v>
      </c>
      <c r="M854" t="s">
        <v>6374</v>
      </c>
      <c r="N854" t="s">
        <v>6375</v>
      </c>
      <c r="R854">
        <v>3</v>
      </c>
      <c r="S854">
        <v>0</v>
      </c>
      <c r="T854" t="b">
        <v>0</v>
      </c>
      <c r="U854">
        <v>2</v>
      </c>
      <c r="V854" t="s">
        <v>586</v>
      </c>
      <c r="W854" s="15">
        <v>-29.457134960000001</v>
      </c>
      <c r="X854" s="15">
        <v>30.344733040000001</v>
      </c>
      <c r="Y854">
        <v>30</v>
      </c>
      <c r="AC854">
        <v>29483</v>
      </c>
      <c r="AD854" t="s">
        <v>839</v>
      </c>
      <c r="AF854" t="b">
        <v>1</v>
      </c>
      <c r="AG854" t="s">
        <v>350</v>
      </c>
      <c r="AH854" t="s">
        <v>350</v>
      </c>
      <c r="AI854" t="s">
        <v>71</v>
      </c>
      <c r="AJ854" t="s">
        <v>70</v>
      </c>
      <c r="AK854" t="s">
        <v>71</v>
      </c>
      <c r="AL854" t="s">
        <v>72</v>
      </c>
      <c r="AM854">
        <v>346053</v>
      </c>
      <c r="AO854" s="16" t="s">
        <v>73</v>
      </c>
      <c r="AP854" s="17" t="str">
        <f t="shared" si="61"/>
        <v>Off-nest female</v>
      </c>
      <c r="AX854" s="22" t="str">
        <f>IF(AND('[1]observations-276632'!W854&gt;'[1]Methods write-up'!$Q$16,'[1]observations-276632'!W854&lt;'[1]Methods write-up'!$R$16,'[1]observations-276632'!X854&gt;'[1]Methods write-up'!$S$16,'[1]observations-276632'!X854&lt;'[1]Methods write-up'!$T$16),"West and Central Africa","")</f>
        <v/>
      </c>
      <c r="AY854" s="22" t="str">
        <f>IF(AND('[1]observations-276632'!W854&gt;'[1]Methods write-up'!$Q$17,'[1]observations-276632'!W854&lt;'[1]Methods write-up'!$R$17,'[1]observations-276632'!X854&gt;'[1]Methods write-up'!$S$17,'[1]observations-276632'!X854&lt;'[1]Methods write-up'!$T$17),"Equatorial tropical forest","")</f>
        <v/>
      </c>
      <c r="AZ854" s="22" t="str">
        <f>IF(AND('[1]observations-276632'!W854&gt;'[1]Methods write-up'!$Q$18,'[1]observations-276632'!W854&lt;'[1]Methods write-up'!$R$18,'[1]observations-276632'!X854&gt;'[1]Methods write-up'!$S$18,'[1]observations-276632'!X854&lt;'[1]Methods write-up'!$T$18),"Somali peninsula","")</f>
        <v/>
      </c>
      <c r="BA854" s="22" t="str">
        <f>IF(AND('[1]observations-276632'!W854&gt;'[1]Methods write-up'!$Q$19,'[1]observations-276632'!W854&lt;'[1]Methods write-up'!$R$19,'[1]observations-276632'!X854&gt;'[1]Methods write-up'!$S$19,'[1]observations-276632'!X854&lt;'[1]Methods write-up'!$T$19),"East Africa","")</f>
        <v/>
      </c>
      <c r="BB854" s="22" t="str">
        <f>IF(AND('[1]observations-276632'!W854&gt;'[1]Methods write-up'!$Q$20,'[1]observations-276632'!W854&lt;'[1]Methods write-up'!$R$20,'[1]observations-276632'!X854&gt;'[1]Methods write-up'!$S$20,'[1]observations-276632'!X854&lt;'[1]Methods write-up'!$T$20),"Temperate seasonal","")</f>
        <v>Temperate seasonal</v>
      </c>
      <c r="BC854" s="22" t="str">
        <f>IF(AND('[1]observations-276632'!W854&gt;'[1]Methods write-up'!$Q$21,'[1]observations-276632'!W854&lt;'[1]Methods write-up'!$R$21,'[1]observations-276632'!X854&gt;'[1]Methods write-up'!$S$21,'[1]observations-276632'!X854&lt;'[1]Methods write-up'!$T$21),"Desert and high aridity","")</f>
        <v/>
      </c>
      <c r="BD854" s="23" t="str">
        <f t="shared" si="60"/>
        <v>Temperate seasonal</v>
      </c>
      <c r="BE854" s="24">
        <f t="shared" si="57"/>
        <v>13</v>
      </c>
      <c r="BF854" s="24">
        <f t="shared" si="58"/>
        <v>11</v>
      </c>
    </row>
    <row r="855" spans="1:58" ht="16.25" customHeight="1" x14ac:dyDescent="0.2">
      <c r="A855">
        <v>101190267</v>
      </c>
      <c r="B855" t="s">
        <v>6376</v>
      </c>
      <c r="C855" s="14">
        <v>44512</v>
      </c>
      <c r="D855" t="s">
        <v>6377</v>
      </c>
      <c r="E855" t="s">
        <v>84</v>
      </c>
      <c r="F855">
        <v>2641540</v>
      </c>
      <c r="G855" t="s">
        <v>3473</v>
      </c>
      <c r="H855" t="s">
        <v>3474</v>
      </c>
      <c r="I855" t="s">
        <v>6378</v>
      </c>
      <c r="J855" t="s">
        <v>6379</v>
      </c>
      <c r="K855" t="s">
        <v>62</v>
      </c>
      <c r="L855" t="s">
        <v>63</v>
      </c>
      <c r="M855" t="s">
        <v>6380</v>
      </c>
      <c r="N855" t="s">
        <v>6381</v>
      </c>
      <c r="R855">
        <v>1</v>
      </c>
      <c r="S855">
        <v>0</v>
      </c>
      <c r="T855" t="b">
        <v>0</v>
      </c>
      <c r="V855" t="s">
        <v>1333</v>
      </c>
      <c r="W855" s="15">
        <v>-1.215083202</v>
      </c>
      <c r="X855" s="15">
        <v>36.648259160000002</v>
      </c>
      <c r="Y855">
        <v>15</v>
      </c>
      <c r="AC855">
        <v>31447</v>
      </c>
      <c r="AD855" t="s">
        <v>839</v>
      </c>
      <c r="AF855" t="b">
        <v>1</v>
      </c>
      <c r="AI855" t="s">
        <v>71</v>
      </c>
      <c r="AJ855" t="s">
        <v>70</v>
      </c>
      <c r="AK855" t="s">
        <v>71</v>
      </c>
      <c r="AL855" t="s">
        <v>72</v>
      </c>
      <c r="AM855">
        <v>346053</v>
      </c>
      <c r="AO855" s="16" t="s">
        <v>73</v>
      </c>
      <c r="AP855" s="17" t="str">
        <f t="shared" si="61"/>
        <v>Off-nest female</v>
      </c>
      <c r="AX855" s="22" t="str">
        <f>IF(AND('[1]observations-276632'!W855&gt;'[1]Methods write-up'!$Q$16,'[1]observations-276632'!W855&lt;'[1]Methods write-up'!$R$16,'[1]observations-276632'!X855&gt;'[1]Methods write-up'!$S$16,'[1]observations-276632'!X855&lt;'[1]Methods write-up'!$T$16),"West and Central Africa","")</f>
        <v/>
      </c>
      <c r="AY855" s="22" t="str">
        <f>IF(AND('[1]observations-276632'!W855&gt;'[1]Methods write-up'!$Q$17,'[1]observations-276632'!W855&lt;'[1]Methods write-up'!$R$17,'[1]observations-276632'!X855&gt;'[1]Methods write-up'!$S$17,'[1]observations-276632'!X855&lt;'[1]Methods write-up'!$T$17),"Equatorial tropical forest","")</f>
        <v/>
      </c>
      <c r="AZ855" s="22" t="str">
        <f>IF(AND('[1]observations-276632'!W855&gt;'[1]Methods write-up'!$Q$18,'[1]observations-276632'!W855&lt;'[1]Methods write-up'!$R$18,'[1]observations-276632'!X855&gt;'[1]Methods write-up'!$S$18,'[1]observations-276632'!X855&lt;'[1]Methods write-up'!$T$18),"Somali peninsula","")</f>
        <v/>
      </c>
      <c r="BA855" s="22" t="str">
        <f>IF(AND('[1]observations-276632'!W855&gt;'[1]Methods write-up'!$Q$19,'[1]observations-276632'!W855&lt;'[1]Methods write-up'!$R$19,'[1]observations-276632'!X855&gt;'[1]Methods write-up'!$S$19,'[1]observations-276632'!X855&lt;'[1]Methods write-up'!$T$19),"East Africa","")</f>
        <v>East Africa</v>
      </c>
      <c r="BB855" s="22" t="str">
        <f>IF(AND('[1]observations-276632'!W855&gt;'[1]Methods write-up'!$Q$20,'[1]observations-276632'!W855&lt;'[1]Methods write-up'!$R$20,'[1]observations-276632'!X855&gt;'[1]Methods write-up'!$S$20,'[1]observations-276632'!X855&lt;'[1]Methods write-up'!$T$20),"Temperate seasonal","")</f>
        <v/>
      </c>
      <c r="BC855" s="22" t="str">
        <f>IF(AND('[1]observations-276632'!W855&gt;'[1]Methods write-up'!$Q$21,'[1]observations-276632'!W855&lt;'[1]Methods write-up'!$R$21,'[1]observations-276632'!X855&gt;'[1]Methods write-up'!$S$21,'[1]observations-276632'!X855&lt;'[1]Methods write-up'!$T$21),"Desert and high aridity","")</f>
        <v/>
      </c>
      <c r="BD855" s="23" t="str">
        <f t="shared" si="60"/>
        <v>East Africa</v>
      </c>
      <c r="BE855" s="24">
        <f t="shared" si="57"/>
        <v>12</v>
      </c>
      <c r="BF855" s="24">
        <f t="shared" si="58"/>
        <v>11</v>
      </c>
    </row>
    <row r="856" spans="1:58" ht="16.25" customHeight="1" x14ac:dyDescent="0.2">
      <c r="A856">
        <v>101261225</v>
      </c>
      <c r="B856" t="s">
        <v>6382</v>
      </c>
      <c r="C856" s="14">
        <v>44515</v>
      </c>
      <c r="D856" t="s">
        <v>6383</v>
      </c>
      <c r="E856" t="s">
        <v>113</v>
      </c>
      <c r="F856">
        <v>528390</v>
      </c>
      <c r="G856" t="s">
        <v>843</v>
      </c>
      <c r="H856" t="s">
        <v>844</v>
      </c>
      <c r="I856" t="s">
        <v>6384</v>
      </c>
      <c r="J856" t="s">
        <v>6385</v>
      </c>
      <c r="K856" t="s">
        <v>62</v>
      </c>
      <c r="L856" t="s">
        <v>63</v>
      </c>
      <c r="M856" t="s">
        <v>6386</v>
      </c>
      <c r="N856" t="s">
        <v>6387</v>
      </c>
      <c r="R856">
        <v>5</v>
      </c>
      <c r="S856">
        <v>0</v>
      </c>
      <c r="T856" t="b">
        <v>0</v>
      </c>
      <c r="V856" t="s">
        <v>6388</v>
      </c>
      <c r="W856" s="15">
        <v>-33.962656750000001</v>
      </c>
      <c r="X856" s="15">
        <v>22.086049259999999</v>
      </c>
      <c r="Y856">
        <v>20</v>
      </c>
      <c r="AC856">
        <v>20</v>
      </c>
      <c r="AF856" t="b">
        <v>0</v>
      </c>
      <c r="AI856" t="s">
        <v>71</v>
      </c>
      <c r="AJ856" t="s">
        <v>70</v>
      </c>
      <c r="AK856" t="s">
        <v>71</v>
      </c>
      <c r="AL856" t="s">
        <v>72</v>
      </c>
      <c r="AM856">
        <v>346053</v>
      </c>
      <c r="AO856" s="16" t="s">
        <v>110</v>
      </c>
      <c r="AP856" s="17" t="str">
        <f t="shared" si="61"/>
        <v>Nest (foundress)</v>
      </c>
      <c r="AQ856" s="18">
        <v>1</v>
      </c>
      <c r="AT856" s="19" t="s">
        <v>104</v>
      </c>
      <c r="AV856" s="21" t="s">
        <v>6389</v>
      </c>
      <c r="AX856" s="22" t="str">
        <f>IF(AND('[1]observations-276632'!W856&gt;'[1]Methods write-up'!$Q$16,'[1]observations-276632'!W856&lt;'[1]Methods write-up'!$R$16,'[1]observations-276632'!X856&gt;'[1]Methods write-up'!$S$16,'[1]observations-276632'!X856&lt;'[1]Methods write-up'!$T$16),"West and Central Africa","")</f>
        <v/>
      </c>
      <c r="AY856" s="22" t="str">
        <f>IF(AND('[1]observations-276632'!W856&gt;'[1]Methods write-up'!$Q$17,'[1]observations-276632'!W856&lt;'[1]Methods write-up'!$R$17,'[1]observations-276632'!X856&gt;'[1]Methods write-up'!$S$17,'[1]observations-276632'!X856&lt;'[1]Methods write-up'!$T$17),"Equatorial tropical forest","")</f>
        <v/>
      </c>
      <c r="AZ856" s="22" t="str">
        <f>IF(AND('[1]observations-276632'!W856&gt;'[1]Methods write-up'!$Q$18,'[1]observations-276632'!W856&lt;'[1]Methods write-up'!$R$18,'[1]observations-276632'!X856&gt;'[1]Methods write-up'!$S$18,'[1]observations-276632'!X856&lt;'[1]Methods write-up'!$T$18),"Somali peninsula","")</f>
        <v/>
      </c>
      <c r="BA856" s="22" t="str">
        <f>IF(AND('[1]observations-276632'!W856&gt;'[1]Methods write-up'!$Q$19,'[1]observations-276632'!W856&lt;'[1]Methods write-up'!$R$19,'[1]observations-276632'!X856&gt;'[1]Methods write-up'!$S$19,'[1]observations-276632'!X856&lt;'[1]Methods write-up'!$T$19),"East Africa","")</f>
        <v/>
      </c>
      <c r="BB856" s="22" t="str">
        <f>IF(AND('[1]observations-276632'!W856&gt;'[1]Methods write-up'!$Q$20,'[1]observations-276632'!W856&lt;'[1]Methods write-up'!$R$20,'[1]observations-276632'!X856&gt;'[1]Methods write-up'!$S$20,'[1]observations-276632'!X856&lt;'[1]Methods write-up'!$T$20),"Temperate seasonal","")</f>
        <v/>
      </c>
      <c r="BC856" s="22" t="str">
        <f>IF(AND('[1]observations-276632'!W856&gt;'[1]Methods write-up'!$Q$21,'[1]observations-276632'!W856&lt;'[1]Methods write-up'!$R$21,'[1]observations-276632'!X856&gt;'[1]Methods write-up'!$S$21,'[1]observations-276632'!X856&lt;'[1]Methods write-up'!$T$21),"Desert and high aridity","")</f>
        <v/>
      </c>
      <c r="BD856" s="23" t="str">
        <f t="shared" si="60"/>
        <v/>
      </c>
      <c r="BE856" s="24">
        <f t="shared" si="57"/>
        <v>15</v>
      </c>
      <c r="BF856" s="24">
        <f t="shared" si="58"/>
        <v>11</v>
      </c>
    </row>
    <row r="857" spans="1:58" ht="16.25" customHeight="1" x14ac:dyDescent="0.2">
      <c r="A857">
        <v>101286709</v>
      </c>
      <c r="B857" s="25">
        <v>44513.707638888889</v>
      </c>
      <c r="C857" s="14">
        <v>44513</v>
      </c>
      <c r="D857" t="s">
        <v>6390</v>
      </c>
      <c r="E857" t="s">
        <v>113</v>
      </c>
      <c r="F857">
        <v>4948438</v>
      </c>
      <c r="G857" t="s">
        <v>6370</v>
      </c>
      <c r="H857" t="s">
        <v>6371</v>
      </c>
      <c r="I857" t="s">
        <v>6391</v>
      </c>
      <c r="J857" t="s">
        <v>6392</v>
      </c>
      <c r="K857" t="s">
        <v>62</v>
      </c>
      <c r="L857" t="s">
        <v>63</v>
      </c>
      <c r="M857" t="s">
        <v>6393</v>
      </c>
      <c r="N857" t="s">
        <v>6394</v>
      </c>
      <c r="R857">
        <v>3</v>
      </c>
      <c r="S857">
        <v>0</v>
      </c>
      <c r="T857" t="b">
        <v>0</v>
      </c>
      <c r="U857">
        <v>2</v>
      </c>
      <c r="V857" t="s">
        <v>586</v>
      </c>
      <c r="W857" s="15">
        <v>-29.51124703</v>
      </c>
      <c r="X857" s="15">
        <v>30.339071700000002</v>
      </c>
      <c r="Y857">
        <v>79</v>
      </c>
      <c r="AC857">
        <v>29483</v>
      </c>
      <c r="AD857" t="s">
        <v>839</v>
      </c>
      <c r="AF857" t="b">
        <v>1</v>
      </c>
      <c r="AG857" t="s">
        <v>350</v>
      </c>
      <c r="AH857" t="s">
        <v>350</v>
      </c>
      <c r="AI857" t="s">
        <v>71</v>
      </c>
      <c r="AJ857" t="s">
        <v>70</v>
      </c>
      <c r="AK857" t="s">
        <v>71</v>
      </c>
      <c r="AL857" t="s">
        <v>72</v>
      </c>
      <c r="AM857">
        <v>346053</v>
      </c>
      <c r="AO857" s="16" t="s">
        <v>73</v>
      </c>
      <c r="AP857" s="17" t="str">
        <f t="shared" si="61"/>
        <v>Off-nest female</v>
      </c>
      <c r="AX857" s="22" t="str">
        <f>IF(AND('[1]observations-276632'!W857&gt;'[1]Methods write-up'!$Q$16,'[1]observations-276632'!W857&lt;'[1]Methods write-up'!$R$16,'[1]observations-276632'!X857&gt;'[1]Methods write-up'!$S$16,'[1]observations-276632'!X857&lt;'[1]Methods write-up'!$T$16),"West and Central Africa","")</f>
        <v/>
      </c>
      <c r="AY857" s="22" t="str">
        <f>IF(AND('[1]observations-276632'!W857&gt;'[1]Methods write-up'!$Q$17,'[1]observations-276632'!W857&lt;'[1]Methods write-up'!$R$17,'[1]observations-276632'!X857&gt;'[1]Methods write-up'!$S$17,'[1]observations-276632'!X857&lt;'[1]Methods write-up'!$T$17),"Equatorial tropical forest","")</f>
        <v/>
      </c>
      <c r="AZ857" s="22" t="str">
        <f>IF(AND('[1]observations-276632'!W857&gt;'[1]Methods write-up'!$Q$18,'[1]observations-276632'!W857&lt;'[1]Methods write-up'!$R$18,'[1]observations-276632'!X857&gt;'[1]Methods write-up'!$S$18,'[1]observations-276632'!X857&lt;'[1]Methods write-up'!$T$18),"Somali peninsula","")</f>
        <v/>
      </c>
      <c r="BA857" s="22" t="str">
        <f>IF(AND('[1]observations-276632'!W857&gt;'[1]Methods write-up'!$Q$19,'[1]observations-276632'!W857&lt;'[1]Methods write-up'!$R$19,'[1]observations-276632'!X857&gt;'[1]Methods write-up'!$S$19,'[1]observations-276632'!X857&lt;'[1]Methods write-up'!$T$19),"East Africa","")</f>
        <v/>
      </c>
      <c r="BB857" s="22" t="str">
        <f>IF(AND('[1]observations-276632'!W857&gt;'[1]Methods write-up'!$Q$20,'[1]observations-276632'!W857&lt;'[1]Methods write-up'!$R$20,'[1]observations-276632'!X857&gt;'[1]Methods write-up'!$S$20,'[1]observations-276632'!X857&lt;'[1]Methods write-up'!$T$20),"Temperate seasonal","")</f>
        <v>Temperate seasonal</v>
      </c>
      <c r="BC857" s="22" t="str">
        <f>IF(AND('[1]observations-276632'!W857&gt;'[1]Methods write-up'!$Q$21,'[1]observations-276632'!W857&lt;'[1]Methods write-up'!$R$21,'[1]observations-276632'!X857&gt;'[1]Methods write-up'!$S$21,'[1]observations-276632'!X857&lt;'[1]Methods write-up'!$T$21),"Desert and high aridity","")</f>
        <v/>
      </c>
      <c r="BD857" s="23" t="str">
        <f t="shared" si="60"/>
        <v>Temperate seasonal</v>
      </c>
      <c r="BE857" s="24">
        <f t="shared" si="57"/>
        <v>13</v>
      </c>
      <c r="BF857" s="24">
        <f t="shared" si="58"/>
        <v>11</v>
      </c>
    </row>
    <row r="858" spans="1:58" ht="16.25" customHeight="1" x14ac:dyDescent="0.2">
      <c r="A858">
        <v>101412016</v>
      </c>
      <c r="B858" t="s">
        <v>6395</v>
      </c>
      <c r="C858" s="14">
        <v>44383</v>
      </c>
      <c r="D858" t="s">
        <v>6396</v>
      </c>
      <c r="E858" t="s">
        <v>113</v>
      </c>
      <c r="F858">
        <v>759731</v>
      </c>
      <c r="G858" t="s">
        <v>3372</v>
      </c>
      <c r="I858" t="s">
        <v>6397</v>
      </c>
      <c r="J858" t="s">
        <v>6398</v>
      </c>
      <c r="K858" t="s">
        <v>62</v>
      </c>
      <c r="L858" t="s">
        <v>63</v>
      </c>
      <c r="M858" t="s">
        <v>6399</v>
      </c>
      <c r="N858" t="s">
        <v>6400</v>
      </c>
      <c r="R858">
        <v>2</v>
      </c>
      <c r="S858">
        <v>0</v>
      </c>
      <c r="T858" t="b">
        <v>0</v>
      </c>
      <c r="V858" t="s">
        <v>3377</v>
      </c>
      <c r="W858" s="15">
        <v>-29.831871029999999</v>
      </c>
      <c r="X858" s="15">
        <v>30.917970660000002</v>
      </c>
      <c r="AF858" t="b">
        <v>0</v>
      </c>
      <c r="AI858" t="s">
        <v>71</v>
      </c>
      <c r="AJ858" t="s">
        <v>70</v>
      </c>
      <c r="AK858" t="s">
        <v>71</v>
      </c>
      <c r="AL858" t="s">
        <v>72</v>
      </c>
      <c r="AM858">
        <v>346053</v>
      </c>
      <c r="AO858" s="16" t="s">
        <v>73</v>
      </c>
      <c r="AP858" s="17" t="str">
        <f t="shared" si="61"/>
        <v>Off-nest female</v>
      </c>
      <c r="AX858" s="22" t="str">
        <f>IF(AND('[1]observations-276632'!W858&gt;'[1]Methods write-up'!$Q$16,'[1]observations-276632'!W858&lt;'[1]Methods write-up'!$R$16,'[1]observations-276632'!X858&gt;'[1]Methods write-up'!$S$16,'[1]observations-276632'!X858&lt;'[1]Methods write-up'!$T$16),"West and Central Africa","")</f>
        <v/>
      </c>
      <c r="AY858" s="22" t="str">
        <f>IF(AND('[1]observations-276632'!W858&gt;'[1]Methods write-up'!$Q$17,'[1]observations-276632'!W858&lt;'[1]Methods write-up'!$R$17,'[1]observations-276632'!X858&gt;'[1]Methods write-up'!$S$17,'[1]observations-276632'!X858&lt;'[1]Methods write-up'!$T$17),"Equatorial tropical forest","")</f>
        <v/>
      </c>
      <c r="AZ858" s="22" t="str">
        <f>IF(AND('[1]observations-276632'!W858&gt;'[1]Methods write-up'!$Q$18,'[1]observations-276632'!W858&lt;'[1]Methods write-up'!$R$18,'[1]observations-276632'!X858&gt;'[1]Methods write-up'!$S$18,'[1]observations-276632'!X858&lt;'[1]Methods write-up'!$T$18),"Somali peninsula","")</f>
        <v/>
      </c>
      <c r="BA858" s="22" t="str">
        <f>IF(AND('[1]observations-276632'!W858&gt;'[1]Methods write-up'!$Q$19,'[1]observations-276632'!W858&lt;'[1]Methods write-up'!$R$19,'[1]observations-276632'!X858&gt;'[1]Methods write-up'!$S$19,'[1]observations-276632'!X858&lt;'[1]Methods write-up'!$T$19),"East Africa","")</f>
        <v/>
      </c>
      <c r="BB858" s="22" t="str">
        <f>IF(AND('[1]observations-276632'!W858&gt;'[1]Methods write-up'!$Q$20,'[1]observations-276632'!W858&lt;'[1]Methods write-up'!$R$20,'[1]observations-276632'!X858&gt;'[1]Methods write-up'!$S$20,'[1]observations-276632'!X858&lt;'[1]Methods write-up'!$T$20),"Temperate seasonal","")</f>
        <v>Temperate seasonal</v>
      </c>
      <c r="BC858" s="22" t="str">
        <f>IF(AND('[1]observations-276632'!W858&gt;'[1]Methods write-up'!$Q$21,'[1]observations-276632'!W858&lt;'[1]Methods write-up'!$R$21,'[1]observations-276632'!X858&gt;'[1]Methods write-up'!$S$21,'[1]observations-276632'!X858&lt;'[1]Methods write-up'!$T$21),"Desert and high aridity","")</f>
        <v/>
      </c>
      <c r="BD858" s="23" t="str">
        <f t="shared" si="60"/>
        <v>Temperate seasonal</v>
      </c>
      <c r="BE858" s="24">
        <f t="shared" si="57"/>
        <v>6</v>
      </c>
      <c r="BF858" s="24">
        <f t="shared" si="58"/>
        <v>7</v>
      </c>
    </row>
    <row r="859" spans="1:58" ht="16.25" customHeight="1" x14ac:dyDescent="0.2">
      <c r="A859">
        <v>101765982</v>
      </c>
      <c r="B859" t="s">
        <v>6401</v>
      </c>
      <c r="C859" s="14">
        <v>44486</v>
      </c>
      <c r="D859" t="s">
        <v>6402</v>
      </c>
      <c r="E859" t="s">
        <v>1408</v>
      </c>
      <c r="F859">
        <v>774262</v>
      </c>
      <c r="G859" t="s">
        <v>6403</v>
      </c>
      <c r="I859" t="s">
        <v>6404</v>
      </c>
      <c r="J859" t="s">
        <v>6405</v>
      </c>
      <c r="K859" t="s">
        <v>62</v>
      </c>
      <c r="M859" t="s">
        <v>6406</v>
      </c>
      <c r="N859" t="s">
        <v>6407</v>
      </c>
      <c r="P859" t="s">
        <v>6408</v>
      </c>
      <c r="R859">
        <v>4</v>
      </c>
      <c r="S859">
        <v>0</v>
      </c>
      <c r="T859" t="b">
        <v>0</v>
      </c>
      <c r="V859" t="s">
        <v>3541</v>
      </c>
      <c r="W859" s="15">
        <v>-24.51733333</v>
      </c>
      <c r="X859" s="15">
        <v>31.164008330000001</v>
      </c>
      <c r="Y859">
        <v>65</v>
      </c>
      <c r="AC859">
        <v>65</v>
      </c>
      <c r="AF859" t="b">
        <v>0</v>
      </c>
      <c r="AI859" t="s">
        <v>71</v>
      </c>
      <c r="AJ859" t="s">
        <v>70</v>
      </c>
      <c r="AK859" t="s">
        <v>71</v>
      </c>
      <c r="AL859" t="s">
        <v>72</v>
      </c>
      <c r="AM859">
        <v>346053</v>
      </c>
      <c r="AO859" s="16" t="s">
        <v>73</v>
      </c>
      <c r="AP859" s="17" t="str">
        <f t="shared" si="61"/>
        <v>Off-nest female</v>
      </c>
      <c r="AX859" s="22" t="str">
        <f>IF(AND('[1]observations-276632'!W859&gt;'[1]Methods write-up'!$Q$16,'[1]observations-276632'!W859&lt;'[1]Methods write-up'!$R$16,'[1]observations-276632'!X859&gt;'[1]Methods write-up'!$S$16,'[1]observations-276632'!X859&lt;'[1]Methods write-up'!$T$16),"West and Central Africa","")</f>
        <v/>
      </c>
      <c r="AY859" s="22" t="str">
        <f>IF(AND('[1]observations-276632'!W859&gt;'[1]Methods write-up'!$Q$17,'[1]observations-276632'!W859&lt;'[1]Methods write-up'!$R$17,'[1]observations-276632'!X859&gt;'[1]Methods write-up'!$S$17,'[1]observations-276632'!X859&lt;'[1]Methods write-up'!$T$17),"Equatorial tropical forest","")</f>
        <v/>
      </c>
      <c r="AZ859" s="22" t="str">
        <f>IF(AND('[1]observations-276632'!W859&gt;'[1]Methods write-up'!$Q$18,'[1]observations-276632'!W859&lt;'[1]Methods write-up'!$R$18,'[1]observations-276632'!X859&gt;'[1]Methods write-up'!$S$18,'[1]observations-276632'!X859&lt;'[1]Methods write-up'!$T$18),"Somali peninsula","")</f>
        <v/>
      </c>
      <c r="BA859" s="22" t="str">
        <f>IF(AND('[1]observations-276632'!W859&gt;'[1]Methods write-up'!$Q$19,'[1]observations-276632'!W859&lt;'[1]Methods write-up'!$R$19,'[1]observations-276632'!X859&gt;'[1]Methods write-up'!$S$19,'[1]observations-276632'!X859&lt;'[1]Methods write-up'!$T$19),"East Africa","")</f>
        <v/>
      </c>
      <c r="BB859" s="22" t="str">
        <f>IF(AND('[1]observations-276632'!W859&gt;'[1]Methods write-up'!$Q$20,'[1]observations-276632'!W859&lt;'[1]Methods write-up'!$R$20,'[1]observations-276632'!X859&gt;'[1]Methods write-up'!$S$20,'[1]observations-276632'!X859&lt;'[1]Methods write-up'!$T$20),"Temperate seasonal","")</f>
        <v/>
      </c>
      <c r="BC859" s="22" t="str">
        <f>IF(AND('[1]observations-276632'!W859&gt;'[1]Methods write-up'!$Q$21,'[1]observations-276632'!W859&lt;'[1]Methods write-up'!$R$21,'[1]observations-276632'!X859&gt;'[1]Methods write-up'!$S$21,'[1]observations-276632'!X859&lt;'[1]Methods write-up'!$T$21),"Desert and high aridity","")</f>
        <v/>
      </c>
      <c r="BD859" s="23" t="str">
        <f t="shared" si="60"/>
        <v/>
      </c>
      <c r="BE859" s="24">
        <f t="shared" si="57"/>
        <v>17</v>
      </c>
      <c r="BF859" s="24">
        <f t="shared" si="58"/>
        <v>10</v>
      </c>
    </row>
    <row r="860" spans="1:58" ht="16.25" customHeight="1" x14ac:dyDescent="0.2">
      <c r="A860">
        <v>101817024</v>
      </c>
      <c r="B860" t="s">
        <v>6409</v>
      </c>
      <c r="C860" s="14">
        <v>44502</v>
      </c>
      <c r="D860" t="s">
        <v>6410</v>
      </c>
      <c r="E860" t="s">
        <v>113</v>
      </c>
      <c r="F860">
        <v>787664</v>
      </c>
      <c r="G860" t="s">
        <v>6411</v>
      </c>
      <c r="H860" t="s">
        <v>6412</v>
      </c>
      <c r="I860" t="s">
        <v>6413</v>
      </c>
      <c r="J860" t="s">
        <v>6414</v>
      </c>
      <c r="K860" t="s">
        <v>62</v>
      </c>
      <c r="M860" t="s">
        <v>6415</v>
      </c>
      <c r="N860" t="s">
        <v>6416</v>
      </c>
      <c r="R860">
        <v>2</v>
      </c>
      <c r="S860">
        <v>0</v>
      </c>
      <c r="T860" t="b">
        <v>0</v>
      </c>
      <c r="V860" t="s">
        <v>6417</v>
      </c>
      <c r="W860" s="15">
        <v>-33.52083571</v>
      </c>
      <c r="X860" s="15">
        <v>26.248017740000002</v>
      </c>
      <c r="Y860">
        <v>15</v>
      </c>
      <c r="AC860">
        <v>15</v>
      </c>
      <c r="AF860" t="b">
        <v>0</v>
      </c>
      <c r="AI860" t="s">
        <v>71</v>
      </c>
      <c r="AJ860" t="s">
        <v>70</v>
      </c>
      <c r="AK860" t="s">
        <v>71</v>
      </c>
      <c r="AL860" t="s">
        <v>72</v>
      </c>
      <c r="AM860">
        <v>346053</v>
      </c>
      <c r="AO860" s="16" t="s">
        <v>442</v>
      </c>
      <c r="AP860" s="17" t="str">
        <f t="shared" si="61"/>
        <v>Dead female</v>
      </c>
      <c r="AX860" s="22" t="str">
        <f>IF(AND('[1]observations-276632'!W860&gt;'[1]Methods write-up'!$Q$16,'[1]observations-276632'!W860&lt;'[1]Methods write-up'!$R$16,'[1]observations-276632'!X860&gt;'[1]Methods write-up'!$S$16,'[1]observations-276632'!X860&lt;'[1]Methods write-up'!$T$16),"West and Central Africa","")</f>
        <v/>
      </c>
      <c r="AY860" s="22" t="str">
        <f>IF(AND('[1]observations-276632'!W860&gt;'[1]Methods write-up'!$Q$17,'[1]observations-276632'!W860&lt;'[1]Methods write-up'!$R$17,'[1]observations-276632'!X860&gt;'[1]Methods write-up'!$S$17,'[1]observations-276632'!X860&lt;'[1]Methods write-up'!$T$17),"Equatorial tropical forest","")</f>
        <v/>
      </c>
      <c r="AZ860" s="22" t="str">
        <f>IF(AND('[1]observations-276632'!W860&gt;'[1]Methods write-up'!$Q$18,'[1]observations-276632'!W860&lt;'[1]Methods write-up'!$R$18,'[1]observations-276632'!X860&gt;'[1]Methods write-up'!$S$18,'[1]observations-276632'!X860&lt;'[1]Methods write-up'!$T$18),"Somali peninsula","")</f>
        <v/>
      </c>
      <c r="BA860" s="22" t="str">
        <f>IF(AND('[1]observations-276632'!W860&gt;'[1]Methods write-up'!$Q$19,'[1]observations-276632'!W860&lt;'[1]Methods write-up'!$R$19,'[1]observations-276632'!X860&gt;'[1]Methods write-up'!$S$19,'[1]observations-276632'!X860&lt;'[1]Methods write-up'!$T$19),"East Africa","")</f>
        <v/>
      </c>
      <c r="BB860" s="22" t="str">
        <f>IF(AND('[1]observations-276632'!W860&gt;'[1]Methods write-up'!$Q$20,'[1]observations-276632'!W860&lt;'[1]Methods write-up'!$R$20,'[1]observations-276632'!X860&gt;'[1]Methods write-up'!$S$20,'[1]observations-276632'!X860&lt;'[1]Methods write-up'!$T$20),"Temperate seasonal","")</f>
        <v/>
      </c>
      <c r="BC860" s="22" t="str">
        <f>IF(AND('[1]observations-276632'!W860&gt;'[1]Methods write-up'!$Q$21,'[1]observations-276632'!W860&lt;'[1]Methods write-up'!$R$21,'[1]observations-276632'!X860&gt;'[1]Methods write-up'!$S$21,'[1]observations-276632'!X860&lt;'[1]Methods write-up'!$T$21),"Desert and high aridity","")</f>
        <v/>
      </c>
      <c r="BD860" s="23" t="str">
        <f t="shared" si="60"/>
        <v/>
      </c>
      <c r="BE860" s="24">
        <f t="shared" si="57"/>
        <v>2</v>
      </c>
      <c r="BF860" s="24">
        <f t="shared" si="58"/>
        <v>11</v>
      </c>
    </row>
    <row r="861" spans="1:58" ht="16.25" customHeight="1" x14ac:dyDescent="0.2">
      <c r="A861">
        <v>102104773</v>
      </c>
      <c r="B861" s="25">
        <v>44528.265972222223</v>
      </c>
      <c r="C861" s="14">
        <v>44528</v>
      </c>
      <c r="D861" t="s">
        <v>6418</v>
      </c>
      <c r="E861" t="s">
        <v>113</v>
      </c>
      <c r="F861">
        <v>4467188</v>
      </c>
      <c r="G861" t="s">
        <v>6419</v>
      </c>
      <c r="H861" t="s">
        <v>6420</v>
      </c>
      <c r="I861" t="s">
        <v>6421</v>
      </c>
      <c r="J861" t="s">
        <v>6422</v>
      </c>
      <c r="K861" t="s">
        <v>62</v>
      </c>
      <c r="L861" t="s">
        <v>63</v>
      </c>
      <c r="M861" t="s">
        <v>6423</v>
      </c>
      <c r="N861" t="s">
        <v>6424</v>
      </c>
      <c r="R861">
        <v>2</v>
      </c>
      <c r="S861">
        <v>0</v>
      </c>
      <c r="T861" t="b">
        <v>0</v>
      </c>
      <c r="U861">
        <v>2</v>
      </c>
      <c r="V861" t="s">
        <v>6425</v>
      </c>
      <c r="W861" s="15">
        <v>-29.630753429999999</v>
      </c>
      <c r="X861" s="15">
        <v>30.99172823</v>
      </c>
      <c r="Y861">
        <v>173</v>
      </c>
      <c r="AC861">
        <v>173</v>
      </c>
      <c r="AF861" t="b">
        <v>0</v>
      </c>
      <c r="AG861" t="s">
        <v>350</v>
      </c>
      <c r="AH861" t="s">
        <v>350</v>
      </c>
      <c r="AI861" t="s">
        <v>71</v>
      </c>
      <c r="AJ861" t="s">
        <v>70</v>
      </c>
      <c r="AK861" t="s">
        <v>71</v>
      </c>
      <c r="AL861" t="s">
        <v>72</v>
      </c>
      <c r="AM861">
        <v>346053</v>
      </c>
      <c r="AO861" s="16" t="s">
        <v>1574</v>
      </c>
      <c r="AP861" s="17" t="str">
        <f t="shared" si="61"/>
        <v>Nest (foundress)</v>
      </c>
      <c r="AQ861" s="18">
        <v>1</v>
      </c>
      <c r="AT861" s="19" t="s">
        <v>104</v>
      </c>
      <c r="AX861" s="22" t="str">
        <f>IF(AND('[1]observations-276632'!W861&gt;'[1]Methods write-up'!$Q$16,'[1]observations-276632'!W861&lt;'[1]Methods write-up'!$R$16,'[1]observations-276632'!X861&gt;'[1]Methods write-up'!$S$16,'[1]observations-276632'!X861&lt;'[1]Methods write-up'!$T$16),"West and Central Africa","")</f>
        <v/>
      </c>
      <c r="AY861" s="22" t="str">
        <f>IF(AND('[1]observations-276632'!W861&gt;'[1]Methods write-up'!$Q$17,'[1]observations-276632'!W861&lt;'[1]Methods write-up'!$R$17,'[1]observations-276632'!X861&gt;'[1]Methods write-up'!$S$17,'[1]observations-276632'!X861&lt;'[1]Methods write-up'!$T$17),"Equatorial tropical forest","")</f>
        <v/>
      </c>
      <c r="AZ861" s="22" t="str">
        <f>IF(AND('[1]observations-276632'!W861&gt;'[1]Methods write-up'!$Q$18,'[1]observations-276632'!W861&lt;'[1]Methods write-up'!$R$18,'[1]observations-276632'!X861&gt;'[1]Methods write-up'!$S$18,'[1]observations-276632'!X861&lt;'[1]Methods write-up'!$T$18),"Somali peninsula","")</f>
        <v/>
      </c>
      <c r="BA861" s="22" t="str">
        <f>IF(AND('[1]observations-276632'!W861&gt;'[1]Methods write-up'!$Q$19,'[1]observations-276632'!W861&lt;'[1]Methods write-up'!$R$19,'[1]observations-276632'!X861&gt;'[1]Methods write-up'!$S$19,'[1]observations-276632'!X861&lt;'[1]Methods write-up'!$T$19),"East Africa","")</f>
        <v/>
      </c>
      <c r="BB861" s="22" t="str">
        <f>IF(AND('[1]observations-276632'!W861&gt;'[1]Methods write-up'!$Q$20,'[1]observations-276632'!W861&lt;'[1]Methods write-up'!$R$20,'[1]observations-276632'!X861&gt;'[1]Methods write-up'!$S$20,'[1]observations-276632'!X861&lt;'[1]Methods write-up'!$T$20),"Temperate seasonal","")</f>
        <v>Temperate seasonal</v>
      </c>
      <c r="BC861" s="22" t="str">
        <f>IF(AND('[1]observations-276632'!W861&gt;'[1]Methods write-up'!$Q$21,'[1]observations-276632'!W861&lt;'[1]Methods write-up'!$R$21,'[1]observations-276632'!X861&gt;'[1]Methods write-up'!$S$21,'[1]observations-276632'!X861&lt;'[1]Methods write-up'!$T$21),"Desert and high aridity","")</f>
        <v/>
      </c>
      <c r="BD861" s="23" t="str">
        <f t="shared" si="60"/>
        <v>Temperate seasonal</v>
      </c>
      <c r="BE861" s="24">
        <f t="shared" si="57"/>
        <v>28</v>
      </c>
      <c r="BF861" s="24">
        <f t="shared" si="58"/>
        <v>11</v>
      </c>
    </row>
    <row r="862" spans="1:58" ht="16.25" customHeight="1" x14ac:dyDescent="0.2">
      <c r="A862">
        <v>102294099</v>
      </c>
      <c r="B862" t="s">
        <v>6426</v>
      </c>
      <c r="C862" s="14">
        <v>44523</v>
      </c>
      <c r="D862" t="s">
        <v>6427</v>
      </c>
      <c r="E862" t="s">
        <v>113</v>
      </c>
      <c r="F862">
        <v>3857722</v>
      </c>
      <c r="G862" t="s">
        <v>4422</v>
      </c>
      <c r="H862" t="s">
        <v>4423</v>
      </c>
      <c r="I862" t="s">
        <v>6428</v>
      </c>
      <c r="J862" t="s">
        <v>6429</v>
      </c>
      <c r="K862" t="s">
        <v>157</v>
      </c>
      <c r="L862" t="s">
        <v>63</v>
      </c>
      <c r="M862" t="s">
        <v>6430</v>
      </c>
      <c r="N862" t="s">
        <v>6431</v>
      </c>
      <c r="R862">
        <v>2</v>
      </c>
      <c r="S862">
        <v>0</v>
      </c>
      <c r="T862" t="b">
        <v>0</v>
      </c>
      <c r="U862">
        <v>3</v>
      </c>
      <c r="V862" t="s">
        <v>6432</v>
      </c>
      <c r="W862" s="15">
        <v>-10.58583</v>
      </c>
      <c r="X862" s="15">
        <v>34.133861170000003</v>
      </c>
      <c r="Y862">
        <v>4</v>
      </c>
      <c r="AC862">
        <v>4</v>
      </c>
      <c r="AF862" t="b">
        <v>0</v>
      </c>
      <c r="AI862" t="s">
        <v>1808</v>
      </c>
      <c r="AJ862" t="s">
        <v>1808</v>
      </c>
      <c r="AL862" t="s">
        <v>72</v>
      </c>
      <c r="AM862">
        <v>861097</v>
      </c>
      <c r="AO862" s="16" t="s">
        <v>73</v>
      </c>
      <c r="AP862" s="17" t="str">
        <f t="shared" si="61"/>
        <v>Off-nest female</v>
      </c>
      <c r="AX862" s="22" t="str">
        <f>IF(AND('[1]observations-276632'!W862&gt;'[1]Methods write-up'!$Q$16,'[1]observations-276632'!W862&lt;'[1]Methods write-up'!$R$16,'[1]observations-276632'!X862&gt;'[1]Methods write-up'!$S$16,'[1]observations-276632'!X862&lt;'[1]Methods write-up'!$T$16),"West and Central Africa","")</f>
        <v/>
      </c>
      <c r="AY862" s="22" t="str">
        <f>IF(AND('[1]observations-276632'!W862&gt;'[1]Methods write-up'!$Q$17,'[1]observations-276632'!W862&lt;'[1]Methods write-up'!$R$17,'[1]observations-276632'!X862&gt;'[1]Methods write-up'!$S$17,'[1]observations-276632'!X862&lt;'[1]Methods write-up'!$T$17),"Equatorial tropical forest","")</f>
        <v/>
      </c>
      <c r="AZ862" s="22" t="str">
        <f>IF(AND('[1]observations-276632'!W862&gt;'[1]Methods write-up'!$Q$18,'[1]observations-276632'!W862&lt;'[1]Methods write-up'!$R$18,'[1]observations-276632'!X862&gt;'[1]Methods write-up'!$S$18,'[1]observations-276632'!X862&lt;'[1]Methods write-up'!$T$18),"Somali peninsula","")</f>
        <v/>
      </c>
      <c r="BA862" s="22" t="str">
        <f>IF(AND('[1]observations-276632'!W862&gt;'[1]Methods write-up'!$Q$19,'[1]observations-276632'!W862&lt;'[1]Methods write-up'!$R$19,'[1]observations-276632'!X862&gt;'[1]Methods write-up'!$S$19,'[1]observations-276632'!X862&lt;'[1]Methods write-up'!$T$19),"East Africa","")</f>
        <v/>
      </c>
      <c r="BB862" s="22" t="str">
        <f>IF(AND('[1]observations-276632'!W862&gt;'[1]Methods write-up'!$Q$20,'[1]observations-276632'!W862&lt;'[1]Methods write-up'!$R$20,'[1]observations-276632'!X862&gt;'[1]Methods write-up'!$S$20,'[1]observations-276632'!X862&lt;'[1]Methods write-up'!$T$20),"Temperate seasonal","")</f>
        <v/>
      </c>
      <c r="BC862" s="22" t="str">
        <f>IF(AND('[1]observations-276632'!W862&gt;'[1]Methods write-up'!$Q$21,'[1]observations-276632'!W862&lt;'[1]Methods write-up'!$R$21,'[1]observations-276632'!X862&gt;'[1]Methods write-up'!$S$21,'[1]observations-276632'!X862&lt;'[1]Methods write-up'!$T$21),"Desert and high aridity","")</f>
        <v/>
      </c>
      <c r="BD862" s="23" t="str">
        <f t="shared" si="60"/>
        <v/>
      </c>
      <c r="BE862" s="24">
        <f t="shared" si="57"/>
        <v>23</v>
      </c>
      <c r="BF862" s="24">
        <f t="shared" si="58"/>
        <v>11</v>
      </c>
    </row>
    <row r="863" spans="1:58" ht="16.25" customHeight="1" x14ac:dyDescent="0.2">
      <c r="A863">
        <v>102349468</v>
      </c>
      <c r="B863" s="13">
        <v>44532</v>
      </c>
      <c r="C863" s="14">
        <v>44532</v>
      </c>
      <c r="E863" t="s">
        <v>113</v>
      </c>
      <c r="F863">
        <v>3814194</v>
      </c>
      <c r="G863" t="s">
        <v>5242</v>
      </c>
      <c r="H863" t="s">
        <v>5243</v>
      </c>
      <c r="I863" t="s">
        <v>6433</v>
      </c>
      <c r="J863" t="s">
        <v>6434</v>
      </c>
      <c r="K863" t="s">
        <v>62</v>
      </c>
      <c r="L863" t="s">
        <v>63</v>
      </c>
      <c r="M863" t="s">
        <v>6435</v>
      </c>
      <c r="N863" t="s">
        <v>6436</v>
      </c>
      <c r="P863" t="s">
        <v>5248</v>
      </c>
      <c r="R863">
        <v>2</v>
      </c>
      <c r="S863">
        <v>0</v>
      </c>
      <c r="T863" t="b">
        <v>0</v>
      </c>
      <c r="V863" t="s">
        <v>5250</v>
      </c>
      <c r="W863" s="15">
        <v>-26.0585816</v>
      </c>
      <c r="X863" s="15">
        <v>27.975387999999999</v>
      </c>
      <c r="Y863">
        <v>1769</v>
      </c>
      <c r="AC863">
        <v>1769</v>
      </c>
      <c r="AF863" t="b">
        <v>0</v>
      </c>
      <c r="AI863" t="s">
        <v>71</v>
      </c>
      <c r="AJ863" t="s">
        <v>70</v>
      </c>
      <c r="AK863" t="s">
        <v>71</v>
      </c>
      <c r="AL863" t="s">
        <v>72</v>
      </c>
      <c r="AM863">
        <v>346053</v>
      </c>
      <c r="AO863" s="16" t="s">
        <v>73</v>
      </c>
      <c r="AP863" s="17" t="str">
        <f t="shared" si="61"/>
        <v>Off-nest female</v>
      </c>
      <c r="AX863" s="22" t="str">
        <f>IF(AND('[1]observations-276632'!W863&gt;'[1]Methods write-up'!$Q$16,'[1]observations-276632'!W863&lt;'[1]Methods write-up'!$R$16,'[1]observations-276632'!X863&gt;'[1]Methods write-up'!$S$16,'[1]observations-276632'!X863&lt;'[1]Methods write-up'!$T$16),"West and Central Africa","")</f>
        <v/>
      </c>
      <c r="AY863" s="22" t="str">
        <f>IF(AND('[1]observations-276632'!W863&gt;'[1]Methods write-up'!$Q$17,'[1]observations-276632'!W863&lt;'[1]Methods write-up'!$R$17,'[1]observations-276632'!X863&gt;'[1]Methods write-up'!$S$17,'[1]observations-276632'!X863&lt;'[1]Methods write-up'!$T$17),"Equatorial tropical forest","")</f>
        <v/>
      </c>
      <c r="AZ863" s="22" t="str">
        <f>IF(AND('[1]observations-276632'!W863&gt;'[1]Methods write-up'!$Q$18,'[1]observations-276632'!W863&lt;'[1]Methods write-up'!$R$18,'[1]observations-276632'!X863&gt;'[1]Methods write-up'!$S$18,'[1]observations-276632'!X863&lt;'[1]Methods write-up'!$T$18),"Somali peninsula","")</f>
        <v/>
      </c>
      <c r="BA863" s="22" t="str">
        <f>IF(AND('[1]observations-276632'!W863&gt;'[1]Methods write-up'!$Q$19,'[1]observations-276632'!W863&lt;'[1]Methods write-up'!$R$19,'[1]observations-276632'!X863&gt;'[1]Methods write-up'!$S$19,'[1]observations-276632'!X863&lt;'[1]Methods write-up'!$T$19),"East Africa","")</f>
        <v/>
      </c>
      <c r="BB863" s="22" t="str">
        <f>IF(AND('[1]observations-276632'!W863&gt;'[1]Methods write-up'!$Q$20,'[1]observations-276632'!W863&lt;'[1]Methods write-up'!$R$20,'[1]observations-276632'!X863&gt;'[1]Methods write-up'!$S$20,'[1]observations-276632'!X863&lt;'[1]Methods write-up'!$T$20),"Temperate seasonal","")</f>
        <v>Temperate seasonal</v>
      </c>
      <c r="BC863" s="22" t="str">
        <f>IF(AND('[1]observations-276632'!W863&gt;'[1]Methods write-up'!$Q$21,'[1]observations-276632'!W863&lt;'[1]Methods write-up'!$R$21,'[1]observations-276632'!X863&gt;'[1]Methods write-up'!$S$21,'[1]observations-276632'!X863&lt;'[1]Methods write-up'!$T$21),"Desert and high aridity","")</f>
        <v/>
      </c>
      <c r="BD863" s="23" t="str">
        <f t="shared" si="60"/>
        <v>Temperate seasonal</v>
      </c>
      <c r="BE863" s="24">
        <f t="shared" si="57"/>
        <v>2</v>
      </c>
      <c r="BF863" s="24">
        <f t="shared" si="58"/>
        <v>12</v>
      </c>
    </row>
    <row r="864" spans="1:58" ht="16.25" customHeight="1" x14ac:dyDescent="0.2">
      <c r="A864">
        <v>102352342</v>
      </c>
      <c r="B864" t="s">
        <v>6437</v>
      </c>
      <c r="C864" s="14">
        <v>44420</v>
      </c>
      <c r="D864" t="s">
        <v>6438</v>
      </c>
      <c r="E864" t="s">
        <v>243</v>
      </c>
      <c r="F864">
        <v>1770936</v>
      </c>
      <c r="G864" t="s">
        <v>6439</v>
      </c>
      <c r="I864" t="s">
        <v>6440</v>
      </c>
      <c r="J864" t="s">
        <v>6441</v>
      </c>
      <c r="K864" t="s">
        <v>62</v>
      </c>
      <c r="L864" t="s">
        <v>63</v>
      </c>
      <c r="M864" t="s">
        <v>6442</v>
      </c>
      <c r="N864" t="s">
        <v>6443</v>
      </c>
      <c r="R864">
        <v>1</v>
      </c>
      <c r="S864">
        <v>0</v>
      </c>
      <c r="T864" t="b">
        <v>0</v>
      </c>
      <c r="V864" t="s">
        <v>6444</v>
      </c>
      <c r="W864" s="15">
        <v>-1.798209924</v>
      </c>
      <c r="X864" s="15">
        <v>13.01852502</v>
      </c>
      <c r="Y864">
        <v>31</v>
      </c>
      <c r="AC864">
        <v>31</v>
      </c>
      <c r="AF864" t="b">
        <v>0</v>
      </c>
      <c r="AI864" t="s">
        <v>71</v>
      </c>
      <c r="AJ864" t="s">
        <v>70</v>
      </c>
      <c r="AK864" t="s">
        <v>71</v>
      </c>
      <c r="AL864" t="s">
        <v>72</v>
      </c>
      <c r="AM864">
        <v>346053</v>
      </c>
      <c r="AO864" s="16" t="s">
        <v>140</v>
      </c>
      <c r="AP864" s="17" t="str">
        <f t="shared" si="61"/>
        <v>Post-emergence nest</v>
      </c>
      <c r="AQ864" s="18">
        <v>2</v>
      </c>
      <c r="AT864" s="19" t="s">
        <v>104</v>
      </c>
      <c r="AU864" s="20" t="s">
        <v>104</v>
      </c>
      <c r="AX864" s="22" t="str">
        <f>IF(AND('[1]observations-276632'!W864&gt;'[1]Methods write-up'!$Q$16,'[1]observations-276632'!W864&lt;'[1]Methods write-up'!$R$16,'[1]observations-276632'!X864&gt;'[1]Methods write-up'!$S$16,'[1]observations-276632'!X864&lt;'[1]Methods write-up'!$T$16),"West and Central Africa","")</f>
        <v>West and Central Africa</v>
      </c>
      <c r="AY864" s="22" t="str">
        <f>IF(AND('[1]observations-276632'!W864&gt;'[1]Methods write-up'!$Q$17,'[1]observations-276632'!W864&lt;'[1]Methods write-up'!$R$17,'[1]observations-276632'!X864&gt;'[1]Methods write-up'!$S$17,'[1]observations-276632'!X864&lt;'[1]Methods write-up'!$T$17),"Equatorial tropical forest","")</f>
        <v/>
      </c>
      <c r="AZ864" s="22" t="str">
        <f>IF(AND('[1]observations-276632'!W864&gt;'[1]Methods write-up'!$Q$18,'[1]observations-276632'!W864&lt;'[1]Methods write-up'!$R$18,'[1]observations-276632'!X864&gt;'[1]Methods write-up'!$S$18,'[1]observations-276632'!X864&lt;'[1]Methods write-up'!$T$18),"Somali peninsula","")</f>
        <v/>
      </c>
      <c r="BA864" s="22" t="str">
        <f>IF(AND('[1]observations-276632'!W864&gt;'[1]Methods write-up'!$Q$19,'[1]observations-276632'!W864&lt;'[1]Methods write-up'!$R$19,'[1]observations-276632'!X864&gt;'[1]Methods write-up'!$S$19,'[1]observations-276632'!X864&lt;'[1]Methods write-up'!$T$19),"East Africa","")</f>
        <v/>
      </c>
      <c r="BB864" s="22" t="str">
        <f>IF(AND('[1]observations-276632'!W864&gt;'[1]Methods write-up'!$Q$20,'[1]observations-276632'!W864&lt;'[1]Methods write-up'!$R$20,'[1]observations-276632'!X864&gt;'[1]Methods write-up'!$S$20,'[1]observations-276632'!X864&lt;'[1]Methods write-up'!$T$20),"Temperate seasonal","")</f>
        <v/>
      </c>
      <c r="BC864" s="22" t="str">
        <f>IF(AND('[1]observations-276632'!W864&gt;'[1]Methods write-up'!$Q$21,'[1]observations-276632'!W864&lt;'[1]Methods write-up'!$R$21,'[1]observations-276632'!X864&gt;'[1]Methods write-up'!$S$21,'[1]observations-276632'!X864&lt;'[1]Methods write-up'!$T$21),"Desert and high aridity","")</f>
        <v/>
      </c>
      <c r="BD864" s="23" t="str">
        <f t="shared" si="60"/>
        <v>West and Central Africa</v>
      </c>
      <c r="BE864" s="24">
        <f t="shared" si="57"/>
        <v>12</v>
      </c>
      <c r="BF864" s="24">
        <f t="shared" si="58"/>
        <v>8</v>
      </c>
    </row>
    <row r="865" spans="1:58" ht="16.25" customHeight="1" x14ac:dyDescent="0.2">
      <c r="A865">
        <v>102454219</v>
      </c>
      <c r="B865" t="s">
        <v>6445</v>
      </c>
      <c r="C865" s="14">
        <v>44452</v>
      </c>
      <c r="D865" t="s">
        <v>6446</v>
      </c>
      <c r="E865" t="s">
        <v>113</v>
      </c>
      <c r="F865">
        <v>3465995</v>
      </c>
      <c r="G865" t="s">
        <v>4866</v>
      </c>
      <c r="H865" t="s">
        <v>4867</v>
      </c>
      <c r="I865" t="s">
        <v>6447</v>
      </c>
      <c r="J865" t="s">
        <v>6448</v>
      </c>
      <c r="K865" t="s">
        <v>62</v>
      </c>
      <c r="L865" t="s">
        <v>63</v>
      </c>
      <c r="M865" t="s">
        <v>6449</v>
      </c>
      <c r="N865" t="s">
        <v>6450</v>
      </c>
      <c r="R865">
        <v>3</v>
      </c>
      <c r="S865">
        <v>0</v>
      </c>
      <c r="T865" t="b">
        <v>0</v>
      </c>
      <c r="V865" t="s">
        <v>6451</v>
      </c>
      <c r="W865" s="15">
        <v>-20.228011970000001</v>
      </c>
      <c r="X865" s="15">
        <v>28.636640849999999</v>
      </c>
      <c r="Y865">
        <v>205</v>
      </c>
      <c r="AC865">
        <v>205</v>
      </c>
      <c r="AF865" t="b">
        <v>0</v>
      </c>
      <c r="AI865" t="s">
        <v>71</v>
      </c>
      <c r="AJ865" t="s">
        <v>70</v>
      </c>
      <c r="AK865" t="s">
        <v>71</v>
      </c>
      <c r="AL865" t="s">
        <v>72</v>
      </c>
      <c r="AM865">
        <v>346053</v>
      </c>
      <c r="AO865" s="16" t="s">
        <v>110</v>
      </c>
      <c r="AP865" s="17" t="str">
        <f t="shared" si="61"/>
        <v>Nest (foundress)</v>
      </c>
      <c r="AQ865" s="18">
        <v>1</v>
      </c>
      <c r="AT865" s="19" t="s">
        <v>104</v>
      </c>
      <c r="AX865" s="22" t="str">
        <f>IF(AND('[1]observations-276632'!W865&gt;'[1]Methods write-up'!$Q$16,'[1]observations-276632'!W865&lt;'[1]Methods write-up'!$R$16,'[1]observations-276632'!X865&gt;'[1]Methods write-up'!$S$16,'[1]observations-276632'!X865&lt;'[1]Methods write-up'!$T$16),"West and Central Africa","")</f>
        <v/>
      </c>
      <c r="AY865" s="22" t="str">
        <f>IF(AND('[1]observations-276632'!W865&gt;'[1]Methods write-up'!$Q$17,'[1]observations-276632'!W865&lt;'[1]Methods write-up'!$R$17,'[1]observations-276632'!X865&gt;'[1]Methods write-up'!$S$17,'[1]observations-276632'!X865&lt;'[1]Methods write-up'!$T$17),"Equatorial tropical forest","")</f>
        <v/>
      </c>
      <c r="AZ865" s="22" t="str">
        <f>IF(AND('[1]observations-276632'!W865&gt;'[1]Methods write-up'!$Q$18,'[1]observations-276632'!W865&lt;'[1]Methods write-up'!$R$18,'[1]observations-276632'!X865&gt;'[1]Methods write-up'!$S$18,'[1]observations-276632'!X865&lt;'[1]Methods write-up'!$T$18),"Somali peninsula","")</f>
        <v/>
      </c>
      <c r="BA865" s="22" t="str">
        <f>IF(AND('[1]observations-276632'!W865&gt;'[1]Methods write-up'!$Q$19,'[1]observations-276632'!W865&lt;'[1]Methods write-up'!$R$19,'[1]observations-276632'!X865&gt;'[1]Methods write-up'!$S$19,'[1]observations-276632'!X865&lt;'[1]Methods write-up'!$T$19),"East Africa","")</f>
        <v/>
      </c>
      <c r="BB865" s="22" t="str">
        <f>IF(AND('[1]observations-276632'!W865&gt;'[1]Methods write-up'!$Q$20,'[1]observations-276632'!W865&lt;'[1]Methods write-up'!$R$20,'[1]observations-276632'!X865&gt;'[1]Methods write-up'!$S$20,'[1]observations-276632'!X865&lt;'[1]Methods write-up'!$T$20),"Temperate seasonal","")</f>
        <v/>
      </c>
      <c r="BC865" s="22" t="str">
        <f>IF(AND('[1]observations-276632'!W865&gt;'[1]Methods write-up'!$Q$21,'[1]observations-276632'!W865&lt;'[1]Methods write-up'!$R$21,'[1]observations-276632'!X865&gt;'[1]Methods write-up'!$S$21,'[1]observations-276632'!X865&lt;'[1]Methods write-up'!$T$21),"Desert and high aridity","")</f>
        <v/>
      </c>
      <c r="BD865" s="23" t="str">
        <f t="shared" si="60"/>
        <v/>
      </c>
      <c r="BE865" s="24">
        <f t="shared" si="57"/>
        <v>13</v>
      </c>
      <c r="BF865" s="24">
        <f t="shared" si="58"/>
        <v>9</v>
      </c>
    </row>
    <row r="866" spans="1:58" ht="16.25" customHeight="1" x14ac:dyDescent="0.2">
      <c r="A866">
        <v>102456306</v>
      </c>
      <c r="B866" t="s">
        <v>6452</v>
      </c>
      <c r="C866" s="14">
        <v>42045</v>
      </c>
      <c r="D866" t="s">
        <v>6453</v>
      </c>
      <c r="E866" t="s">
        <v>84</v>
      </c>
      <c r="F866">
        <v>5190105</v>
      </c>
      <c r="G866" t="s">
        <v>6454</v>
      </c>
      <c r="H866" t="s">
        <v>6455</v>
      </c>
      <c r="I866" t="s">
        <v>6456</v>
      </c>
      <c r="J866" t="s">
        <v>6457</v>
      </c>
      <c r="K866" t="s">
        <v>62</v>
      </c>
      <c r="M866" t="s">
        <v>6458</v>
      </c>
      <c r="N866" t="s">
        <v>6459</v>
      </c>
      <c r="R866">
        <v>1</v>
      </c>
      <c r="S866">
        <v>0</v>
      </c>
      <c r="T866" t="b">
        <v>0</v>
      </c>
      <c r="V866" t="s">
        <v>6460</v>
      </c>
      <c r="W866" s="15">
        <v>-1.2632471000000001</v>
      </c>
      <c r="X866" s="15">
        <v>36.785148599999999</v>
      </c>
      <c r="Y866">
        <v>52</v>
      </c>
      <c r="AC866">
        <v>52</v>
      </c>
      <c r="AF866" t="b">
        <v>0</v>
      </c>
      <c r="AI866" t="s">
        <v>71</v>
      </c>
      <c r="AJ866" t="s">
        <v>70</v>
      </c>
      <c r="AK866" t="s">
        <v>71</v>
      </c>
      <c r="AL866" t="s">
        <v>72</v>
      </c>
      <c r="AM866">
        <v>346053</v>
      </c>
      <c r="AO866" s="16" t="s">
        <v>442</v>
      </c>
      <c r="AP866" s="17" t="str">
        <f t="shared" si="61"/>
        <v>Dead female</v>
      </c>
      <c r="AX866" s="22" t="str">
        <f>IF(AND('[1]observations-276632'!W866&gt;'[1]Methods write-up'!$Q$16,'[1]observations-276632'!W866&lt;'[1]Methods write-up'!$R$16,'[1]observations-276632'!X866&gt;'[1]Methods write-up'!$S$16,'[1]observations-276632'!X866&lt;'[1]Methods write-up'!$T$16),"West and Central Africa","")</f>
        <v/>
      </c>
      <c r="AY866" s="22" t="str">
        <f>IF(AND('[1]observations-276632'!W866&gt;'[1]Methods write-up'!$Q$17,'[1]observations-276632'!W866&lt;'[1]Methods write-up'!$R$17,'[1]observations-276632'!X866&gt;'[1]Methods write-up'!$S$17,'[1]observations-276632'!X866&lt;'[1]Methods write-up'!$T$17),"Equatorial tropical forest","")</f>
        <v/>
      </c>
      <c r="AZ866" s="22" t="str">
        <f>IF(AND('[1]observations-276632'!W866&gt;'[1]Methods write-up'!$Q$18,'[1]observations-276632'!W866&lt;'[1]Methods write-up'!$R$18,'[1]observations-276632'!X866&gt;'[1]Methods write-up'!$S$18,'[1]observations-276632'!X866&lt;'[1]Methods write-up'!$T$18),"Somali peninsula","")</f>
        <v/>
      </c>
      <c r="BA866" s="22" t="str">
        <f>IF(AND('[1]observations-276632'!W866&gt;'[1]Methods write-up'!$Q$19,'[1]observations-276632'!W866&lt;'[1]Methods write-up'!$R$19,'[1]observations-276632'!X866&gt;'[1]Methods write-up'!$S$19,'[1]observations-276632'!X866&lt;'[1]Methods write-up'!$T$19),"East Africa","")</f>
        <v>East Africa</v>
      </c>
      <c r="BB866" s="22" t="str">
        <f>IF(AND('[1]observations-276632'!W866&gt;'[1]Methods write-up'!$Q$20,'[1]observations-276632'!W866&lt;'[1]Methods write-up'!$R$20,'[1]observations-276632'!X866&gt;'[1]Methods write-up'!$S$20,'[1]observations-276632'!X866&lt;'[1]Methods write-up'!$T$20),"Temperate seasonal","")</f>
        <v/>
      </c>
      <c r="BC866" s="22" t="str">
        <f>IF(AND('[1]observations-276632'!W866&gt;'[1]Methods write-up'!$Q$21,'[1]observations-276632'!W866&lt;'[1]Methods write-up'!$R$21,'[1]observations-276632'!X866&gt;'[1]Methods write-up'!$S$21,'[1]observations-276632'!X866&lt;'[1]Methods write-up'!$T$21),"Desert and high aridity","")</f>
        <v/>
      </c>
      <c r="BD866" s="23" t="str">
        <f t="shared" si="60"/>
        <v>East Africa</v>
      </c>
      <c r="BE866" s="24">
        <f t="shared" si="57"/>
        <v>10</v>
      </c>
      <c r="BF866" s="24">
        <f t="shared" si="58"/>
        <v>2</v>
      </c>
    </row>
    <row r="867" spans="1:58" ht="16.25" customHeight="1" x14ac:dyDescent="0.2">
      <c r="A867">
        <v>102546198</v>
      </c>
      <c r="B867" t="s">
        <v>6461</v>
      </c>
      <c r="C867" s="14">
        <v>44456</v>
      </c>
      <c r="D867" t="s">
        <v>6462</v>
      </c>
      <c r="E867" t="s">
        <v>57</v>
      </c>
      <c r="F867">
        <v>678008</v>
      </c>
      <c r="G867" t="s">
        <v>2315</v>
      </c>
      <c r="I867" t="s">
        <v>6463</v>
      </c>
      <c r="J867" t="s">
        <v>6464</v>
      </c>
      <c r="K867" t="s">
        <v>62</v>
      </c>
      <c r="L867" t="s">
        <v>63</v>
      </c>
      <c r="M867" t="s">
        <v>6465</v>
      </c>
      <c r="N867" t="s">
        <v>6466</v>
      </c>
      <c r="R867">
        <v>2</v>
      </c>
      <c r="S867">
        <v>0</v>
      </c>
      <c r="T867" t="b">
        <v>0</v>
      </c>
      <c r="V867" t="s">
        <v>2320</v>
      </c>
      <c r="W867" s="15">
        <v>-15.36985702</v>
      </c>
      <c r="X867" s="15">
        <v>28.315754519999999</v>
      </c>
      <c r="Y867">
        <v>46</v>
      </c>
      <c r="AC867">
        <v>46</v>
      </c>
      <c r="AF867" t="b">
        <v>0</v>
      </c>
      <c r="AI867" t="s">
        <v>71</v>
      </c>
      <c r="AJ867" t="s">
        <v>70</v>
      </c>
      <c r="AK867" t="s">
        <v>71</v>
      </c>
      <c r="AL867" t="s">
        <v>72</v>
      </c>
      <c r="AM867">
        <v>346053</v>
      </c>
      <c r="AO867" s="16" t="s">
        <v>442</v>
      </c>
      <c r="AP867" s="17" t="str">
        <f t="shared" si="61"/>
        <v>Dead female</v>
      </c>
      <c r="AX867" s="22" t="str">
        <f>IF(AND('[1]observations-276632'!W867&gt;'[1]Methods write-up'!$Q$16,'[1]observations-276632'!W867&lt;'[1]Methods write-up'!$R$16,'[1]observations-276632'!X867&gt;'[1]Methods write-up'!$S$16,'[1]observations-276632'!X867&lt;'[1]Methods write-up'!$T$16),"West and Central Africa","")</f>
        <v>West and Central Africa</v>
      </c>
      <c r="AY867" s="22" t="str">
        <f>IF(AND('[1]observations-276632'!W867&gt;'[1]Methods write-up'!$Q$17,'[1]observations-276632'!W867&lt;'[1]Methods write-up'!$R$17,'[1]observations-276632'!X867&gt;'[1]Methods write-up'!$S$17,'[1]observations-276632'!X867&lt;'[1]Methods write-up'!$T$17),"Equatorial tropical forest","")</f>
        <v/>
      </c>
      <c r="AZ867" s="22" t="str">
        <f>IF(AND('[1]observations-276632'!W867&gt;'[1]Methods write-up'!$Q$18,'[1]observations-276632'!W867&lt;'[1]Methods write-up'!$R$18,'[1]observations-276632'!X867&gt;'[1]Methods write-up'!$S$18,'[1]observations-276632'!X867&lt;'[1]Methods write-up'!$T$18),"Somali peninsula","")</f>
        <v/>
      </c>
      <c r="BA867" s="22" t="str">
        <f>IF(AND('[1]observations-276632'!W867&gt;'[1]Methods write-up'!$Q$19,'[1]observations-276632'!W867&lt;'[1]Methods write-up'!$R$19,'[1]observations-276632'!X867&gt;'[1]Methods write-up'!$S$19,'[1]observations-276632'!X867&lt;'[1]Methods write-up'!$T$19),"East Africa","")</f>
        <v/>
      </c>
      <c r="BB867" s="22" t="str">
        <f>IF(AND('[1]observations-276632'!W867&gt;'[1]Methods write-up'!$Q$20,'[1]observations-276632'!W867&lt;'[1]Methods write-up'!$R$20,'[1]observations-276632'!X867&gt;'[1]Methods write-up'!$S$20,'[1]observations-276632'!X867&lt;'[1]Methods write-up'!$T$20),"Temperate seasonal","")</f>
        <v/>
      </c>
      <c r="BC867" s="22" t="str">
        <f>IF(AND('[1]observations-276632'!W867&gt;'[1]Methods write-up'!$Q$21,'[1]observations-276632'!W867&lt;'[1]Methods write-up'!$R$21,'[1]observations-276632'!X867&gt;'[1]Methods write-up'!$S$21,'[1]observations-276632'!X867&lt;'[1]Methods write-up'!$T$21),"Desert and high aridity","")</f>
        <v/>
      </c>
      <c r="BD867" s="23" t="str">
        <f t="shared" si="60"/>
        <v>West and Central Africa</v>
      </c>
      <c r="BE867" s="24">
        <f t="shared" si="57"/>
        <v>17</v>
      </c>
      <c r="BF867" s="24">
        <f t="shared" si="58"/>
        <v>9</v>
      </c>
    </row>
    <row r="868" spans="1:58" ht="16.25" customHeight="1" x14ac:dyDescent="0.2">
      <c r="A868">
        <v>102549617</v>
      </c>
      <c r="B868" t="s">
        <v>6467</v>
      </c>
      <c r="C868" s="14">
        <v>44535</v>
      </c>
      <c r="D868" t="s">
        <v>6468</v>
      </c>
      <c r="E868" t="s">
        <v>113</v>
      </c>
      <c r="F868">
        <v>1474346</v>
      </c>
      <c r="G868" t="s">
        <v>6469</v>
      </c>
      <c r="H868" t="s">
        <v>6470</v>
      </c>
      <c r="I868" t="s">
        <v>6471</v>
      </c>
      <c r="J868" t="s">
        <v>6472</v>
      </c>
      <c r="K868" t="s">
        <v>62</v>
      </c>
      <c r="L868" t="s">
        <v>63</v>
      </c>
      <c r="M868" t="s">
        <v>6473</v>
      </c>
      <c r="N868" t="s">
        <v>6474</v>
      </c>
      <c r="R868">
        <v>4</v>
      </c>
      <c r="S868">
        <v>0</v>
      </c>
      <c r="T868" t="b">
        <v>0</v>
      </c>
      <c r="U868">
        <v>3</v>
      </c>
      <c r="V868" t="s">
        <v>6475</v>
      </c>
      <c r="W868" s="15">
        <v>-33.98886547</v>
      </c>
      <c r="X868" s="15">
        <v>18.429727620000001</v>
      </c>
      <c r="Y868">
        <v>10</v>
      </c>
      <c r="AC868">
        <v>10</v>
      </c>
      <c r="AF868" t="b">
        <v>0</v>
      </c>
      <c r="AI868" t="s">
        <v>71</v>
      </c>
      <c r="AJ868" t="s">
        <v>70</v>
      </c>
      <c r="AK868" t="s">
        <v>71</v>
      </c>
      <c r="AL868" t="s">
        <v>72</v>
      </c>
      <c r="AM868">
        <v>346053</v>
      </c>
      <c r="AO868" s="16" t="s">
        <v>1356</v>
      </c>
      <c r="AP868" s="17" t="str">
        <f t="shared" si="61"/>
        <v>Nest (foundress)</v>
      </c>
      <c r="AQ868" s="18">
        <v>1</v>
      </c>
      <c r="AT868" s="19" t="s">
        <v>104</v>
      </c>
      <c r="AV868" s="21" t="s">
        <v>6476</v>
      </c>
      <c r="AX868" s="22" t="str">
        <f>IF(AND('[1]observations-276632'!W868&gt;'[1]Methods write-up'!$Q$16,'[1]observations-276632'!W868&lt;'[1]Methods write-up'!$R$16,'[1]observations-276632'!X868&gt;'[1]Methods write-up'!$S$16,'[1]observations-276632'!X868&lt;'[1]Methods write-up'!$T$16),"West and Central Africa","")</f>
        <v/>
      </c>
      <c r="AY868" s="22" t="str">
        <f>IF(AND('[1]observations-276632'!W868&gt;'[1]Methods write-up'!$Q$17,'[1]observations-276632'!W868&lt;'[1]Methods write-up'!$R$17,'[1]observations-276632'!X868&gt;'[1]Methods write-up'!$S$17,'[1]observations-276632'!X868&lt;'[1]Methods write-up'!$T$17),"Equatorial tropical forest","")</f>
        <v/>
      </c>
      <c r="AZ868" s="22" t="str">
        <f>IF(AND('[1]observations-276632'!W868&gt;'[1]Methods write-up'!$Q$18,'[1]observations-276632'!W868&lt;'[1]Methods write-up'!$R$18,'[1]observations-276632'!X868&gt;'[1]Methods write-up'!$S$18,'[1]observations-276632'!X868&lt;'[1]Methods write-up'!$T$18),"Somali peninsula","")</f>
        <v/>
      </c>
      <c r="BA868" s="22" t="str">
        <f>IF(AND('[1]observations-276632'!W868&gt;'[1]Methods write-up'!$Q$19,'[1]observations-276632'!W868&lt;'[1]Methods write-up'!$R$19,'[1]observations-276632'!X868&gt;'[1]Methods write-up'!$S$19,'[1]observations-276632'!X868&lt;'[1]Methods write-up'!$T$19),"East Africa","")</f>
        <v/>
      </c>
      <c r="BB868" s="22" t="str">
        <f>IF(AND('[1]observations-276632'!W868&gt;'[1]Methods write-up'!$Q$20,'[1]observations-276632'!W868&lt;'[1]Methods write-up'!$R$20,'[1]observations-276632'!X868&gt;'[1]Methods write-up'!$S$20,'[1]observations-276632'!X868&lt;'[1]Methods write-up'!$T$20),"Temperate seasonal","")</f>
        <v/>
      </c>
      <c r="BC868" s="22" t="str">
        <f>IF(AND('[1]observations-276632'!W868&gt;'[1]Methods write-up'!$Q$21,'[1]observations-276632'!W868&lt;'[1]Methods write-up'!$R$21,'[1]observations-276632'!X868&gt;'[1]Methods write-up'!$S$21,'[1]observations-276632'!X868&lt;'[1]Methods write-up'!$T$21),"Desert and high aridity","")</f>
        <v/>
      </c>
      <c r="BD868" s="23" t="str">
        <f t="shared" si="60"/>
        <v/>
      </c>
      <c r="BE868" s="24">
        <f t="shared" si="57"/>
        <v>5</v>
      </c>
      <c r="BF868" s="24">
        <f t="shared" si="58"/>
        <v>12</v>
      </c>
    </row>
    <row r="869" spans="1:58" ht="16.25" customHeight="1" x14ac:dyDescent="0.2">
      <c r="A869">
        <v>102619469</v>
      </c>
      <c r="B869" t="s">
        <v>6477</v>
      </c>
      <c r="C869" s="14">
        <v>44535</v>
      </c>
      <c r="D869" t="s">
        <v>6478</v>
      </c>
      <c r="E869" t="s">
        <v>1408</v>
      </c>
      <c r="F869">
        <v>3683633</v>
      </c>
      <c r="G869" t="s">
        <v>4988</v>
      </c>
      <c r="H869" t="s">
        <v>4989</v>
      </c>
      <c r="I869" t="s">
        <v>6479</v>
      </c>
      <c r="J869" t="s">
        <v>6480</v>
      </c>
      <c r="K869" t="s">
        <v>62</v>
      </c>
      <c r="L869" t="s">
        <v>63</v>
      </c>
      <c r="M869" t="s">
        <v>6481</v>
      </c>
      <c r="N869" t="s">
        <v>6482</v>
      </c>
      <c r="R869">
        <v>1</v>
      </c>
      <c r="S869">
        <v>0</v>
      </c>
      <c r="T869" t="b">
        <v>0</v>
      </c>
      <c r="V869" t="s">
        <v>4994</v>
      </c>
      <c r="W869" s="15">
        <v>-20.639586649999998</v>
      </c>
      <c r="X869" s="15">
        <v>32.023894230000003</v>
      </c>
      <c r="Y869">
        <v>8</v>
      </c>
      <c r="AC869">
        <v>8</v>
      </c>
      <c r="AF869" t="b">
        <v>0</v>
      </c>
      <c r="AI869" t="s">
        <v>71</v>
      </c>
      <c r="AJ869" t="s">
        <v>70</v>
      </c>
      <c r="AK869" t="s">
        <v>71</v>
      </c>
      <c r="AL869" t="s">
        <v>72</v>
      </c>
      <c r="AM869">
        <v>346053</v>
      </c>
      <c r="AO869" s="16" t="s">
        <v>73</v>
      </c>
      <c r="AP869" s="17" t="str">
        <f t="shared" si="61"/>
        <v>Off-nest female</v>
      </c>
      <c r="AX869" s="22" t="str">
        <f>IF(AND('[1]observations-276632'!W869&gt;'[1]Methods write-up'!$Q$16,'[1]observations-276632'!W869&lt;'[1]Methods write-up'!$R$16,'[1]observations-276632'!X869&gt;'[1]Methods write-up'!$S$16,'[1]observations-276632'!X869&lt;'[1]Methods write-up'!$T$16),"West and Central Africa","")</f>
        <v/>
      </c>
      <c r="AY869" s="22" t="str">
        <f>IF(AND('[1]observations-276632'!W869&gt;'[1]Methods write-up'!$Q$17,'[1]observations-276632'!W869&lt;'[1]Methods write-up'!$R$17,'[1]observations-276632'!X869&gt;'[1]Methods write-up'!$S$17,'[1]observations-276632'!X869&lt;'[1]Methods write-up'!$T$17),"Equatorial tropical forest","")</f>
        <v/>
      </c>
      <c r="AZ869" s="22" t="str">
        <f>IF(AND('[1]observations-276632'!W869&gt;'[1]Methods write-up'!$Q$18,'[1]observations-276632'!W869&lt;'[1]Methods write-up'!$R$18,'[1]observations-276632'!X869&gt;'[1]Methods write-up'!$S$18,'[1]observations-276632'!X869&lt;'[1]Methods write-up'!$T$18),"Somali peninsula","")</f>
        <v/>
      </c>
      <c r="BA869" s="22" t="str">
        <f>IF(AND('[1]observations-276632'!W869&gt;'[1]Methods write-up'!$Q$19,'[1]observations-276632'!W869&lt;'[1]Methods write-up'!$R$19,'[1]observations-276632'!X869&gt;'[1]Methods write-up'!$S$19,'[1]observations-276632'!X869&lt;'[1]Methods write-up'!$T$19),"East Africa","")</f>
        <v/>
      </c>
      <c r="BB869" s="22" t="str">
        <f>IF(AND('[1]observations-276632'!W869&gt;'[1]Methods write-up'!$Q$20,'[1]observations-276632'!W869&lt;'[1]Methods write-up'!$R$20,'[1]observations-276632'!X869&gt;'[1]Methods write-up'!$S$20,'[1]observations-276632'!X869&lt;'[1]Methods write-up'!$T$20),"Temperate seasonal","")</f>
        <v/>
      </c>
      <c r="BC869" s="22" t="str">
        <f>IF(AND('[1]observations-276632'!W869&gt;'[1]Methods write-up'!$Q$21,'[1]observations-276632'!W869&lt;'[1]Methods write-up'!$R$21,'[1]observations-276632'!X869&gt;'[1]Methods write-up'!$S$21,'[1]observations-276632'!X869&lt;'[1]Methods write-up'!$T$21),"Desert and high aridity","")</f>
        <v/>
      </c>
      <c r="BD869" s="23" t="str">
        <f t="shared" si="60"/>
        <v/>
      </c>
      <c r="BE869" s="24">
        <f t="shared" si="57"/>
        <v>5</v>
      </c>
      <c r="BF869" s="24">
        <f t="shared" si="58"/>
        <v>12</v>
      </c>
    </row>
    <row r="870" spans="1:58" ht="16.25" customHeight="1" x14ac:dyDescent="0.2">
      <c r="A870">
        <v>102696642</v>
      </c>
      <c r="B870" t="s">
        <v>6483</v>
      </c>
      <c r="C870" s="14">
        <v>44537</v>
      </c>
      <c r="D870" t="s">
        <v>6484</v>
      </c>
      <c r="E870" t="s">
        <v>113</v>
      </c>
      <c r="F870">
        <v>662724</v>
      </c>
      <c r="G870" t="s">
        <v>903</v>
      </c>
      <c r="H870" t="s">
        <v>904</v>
      </c>
      <c r="I870" t="s">
        <v>6485</v>
      </c>
      <c r="J870" t="s">
        <v>6486</v>
      </c>
      <c r="K870" t="s">
        <v>62</v>
      </c>
      <c r="L870" t="s">
        <v>63</v>
      </c>
      <c r="M870" t="s">
        <v>6487</v>
      </c>
      <c r="N870" t="s">
        <v>6488</v>
      </c>
      <c r="Q870" t="s">
        <v>6489</v>
      </c>
      <c r="R870">
        <v>3</v>
      </c>
      <c r="S870">
        <v>0</v>
      </c>
      <c r="T870" t="b">
        <v>0</v>
      </c>
      <c r="V870" t="s">
        <v>5879</v>
      </c>
      <c r="W870" s="15">
        <v>-30.688038079999998</v>
      </c>
      <c r="X870" s="15">
        <v>30.488514739999999</v>
      </c>
      <c r="Y870">
        <v>4</v>
      </c>
      <c r="AC870">
        <v>4</v>
      </c>
      <c r="AF870" t="b">
        <v>0</v>
      </c>
      <c r="AI870" t="s">
        <v>71</v>
      </c>
      <c r="AJ870" t="s">
        <v>70</v>
      </c>
      <c r="AK870" t="s">
        <v>71</v>
      </c>
      <c r="AL870" t="s">
        <v>72</v>
      </c>
      <c r="AM870">
        <v>346053</v>
      </c>
      <c r="AO870" s="16" t="s">
        <v>140</v>
      </c>
      <c r="AP870" s="17" t="str">
        <f t="shared" si="61"/>
        <v>Post-emergence nest</v>
      </c>
      <c r="AQ870" s="18">
        <v>4</v>
      </c>
      <c r="AT870" s="19" t="s">
        <v>141</v>
      </c>
      <c r="AU870" s="20" t="s">
        <v>104</v>
      </c>
      <c r="AX870" s="22" t="str">
        <f>IF(AND('[1]observations-276632'!W870&gt;'[1]Methods write-up'!$Q$16,'[1]observations-276632'!W870&lt;'[1]Methods write-up'!$R$16,'[1]observations-276632'!X870&gt;'[1]Methods write-up'!$S$16,'[1]observations-276632'!X870&lt;'[1]Methods write-up'!$T$16),"West and Central Africa","")</f>
        <v/>
      </c>
      <c r="AY870" s="22" t="str">
        <f>IF(AND('[1]observations-276632'!W870&gt;'[1]Methods write-up'!$Q$17,'[1]observations-276632'!W870&lt;'[1]Methods write-up'!$R$17,'[1]observations-276632'!X870&gt;'[1]Methods write-up'!$S$17,'[1]observations-276632'!X870&lt;'[1]Methods write-up'!$T$17),"Equatorial tropical forest","")</f>
        <v/>
      </c>
      <c r="AZ870" s="22" t="str">
        <f>IF(AND('[1]observations-276632'!W870&gt;'[1]Methods write-up'!$Q$18,'[1]observations-276632'!W870&lt;'[1]Methods write-up'!$R$18,'[1]observations-276632'!X870&gt;'[1]Methods write-up'!$S$18,'[1]observations-276632'!X870&lt;'[1]Methods write-up'!$T$18),"Somali peninsula","")</f>
        <v/>
      </c>
      <c r="BA870" s="22" t="str">
        <f>IF(AND('[1]observations-276632'!W870&gt;'[1]Methods write-up'!$Q$19,'[1]observations-276632'!W870&lt;'[1]Methods write-up'!$R$19,'[1]observations-276632'!X870&gt;'[1]Methods write-up'!$S$19,'[1]observations-276632'!X870&lt;'[1]Methods write-up'!$T$19),"East Africa","")</f>
        <v/>
      </c>
      <c r="BB870" s="22" t="str">
        <f>IF(AND('[1]observations-276632'!W870&gt;'[1]Methods write-up'!$Q$20,'[1]observations-276632'!W870&lt;'[1]Methods write-up'!$R$20,'[1]observations-276632'!X870&gt;'[1]Methods write-up'!$S$20,'[1]observations-276632'!X870&lt;'[1]Methods write-up'!$T$20),"Temperate seasonal","")</f>
        <v>Temperate seasonal</v>
      </c>
      <c r="BC870" s="22" t="str">
        <f>IF(AND('[1]observations-276632'!W870&gt;'[1]Methods write-up'!$Q$21,'[1]observations-276632'!W870&lt;'[1]Methods write-up'!$R$21,'[1]observations-276632'!X870&gt;'[1]Methods write-up'!$S$21,'[1]observations-276632'!X870&lt;'[1]Methods write-up'!$T$21),"Desert and high aridity","")</f>
        <v/>
      </c>
      <c r="BD870" s="23" t="str">
        <f t="shared" si="60"/>
        <v>Temperate seasonal</v>
      </c>
      <c r="BE870" s="24">
        <f t="shared" si="57"/>
        <v>7</v>
      </c>
      <c r="BF870" s="24">
        <f t="shared" si="58"/>
        <v>12</v>
      </c>
    </row>
    <row r="871" spans="1:58" ht="16.25" customHeight="1" x14ac:dyDescent="0.2">
      <c r="A871">
        <v>102811096</v>
      </c>
      <c r="B871" t="s">
        <v>6490</v>
      </c>
      <c r="C871" s="14">
        <v>44540</v>
      </c>
      <c r="D871" t="s">
        <v>6491</v>
      </c>
      <c r="E871" t="s">
        <v>6201</v>
      </c>
      <c r="F871">
        <v>2533383</v>
      </c>
      <c r="G871" t="s">
        <v>5298</v>
      </c>
      <c r="I871" t="s">
        <v>6492</v>
      </c>
      <c r="J871" t="s">
        <v>6493</v>
      </c>
      <c r="K871" t="s">
        <v>62</v>
      </c>
      <c r="L871" t="s">
        <v>63</v>
      </c>
      <c r="M871" t="s">
        <v>6494</v>
      </c>
      <c r="N871" t="s">
        <v>6495</v>
      </c>
      <c r="R871">
        <v>4</v>
      </c>
      <c r="S871">
        <v>0</v>
      </c>
      <c r="T871" t="b">
        <v>0</v>
      </c>
      <c r="U871">
        <v>3</v>
      </c>
      <c r="V871" t="s">
        <v>5303</v>
      </c>
      <c r="W871" s="15">
        <v>-25.92971039</v>
      </c>
      <c r="X871" s="15">
        <v>27.537133409999999</v>
      </c>
      <c r="Y871">
        <v>959</v>
      </c>
      <c r="AC871">
        <v>959</v>
      </c>
      <c r="AF871" t="b">
        <v>0</v>
      </c>
      <c r="AI871" t="s">
        <v>71</v>
      </c>
      <c r="AJ871" t="s">
        <v>70</v>
      </c>
      <c r="AK871" t="s">
        <v>71</v>
      </c>
      <c r="AL871" t="s">
        <v>72</v>
      </c>
      <c r="AM871">
        <v>346053</v>
      </c>
      <c r="AO871" s="16" t="s">
        <v>73</v>
      </c>
      <c r="AP871" s="17" t="str">
        <f t="shared" si="61"/>
        <v>Off-nest female</v>
      </c>
      <c r="AX871" s="22" t="str">
        <f>IF(AND('[1]observations-276632'!W871&gt;'[1]Methods write-up'!$Q$16,'[1]observations-276632'!W871&lt;'[1]Methods write-up'!$R$16,'[1]observations-276632'!X871&gt;'[1]Methods write-up'!$S$16,'[1]observations-276632'!X871&lt;'[1]Methods write-up'!$T$16),"West and Central Africa","")</f>
        <v/>
      </c>
      <c r="AY871" s="22" t="str">
        <f>IF(AND('[1]observations-276632'!W871&gt;'[1]Methods write-up'!$Q$17,'[1]observations-276632'!W871&lt;'[1]Methods write-up'!$R$17,'[1]observations-276632'!X871&gt;'[1]Methods write-up'!$S$17,'[1]observations-276632'!X871&lt;'[1]Methods write-up'!$T$17),"Equatorial tropical forest","")</f>
        <v/>
      </c>
      <c r="AZ871" s="22" t="str">
        <f>IF(AND('[1]observations-276632'!W871&gt;'[1]Methods write-up'!$Q$18,'[1]observations-276632'!W871&lt;'[1]Methods write-up'!$R$18,'[1]observations-276632'!X871&gt;'[1]Methods write-up'!$S$18,'[1]observations-276632'!X871&lt;'[1]Methods write-up'!$T$18),"Somali peninsula","")</f>
        <v/>
      </c>
      <c r="BA871" s="22" t="str">
        <f>IF(AND('[1]observations-276632'!W871&gt;'[1]Methods write-up'!$Q$19,'[1]observations-276632'!W871&lt;'[1]Methods write-up'!$R$19,'[1]observations-276632'!X871&gt;'[1]Methods write-up'!$S$19,'[1]observations-276632'!X871&lt;'[1]Methods write-up'!$T$19),"East Africa","")</f>
        <v/>
      </c>
      <c r="BB871" s="22" t="str">
        <f>IF(AND('[1]observations-276632'!W871&gt;'[1]Methods write-up'!$Q$20,'[1]observations-276632'!W871&lt;'[1]Methods write-up'!$R$20,'[1]observations-276632'!X871&gt;'[1]Methods write-up'!$S$20,'[1]observations-276632'!X871&lt;'[1]Methods write-up'!$T$20),"Temperate seasonal","")</f>
        <v>Temperate seasonal</v>
      </c>
      <c r="BC871" s="22" t="str">
        <f>IF(AND('[1]observations-276632'!W871&gt;'[1]Methods write-up'!$Q$21,'[1]observations-276632'!W871&lt;'[1]Methods write-up'!$R$21,'[1]observations-276632'!X871&gt;'[1]Methods write-up'!$S$21,'[1]observations-276632'!X871&lt;'[1]Methods write-up'!$T$21),"Desert and high aridity","")</f>
        <v/>
      </c>
      <c r="BD871" s="23" t="str">
        <f t="shared" si="60"/>
        <v>Temperate seasonal</v>
      </c>
      <c r="BE871" s="24">
        <f t="shared" si="57"/>
        <v>10</v>
      </c>
      <c r="BF871" s="24">
        <f t="shared" si="58"/>
        <v>12</v>
      </c>
    </row>
    <row r="872" spans="1:58" ht="16.25" customHeight="1" x14ac:dyDescent="0.2">
      <c r="A872">
        <v>102860171</v>
      </c>
      <c r="B872" t="s">
        <v>6496</v>
      </c>
      <c r="C872" s="14">
        <v>44535</v>
      </c>
      <c r="D872" t="s">
        <v>6497</v>
      </c>
      <c r="E872" t="s">
        <v>113</v>
      </c>
      <c r="F872">
        <v>659922</v>
      </c>
      <c r="G872" t="s">
        <v>918</v>
      </c>
      <c r="I872" t="s">
        <v>6498</v>
      </c>
      <c r="J872" t="s">
        <v>6499</v>
      </c>
      <c r="K872" t="s">
        <v>62</v>
      </c>
      <c r="L872" t="s">
        <v>63</v>
      </c>
      <c r="M872" t="s">
        <v>6500</v>
      </c>
      <c r="N872" t="s">
        <v>6501</v>
      </c>
      <c r="Q872" s="26" t="s">
        <v>6502</v>
      </c>
      <c r="R872">
        <v>4</v>
      </c>
      <c r="S872">
        <v>0</v>
      </c>
      <c r="T872" t="b">
        <v>0</v>
      </c>
      <c r="V872" t="s">
        <v>6503</v>
      </c>
      <c r="W872" s="15">
        <v>-27.968900000000001</v>
      </c>
      <c r="X872" s="15">
        <v>32.4482</v>
      </c>
      <c r="Y872">
        <v>100</v>
      </c>
      <c r="AC872">
        <v>100</v>
      </c>
      <c r="AF872" t="b">
        <v>0</v>
      </c>
      <c r="AI872" t="s">
        <v>71</v>
      </c>
      <c r="AJ872" t="s">
        <v>70</v>
      </c>
      <c r="AK872" t="s">
        <v>71</v>
      </c>
      <c r="AL872" t="s">
        <v>72</v>
      </c>
      <c r="AM872">
        <v>346053</v>
      </c>
      <c r="AO872" s="16" t="s">
        <v>140</v>
      </c>
      <c r="AP872" s="17" t="str">
        <f t="shared" si="61"/>
        <v>Post-emergence nest</v>
      </c>
      <c r="AQ872" s="18">
        <v>2</v>
      </c>
      <c r="AT872" s="19" t="s">
        <v>141</v>
      </c>
      <c r="AU872" s="20" t="s">
        <v>104</v>
      </c>
      <c r="AX872" s="22" t="str">
        <f>IF(AND('[1]observations-276632'!W872&gt;'[1]Methods write-up'!$Q$16,'[1]observations-276632'!W872&lt;'[1]Methods write-up'!$R$16,'[1]observations-276632'!X872&gt;'[1]Methods write-up'!$S$16,'[1]observations-276632'!X872&lt;'[1]Methods write-up'!$T$16),"West and Central Africa","")</f>
        <v/>
      </c>
      <c r="AY872" s="22" t="str">
        <f>IF(AND('[1]observations-276632'!W872&gt;'[1]Methods write-up'!$Q$17,'[1]observations-276632'!W872&lt;'[1]Methods write-up'!$R$17,'[1]observations-276632'!X872&gt;'[1]Methods write-up'!$S$17,'[1]observations-276632'!X872&lt;'[1]Methods write-up'!$T$17),"Equatorial tropical forest","")</f>
        <v/>
      </c>
      <c r="AZ872" s="22" t="str">
        <f>IF(AND('[1]observations-276632'!W872&gt;'[1]Methods write-up'!$Q$18,'[1]observations-276632'!W872&lt;'[1]Methods write-up'!$R$18,'[1]observations-276632'!X872&gt;'[1]Methods write-up'!$S$18,'[1]observations-276632'!X872&lt;'[1]Methods write-up'!$T$18),"Somali peninsula","")</f>
        <v/>
      </c>
      <c r="BA872" s="22" t="str">
        <f>IF(AND('[1]observations-276632'!W872&gt;'[1]Methods write-up'!$Q$19,'[1]observations-276632'!W872&lt;'[1]Methods write-up'!$R$19,'[1]observations-276632'!X872&gt;'[1]Methods write-up'!$S$19,'[1]observations-276632'!X872&lt;'[1]Methods write-up'!$T$19),"East Africa","")</f>
        <v/>
      </c>
      <c r="BB872" s="22" t="str">
        <f>IF(AND('[1]observations-276632'!W872&gt;'[1]Methods write-up'!$Q$20,'[1]observations-276632'!W872&lt;'[1]Methods write-up'!$R$20,'[1]observations-276632'!X872&gt;'[1]Methods write-up'!$S$20,'[1]observations-276632'!X872&lt;'[1]Methods write-up'!$T$20),"Temperate seasonal","")</f>
        <v>Temperate seasonal</v>
      </c>
      <c r="BC872" s="22" t="str">
        <f>IF(AND('[1]observations-276632'!W872&gt;'[1]Methods write-up'!$Q$21,'[1]observations-276632'!W872&lt;'[1]Methods write-up'!$R$21,'[1]observations-276632'!X872&gt;'[1]Methods write-up'!$S$21,'[1]observations-276632'!X872&lt;'[1]Methods write-up'!$T$21),"Desert and high aridity","")</f>
        <v/>
      </c>
      <c r="BD872" s="23" t="str">
        <f t="shared" si="60"/>
        <v>Temperate seasonal</v>
      </c>
      <c r="BE872" s="24">
        <f t="shared" si="57"/>
        <v>5</v>
      </c>
      <c r="BF872" s="24">
        <f t="shared" si="58"/>
        <v>12</v>
      </c>
    </row>
    <row r="873" spans="1:58" ht="16.25" customHeight="1" x14ac:dyDescent="0.2">
      <c r="A873">
        <v>103058062</v>
      </c>
      <c r="B873" t="s">
        <v>6504</v>
      </c>
      <c r="C873" s="14">
        <v>44464</v>
      </c>
      <c r="D873" t="s">
        <v>6505</v>
      </c>
      <c r="E873" t="s">
        <v>57</v>
      </c>
      <c r="F873">
        <v>678008</v>
      </c>
      <c r="G873" t="s">
        <v>2315</v>
      </c>
      <c r="I873" t="s">
        <v>6506</v>
      </c>
      <c r="J873" t="s">
        <v>6507</v>
      </c>
      <c r="K873" t="s">
        <v>62</v>
      </c>
      <c r="L873" t="s">
        <v>63</v>
      </c>
      <c r="M873" t="s">
        <v>6508</v>
      </c>
      <c r="N873" t="s">
        <v>6509</v>
      </c>
      <c r="R873">
        <v>1</v>
      </c>
      <c r="S873">
        <v>0</v>
      </c>
      <c r="T873" t="b">
        <v>0</v>
      </c>
      <c r="V873" t="s">
        <v>6510</v>
      </c>
      <c r="W873" s="15">
        <v>-15.537877780000001</v>
      </c>
      <c r="X873" s="15">
        <v>28.3351428</v>
      </c>
      <c r="Y873">
        <v>749</v>
      </c>
      <c r="AC873">
        <v>749</v>
      </c>
      <c r="AF873" t="b">
        <v>0</v>
      </c>
      <c r="AI873" t="s">
        <v>71</v>
      </c>
      <c r="AJ873" t="s">
        <v>70</v>
      </c>
      <c r="AK873" t="s">
        <v>71</v>
      </c>
      <c r="AL873" t="s">
        <v>72</v>
      </c>
      <c r="AM873">
        <v>346053</v>
      </c>
      <c r="AO873" s="16" t="s">
        <v>73</v>
      </c>
      <c r="AP873" s="17" t="str">
        <f t="shared" si="61"/>
        <v>Off-nest female</v>
      </c>
      <c r="AX873" s="22" t="str">
        <f>IF(AND('[1]observations-276632'!W873&gt;'[1]Methods write-up'!$Q$16,'[1]observations-276632'!W873&lt;'[1]Methods write-up'!$R$16,'[1]observations-276632'!X873&gt;'[1]Methods write-up'!$S$16,'[1]observations-276632'!X873&lt;'[1]Methods write-up'!$T$16),"West and Central Africa","")</f>
        <v>West and Central Africa</v>
      </c>
      <c r="AY873" s="22" t="str">
        <f>IF(AND('[1]observations-276632'!W873&gt;'[1]Methods write-up'!$Q$17,'[1]observations-276632'!W873&lt;'[1]Methods write-up'!$R$17,'[1]observations-276632'!X873&gt;'[1]Methods write-up'!$S$17,'[1]observations-276632'!X873&lt;'[1]Methods write-up'!$T$17),"Equatorial tropical forest","")</f>
        <v/>
      </c>
      <c r="AZ873" s="22" t="str">
        <f>IF(AND('[1]observations-276632'!W873&gt;'[1]Methods write-up'!$Q$18,'[1]observations-276632'!W873&lt;'[1]Methods write-up'!$R$18,'[1]observations-276632'!X873&gt;'[1]Methods write-up'!$S$18,'[1]observations-276632'!X873&lt;'[1]Methods write-up'!$T$18),"Somali peninsula","")</f>
        <v/>
      </c>
      <c r="BA873" s="22" t="str">
        <f>IF(AND('[1]observations-276632'!W873&gt;'[1]Methods write-up'!$Q$19,'[1]observations-276632'!W873&lt;'[1]Methods write-up'!$R$19,'[1]observations-276632'!X873&gt;'[1]Methods write-up'!$S$19,'[1]observations-276632'!X873&lt;'[1]Methods write-up'!$T$19),"East Africa","")</f>
        <v/>
      </c>
      <c r="BB873" s="22" t="str">
        <f>IF(AND('[1]observations-276632'!W873&gt;'[1]Methods write-up'!$Q$20,'[1]observations-276632'!W873&lt;'[1]Methods write-up'!$R$20,'[1]observations-276632'!X873&gt;'[1]Methods write-up'!$S$20,'[1]observations-276632'!X873&lt;'[1]Methods write-up'!$T$20),"Temperate seasonal","")</f>
        <v/>
      </c>
      <c r="BC873" s="22" t="str">
        <f>IF(AND('[1]observations-276632'!W873&gt;'[1]Methods write-up'!$Q$21,'[1]observations-276632'!W873&lt;'[1]Methods write-up'!$R$21,'[1]observations-276632'!X873&gt;'[1]Methods write-up'!$S$21,'[1]observations-276632'!X873&lt;'[1]Methods write-up'!$T$21),"Desert and high aridity","")</f>
        <v/>
      </c>
      <c r="BD873" s="23" t="str">
        <f t="shared" si="60"/>
        <v>West and Central Africa</v>
      </c>
      <c r="BE873" s="24">
        <f t="shared" si="57"/>
        <v>25</v>
      </c>
      <c r="BF873" s="24">
        <f t="shared" si="58"/>
        <v>9</v>
      </c>
    </row>
    <row r="874" spans="1:58" ht="16.25" customHeight="1" x14ac:dyDescent="0.2">
      <c r="A874">
        <v>103139723</v>
      </c>
      <c r="B874" t="s">
        <v>6511</v>
      </c>
      <c r="C874" s="14">
        <v>44546</v>
      </c>
      <c r="D874" t="s">
        <v>6512</v>
      </c>
      <c r="E874" t="s">
        <v>113</v>
      </c>
      <c r="F874">
        <v>305994</v>
      </c>
      <c r="G874" t="s">
        <v>6513</v>
      </c>
      <c r="H874" t="s">
        <v>6514</v>
      </c>
      <c r="I874" t="s">
        <v>6515</v>
      </c>
      <c r="J874" t="s">
        <v>6516</v>
      </c>
      <c r="K874" t="s">
        <v>62</v>
      </c>
      <c r="L874" t="s">
        <v>98</v>
      </c>
      <c r="M874" t="s">
        <v>6517</v>
      </c>
      <c r="N874" t="s">
        <v>6518</v>
      </c>
      <c r="R874">
        <v>3</v>
      </c>
      <c r="S874">
        <v>0</v>
      </c>
      <c r="T874" t="b">
        <v>0</v>
      </c>
      <c r="U874">
        <v>3</v>
      </c>
      <c r="V874" t="s">
        <v>6519</v>
      </c>
      <c r="W874" s="15">
        <v>-18.801046670000002</v>
      </c>
      <c r="X874" s="15">
        <v>22.652470000000001</v>
      </c>
      <c r="Y874">
        <v>4</v>
      </c>
      <c r="AC874">
        <v>4</v>
      </c>
      <c r="AF874" t="b">
        <v>0</v>
      </c>
      <c r="AI874" t="s">
        <v>71</v>
      </c>
      <c r="AJ874" t="s">
        <v>70</v>
      </c>
      <c r="AK874" t="s">
        <v>71</v>
      </c>
      <c r="AL874" t="s">
        <v>72</v>
      </c>
      <c r="AM874">
        <v>346053</v>
      </c>
      <c r="AO874" s="16" t="s">
        <v>73</v>
      </c>
      <c r="AP874" s="17" t="str">
        <f t="shared" si="61"/>
        <v>Off-nest female</v>
      </c>
      <c r="AV874" s="21" t="s">
        <v>6520</v>
      </c>
      <c r="AX874" s="22" t="str">
        <f>IF(AND('[1]observations-276632'!W874&gt;'[1]Methods write-up'!$Q$16,'[1]observations-276632'!W874&lt;'[1]Methods write-up'!$R$16,'[1]observations-276632'!X874&gt;'[1]Methods write-up'!$S$16,'[1]observations-276632'!X874&lt;'[1]Methods write-up'!$T$16),"West and Central Africa","")</f>
        <v>West and Central Africa</v>
      </c>
      <c r="AY874" s="22" t="str">
        <f>IF(AND('[1]observations-276632'!W874&gt;'[1]Methods write-up'!$Q$17,'[1]observations-276632'!W874&lt;'[1]Methods write-up'!$R$17,'[1]observations-276632'!X874&gt;'[1]Methods write-up'!$S$17,'[1]observations-276632'!X874&lt;'[1]Methods write-up'!$T$17),"Equatorial tropical forest","")</f>
        <v/>
      </c>
      <c r="AZ874" s="22" t="str">
        <f>IF(AND('[1]observations-276632'!W874&gt;'[1]Methods write-up'!$Q$18,'[1]observations-276632'!W874&lt;'[1]Methods write-up'!$R$18,'[1]observations-276632'!X874&gt;'[1]Methods write-up'!$S$18,'[1]observations-276632'!X874&lt;'[1]Methods write-up'!$T$18),"Somali peninsula","")</f>
        <v/>
      </c>
      <c r="BA874" s="22" t="str">
        <f>IF(AND('[1]observations-276632'!W874&gt;'[1]Methods write-up'!$Q$19,'[1]observations-276632'!W874&lt;'[1]Methods write-up'!$R$19,'[1]observations-276632'!X874&gt;'[1]Methods write-up'!$S$19,'[1]observations-276632'!X874&lt;'[1]Methods write-up'!$T$19),"East Africa","")</f>
        <v/>
      </c>
      <c r="BB874" s="22" t="str">
        <f>IF(AND('[1]observations-276632'!W874&gt;'[1]Methods write-up'!$Q$20,'[1]observations-276632'!W874&lt;'[1]Methods write-up'!$R$20,'[1]observations-276632'!X874&gt;'[1]Methods write-up'!$S$20,'[1]observations-276632'!X874&lt;'[1]Methods write-up'!$T$20),"Temperate seasonal","")</f>
        <v/>
      </c>
      <c r="BC874" s="22" t="str">
        <f>IF(AND('[1]observations-276632'!W874&gt;'[1]Methods write-up'!$Q$21,'[1]observations-276632'!W874&lt;'[1]Methods write-up'!$R$21,'[1]observations-276632'!X874&gt;'[1]Methods write-up'!$S$21,'[1]observations-276632'!X874&lt;'[1]Methods write-up'!$T$21),"Desert and high aridity","")</f>
        <v/>
      </c>
      <c r="BD874" s="23" t="str">
        <f t="shared" si="60"/>
        <v>West and Central Africa</v>
      </c>
      <c r="BE874" s="24">
        <f t="shared" si="57"/>
        <v>16</v>
      </c>
      <c r="BF874" s="24">
        <f t="shared" si="58"/>
        <v>12</v>
      </c>
    </row>
    <row r="875" spans="1:58" ht="16.25" customHeight="1" x14ac:dyDescent="0.2">
      <c r="A875">
        <v>103179199</v>
      </c>
      <c r="B875" s="25">
        <v>44504.268055555556</v>
      </c>
      <c r="C875" s="14">
        <v>44504</v>
      </c>
      <c r="D875" t="s">
        <v>6521</v>
      </c>
      <c r="E875" t="s">
        <v>122</v>
      </c>
      <c r="F875">
        <v>273707</v>
      </c>
      <c r="G875" t="s">
        <v>6522</v>
      </c>
      <c r="I875" t="s">
        <v>6523</v>
      </c>
      <c r="J875" t="s">
        <v>6524</v>
      </c>
      <c r="K875" t="s">
        <v>62</v>
      </c>
      <c r="L875" t="s">
        <v>63</v>
      </c>
      <c r="M875" t="s">
        <v>6525</v>
      </c>
      <c r="N875" t="s">
        <v>6526</v>
      </c>
      <c r="P875" t="s">
        <v>6527</v>
      </c>
      <c r="Q875" t="s">
        <v>6528</v>
      </c>
      <c r="R875">
        <v>2</v>
      </c>
      <c r="S875">
        <v>0</v>
      </c>
      <c r="T875" t="b">
        <v>0</v>
      </c>
      <c r="V875" t="s">
        <v>6529</v>
      </c>
      <c r="W875" s="15">
        <v>-4.7446409999999997</v>
      </c>
      <c r="X875" s="15">
        <v>38.284475999999998</v>
      </c>
      <c r="AF875" t="b">
        <v>0</v>
      </c>
      <c r="AH875" t="s">
        <v>149</v>
      </c>
      <c r="AI875" t="s">
        <v>71</v>
      </c>
      <c r="AJ875" t="s">
        <v>70</v>
      </c>
      <c r="AK875" t="s">
        <v>71</v>
      </c>
      <c r="AL875" t="s">
        <v>72</v>
      </c>
      <c r="AM875">
        <v>346053</v>
      </c>
      <c r="AO875" s="16" t="s">
        <v>140</v>
      </c>
      <c r="AP875" s="17" t="str">
        <f t="shared" si="61"/>
        <v>Post-emergence nest</v>
      </c>
      <c r="AQ875" s="18">
        <v>2</v>
      </c>
      <c r="AT875" s="19" t="s">
        <v>141</v>
      </c>
      <c r="AU875" s="20" t="s">
        <v>104</v>
      </c>
      <c r="AX875" s="22" t="str">
        <f>IF(AND('[1]observations-276632'!W875&gt;'[1]Methods write-up'!$Q$16,'[1]observations-276632'!W875&lt;'[1]Methods write-up'!$R$16,'[1]observations-276632'!X875&gt;'[1]Methods write-up'!$S$16,'[1]observations-276632'!X875&lt;'[1]Methods write-up'!$T$16),"West and Central Africa","")</f>
        <v/>
      </c>
      <c r="AY875" s="22" t="str">
        <f>IF(AND('[1]observations-276632'!W875&gt;'[1]Methods write-up'!$Q$17,'[1]observations-276632'!W875&lt;'[1]Methods write-up'!$R$17,'[1]observations-276632'!X875&gt;'[1]Methods write-up'!$S$17,'[1]observations-276632'!X875&lt;'[1]Methods write-up'!$T$17),"Equatorial tropical forest","")</f>
        <v/>
      </c>
      <c r="AZ875" s="22" t="str">
        <f>IF(AND('[1]observations-276632'!W875&gt;'[1]Methods write-up'!$Q$18,'[1]observations-276632'!W875&lt;'[1]Methods write-up'!$R$18,'[1]observations-276632'!X875&gt;'[1]Methods write-up'!$S$18,'[1]observations-276632'!X875&lt;'[1]Methods write-up'!$T$18),"Somali peninsula","")</f>
        <v/>
      </c>
      <c r="BA875" s="22" t="str">
        <f>IF(AND('[1]observations-276632'!W875&gt;'[1]Methods write-up'!$Q$19,'[1]observations-276632'!W875&lt;'[1]Methods write-up'!$R$19,'[1]observations-276632'!X875&gt;'[1]Methods write-up'!$S$19,'[1]observations-276632'!X875&lt;'[1]Methods write-up'!$T$19),"East Africa","")</f>
        <v>East Africa</v>
      </c>
      <c r="BB875" s="22" t="str">
        <f>IF(AND('[1]observations-276632'!W875&gt;'[1]Methods write-up'!$Q$20,'[1]observations-276632'!W875&lt;'[1]Methods write-up'!$R$20,'[1]observations-276632'!X875&gt;'[1]Methods write-up'!$S$20,'[1]observations-276632'!X875&lt;'[1]Methods write-up'!$T$20),"Temperate seasonal","")</f>
        <v/>
      </c>
      <c r="BC875" s="22" t="str">
        <f>IF(AND('[1]observations-276632'!W875&gt;'[1]Methods write-up'!$Q$21,'[1]observations-276632'!W875&lt;'[1]Methods write-up'!$R$21,'[1]observations-276632'!X875&gt;'[1]Methods write-up'!$S$21,'[1]observations-276632'!X875&lt;'[1]Methods write-up'!$T$21),"Desert and high aridity","")</f>
        <v/>
      </c>
      <c r="BD875" s="23" t="str">
        <f t="shared" si="60"/>
        <v>East Africa</v>
      </c>
      <c r="BE875" s="24">
        <f t="shared" si="57"/>
        <v>4</v>
      </c>
      <c r="BF875" s="24">
        <f t="shared" si="58"/>
        <v>11</v>
      </c>
    </row>
    <row r="876" spans="1:58" ht="16.25" customHeight="1" x14ac:dyDescent="0.2">
      <c r="A876">
        <v>103279818</v>
      </c>
      <c r="B876" t="s">
        <v>6530</v>
      </c>
      <c r="C876" s="14">
        <v>44542</v>
      </c>
      <c r="D876" t="s">
        <v>6531</v>
      </c>
      <c r="E876" t="s">
        <v>113</v>
      </c>
      <c r="F876">
        <v>5250414</v>
      </c>
      <c r="G876" t="s">
        <v>6532</v>
      </c>
      <c r="H876" t="s">
        <v>6533</v>
      </c>
      <c r="I876" t="s">
        <v>6534</v>
      </c>
      <c r="J876" t="s">
        <v>6535</v>
      </c>
      <c r="K876" t="s">
        <v>62</v>
      </c>
      <c r="L876" t="s">
        <v>63</v>
      </c>
      <c r="M876" t="s">
        <v>6536</v>
      </c>
      <c r="N876" t="s">
        <v>6537</v>
      </c>
      <c r="R876">
        <v>3</v>
      </c>
      <c r="S876">
        <v>0</v>
      </c>
      <c r="T876" t="b">
        <v>0</v>
      </c>
      <c r="V876" t="s">
        <v>6538</v>
      </c>
      <c r="W876" s="15">
        <v>-25.846473</v>
      </c>
      <c r="X876" s="15">
        <v>27.39140497</v>
      </c>
      <c r="Y876">
        <v>1576</v>
      </c>
      <c r="AC876">
        <v>1576</v>
      </c>
      <c r="AF876" t="b">
        <v>0</v>
      </c>
      <c r="AI876" t="s">
        <v>71</v>
      </c>
      <c r="AJ876" t="s">
        <v>70</v>
      </c>
      <c r="AK876" t="s">
        <v>71</v>
      </c>
      <c r="AL876" t="s">
        <v>72</v>
      </c>
      <c r="AM876">
        <v>346053</v>
      </c>
      <c r="AO876" s="16" t="s">
        <v>73</v>
      </c>
      <c r="AP876" s="17" t="str">
        <f t="shared" si="61"/>
        <v>Off-nest female</v>
      </c>
      <c r="AX876" s="22" t="str">
        <f>IF(AND('[1]observations-276632'!W876&gt;'[1]Methods write-up'!$Q$16,'[1]observations-276632'!W876&lt;'[1]Methods write-up'!$R$16,'[1]observations-276632'!X876&gt;'[1]Methods write-up'!$S$16,'[1]observations-276632'!X876&lt;'[1]Methods write-up'!$T$16),"West and Central Africa","")</f>
        <v/>
      </c>
      <c r="AY876" s="22" t="str">
        <f>IF(AND('[1]observations-276632'!W876&gt;'[1]Methods write-up'!$Q$17,'[1]observations-276632'!W876&lt;'[1]Methods write-up'!$R$17,'[1]observations-276632'!X876&gt;'[1]Methods write-up'!$S$17,'[1]observations-276632'!X876&lt;'[1]Methods write-up'!$T$17),"Equatorial tropical forest","")</f>
        <v/>
      </c>
      <c r="AZ876" s="22" t="str">
        <f>IF(AND('[1]observations-276632'!W876&gt;'[1]Methods write-up'!$Q$18,'[1]observations-276632'!W876&lt;'[1]Methods write-up'!$R$18,'[1]observations-276632'!X876&gt;'[1]Methods write-up'!$S$18,'[1]observations-276632'!X876&lt;'[1]Methods write-up'!$T$18),"Somali peninsula","")</f>
        <v/>
      </c>
      <c r="BA876" s="22" t="str">
        <f>IF(AND('[1]observations-276632'!W876&gt;'[1]Methods write-up'!$Q$19,'[1]observations-276632'!W876&lt;'[1]Methods write-up'!$R$19,'[1]observations-276632'!X876&gt;'[1]Methods write-up'!$S$19,'[1]observations-276632'!X876&lt;'[1]Methods write-up'!$T$19),"East Africa","")</f>
        <v/>
      </c>
      <c r="BB876" s="22" t="str">
        <f>IF(AND('[1]observations-276632'!W876&gt;'[1]Methods write-up'!$Q$20,'[1]observations-276632'!W876&lt;'[1]Methods write-up'!$R$20,'[1]observations-276632'!X876&gt;'[1]Methods write-up'!$S$20,'[1]observations-276632'!X876&lt;'[1]Methods write-up'!$T$20),"Temperate seasonal","")</f>
        <v>Temperate seasonal</v>
      </c>
      <c r="BC876" s="22" t="str">
        <f>IF(AND('[1]observations-276632'!W876&gt;'[1]Methods write-up'!$Q$21,'[1]observations-276632'!W876&lt;'[1]Methods write-up'!$R$21,'[1]observations-276632'!X876&gt;'[1]Methods write-up'!$S$21,'[1]observations-276632'!X876&lt;'[1]Methods write-up'!$T$21),"Desert and high aridity","")</f>
        <v/>
      </c>
      <c r="BD876" s="23" t="str">
        <f t="shared" si="60"/>
        <v>Temperate seasonal</v>
      </c>
      <c r="BE876" s="24">
        <f t="shared" si="57"/>
        <v>12</v>
      </c>
      <c r="BF876" s="24">
        <f t="shared" si="58"/>
        <v>12</v>
      </c>
    </row>
    <row r="877" spans="1:58" ht="16.25" customHeight="1" x14ac:dyDescent="0.2">
      <c r="A877">
        <v>103310548</v>
      </c>
      <c r="B877" t="s">
        <v>6539</v>
      </c>
      <c r="C877" s="14">
        <v>44525</v>
      </c>
      <c r="D877" t="s">
        <v>6540</v>
      </c>
      <c r="E877" t="s">
        <v>113</v>
      </c>
      <c r="F877">
        <v>668270</v>
      </c>
      <c r="G877" t="s">
        <v>6541</v>
      </c>
      <c r="H877" t="s">
        <v>6542</v>
      </c>
      <c r="I877" t="s">
        <v>6543</v>
      </c>
      <c r="J877" t="s">
        <v>6544</v>
      </c>
      <c r="K877" t="s">
        <v>62</v>
      </c>
      <c r="L877" t="s">
        <v>63</v>
      </c>
      <c r="M877" t="s">
        <v>6545</v>
      </c>
      <c r="N877" t="s">
        <v>6546</v>
      </c>
      <c r="P877" t="s">
        <v>6547</v>
      </c>
      <c r="R877">
        <v>3</v>
      </c>
      <c r="S877">
        <v>0</v>
      </c>
      <c r="T877" t="b">
        <v>0</v>
      </c>
      <c r="V877" t="s">
        <v>5654</v>
      </c>
      <c r="W877" s="15">
        <v>-25.572415759999998</v>
      </c>
      <c r="X877" s="15">
        <v>28.574102140000001</v>
      </c>
      <c r="Y877">
        <v>2</v>
      </c>
      <c r="AC877">
        <v>2</v>
      </c>
      <c r="AF877" t="b">
        <v>0</v>
      </c>
      <c r="AI877" t="s">
        <v>71</v>
      </c>
      <c r="AJ877" t="s">
        <v>70</v>
      </c>
      <c r="AK877" t="s">
        <v>71</v>
      </c>
      <c r="AL877" t="s">
        <v>72</v>
      </c>
      <c r="AM877">
        <v>346053</v>
      </c>
      <c r="AO877" s="16" t="s">
        <v>1356</v>
      </c>
      <c r="AP877" s="17" t="str">
        <f t="shared" si="61"/>
        <v>Nest (foundress)</v>
      </c>
      <c r="AQ877" s="18">
        <v>1</v>
      </c>
      <c r="AT877" s="19" t="s">
        <v>104</v>
      </c>
      <c r="AX877" s="22" t="str">
        <f>IF(AND('[1]observations-276632'!W877&gt;'[1]Methods write-up'!$Q$16,'[1]observations-276632'!W877&lt;'[1]Methods write-up'!$R$16,'[1]observations-276632'!X877&gt;'[1]Methods write-up'!$S$16,'[1]observations-276632'!X877&lt;'[1]Methods write-up'!$T$16),"West and Central Africa","")</f>
        <v/>
      </c>
      <c r="AY877" s="22" t="str">
        <f>IF(AND('[1]observations-276632'!W877&gt;'[1]Methods write-up'!$Q$17,'[1]observations-276632'!W877&lt;'[1]Methods write-up'!$R$17,'[1]observations-276632'!X877&gt;'[1]Methods write-up'!$S$17,'[1]observations-276632'!X877&lt;'[1]Methods write-up'!$T$17),"Equatorial tropical forest","")</f>
        <v/>
      </c>
      <c r="AZ877" s="22" t="str">
        <f>IF(AND('[1]observations-276632'!W877&gt;'[1]Methods write-up'!$Q$18,'[1]observations-276632'!W877&lt;'[1]Methods write-up'!$R$18,'[1]observations-276632'!X877&gt;'[1]Methods write-up'!$S$18,'[1]observations-276632'!X877&lt;'[1]Methods write-up'!$T$18),"Somali peninsula","")</f>
        <v/>
      </c>
      <c r="BA877" s="22" t="str">
        <f>IF(AND('[1]observations-276632'!W877&gt;'[1]Methods write-up'!$Q$19,'[1]observations-276632'!W877&lt;'[1]Methods write-up'!$R$19,'[1]observations-276632'!X877&gt;'[1]Methods write-up'!$S$19,'[1]observations-276632'!X877&lt;'[1]Methods write-up'!$T$19),"East Africa","")</f>
        <v/>
      </c>
      <c r="BB877" s="22" t="str">
        <f>IF(AND('[1]observations-276632'!W877&gt;'[1]Methods write-up'!$Q$20,'[1]observations-276632'!W877&lt;'[1]Methods write-up'!$R$20,'[1]observations-276632'!X877&gt;'[1]Methods write-up'!$S$20,'[1]observations-276632'!X877&lt;'[1]Methods write-up'!$T$20),"Temperate seasonal","")</f>
        <v>Temperate seasonal</v>
      </c>
      <c r="BC877" s="22" t="str">
        <f>IF(AND('[1]observations-276632'!W877&gt;'[1]Methods write-up'!$Q$21,'[1]observations-276632'!W877&lt;'[1]Methods write-up'!$R$21,'[1]observations-276632'!X877&gt;'[1]Methods write-up'!$S$21,'[1]observations-276632'!X877&lt;'[1]Methods write-up'!$T$21),"Desert and high aridity","")</f>
        <v/>
      </c>
      <c r="BD877" s="23" t="str">
        <f t="shared" si="60"/>
        <v>Temperate seasonal</v>
      </c>
      <c r="BE877" s="24">
        <f t="shared" si="57"/>
        <v>25</v>
      </c>
      <c r="BF877" s="24">
        <f t="shared" si="58"/>
        <v>11</v>
      </c>
    </row>
    <row r="878" spans="1:58" ht="16.25" customHeight="1" x14ac:dyDescent="0.2">
      <c r="A878">
        <v>103322997</v>
      </c>
      <c r="B878" t="s">
        <v>6548</v>
      </c>
      <c r="C878" s="14">
        <v>44519</v>
      </c>
      <c r="D878" t="s">
        <v>6549</v>
      </c>
      <c r="E878" t="s">
        <v>113</v>
      </c>
      <c r="F878">
        <v>668270</v>
      </c>
      <c r="G878" t="s">
        <v>6541</v>
      </c>
      <c r="H878" t="s">
        <v>6542</v>
      </c>
      <c r="I878" t="s">
        <v>6550</v>
      </c>
      <c r="J878" t="s">
        <v>6551</v>
      </c>
      <c r="K878" t="s">
        <v>62</v>
      </c>
      <c r="L878" t="s">
        <v>63</v>
      </c>
      <c r="M878" t="s">
        <v>6552</v>
      </c>
      <c r="N878" t="s">
        <v>6553</v>
      </c>
      <c r="P878" t="s">
        <v>6554</v>
      </c>
      <c r="R878">
        <v>3</v>
      </c>
      <c r="S878">
        <v>0</v>
      </c>
      <c r="T878" t="b">
        <v>0</v>
      </c>
      <c r="V878" t="s">
        <v>3237</v>
      </c>
      <c r="W878" s="15">
        <v>-25.732863559999998</v>
      </c>
      <c r="X878" s="15">
        <v>28.023298449999999</v>
      </c>
      <c r="Y878">
        <v>2</v>
      </c>
      <c r="AC878">
        <v>2</v>
      </c>
      <c r="AF878" t="b">
        <v>0</v>
      </c>
      <c r="AI878" t="s">
        <v>71</v>
      </c>
      <c r="AJ878" t="s">
        <v>70</v>
      </c>
      <c r="AK878" t="s">
        <v>71</v>
      </c>
      <c r="AL878" t="s">
        <v>72</v>
      </c>
      <c r="AM878">
        <v>346053</v>
      </c>
      <c r="AO878" s="16" t="s">
        <v>73</v>
      </c>
      <c r="AP878" s="17" t="str">
        <f t="shared" si="61"/>
        <v>Off-nest female</v>
      </c>
      <c r="AX878" s="22" t="str">
        <f>IF(AND('[1]observations-276632'!W878&gt;'[1]Methods write-up'!$Q$16,'[1]observations-276632'!W878&lt;'[1]Methods write-up'!$R$16,'[1]observations-276632'!X878&gt;'[1]Methods write-up'!$S$16,'[1]observations-276632'!X878&lt;'[1]Methods write-up'!$T$16),"West and Central Africa","")</f>
        <v/>
      </c>
      <c r="AY878" s="22" t="str">
        <f>IF(AND('[1]observations-276632'!W878&gt;'[1]Methods write-up'!$Q$17,'[1]observations-276632'!W878&lt;'[1]Methods write-up'!$R$17,'[1]observations-276632'!X878&gt;'[1]Methods write-up'!$S$17,'[1]observations-276632'!X878&lt;'[1]Methods write-up'!$T$17),"Equatorial tropical forest","")</f>
        <v/>
      </c>
      <c r="AZ878" s="22" t="str">
        <f>IF(AND('[1]observations-276632'!W878&gt;'[1]Methods write-up'!$Q$18,'[1]observations-276632'!W878&lt;'[1]Methods write-up'!$R$18,'[1]observations-276632'!X878&gt;'[1]Methods write-up'!$S$18,'[1]observations-276632'!X878&lt;'[1]Methods write-up'!$T$18),"Somali peninsula","")</f>
        <v/>
      </c>
      <c r="BA878" s="22" t="str">
        <f>IF(AND('[1]observations-276632'!W878&gt;'[1]Methods write-up'!$Q$19,'[1]observations-276632'!W878&lt;'[1]Methods write-up'!$R$19,'[1]observations-276632'!X878&gt;'[1]Methods write-up'!$S$19,'[1]observations-276632'!X878&lt;'[1]Methods write-up'!$T$19),"East Africa","")</f>
        <v/>
      </c>
      <c r="BB878" s="22" t="str">
        <f>IF(AND('[1]observations-276632'!W878&gt;'[1]Methods write-up'!$Q$20,'[1]observations-276632'!W878&lt;'[1]Methods write-up'!$R$20,'[1]observations-276632'!X878&gt;'[1]Methods write-up'!$S$20,'[1]observations-276632'!X878&lt;'[1]Methods write-up'!$T$20),"Temperate seasonal","")</f>
        <v>Temperate seasonal</v>
      </c>
      <c r="BC878" s="22" t="str">
        <f>IF(AND('[1]observations-276632'!W878&gt;'[1]Methods write-up'!$Q$21,'[1]observations-276632'!W878&lt;'[1]Methods write-up'!$R$21,'[1]observations-276632'!X878&gt;'[1]Methods write-up'!$S$21,'[1]observations-276632'!X878&lt;'[1]Methods write-up'!$T$21),"Desert and high aridity","")</f>
        <v/>
      </c>
      <c r="BD878" s="23" t="str">
        <f t="shared" si="60"/>
        <v>Temperate seasonal</v>
      </c>
      <c r="BE878" s="24">
        <f t="shared" si="57"/>
        <v>19</v>
      </c>
      <c r="BF878" s="24">
        <f t="shared" si="58"/>
        <v>11</v>
      </c>
    </row>
    <row r="879" spans="1:58" ht="16.25" customHeight="1" x14ac:dyDescent="0.2">
      <c r="A879">
        <v>103407216</v>
      </c>
      <c r="B879" t="s">
        <v>6555</v>
      </c>
      <c r="C879" s="14">
        <v>44534</v>
      </c>
      <c r="D879" t="s">
        <v>6556</v>
      </c>
      <c r="E879" t="s">
        <v>193</v>
      </c>
      <c r="F879">
        <v>3550339</v>
      </c>
      <c r="G879" t="s">
        <v>4733</v>
      </c>
      <c r="H879" t="s">
        <v>4734</v>
      </c>
      <c r="I879" t="s">
        <v>6557</v>
      </c>
      <c r="J879" t="s">
        <v>6558</v>
      </c>
      <c r="K879" t="s">
        <v>62</v>
      </c>
      <c r="L879" t="s">
        <v>373</v>
      </c>
      <c r="M879" t="s">
        <v>6559</v>
      </c>
      <c r="N879" t="s">
        <v>6560</v>
      </c>
      <c r="R879">
        <v>1</v>
      </c>
      <c r="S879">
        <v>0</v>
      </c>
      <c r="T879" t="b">
        <v>0</v>
      </c>
      <c r="U879">
        <v>3</v>
      </c>
      <c r="V879" t="s">
        <v>6561</v>
      </c>
      <c r="W879" s="15">
        <v>6.852145481</v>
      </c>
      <c r="X879" s="15">
        <v>0.41906454799999998</v>
      </c>
      <c r="Y879">
        <v>163</v>
      </c>
      <c r="AC879">
        <v>163</v>
      </c>
      <c r="AF879" t="b">
        <v>0</v>
      </c>
      <c r="AI879" t="s">
        <v>71</v>
      </c>
      <c r="AJ879" t="s">
        <v>70</v>
      </c>
      <c r="AK879" t="s">
        <v>71</v>
      </c>
      <c r="AL879" t="s">
        <v>72</v>
      </c>
      <c r="AM879">
        <v>346053</v>
      </c>
      <c r="AO879" s="16" t="s">
        <v>73</v>
      </c>
      <c r="AP879" s="17" t="str">
        <f t="shared" si="61"/>
        <v>Off-nest female</v>
      </c>
      <c r="AX879" s="22" t="str">
        <f>IF(AND('[1]observations-276632'!W879&gt;'[1]Methods write-up'!$Q$16,'[1]observations-276632'!W879&lt;'[1]Methods write-up'!$R$16,'[1]observations-276632'!X879&gt;'[1]Methods write-up'!$S$16,'[1]observations-276632'!X879&lt;'[1]Methods write-up'!$T$16),"West and Central Africa","")</f>
        <v>West and Central Africa</v>
      </c>
      <c r="AY879" s="22" t="str">
        <f>IF(AND('[1]observations-276632'!W879&gt;'[1]Methods write-up'!$Q$17,'[1]observations-276632'!W879&lt;'[1]Methods write-up'!$R$17,'[1]observations-276632'!X879&gt;'[1]Methods write-up'!$S$17,'[1]observations-276632'!X879&lt;'[1]Methods write-up'!$T$17),"Equatorial tropical forest","")</f>
        <v/>
      </c>
      <c r="AZ879" s="22" t="str">
        <f>IF(AND('[1]observations-276632'!W879&gt;'[1]Methods write-up'!$Q$18,'[1]observations-276632'!W879&lt;'[1]Methods write-up'!$R$18,'[1]observations-276632'!X879&gt;'[1]Methods write-up'!$S$18,'[1]observations-276632'!X879&lt;'[1]Methods write-up'!$T$18),"Somali peninsula","")</f>
        <v/>
      </c>
      <c r="BA879" s="22" t="str">
        <f>IF(AND('[1]observations-276632'!W879&gt;'[1]Methods write-up'!$Q$19,'[1]observations-276632'!W879&lt;'[1]Methods write-up'!$R$19,'[1]observations-276632'!X879&gt;'[1]Methods write-up'!$S$19,'[1]observations-276632'!X879&lt;'[1]Methods write-up'!$T$19),"East Africa","")</f>
        <v/>
      </c>
      <c r="BB879" s="22" t="str">
        <f>IF(AND('[1]observations-276632'!W879&gt;'[1]Methods write-up'!$Q$20,'[1]observations-276632'!W879&lt;'[1]Methods write-up'!$R$20,'[1]observations-276632'!X879&gt;'[1]Methods write-up'!$S$20,'[1]observations-276632'!X879&lt;'[1]Methods write-up'!$T$20),"Temperate seasonal","")</f>
        <v/>
      </c>
      <c r="BC879" s="22" t="str">
        <f>IF(AND('[1]observations-276632'!W879&gt;'[1]Methods write-up'!$Q$21,'[1]observations-276632'!W879&lt;'[1]Methods write-up'!$R$21,'[1]observations-276632'!X879&gt;'[1]Methods write-up'!$S$21,'[1]observations-276632'!X879&lt;'[1]Methods write-up'!$T$21),"Desert and high aridity","")</f>
        <v/>
      </c>
      <c r="BD879" s="23" t="str">
        <f t="shared" si="60"/>
        <v>West and Central Africa</v>
      </c>
      <c r="BE879" s="24">
        <f t="shared" si="57"/>
        <v>4</v>
      </c>
      <c r="BF879" s="24">
        <f t="shared" si="58"/>
        <v>12</v>
      </c>
    </row>
    <row r="880" spans="1:58" ht="16.25" customHeight="1" x14ac:dyDescent="0.2">
      <c r="A880">
        <v>103443415</v>
      </c>
      <c r="B880" t="s">
        <v>6562</v>
      </c>
      <c r="C880" s="14">
        <v>44255</v>
      </c>
      <c r="D880" t="s">
        <v>6563</v>
      </c>
      <c r="E880" t="s">
        <v>113</v>
      </c>
      <c r="F880">
        <v>5250414</v>
      </c>
      <c r="G880" t="s">
        <v>6532</v>
      </c>
      <c r="H880" t="s">
        <v>6533</v>
      </c>
      <c r="I880" t="s">
        <v>6564</v>
      </c>
      <c r="J880" t="s">
        <v>6565</v>
      </c>
      <c r="K880" t="s">
        <v>62</v>
      </c>
      <c r="L880" t="s">
        <v>63</v>
      </c>
      <c r="M880" t="s">
        <v>6566</v>
      </c>
      <c r="N880" t="s">
        <v>6567</v>
      </c>
      <c r="R880">
        <v>4</v>
      </c>
      <c r="S880">
        <v>0</v>
      </c>
      <c r="T880" t="b">
        <v>0</v>
      </c>
      <c r="V880" t="s">
        <v>6568</v>
      </c>
      <c r="W880" s="15">
        <v>-25.161080590000001</v>
      </c>
      <c r="X880" s="15">
        <v>27.787454499999999</v>
      </c>
      <c r="Y880">
        <v>6661</v>
      </c>
      <c r="AC880">
        <v>6661</v>
      </c>
      <c r="AF880" t="b">
        <v>0</v>
      </c>
      <c r="AI880" t="s">
        <v>71</v>
      </c>
      <c r="AJ880" t="s">
        <v>70</v>
      </c>
      <c r="AK880" t="s">
        <v>71</v>
      </c>
      <c r="AL880" t="s">
        <v>72</v>
      </c>
      <c r="AM880">
        <v>346053</v>
      </c>
      <c r="AO880" s="16" t="s">
        <v>73</v>
      </c>
      <c r="AP880" s="17" t="str">
        <f t="shared" si="61"/>
        <v>Off-nest female</v>
      </c>
      <c r="AX880" s="22" t="str">
        <f>IF(AND('[1]observations-276632'!W880&gt;'[1]Methods write-up'!$Q$16,'[1]observations-276632'!W880&lt;'[1]Methods write-up'!$R$16,'[1]observations-276632'!X880&gt;'[1]Methods write-up'!$S$16,'[1]observations-276632'!X880&lt;'[1]Methods write-up'!$T$16),"West and Central Africa","")</f>
        <v/>
      </c>
      <c r="AY880" s="22" t="str">
        <f>IF(AND('[1]observations-276632'!W880&gt;'[1]Methods write-up'!$Q$17,'[1]observations-276632'!W880&lt;'[1]Methods write-up'!$R$17,'[1]observations-276632'!X880&gt;'[1]Methods write-up'!$S$17,'[1]observations-276632'!X880&lt;'[1]Methods write-up'!$T$17),"Equatorial tropical forest","")</f>
        <v/>
      </c>
      <c r="AZ880" s="22" t="str">
        <f>IF(AND('[1]observations-276632'!W880&gt;'[1]Methods write-up'!$Q$18,'[1]observations-276632'!W880&lt;'[1]Methods write-up'!$R$18,'[1]observations-276632'!X880&gt;'[1]Methods write-up'!$S$18,'[1]observations-276632'!X880&lt;'[1]Methods write-up'!$T$18),"Somali peninsula","")</f>
        <v/>
      </c>
      <c r="BA880" s="22" t="str">
        <f>IF(AND('[1]observations-276632'!W880&gt;'[1]Methods write-up'!$Q$19,'[1]observations-276632'!W880&lt;'[1]Methods write-up'!$R$19,'[1]observations-276632'!X880&gt;'[1]Methods write-up'!$S$19,'[1]observations-276632'!X880&lt;'[1]Methods write-up'!$T$19),"East Africa","")</f>
        <v/>
      </c>
      <c r="BB880" s="22" t="str">
        <f>IF(AND('[1]observations-276632'!W880&gt;'[1]Methods write-up'!$Q$20,'[1]observations-276632'!W880&lt;'[1]Methods write-up'!$R$20,'[1]observations-276632'!X880&gt;'[1]Methods write-up'!$S$20,'[1]observations-276632'!X880&lt;'[1]Methods write-up'!$T$20),"Temperate seasonal","")</f>
        <v>Temperate seasonal</v>
      </c>
      <c r="BC880" s="22" t="str">
        <f>IF(AND('[1]observations-276632'!W880&gt;'[1]Methods write-up'!$Q$21,'[1]observations-276632'!W880&lt;'[1]Methods write-up'!$R$21,'[1]observations-276632'!X880&gt;'[1]Methods write-up'!$S$21,'[1]observations-276632'!X880&lt;'[1]Methods write-up'!$T$21),"Desert and high aridity","")</f>
        <v/>
      </c>
      <c r="BD880" s="23" t="str">
        <f t="shared" si="60"/>
        <v>Temperate seasonal</v>
      </c>
      <c r="BE880" s="24">
        <f t="shared" si="57"/>
        <v>28</v>
      </c>
      <c r="BF880" s="24">
        <f t="shared" si="58"/>
        <v>2</v>
      </c>
    </row>
    <row r="881" spans="1:58" ht="16.25" customHeight="1" x14ac:dyDescent="0.2">
      <c r="A881">
        <v>103476781</v>
      </c>
      <c r="B881" t="s">
        <v>6569</v>
      </c>
      <c r="C881" s="14">
        <v>44535</v>
      </c>
      <c r="D881" t="s">
        <v>6570</v>
      </c>
      <c r="E881" t="s">
        <v>193</v>
      </c>
      <c r="F881">
        <v>3550339</v>
      </c>
      <c r="G881" t="s">
        <v>4733</v>
      </c>
      <c r="H881" t="s">
        <v>4734</v>
      </c>
      <c r="I881" t="s">
        <v>6571</v>
      </c>
      <c r="J881" t="s">
        <v>6572</v>
      </c>
      <c r="K881" t="s">
        <v>62</v>
      </c>
      <c r="L881" t="s">
        <v>373</v>
      </c>
      <c r="M881" t="s">
        <v>6573</v>
      </c>
      <c r="N881" t="s">
        <v>6574</v>
      </c>
      <c r="R881">
        <v>2</v>
      </c>
      <c r="S881">
        <v>0</v>
      </c>
      <c r="T881" t="b">
        <v>0</v>
      </c>
      <c r="U881">
        <v>3</v>
      </c>
      <c r="V881" t="s">
        <v>6575</v>
      </c>
      <c r="W881" s="15">
        <v>6.8508810750000002</v>
      </c>
      <c r="X881" s="15">
        <v>0.42009697000000001</v>
      </c>
      <c r="Y881">
        <v>56</v>
      </c>
      <c r="AC881">
        <v>56</v>
      </c>
      <c r="AF881" t="b">
        <v>0</v>
      </c>
      <c r="AI881" t="s">
        <v>71</v>
      </c>
      <c r="AJ881" t="s">
        <v>70</v>
      </c>
      <c r="AK881" t="s">
        <v>71</v>
      </c>
      <c r="AL881" t="s">
        <v>72</v>
      </c>
      <c r="AM881">
        <v>346053</v>
      </c>
      <c r="AO881" s="16" t="s">
        <v>73</v>
      </c>
      <c r="AP881" s="17" t="str">
        <f t="shared" si="61"/>
        <v>Off-nest female</v>
      </c>
      <c r="AX881" s="22" t="str">
        <f>IF(AND('[1]observations-276632'!W881&gt;'[1]Methods write-up'!$Q$16,'[1]observations-276632'!W881&lt;'[1]Methods write-up'!$R$16,'[1]observations-276632'!X881&gt;'[1]Methods write-up'!$S$16,'[1]observations-276632'!X881&lt;'[1]Methods write-up'!$T$16),"West and Central Africa","")</f>
        <v>West and Central Africa</v>
      </c>
      <c r="AY881" s="22" t="str">
        <f>IF(AND('[1]observations-276632'!W881&gt;'[1]Methods write-up'!$Q$17,'[1]observations-276632'!W881&lt;'[1]Methods write-up'!$R$17,'[1]observations-276632'!X881&gt;'[1]Methods write-up'!$S$17,'[1]observations-276632'!X881&lt;'[1]Methods write-up'!$T$17),"Equatorial tropical forest","")</f>
        <v/>
      </c>
      <c r="AZ881" s="22" t="str">
        <f>IF(AND('[1]observations-276632'!W881&gt;'[1]Methods write-up'!$Q$18,'[1]observations-276632'!W881&lt;'[1]Methods write-up'!$R$18,'[1]observations-276632'!X881&gt;'[1]Methods write-up'!$S$18,'[1]observations-276632'!X881&lt;'[1]Methods write-up'!$T$18),"Somali peninsula","")</f>
        <v/>
      </c>
      <c r="BA881" s="22" t="str">
        <f>IF(AND('[1]observations-276632'!W881&gt;'[1]Methods write-up'!$Q$19,'[1]observations-276632'!W881&lt;'[1]Methods write-up'!$R$19,'[1]observations-276632'!X881&gt;'[1]Methods write-up'!$S$19,'[1]observations-276632'!X881&lt;'[1]Methods write-up'!$T$19),"East Africa","")</f>
        <v/>
      </c>
      <c r="BB881" s="22" t="str">
        <f>IF(AND('[1]observations-276632'!W881&gt;'[1]Methods write-up'!$Q$20,'[1]observations-276632'!W881&lt;'[1]Methods write-up'!$R$20,'[1]observations-276632'!X881&gt;'[1]Methods write-up'!$S$20,'[1]observations-276632'!X881&lt;'[1]Methods write-up'!$T$20),"Temperate seasonal","")</f>
        <v/>
      </c>
      <c r="BC881" s="22" t="str">
        <f>IF(AND('[1]observations-276632'!W881&gt;'[1]Methods write-up'!$Q$21,'[1]observations-276632'!W881&lt;'[1]Methods write-up'!$R$21,'[1]observations-276632'!X881&gt;'[1]Methods write-up'!$S$21,'[1]observations-276632'!X881&lt;'[1]Methods write-up'!$T$21),"Desert and high aridity","")</f>
        <v/>
      </c>
      <c r="BD881" s="23" t="str">
        <f t="shared" si="60"/>
        <v>West and Central Africa</v>
      </c>
      <c r="BE881" s="24">
        <f t="shared" si="57"/>
        <v>5</v>
      </c>
      <c r="BF881" s="24">
        <f t="shared" si="58"/>
        <v>12</v>
      </c>
    </row>
    <row r="882" spans="1:58" ht="16.25" customHeight="1" x14ac:dyDescent="0.2">
      <c r="A882">
        <v>103625944</v>
      </c>
      <c r="B882" s="25">
        <v>44555.490277777775</v>
      </c>
      <c r="C882" s="14">
        <v>44555</v>
      </c>
      <c r="D882" t="s">
        <v>6576</v>
      </c>
      <c r="E882" t="s">
        <v>113</v>
      </c>
      <c r="F882">
        <v>3134218</v>
      </c>
      <c r="G882" t="s">
        <v>5290</v>
      </c>
      <c r="H882" t="s">
        <v>5291</v>
      </c>
      <c r="I882" t="s">
        <v>6577</v>
      </c>
      <c r="J882" t="s">
        <v>6578</v>
      </c>
      <c r="K882" t="s">
        <v>62</v>
      </c>
      <c r="L882" t="s">
        <v>261</v>
      </c>
      <c r="M882" t="s">
        <v>6579</v>
      </c>
      <c r="N882" t="s">
        <v>6580</v>
      </c>
      <c r="R882">
        <v>3</v>
      </c>
      <c r="S882">
        <v>0</v>
      </c>
      <c r="T882" t="b">
        <v>0</v>
      </c>
      <c r="U882">
        <v>2</v>
      </c>
      <c r="V882" t="s">
        <v>4493</v>
      </c>
      <c r="W882" s="15">
        <v>-24.31845856</v>
      </c>
      <c r="X882" s="15">
        <v>30.759256359999998</v>
      </c>
      <c r="AF882" t="b">
        <v>0</v>
      </c>
      <c r="AG882" t="s">
        <v>350</v>
      </c>
      <c r="AH882" t="s">
        <v>350</v>
      </c>
      <c r="AI882" t="s">
        <v>71</v>
      </c>
      <c r="AJ882" t="s">
        <v>70</v>
      </c>
      <c r="AK882" t="s">
        <v>71</v>
      </c>
      <c r="AL882" t="s">
        <v>72</v>
      </c>
      <c r="AM882">
        <v>346053</v>
      </c>
      <c r="AO882" s="16" t="s">
        <v>1574</v>
      </c>
      <c r="AP882" s="17" t="str">
        <f t="shared" si="61"/>
        <v>Nest (foundress)</v>
      </c>
      <c r="AQ882" s="18">
        <v>4</v>
      </c>
      <c r="AT882" s="19" t="s">
        <v>141</v>
      </c>
      <c r="AX882" s="22" t="str">
        <f>IF(AND('[1]observations-276632'!W882&gt;'[1]Methods write-up'!$Q$16,'[1]observations-276632'!W882&lt;'[1]Methods write-up'!$R$16,'[1]observations-276632'!X882&gt;'[1]Methods write-up'!$S$16,'[1]observations-276632'!X882&lt;'[1]Methods write-up'!$T$16),"West and Central Africa","")</f>
        <v/>
      </c>
      <c r="AY882" s="22" t="str">
        <f>IF(AND('[1]observations-276632'!W882&gt;'[1]Methods write-up'!$Q$17,'[1]observations-276632'!W882&lt;'[1]Methods write-up'!$R$17,'[1]observations-276632'!X882&gt;'[1]Methods write-up'!$S$17,'[1]observations-276632'!X882&lt;'[1]Methods write-up'!$T$17),"Equatorial tropical forest","")</f>
        <v/>
      </c>
      <c r="AZ882" s="22" t="str">
        <f>IF(AND('[1]observations-276632'!W882&gt;'[1]Methods write-up'!$Q$18,'[1]observations-276632'!W882&lt;'[1]Methods write-up'!$R$18,'[1]observations-276632'!X882&gt;'[1]Methods write-up'!$S$18,'[1]observations-276632'!X882&lt;'[1]Methods write-up'!$T$18),"Somali peninsula","")</f>
        <v/>
      </c>
      <c r="BA882" s="22" t="str">
        <f>IF(AND('[1]observations-276632'!W882&gt;'[1]Methods write-up'!$Q$19,'[1]observations-276632'!W882&lt;'[1]Methods write-up'!$R$19,'[1]observations-276632'!X882&gt;'[1]Methods write-up'!$S$19,'[1]observations-276632'!X882&lt;'[1]Methods write-up'!$T$19),"East Africa","")</f>
        <v/>
      </c>
      <c r="BB882" s="22" t="str">
        <f>IF(AND('[1]observations-276632'!W882&gt;'[1]Methods write-up'!$Q$20,'[1]observations-276632'!W882&lt;'[1]Methods write-up'!$R$20,'[1]observations-276632'!X882&gt;'[1]Methods write-up'!$S$20,'[1]observations-276632'!X882&lt;'[1]Methods write-up'!$T$20),"Temperate seasonal","")</f>
        <v/>
      </c>
      <c r="BC882" s="22" t="str">
        <f>IF(AND('[1]observations-276632'!W882&gt;'[1]Methods write-up'!$Q$21,'[1]observations-276632'!W882&lt;'[1]Methods write-up'!$R$21,'[1]observations-276632'!X882&gt;'[1]Methods write-up'!$S$21,'[1]observations-276632'!X882&lt;'[1]Methods write-up'!$T$21),"Desert and high aridity","")</f>
        <v/>
      </c>
      <c r="BD882" s="23" t="str">
        <f t="shared" si="60"/>
        <v/>
      </c>
      <c r="BE882" s="24">
        <f t="shared" si="57"/>
        <v>25</v>
      </c>
      <c r="BF882" s="24">
        <f t="shared" si="58"/>
        <v>12</v>
      </c>
    </row>
    <row r="883" spans="1:58" ht="16.25" customHeight="1" x14ac:dyDescent="0.2">
      <c r="A883">
        <v>103627675</v>
      </c>
      <c r="B883" s="25">
        <v>44555.503472222219</v>
      </c>
      <c r="C883" s="14">
        <v>44555</v>
      </c>
      <c r="D883" t="s">
        <v>6581</v>
      </c>
      <c r="E883" t="s">
        <v>84</v>
      </c>
      <c r="F883">
        <v>1542454</v>
      </c>
      <c r="G883" t="s">
        <v>6582</v>
      </c>
      <c r="I883" t="s">
        <v>6583</v>
      </c>
      <c r="J883" t="s">
        <v>6584</v>
      </c>
      <c r="K883" t="s">
        <v>62</v>
      </c>
      <c r="L883" t="s">
        <v>63</v>
      </c>
      <c r="M883" t="s">
        <v>6585</v>
      </c>
      <c r="N883" t="s">
        <v>6586</v>
      </c>
      <c r="R883">
        <v>2</v>
      </c>
      <c r="S883">
        <v>0</v>
      </c>
      <c r="T883" t="b">
        <v>0</v>
      </c>
      <c r="U883">
        <v>2</v>
      </c>
      <c r="V883" t="s">
        <v>6587</v>
      </c>
      <c r="W883" s="15">
        <v>-1.2250978079999999</v>
      </c>
      <c r="X883" s="15">
        <v>36.801394629999997</v>
      </c>
      <c r="Y883">
        <v>26</v>
      </c>
      <c r="AC883">
        <v>26</v>
      </c>
      <c r="AF883" t="b">
        <v>0</v>
      </c>
      <c r="AG883" t="s">
        <v>350</v>
      </c>
      <c r="AH883" t="s">
        <v>350</v>
      </c>
      <c r="AI883" t="s">
        <v>71</v>
      </c>
      <c r="AJ883" t="s">
        <v>70</v>
      </c>
      <c r="AK883" t="s">
        <v>71</v>
      </c>
      <c r="AL883" t="s">
        <v>72</v>
      </c>
      <c r="AM883">
        <v>346053</v>
      </c>
      <c r="AO883" s="16" t="s">
        <v>150</v>
      </c>
      <c r="AP883" s="17" t="str">
        <f t="shared" si="61"/>
        <v>Male (off nest)</v>
      </c>
      <c r="AX883" s="22" t="str">
        <f>IF(AND('[1]observations-276632'!W883&gt;'[1]Methods write-up'!$Q$16,'[1]observations-276632'!W883&lt;'[1]Methods write-up'!$R$16,'[1]observations-276632'!X883&gt;'[1]Methods write-up'!$S$16,'[1]observations-276632'!X883&lt;'[1]Methods write-up'!$T$16),"West and Central Africa","")</f>
        <v/>
      </c>
      <c r="AY883" s="22" t="str">
        <f>IF(AND('[1]observations-276632'!W883&gt;'[1]Methods write-up'!$Q$17,'[1]observations-276632'!W883&lt;'[1]Methods write-up'!$R$17,'[1]observations-276632'!X883&gt;'[1]Methods write-up'!$S$17,'[1]observations-276632'!X883&lt;'[1]Methods write-up'!$T$17),"Equatorial tropical forest","")</f>
        <v/>
      </c>
      <c r="AZ883" s="22" t="str">
        <f>IF(AND('[1]observations-276632'!W883&gt;'[1]Methods write-up'!$Q$18,'[1]observations-276632'!W883&lt;'[1]Methods write-up'!$R$18,'[1]observations-276632'!X883&gt;'[1]Methods write-up'!$S$18,'[1]observations-276632'!X883&lt;'[1]Methods write-up'!$T$18),"Somali peninsula","")</f>
        <v/>
      </c>
      <c r="BA883" s="22" t="str">
        <f>IF(AND('[1]observations-276632'!W883&gt;'[1]Methods write-up'!$Q$19,'[1]observations-276632'!W883&lt;'[1]Methods write-up'!$R$19,'[1]observations-276632'!X883&gt;'[1]Methods write-up'!$S$19,'[1]observations-276632'!X883&lt;'[1]Methods write-up'!$T$19),"East Africa","")</f>
        <v>East Africa</v>
      </c>
      <c r="BB883" s="22" t="str">
        <f>IF(AND('[1]observations-276632'!W883&gt;'[1]Methods write-up'!$Q$20,'[1]observations-276632'!W883&lt;'[1]Methods write-up'!$R$20,'[1]observations-276632'!X883&gt;'[1]Methods write-up'!$S$20,'[1]observations-276632'!X883&lt;'[1]Methods write-up'!$T$20),"Temperate seasonal","")</f>
        <v/>
      </c>
      <c r="BC883" s="22" t="str">
        <f>IF(AND('[1]observations-276632'!W883&gt;'[1]Methods write-up'!$Q$21,'[1]observations-276632'!W883&lt;'[1]Methods write-up'!$R$21,'[1]observations-276632'!X883&gt;'[1]Methods write-up'!$S$21,'[1]observations-276632'!X883&lt;'[1]Methods write-up'!$T$21),"Desert and high aridity","")</f>
        <v/>
      </c>
      <c r="BD883" s="23" t="str">
        <f t="shared" si="60"/>
        <v>East Africa</v>
      </c>
      <c r="BE883" s="24">
        <f t="shared" si="57"/>
        <v>25</v>
      </c>
      <c r="BF883" s="24">
        <f t="shared" si="58"/>
        <v>12</v>
      </c>
    </row>
    <row r="884" spans="1:58" ht="16.25" customHeight="1" x14ac:dyDescent="0.2">
      <c r="A884">
        <v>103674544</v>
      </c>
      <c r="B884" t="s">
        <v>6588</v>
      </c>
      <c r="C884" s="14">
        <v>44518</v>
      </c>
      <c r="D884" t="s">
        <v>6589</v>
      </c>
      <c r="E884" t="s">
        <v>57</v>
      </c>
      <c r="F884">
        <v>678008</v>
      </c>
      <c r="G884" t="s">
        <v>2315</v>
      </c>
      <c r="I884" t="s">
        <v>6590</v>
      </c>
      <c r="J884" t="s">
        <v>6591</v>
      </c>
      <c r="K884" t="s">
        <v>62</v>
      </c>
      <c r="L884" t="s">
        <v>63</v>
      </c>
      <c r="M884" t="s">
        <v>6592</v>
      </c>
      <c r="N884" t="s">
        <v>6593</v>
      </c>
      <c r="R884">
        <v>3</v>
      </c>
      <c r="S884">
        <v>0</v>
      </c>
      <c r="T884" t="b">
        <v>0</v>
      </c>
      <c r="V884" t="s">
        <v>2320</v>
      </c>
      <c r="W884" s="15">
        <v>-15.36985702</v>
      </c>
      <c r="X884" s="15">
        <v>28.315754519999999</v>
      </c>
      <c r="Y884">
        <v>46</v>
      </c>
      <c r="AC884">
        <v>46</v>
      </c>
      <c r="AF884" t="b">
        <v>0</v>
      </c>
      <c r="AI884" t="s">
        <v>71</v>
      </c>
      <c r="AJ884" t="s">
        <v>70</v>
      </c>
      <c r="AK884" t="s">
        <v>71</v>
      </c>
      <c r="AL884" t="s">
        <v>72</v>
      </c>
      <c r="AM884">
        <v>346053</v>
      </c>
      <c r="AO884" s="16" t="s">
        <v>73</v>
      </c>
      <c r="AP884" s="17" t="str">
        <f t="shared" si="61"/>
        <v>Off-nest female</v>
      </c>
      <c r="AX884" s="22" t="str">
        <f>IF(AND('[1]observations-276632'!W884&gt;'[1]Methods write-up'!$Q$16,'[1]observations-276632'!W884&lt;'[1]Methods write-up'!$R$16,'[1]observations-276632'!X884&gt;'[1]Methods write-up'!$S$16,'[1]observations-276632'!X884&lt;'[1]Methods write-up'!$T$16),"West and Central Africa","")</f>
        <v>West and Central Africa</v>
      </c>
      <c r="AY884" s="22" t="str">
        <f>IF(AND('[1]observations-276632'!W884&gt;'[1]Methods write-up'!$Q$17,'[1]observations-276632'!W884&lt;'[1]Methods write-up'!$R$17,'[1]observations-276632'!X884&gt;'[1]Methods write-up'!$S$17,'[1]observations-276632'!X884&lt;'[1]Methods write-up'!$T$17),"Equatorial tropical forest","")</f>
        <v/>
      </c>
      <c r="AZ884" s="22" t="str">
        <f>IF(AND('[1]observations-276632'!W884&gt;'[1]Methods write-up'!$Q$18,'[1]observations-276632'!W884&lt;'[1]Methods write-up'!$R$18,'[1]observations-276632'!X884&gt;'[1]Methods write-up'!$S$18,'[1]observations-276632'!X884&lt;'[1]Methods write-up'!$T$18),"Somali peninsula","")</f>
        <v/>
      </c>
      <c r="BA884" s="22" t="str">
        <f>IF(AND('[1]observations-276632'!W884&gt;'[1]Methods write-up'!$Q$19,'[1]observations-276632'!W884&lt;'[1]Methods write-up'!$R$19,'[1]observations-276632'!X884&gt;'[1]Methods write-up'!$S$19,'[1]observations-276632'!X884&lt;'[1]Methods write-up'!$T$19),"East Africa","")</f>
        <v/>
      </c>
      <c r="BB884" s="22" t="str">
        <f>IF(AND('[1]observations-276632'!W884&gt;'[1]Methods write-up'!$Q$20,'[1]observations-276632'!W884&lt;'[1]Methods write-up'!$R$20,'[1]observations-276632'!X884&gt;'[1]Methods write-up'!$S$20,'[1]observations-276632'!X884&lt;'[1]Methods write-up'!$T$20),"Temperate seasonal","")</f>
        <v/>
      </c>
      <c r="BC884" s="22" t="str">
        <f>IF(AND('[1]observations-276632'!W884&gt;'[1]Methods write-up'!$Q$21,'[1]observations-276632'!W884&lt;'[1]Methods write-up'!$R$21,'[1]observations-276632'!X884&gt;'[1]Methods write-up'!$S$21,'[1]observations-276632'!X884&lt;'[1]Methods write-up'!$T$21),"Desert and high aridity","")</f>
        <v/>
      </c>
      <c r="BD884" s="23" t="str">
        <f t="shared" si="60"/>
        <v>West and Central Africa</v>
      </c>
      <c r="BE884" s="24">
        <f t="shared" si="57"/>
        <v>18</v>
      </c>
      <c r="BF884" s="24">
        <f t="shared" si="58"/>
        <v>11</v>
      </c>
    </row>
    <row r="885" spans="1:58" ht="16.25" customHeight="1" x14ac:dyDescent="0.2">
      <c r="A885">
        <v>103678330</v>
      </c>
      <c r="B885" t="s">
        <v>6594</v>
      </c>
      <c r="C885" s="14">
        <v>44537</v>
      </c>
      <c r="D885" t="s">
        <v>6595</v>
      </c>
      <c r="E885" t="s">
        <v>193</v>
      </c>
      <c r="F885">
        <v>3550339</v>
      </c>
      <c r="G885" t="s">
        <v>4733</v>
      </c>
      <c r="H885" t="s">
        <v>4734</v>
      </c>
      <c r="I885" t="s">
        <v>6596</v>
      </c>
      <c r="J885" t="s">
        <v>6597</v>
      </c>
      <c r="K885" t="s">
        <v>62</v>
      </c>
      <c r="L885" t="s">
        <v>373</v>
      </c>
      <c r="M885" t="s">
        <v>6598</v>
      </c>
      <c r="N885" t="s">
        <v>6599</v>
      </c>
      <c r="R885">
        <v>2</v>
      </c>
      <c r="S885">
        <v>0</v>
      </c>
      <c r="T885" t="b">
        <v>0</v>
      </c>
      <c r="U885">
        <v>3</v>
      </c>
      <c r="V885" t="s">
        <v>6600</v>
      </c>
      <c r="W885" s="15">
        <v>6.853391115</v>
      </c>
      <c r="X885" s="15">
        <v>0.41917580199999999</v>
      </c>
      <c r="Y885">
        <v>155</v>
      </c>
      <c r="AC885">
        <v>155</v>
      </c>
      <c r="AF885" t="b">
        <v>0</v>
      </c>
      <c r="AI885" t="s">
        <v>71</v>
      </c>
      <c r="AJ885" t="s">
        <v>70</v>
      </c>
      <c r="AK885" t="s">
        <v>71</v>
      </c>
      <c r="AL885" t="s">
        <v>72</v>
      </c>
      <c r="AM885">
        <v>346053</v>
      </c>
      <c r="AO885" s="16" t="s">
        <v>73</v>
      </c>
      <c r="AP885" s="17" t="str">
        <f t="shared" si="61"/>
        <v>Off-nest female</v>
      </c>
      <c r="AX885" s="22" t="str">
        <f>IF(AND('[1]observations-276632'!W885&gt;'[1]Methods write-up'!$Q$16,'[1]observations-276632'!W885&lt;'[1]Methods write-up'!$R$16,'[1]observations-276632'!X885&gt;'[1]Methods write-up'!$S$16,'[1]observations-276632'!X885&lt;'[1]Methods write-up'!$T$16),"West and Central Africa","")</f>
        <v>West and Central Africa</v>
      </c>
      <c r="AY885" s="22" t="str">
        <f>IF(AND('[1]observations-276632'!W885&gt;'[1]Methods write-up'!$Q$17,'[1]observations-276632'!W885&lt;'[1]Methods write-up'!$R$17,'[1]observations-276632'!X885&gt;'[1]Methods write-up'!$S$17,'[1]observations-276632'!X885&lt;'[1]Methods write-up'!$T$17),"Equatorial tropical forest","")</f>
        <v/>
      </c>
      <c r="AZ885" s="22" t="str">
        <f>IF(AND('[1]observations-276632'!W885&gt;'[1]Methods write-up'!$Q$18,'[1]observations-276632'!W885&lt;'[1]Methods write-up'!$R$18,'[1]observations-276632'!X885&gt;'[1]Methods write-up'!$S$18,'[1]observations-276632'!X885&lt;'[1]Methods write-up'!$T$18),"Somali peninsula","")</f>
        <v/>
      </c>
      <c r="BA885" s="22" t="str">
        <f>IF(AND('[1]observations-276632'!W885&gt;'[1]Methods write-up'!$Q$19,'[1]observations-276632'!W885&lt;'[1]Methods write-up'!$R$19,'[1]observations-276632'!X885&gt;'[1]Methods write-up'!$S$19,'[1]observations-276632'!X885&lt;'[1]Methods write-up'!$T$19),"East Africa","")</f>
        <v/>
      </c>
      <c r="BB885" s="22" t="str">
        <f>IF(AND('[1]observations-276632'!W885&gt;'[1]Methods write-up'!$Q$20,'[1]observations-276632'!W885&lt;'[1]Methods write-up'!$R$20,'[1]observations-276632'!X885&gt;'[1]Methods write-up'!$S$20,'[1]observations-276632'!X885&lt;'[1]Methods write-up'!$T$20),"Temperate seasonal","")</f>
        <v/>
      </c>
      <c r="BC885" s="22" t="str">
        <f>IF(AND('[1]observations-276632'!W885&gt;'[1]Methods write-up'!$Q$21,'[1]observations-276632'!W885&lt;'[1]Methods write-up'!$R$21,'[1]observations-276632'!X885&gt;'[1]Methods write-up'!$S$21,'[1]observations-276632'!X885&lt;'[1]Methods write-up'!$T$21),"Desert and high aridity","")</f>
        <v/>
      </c>
      <c r="BD885" s="23" t="str">
        <f t="shared" si="60"/>
        <v>West and Central Africa</v>
      </c>
      <c r="BE885" s="24">
        <f t="shared" si="57"/>
        <v>7</v>
      </c>
      <c r="BF885" s="24">
        <f t="shared" si="58"/>
        <v>12</v>
      </c>
    </row>
    <row r="886" spans="1:58" ht="16.25" customHeight="1" x14ac:dyDescent="0.2">
      <c r="A886">
        <v>103683955</v>
      </c>
      <c r="B886" s="25">
        <v>44555.727083333331</v>
      </c>
      <c r="C886" s="14">
        <v>44555</v>
      </c>
      <c r="D886" t="s">
        <v>6601</v>
      </c>
      <c r="E886" t="s">
        <v>113</v>
      </c>
      <c r="F886">
        <v>2414682</v>
      </c>
      <c r="G886" t="s">
        <v>6602</v>
      </c>
      <c r="H886" t="s">
        <v>6603</v>
      </c>
      <c r="I886" t="s">
        <v>6604</v>
      </c>
      <c r="J886" t="s">
        <v>6605</v>
      </c>
      <c r="K886" t="s">
        <v>62</v>
      </c>
      <c r="M886" t="s">
        <v>6606</v>
      </c>
      <c r="N886" t="s">
        <v>6607</v>
      </c>
      <c r="R886">
        <v>3</v>
      </c>
      <c r="S886">
        <v>0</v>
      </c>
      <c r="T886" t="b">
        <v>0</v>
      </c>
      <c r="U886">
        <v>2</v>
      </c>
      <c r="V886" t="s">
        <v>6608</v>
      </c>
      <c r="W886" s="15">
        <v>-24.920036</v>
      </c>
      <c r="X886" s="15">
        <v>27.6322507</v>
      </c>
      <c r="AF886" t="b">
        <v>0</v>
      </c>
      <c r="AG886" t="s">
        <v>350</v>
      </c>
      <c r="AH886" t="s">
        <v>350</v>
      </c>
      <c r="AI886" t="s">
        <v>71</v>
      </c>
      <c r="AJ886" t="s">
        <v>70</v>
      </c>
      <c r="AK886" t="s">
        <v>71</v>
      </c>
      <c r="AL886" t="s">
        <v>72</v>
      </c>
      <c r="AM886">
        <v>346053</v>
      </c>
      <c r="AO886" s="16" t="s">
        <v>73</v>
      </c>
      <c r="AP886" s="17" t="str">
        <f t="shared" si="61"/>
        <v>Off-nest female</v>
      </c>
      <c r="AX886" s="22" t="str">
        <f>IF(AND('[1]observations-276632'!W886&gt;'[1]Methods write-up'!$Q$16,'[1]observations-276632'!W886&lt;'[1]Methods write-up'!$R$16,'[1]observations-276632'!X886&gt;'[1]Methods write-up'!$S$16,'[1]observations-276632'!X886&lt;'[1]Methods write-up'!$T$16),"West and Central Africa","")</f>
        <v/>
      </c>
      <c r="AY886" s="22" t="str">
        <f>IF(AND('[1]observations-276632'!W886&gt;'[1]Methods write-up'!$Q$17,'[1]observations-276632'!W886&lt;'[1]Methods write-up'!$R$17,'[1]observations-276632'!X886&gt;'[1]Methods write-up'!$S$17,'[1]observations-276632'!X886&lt;'[1]Methods write-up'!$T$17),"Equatorial tropical forest","")</f>
        <v/>
      </c>
      <c r="AZ886" s="22" t="str">
        <f>IF(AND('[1]observations-276632'!W886&gt;'[1]Methods write-up'!$Q$18,'[1]observations-276632'!W886&lt;'[1]Methods write-up'!$R$18,'[1]observations-276632'!X886&gt;'[1]Methods write-up'!$S$18,'[1]observations-276632'!X886&lt;'[1]Methods write-up'!$T$18),"Somali peninsula","")</f>
        <v/>
      </c>
      <c r="BA886" s="22" t="str">
        <f>IF(AND('[1]observations-276632'!W886&gt;'[1]Methods write-up'!$Q$19,'[1]observations-276632'!W886&lt;'[1]Methods write-up'!$R$19,'[1]observations-276632'!X886&gt;'[1]Methods write-up'!$S$19,'[1]observations-276632'!X886&lt;'[1]Methods write-up'!$T$19),"East Africa","")</f>
        <v/>
      </c>
      <c r="BB886" s="22" t="str">
        <f>IF(AND('[1]observations-276632'!W886&gt;'[1]Methods write-up'!$Q$20,'[1]observations-276632'!W886&lt;'[1]Methods write-up'!$R$20,'[1]observations-276632'!X886&gt;'[1]Methods write-up'!$S$20,'[1]observations-276632'!X886&lt;'[1]Methods write-up'!$T$20),"Temperate seasonal","")</f>
        <v/>
      </c>
      <c r="BC886" s="22" t="str">
        <f>IF(AND('[1]observations-276632'!W886&gt;'[1]Methods write-up'!$Q$21,'[1]observations-276632'!W886&lt;'[1]Methods write-up'!$R$21,'[1]observations-276632'!X886&gt;'[1]Methods write-up'!$S$21,'[1]observations-276632'!X886&lt;'[1]Methods write-up'!$T$21),"Desert and high aridity","")</f>
        <v/>
      </c>
      <c r="BD886" s="23" t="str">
        <f t="shared" si="60"/>
        <v/>
      </c>
      <c r="BE886" s="24">
        <f t="shared" si="57"/>
        <v>25</v>
      </c>
      <c r="BF886" s="24">
        <f t="shared" si="58"/>
        <v>12</v>
      </c>
    </row>
    <row r="887" spans="1:58" ht="16.25" customHeight="1" x14ac:dyDescent="0.2">
      <c r="A887">
        <v>103701439</v>
      </c>
      <c r="B887" s="25">
        <v>44556.588888888888</v>
      </c>
      <c r="C887" s="14">
        <v>44556</v>
      </c>
      <c r="D887" t="s">
        <v>6609</v>
      </c>
      <c r="E887" t="s">
        <v>113</v>
      </c>
      <c r="F887">
        <v>4346477</v>
      </c>
      <c r="G887" t="s">
        <v>6610</v>
      </c>
      <c r="H887" t="s">
        <v>6611</v>
      </c>
      <c r="I887" t="s">
        <v>6612</v>
      </c>
      <c r="J887" t="s">
        <v>6613</v>
      </c>
      <c r="K887" t="s">
        <v>62</v>
      </c>
      <c r="M887" t="s">
        <v>6614</v>
      </c>
      <c r="N887" t="s">
        <v>6615</v>
      </c>
      <c r="R887">
        <v>2</v>
      </c>
      <c r="S887">
        <v>0</v>
      </c>
      <c r="T887" t="b">
        <v>0</v>
      </c>
      <c r="U887">
        <v>2</v>
      </c>
      <c r="V887" t="s">
        <v>6616</v>
      </c>
      <c r="W887" s="15">
        <v>-29.04868506</v>
      </c>
      <c r="X887" s="15">
        <v>29.40635108</v>
      </c>
      <c r="Y887">
        <v>1</v>
      </c>
      <c r="AC887">
        <v>1</v>
      </c>
      <c r="AF887" t="b">
        <v>0</v>
      </c>
      <c r="AG887" t="s">
        <v>350</v>
      </c>
      <c r="AH887" t="s">
        <v>350</v>
      </c>
      <c r="AI887" t="s">
        <v>71</v>
      </c>
      <c r="AJ887" t="s">
        <v>70</v>
      </c>
      <c r="AK887" t="s">
        <v>71</v>
      </c>
      <c r="AL887" t="s">
        <v>72</v>
      </c>
      <c r="AM887">
        <v>346053</v>
      </c>
      <c r="AO887" s="16" t="s">
        <v>73</v>
      </c>
      <c r="AP887" s="17" t="str">
        <f t="shared" si="61"/>
        <v>Off-nest female</v>
      </c>
      <c r="AX887" s="22" t="str">
        <f>IF(AND('[1]observations-276632'!W887&gt;'[1]Methods write-up'!$Q$16,'[1]observations-276632'!W887&lt;'[1]Methods write-up'!$R$16,'[1]observations-276632'!X887&gt;'[1]Methods write-up'!$S$16,'[1]observations-276632'!X887&lt;'[1]Methods write-up'!$T$16),"West and Central Africa","")</f>
        <v/>
      </c>
      <c r="AY887" s="22" t="str">
        <f>IF(AND('[1]observations-276632'!W887&gt;'[1]Methods write-up'!$Q$17,'[1]observations-276632'!W887&lt;'[1]Methods write-up'!$R$17,'[1]observations-276632'!X887&gt;'[1]Methods write-up'!$S$17,'[1]observations-276632'!X887&lt;'[1]Methods write-up'!$T$17),"Equatorial tropical forest","")</f>
        <v/>
      </c>
      <c r="AZ887" s="22" t="str">
        <f>IF(AND('[1]observations-276632'!W887&gt;'[1]Methods write-up'!$Q$18,'[1]observations-276632'!W887&lt;'[1]Methods write-up'!$R$18,'[1]observations-276632'!X887&gt;'[1]Methods write-up'!$S$18,'[1]observations-276632'!X887&lt;'[1]Methods write-up'!$T$18),"Somali peninsula","")</f>
        <v/>
      </c>
      <c r="BA887" s="22" t="str">
        <f>IF(AND('[1]observations-276632'!W887&gt;'[1]Methods write-up'!$Q$19,'[1]observations-276632'!W887&lt;'[1]Methods write-up'!$R$19,'[1]observations-276632'!X887&gt;'[1]Methods write-up'!$S$19,'[1]observations-276632'!X887&lt;'[1]Methods write-up'!$T$19),"East Africa","")</f>
        <v/>
      </c>
      <c r="BB887" s="22" t="str">
        <f>IF(AND('[1]observations-276632'!W887&gt;'[1]Methods write-up'!$Q$20,'[1]observations-276632'!W887&lt;'[1]Methods write-up'!$R$20,'[1]observations-276632'!X887&gt;'[1]Methods write-up'!$S$20,'[1]observations-276632'!X887&lt;'[1]Methods write-up'!$T$20),"Temperate seasonal","")</f>
        <v>Temperate seasonal</v>
      </c>
      <c r="BC887" s="22" t="str">
        <f>IF(AND('[1]observations-276632'!W887&gt;'[1]Methods write-up'!$Q$21,'[1]observations-276632'!W887&lt;'[1]Methods write-up'!$R$21,'[1]observations-276632'!X887&gt;'[1]Methods write-up'!$S$21,'[1]observations-276632'!X887&lt;'[1]Methods write-up'!$T$21),"Desert and high aridity","")</f>
        <v/>
      </c>
      <c r="BD887" s="23" t="str">
        <f t="shared" si="60"/>
        <v>Temperate seasonal</v>
      </c>
      <c r="BE887" s="24">
        <f t="shared" si="57"/>
        <v>26</v>
      </c>
      <c r="BF887" s="24">
        <f t="shared" si="58"/>
        <v>12</v>
      </c>
    </row>
    <row r="888" spans="1:58" ht="16.25" customHeight="1" x14ac:dyDescent="0.2">
      <c r="A888">
        <v>103745960</v>
      </c>
      <c r="B888" t="s">
        <v>6617</v>
      </c>
      <c r="C888" s="14">
        <v>44538</v>
      </c>
      <c r="D888" t="s">
        <v>6618</v>
      </c>
      <c r="E888" t="s">
        <v>193</v>
      </c>
      <c r="F888">
        <v>3550339</v>
      </c>
      <c r="G888" t="s">
        <v>4733</v>
      </c>
      <c r="H888" t="s">
        <v>4734</v>
      </c>
      <c r="I888" t="s">
        <v>6619</v>
      </c>
      <c r="J888" t="s">
        <v>6620</v>
      </c>
      <c r="K888" t="s">
        <v>62</v>
      </c>
      <c r="L888" t="s">
        <v>373</v>
      </c>
      <c r="M888" t="s">
        <v>6621</v>
      </c>
      <c r="N888" t="s">
        <v>6622</v>
      </c>
      <c r="R888">
        <v>1</v>
      </c>
      <c r="S888">
        <v>0</v>
      </c>
      <c r="T888" t="b">
        <v>0</v>
      </c>
      <c r="U888">
        <v>3</v>
      </c>
      <c r="V888" t="s">
        <v>6623</v>
      </c>
      <c r="W888" s="15">
        <v>6.840796997</v>
      </c>
      <c r="X888" s="15">
        <v>0.43794243199999999</v>
      </c>
      <c r="Y888">
        <v>170</v>
      </c>
      <c r="AC888">
        <v>170</v>
      </c>
      <c r="AF888" t="b">
        <v>0</v>
      </c>
      <c r="AI888" t="s">
        <v>71</v>
      </c>
      <c r="AJ888" t="s">
        <v>70</v>
      </c>
      <c r="AK888" t="s">
        <v>71</v>
      </c>
      <c r="AL888" t="s">
        <v>72</v>
      </c>
      <c r="AM888">
        <v>346053</v>
      </c>
      <c r="AO888" s="16" t="s">
        <v>73</v>
      </c>
      <c r="AP888" s="17" t="str">
        <f t="shared" si="61"/>
        <v>Off-nest female</v>
      </c>
      <c r="AX888" s="22" t="str">
        <f>IF(AND('[1]observations-276632'!W888&gt;'[1]Methods write-up'!$Q$16,'[1]observations-276632'!W888&lt;'[1]Methods write-up'!$R$16,'[1]observations-276632'!X888&gt;'[1]Methods write-up'!$S$16,'[1]observations-276632'!X888&lt;'[1]Methods write-up'!$T$16),"West and Central Africa","")</f>
        <v>West and Central Africa</v>
      </c>
      <c r="AY888" s="22" t="str">
        <f>IF(AND('[1]observations-276632'!W888&gt;'[1]Methods write-up'!$Q$17,'[1]observations-276632'!W888&lt;'[1]Methods write-up'!$R$17,'[1]observations-276632'!X888&gt;'[1]Methods write-up'!$S$17,'[1]observations-276632'!X888&lt;'[1]Methods write-up'!$T$17),"Equatorial tropical forest","")</f>
        <v/>
      </c>
      <c r="AZ888" s="22" t="str">
        <f>IF(AND('[1]observations-276632'!W888&gt;'[1]Methods write-up'!$Q$18,'[1]observations-276632'!W888&lt;'[1]Methods write-up'!$R$18,'[1]observations-276632'!X888&gt;'[1]Methods write-up'!$S$18,'[1]observations-276632'!X888&lt;'[1]Methods write-up'!$T$18),"Somali peninsula","")</f>
        <v/>
      </c>
      <c r="BA888" s="22" t="str">
        <f>IF(AND('[1]observations-276632'!W888&gt;'[1]Methods write-up'!$Q$19,'[1]observations-276632'!W888&lt;'[1]Methods write-up'!$R$19,'[1]observations-276632'!X888&gt;'[1]Methods write-up'!$S$19,'[1]observations-276632'!X888&lt;'[1]Methods write-up'!$T$19),"East Africa","")</f>
        <v/>
      </c>
      <c r="BB888" s="22" t="str">
        <f>IF(AND('[1]observations-276632'!W888&gt;'[1]Methods write-up'!$Q$20,'[1]observations-276632'!W888&lt;'[1]Methods write-up'!$R$20,'[1]observations-276632'!X888&gt;'[1]Methods write-up'!$S$20,'[1]observations-276632'!X888&lt;'[1]Methods write-up'!$T$20),"Temperate seasonal","")</f>
        <v/>
      </c>
      <c r="BC888" s="22" t="str">
        <f>IF(AND('[1]observations-276632'!W888&gt;'[1]Methods write-up'!$Q$21,'[1]observations-276632'!W888&lt;'[1]Methods write-up'!$R$21,'[1]observations-276632'!X888&gt;'[1]Methods write-up'!$S$21,'[1]observations-276632'!X888&lt;'[1]Methods write-up'!$T$21),"Desert and high aridity","")</f>
        <v/>
      </c>
      <c r="BD888" s="23" t="str">
        <f t="shared" si="60"/>
        <v>West and Central Africa</v>
      </c>
      <c r="BE888" s="24">
        <f t="shared" si="57"/>
        <v>8</v>
      </c>
      <c r="BF888" s="24">
        <f t="shared" si="58"/>
        <v>12</v>
      </c>
    </row>
    <row r="889" spans="1:58" ht="16.25" customHeight="1" x14ac:dyDescent="0.2">
      <c r="A889">
        <v>103751516</v>
      </c>
      <c r="B889" t="s">
        <v>6624</v>
      </c>
      <c r="C889" s="14">
        <v>44555</v>
      </c>
      <c r="D889" t="s">
        <v>6625</v>
      </c>
      <c r="E889" t="s">
        <v>113</v>
      </c>
      <c r="F889">
        <v>1826406</v>
      </c>
      <c r="G889" t="s">
        <v>6626</v>
      </c>
      <c r="H889" t="s">
        <v>6627</v>
      </c>
      <c r="I889" t="s">
        <v>6628</v>
      </c>
      <c r="J889" t="s">
        <v>6629</v>
      </c>
      <c r="K889" t="s">
        <v>62</v>
      </c>
      <c r="L889" t="s">
        <v>98</v>
      </c>
      <c r="M889" t="s">
        <v>6630</v>
      </c>
      <c r="N889" t="s">
        <v>6631</v>
      </c>
      <c r="R889">
        <v>2</v>
      </c>
      <c r="S889">
        <v>0</v>
      </c>
      <c r="T889" t="b">
        <v>0</v>
      </c>
      <c r="V889" t="s">
        <v>6632</v>
      </c>
      <c r="W889" s="15">
        <v>-32.605402779999999</v>
      </c>
      <c r="X889" s="15">
        <v>26.961925000000001</v>
      </c>
      <c r="Y889">
        <v>1</v>
      </c>
      <c r="AC889">
        <v>1</v>
      </c>
      <c r="AF889" t="b">
        <v>0</v>
      </c>
      <c r="AI889" t="s">
        <v>71</v>
      </c>
      <c r="AJ889" t="s">
        <v>70</v>
      </c>
      <c r="AK889" t="s">
        <v>71</v>
      </c>
      <c r="AL889" t="s">
        <v>72</v>
      </c>
      <c r="AM889">
        <v>346053</v>
      </c>
      <c r="AO889" s="16" t="s">
        <v>73</v>
      </c>
      <c r="AP889" s="17" t="str">
        <f t="shared" si="61"/>
        <v>Off-nest female</v>
      </c>
      <c r="AX889" s="22" t="str">
        <f>IF(AND('[1]observations-276632'!W889&gt;'[1]Methods write-up'!$Q$16,'[1]observations-276632'!W889&lt;'[1]Methods write-up'!$R$16,'[1]observations-276632'!X889&gt;'[1]Methods write-up'!$S$16,'[1]observations-276632'!X889&lt;'[1]Methods write-up'!$T$16),"West and Central Africa","")</f>
        <v/>
      </c>
      <c r="AY889" s="22" t="str">
        <f>IF(AND('[1]observations-276632'!W889&gt;'[1]Methods write-up'!$Q$17,'[1]observations-276632'!W889&lt;'[1]Methods write-up'!$R$17,'[1]observations-276632'!X889&gt;'[1]Methods write-up'!$S$17,'[1]observations-276632'!X889&lt;'[1]Methods write-up'!$T$17),"Equatorial tropical forest","")</f>
        <v/>
      </c>
      <c r="AZ889" s="22" t="str">
        <f>IF(AND('[1]observations-276632'!W889&gt;'[1]Methods write-up'!$Q$18,'[1]observations-276632'!W889&lt;'[1]Methods write-up'!$R$18,'[1]observations-276632'!X889&gt;'[1]Methods write-up'!$S$18,'[1]observations-276632'!X889&lt;'[1]Methods write-up'!$T$18),"Somali peninsula","")</f>
        <v/>
      </c>
      <c r="BA889" s="22" t="str">
        <f>IF(AND('[1]observations-276632'!W889&gt;'[1]Methods write-up'!$Q$19,'[1]observations-276632'!W889&lt;'[1]Methods write-up'!$R$19,'[1]observations-276632'!X889&gt;'[1]Methods write-up'!$S$19,'[1]observations-276632'!X889&lt;'[1]Methods write-up'!$T$19),"East Africa","")</f>
        <v/>
      </c>
      <c r="BB889" s="22" t="str">
        <f>IF(AND('[1]observations-276632'!W889&gt;'[1]Methods write-up'!$Q$20,'[1]observations-276632'!W889&lt;'[1]Methods write-up'!$R$20,'[1]observations-276632'!X889&gt;'[1]Methods write-up'!$S$20,'[1]observations-276632'!X889&lt;'[1]Methods write-up'!$T$20),"Temperate seasonal","")</f>
        <v/>
      </c>
      <c r="BC889" s="22" t="str">
        <f>IF(AND('[1]observations-276632'!W889&gt;'[1]Methods write-up'!$Q$21,'[1]observations-276632'!W889&lt;'[1]Methods write-up'!$R$21,'[1]observations-276632'!X889&gt;'[1]Methods write-up'!$S$21,'[1]observations-276632'!X889&lt;'[1]Methods write-up'!$T$21),"Desert and high aridity","")</f>
        <v/>
      </c>
      <c r="BD889" s="23" t="str">
        <f t="shared" si="60"/>
        <v/>
      </c>
      <c r="BE889" s="24">
        <f t="shared" si="57"/>
        <v>25</v>
      </c>
      <c r="BF889" s="24">
        <f t="shared" si="58"/>
        <v>12</v>
      </c>
    </row>
    <row r="890" spans="1:58" ht="16.25" customHeight="1" x14ac:dyDescent="0.2">
      <c r="A890">
        <v>103849158</v>
      </c>
      <c r="B890" s="25">
        <v>44506.201388888891</v>
      </c>
      <c r="C890" s="14">
        <v>44506</v>
      </c>
      <c r="D890" t="s">
        <v>6633</v>
      </c>
      <c r="E890" t="s">
        <v>122</v>
      </c>
      <c r="F890">
        <v>273707</v>
      </c>
      <c r="G890" t="s">
        <v>6522</v>
      </c>
      <c r="I890" t="s">
        <v>6634</v>
      </c>
      <c r="J890" t="s">
        <v>6635</v>
      </c>
      <c r="K890" t="s">
        <v>62</v>
      </c>
      <c r="L890" t="s">
        <v>63</v>
      </c>
      <c r="M890" t="s">
        <v>6636</v>
      </c>
      <c r="N890" t="s">
        <v>6637</v>
      </c>
      <c r="P890" t="s">
        <v>6527</v>
      </c>
      <c r="Q890" t="s">
        <v>6638</v>
      </c>
      <c r="R890">
        <v>1</v>
      </c>
      <c r="S890">
        <v>0</v>
      </c>
      <c r="T890" t="b">
        <v>0</v>
      </c>
      <c r="V890" t="s">
        <v>6639</v>
      </c>
      <c r="W890" s="15">
        <v>-4.7445690000000003</v>
      </c>
      <c r="X890" s="15">
        <v>38.284807999999998</v>
      </c>
      <c r="Y890">
        <v>5</v>
      </c>
      <c r="AC890">
        <v>5</v>
      </c>
      <c r="AF890" t="b">
        <v>0</v>
      </c>
      <c r="AH890" t="s">
        <v>149</v>
      </c>
      <c r="AI890" t="s">
        <v>71</v>
      </c>
      <c r="AJ890" t="s">
        <v>70</v>
      </c>
      <c r="AK890" t="s">
        <v>71</v>
      </c>
      <c r="AL890" t="s">
        <v>72</v>
      </c>
      <c r="AM890">
        <v>346053</v>
      </c>
      <c r="AO890" s="16" t="s">
        <v>73</v>
      </c>
      <c r="AP890" s="17" t="str">
        <f t="shared" si="61"/>
        <v>Off-nest female</v>
      </c>
      <c r="AX890" s="22" t="str">
        <f>IF(AND('[1]observations-276632'!W890&gt;'[1]Methods write-up'!$Q$16,'[1]observations-276632'!W890&lt;'[1]Methods write-up'!$R$16,'[1]observations-276632'!X890&gt;'[1]Methods write-up'!$S$16,'[1]observations-276632'!X890&lt;'[1]Methods write-up'!$T$16),"West and Central Africa","")</f>
        <v/>
      </c>
      <c r="AY890" s="22" t="str">
        <f>IF(AND('[1]observations-276632'!W890&gt;'[1]Methods write-up'!$Q$17,'[1]observations-276632'!W890&lt;'[1]Methods write-up'!$R$17,'[1]observations-276632'!X890&gt;'[1]Methods write-up'!$S$17,'[1]observations-276632'!X890&lt;'[1]Methods write-up'!$T$17),"Equatorial tropical forest","")</f>
        <v/>
      </c>
      <c r="AZ890" s="22" t="str">
        <f>IF(AND('[1]observations-276632'!W890&gt;'[1]Methods write-up'!$Q$18,'[1]observations-276632'!W890&lt;'[1]Methods write-up'!$R$18,'[1]observations-276632'!X890&gt;'[1]Methods write-up'!$S$18,'[1]observations-276632'!X890&lt;'[1]Methods write-up'!$T$18),"Somali peninsula","")</f>
        <v/>
      </c>
      <c r="BA890" s="22" t="str">
        <f>IF(AND('[1]observations-276632'!W890&gt;'[1]Methods write-up'!$Q$19,'[1]observations-276632'!W890&lt;'[1]Methods write-up'!$R$19,'[1]observations-276632'!X890&gt;'[1]Methods write-up'!$S$19,'[1]observations-276632'!X890&lt;'[1]Methods write-up'!$T$19),"East Africa","")</f>
        <v>East Africa</v>
      </c>
      <c r="BB890" s="22" t="str">
        <f>IF(AND('[1]observations-276632'!W890&gt;'[1]Methods write-up'!$Q$20,'[1]observations-276632'!W890&lt;'[1]Methods write-up'!$R$20,'[1]observations-276632'!X890&gt;'[1]Methods write-up'!$S$20,'[1]observations-276632'!X890&lt;'[1]Methods write-up'!$T$20),"Temperate seasonal","")</f>
        <v/>
      </c>
      <c r="BC890" s="22" t="str">
        <f>IF(AND('[1]observations-276632'!W890&gt;'[1]Methods write-up'!$Q$21,'[1]observations-276632'!W890&lt;'[1]Methods write-up'!$R$21,'[1]observations-276632'!X890&gt;'[1]Methods write-up'!$S$21,'[1]observations-276632'!X890&lt;'[1]Methods write-up'!$T$21),"Desert and high aridity","")</f>
        <v/>
      </c>
      <c r="BD890" s="23" t="str">
        <f t="shared" si="60"/>
        <v>East Africa</v>
      </c>
      <c r="BE890" s="24">
        <f t="shared" si="57"/>
        <v>6</v>
      </c>
      <c r="BF890" s="24">
        <f t="shared" si="58"/>
        <v>11</v>
      </c>
    </row>
    <row r="891" spans="1:58" ht="16.25" customHeight="1" x14ac:dyDescent="0.2">
      <c r="A891">
        <v>103888645</v>
      </c>
      <c r="B891" s="25">
        <v>44559.745833333334</v>
      </c>
      <c r="C891" s="14">
        <v>44559</v>
      </c>
      <c r="D891" t="s">
        <v>6640</v>
      </c>
      <c r="E891" t="s">
        <v>1408</v>
      </c>
      <c r="F891">
        <v>3895692</v>
      </c>
      <c r="G891" t="s">
        <v>6641</v>
      </c>
      <c r="H891" t="s">
        <v>6642</v>
      </c>
      <c r="I891" t="s">
        <v>6643</v>
      </c>
      <c r="J891" t="s">
        <v>6644</v>
      </c>
      <c r="K891" t="s">
        <v>62</v>
      </c>
      <c r="L891" t="s">
        <v>63</v>
      </c>
      <c r="M891" t="s">
        <v>6645</v>
      </c>
      <c r="N891" t="s">
        <v>6646</v>
      </c>
      <c r="R891">
        <v>1</v>
      </c>
      <c r="S891">
        <v>0</v>
      </c>
      <c r="T891" t="b">
        <v>0</v>
      </c>
      <c r="U891">
        <v>2</v>
      </c>
      <c r="V891" t="s">
        <v>6647</v>
      </c>
      <c r="W891" s="15">
        <v>-5.6759329999999997</v>
      </c>
      <c r="X891" s="15">
        <v>38.89227382</v>
      </c>
      <c r="Y891">
        <v>6</v>
      </c>
      <c r="AC891">
        <v>6</v>
      </c>
      <c r="AF891" t="b">
        <v>0</v>
      </c>
      <c r="AI891" t="s">
        <v>71</v>
      </c>
      <c r="AJ891" t="s">
        <v>70</v>
      </c>
      <c r="AK891" t="s">
        <v>71</v>
      </c>
      <c r="AL891" t="s">
        <v>72</v>
      </c>
      <c r="AM891">
        <v>346053</v>
      </c>
      <c r="AO891" s="16" t="s">
        <v>110</v>
      </c>
      <c r="AP891" s="17" t="str">
        <f t="shared" si="61"/>
        <v>Nest (foundress)</v>
      </c>
      <c r="AQ891" s="18">
        <v>2</v>
      </c>
      <c r="AT891" s="19" t="s">
        <v>104</v>
      </c>
      <c r="AX891" s="22" t="str">
        <f>IF(AND('[1]observations-276632'!W891&gt;'[1]Methods write-up'!$Q$16,'[1]observations-276632'!W891&lt;'[1]Methods write-up'!$R$16,'[1]observations-276632'!X891&gt;'[1]Methods write-up'!$S$16,'[1]observations-276632'!X891&lt;'[1]Methods write-up'!$T$16),"West and Central Africa","")</f>
        <v/>
      </c>
      <c r="AY891" s="22" t="str">
        <f>IF(AND('[1]observations-276632'!W891&gt;'[1]Methods write-up'!$Q$17,'[1]observations-276632'!W891&lt;'[1]Methods write-up'!$R$17,'[1]observations-276632'!X891&gt;'[1]Methods write-up'!$S$17,'[1]observations-276632'!X891&lt;'[1]Methods write-up'!$T$17),"Equatorial tropical forest","")</f>
        <v/>
      </c>
      <c r="AZ891" s="22" t="str">
        <f>IF(AND('[1]observations-276632'!W891&gt;'[1]Methods write-up'!$Q$18,'[1]observations-276632'!W891&lt;'[1]Methods write-up'!$R$18,'[1]observations-276632'!X891&gt;'[1]Methods write-up'!$S$18,'[1]observations-276632'!X891&lt;'[1]Methods write-up'!$T$18),"Somali peninsula","")</f>
        <v/>
      </c>
      <c r="BA891" s="22" t="str">
        <f>IF(AND('[1]observations-276632'!W891&gt;'[1]Methods write-up'!$Q$19,'[1]observations-276632'!W891&lt;'[1]Methods write-up'!$R$19,'[1]observations-276632'!X891&gt;'[1]Methods write-up'!$S$19,'[1]observations-276632'!X891&lt;'[1]Methods write-up'!$T$19),"East Africa","")</f>
        <v>East Africa</v>
      </c>
      <c r="BB891" s="22" t="str">
        <f>IF(AND('[1]observations-276632'!W891&gt;'[1]Methods write-up'!$Q$20,'[1]observations-276632'!W891&lt;'[1]Methods write-up'!$R$20,'[1]observations-276632'!X891&gt;'[1]Methods write-up'!$S$20,'[1]observations-276632'!X891&lt;'[1]Methods write-up'!$T$20),"Temperate seasonal","")</f>
        <v/>
      </c>
      <c r="BC891" s="22" t="str">
        <f>IF(AND('[1]observations-276632'!W891&gt;'[1]Methods write-up'!$Q$21,'[1]observations-276632'!W891&lt;'[1]Methods write-up'!$R$21,'[1]observations-276632'!X891&gt;'[1]Methods write-up'!$S$21,'[1]observations-276632'!X891&lt;'[1]Methods write-up'!$T$21),"Desert and high aridity","")</f>
        <v/>
      </c>
      <c r="BD891" s="23" t="str">
        <f t="shared" si="60"/>
        <v>East Africa</v>
      </c>
      <c r="BE891" s="24">
        <f t="shared" si="57"/>
        <v>29</v>
      </c>
      <c r="BF891" s="24">
        <f t="shared" si="58"/>
        <v>12</v>
      </c>
    </row>
    <row r="892" spans="1:58" ht="16.25" customHeight="1" x14ac:dyDescent="0.2">
      <c r="A892">
        <v>103943589</v>
      </c>
      <c r="B892" s="25">
        <v>44560.411111111112</v>
      </c>
      <c r="C892" s="14">
        <v>44560</v>
      </c>
      <c r="D892" t="s">
        <v>6648</v>
      </c>
      <c r="E892" t="s">
        <v>113</v>
      </c>
      <c r="F892">
        <v>3065426</v>
      </c>
      <c r="G892" t="s">
        <v>6649</v>
      </c>
      <c r="H892" t="s">
        <v>6650</v>
      </c>
      <c r="I892" t="s">
        <v>6651</v>
      </c>
      <c r="J892" t="s">
        <v>6652</v>
      </c>
      <c r="K892" t="s">
        <v>62</v>
      </c>
      <c r="L892" t="s">
        <v>63</v>
      </c>
      <c r="M892" t="s">
        <v>6653</v>
      </c>
      <c r="N892" t="s">
        <v>6654</v>
      </c>
      <c r="R892">
        <v>3</v>
      </c>
      <c r="S892">
        <v>0</v>
      </c>
      <c r="T892" t="b">
        <v>0</v>
      </c>
      <c r="U892">
        <v>2</v>
      </c>
      <c r="V892" t="s">
        <v>6655</v>
      </c>
      <c r="W892" s="15">
        <v>-32.763333330000002</v>
      </c>
      <c r="X892" s="15">
        <v>28.24583333</v>
      </c>
      <c r="AF892" t="b">
        <v>0</v>
      </c>
      <c r="AG892" t="s">
        <v>350</v>
      </c>
      <c r="AH892" t="s">
        <v>350</v>
      </c>
      <c r="AI892" t="s">
        <v>71</v>
      </c>
      <c r="AJ892" t="s">
        <v>70</v>
      </c>
      <c r="AK892" t="s">
        <v>71</v>
      </c>
      <c r="AL892" t="s">
        <v>72</v>
      </c>
      <c r="AM892">
        <v>346053</v>
      </c>
      <c r="AO892" s="16" t="s">
        <v>73</v>
      </c>
      <c r="AP892" s="17" t="str">
        <f t="shared" si="61"/>
        <v>Off-nest female</v>
      </c>
      <c r="AX892" s="22" t="str">
        <f>IF(AND('[1]observations-276632'!W892&gt;'[1]Methods write-up'!$Q$16,'[1]observations-276632'!W892&lt;'[1]Methods write-up'!$R$16,'[1]observations-276632'!X892&gt;'[1]Methods write-up'!$S$16,'[1]observations-276632'!X892&lt;'[1]Methods write-up'!$T$16),"West and Central Africa","")</f>
        <v/>
      </c>
      <c r="AY892" s="22" t="str">
        <f>IF(AND('[1]observations-276632'!W892&gt;'[1]Methods write-up'!$Q$17,'[1]observations-276632'!W892&lt;'[1]Methods write-up'!$R$17,'[1]observations-276632'!X892&gt;'[1]Methods write-up'!$S$17,'[1]observations-276632'!X892&lt;'[1]Methods write-up'!$T$17),"Equatorial tropical forest","")</f>
        <v/>
      </c>
      <c r="AZ892" s="22" t="str">
        <f>IF(AND('[1]observations-276632'!W892&gt;'[1]Methods write-up'!$Q$18,'[1]observations-276632'!W892&lt;'[1]Methods write-up'!$R$18,'[1]observations-276632'!X892&gt;'[1]Methods write-up'!$S$18,'[1]observations-276632'!X892&lt;'[1]Methods write-up'!$T$18),"Somali peninsula","")</f>
        <v/>
      </c>
      <c r="BA892" s="22" t="str">
        <f>IF(AND('[1]observations-276632'!W892&gt;'[1]Methods write-up'!$Q$19,'[1]observations-276632'!W892&lt;'[1]Methods write-up'!$R$19,'[1]observations-276632'!X892&gt;'[1]Methods write-up'!$S$19,'[1]observations-276632'!X892&lt;'[1]Methods write-up'!$T$19),"East Africa","")</f>
        <v/>
      </c>
      <c r="BB892" s="22" t="str">
        <f>IF(AND('[1]observations-276632'!W892&gt;'[1]Methods write-up'!$Q$20,'[1]observations-276632'!W892&lt;'[1]Methods write-up'!$R$20,'[1]observations-276632'!X892&gt;'[1]Methods write-up'!$S$20,'[1]observations-276632'!X892&lt;'[1]Methods write-up'!$T$20),"Temperate seasonal","")</f>
        <v>Temperate seasonal</v>
      </c>
      <c r="BC892" s="22" t="str">
        <f>IF(AND('[1]observations-276632'!W892&gt;'[1]Methods write-up'!$Q$21,'[1]observations-276632'!W892&lt;'[1]Methods write-up'!$R$21,'[1]observations-276632'!X892&gt;'[1]Methods write-up'!$S$21,'[1]observations-276632'!X892&lt;'[1]Methods write-up'!$T$21),"Desert and high aridity","")</f>
        <v/>
      </c>
      <c r="BD892" s="23" t="str">
        <f t="shared" si="60"/>
        <v>Temperate seasonal</v>
      </c>
      <c r="BE892" s="24">
        <f t="shared" si="57"/>
        <v>30</v>
      </c>
      <c r="BF892" s="24">
        <f t="shared" si="58"/>
        <v>12</v>
      </c>
    </row>
    <row r="893" spans="1:58" ht="16.25" customHeight="1" x14ac:dyDescent="0.2">
      <c r="A893">
        <v>104041134</v>
      </c>
      <c r="B893" t="s">
        <v>6656</v>
      </c>
      <c r="C893" s="14">
        <v>44559</v>
      </c>
      <c r="D893" t="s">
        <v>6657</v>
      </c>
      <c r="E893" t="s">
        <v>113</v>
      </c>
      <c r="F893">
        <v>1575116</v>
      </c>
      <c r="G893" t="s">
        <v>3669</v>
      </c>
      <c r="H893" t="s">
        <v>3670</v>
      </c>
      <c r="I893" t="s">
        <v>6658</v>
      </c>
      <c r="J893" t="s">
        <v>6659</v>
      </c>
      <c r="K893" t="s">
        <v>62</v>
      </c>
      <c r="L893" t="s">
        <v>63</v>
      </c>
      <c r="M893" t="s">
        <v>6660</v>
      </c>
      <c r="N893" t="s">
        <v>6661</v>
      </c>
      <c r="R893">
        <v>2</v>
      </c>
      <c r="S893">
        <v>0</v>
      </c>
      <c r="T893" t="b">
        <v>0</v>
      </c>
      <c r="V893" t="s">
        <v>6662</v>
      </c>
      <c r="W893" s="15">
        <v>-1.1299283689999999</v>
      </c>
      <c r="X893" s="15">
        <v>35.19338467</v>
      </c>
      <c r="Y893">
        <v>977</v>
      </c>
      <c r="AC893">
        <v>977</v>
      </c>
      <c r="AF893" t="b">
        <v>0</v>
      </c>
      <c r="AI893" t="s">
        <v>71</v>
      </c>
      <c r="AJ893" t="s">
        <v>70</v>
      </c>
      <c r="AK893" t="s">
        <v>71</v>
      </c>
      <c r="AL893" t="s">
        <v>72</v>
      </c>
      <c r="AM893">
        <v>346053</v>
      </c>
      <c r="AO893" s="16" t="s">
        <v>6663</v>
      </c>
      <c r="AP893" s="17" t="str">
        <f t="shared" si="61"/>
        <v>Declined post-emergence nest (abandoned, as males only)</v>
      </c>
      <c r="AQ893" s="18" t="s">
        <v>6664</v>
      </c>
      <c r="AT893" s="19" t="s">
        <v>141</v>
      </c>
      <c r="AU893" s="20" t="s">
        <v>141</v>
      </c>
      <c r="AV893" s="21" t="s">
        <v>6665</v>
      </c>
      <c r="AX893" s="22" t="str">
        <f>IF(AND('[1]observations-276632'!W893&gt;'[1]Methods write-up'!$Q$16,'[1]observations-276632'!W893&lt;'[1]Methods write-up'!$R$16,'[1]observations-276632'!X893&gt;'[1]Methods write-up'!$S$16,'[1]observations-276632'!X893&lt;'[1]Methods write-up'!$T$16),"West and Central Africa","")</f>
        <v/>
      </c>
      <c r="AY893" s="22" t="str">
        <f>IF(AND('[1]observations-276632'!W893&gt;'[1]Methods write-up'!$Q$17,'[1]observations-276632'!W893&lt;'[1]Methods write-up'!$R$17,'[1]observations-276632'!X893&gt;'[1]Methods write-up'!$S$17,'[1]observations-276632'!X893&lt;'[1]Methods write-up'!$T$17),"Equatorial tropical forest","")</f>
        <v/>
      </c>
      <c r="AZ893" s="22" t="str">
        <f>IF(AND('[1]observations-276632'!W893&gt;'[1]Methods write-up'!$Q$18,'[1]observations-276632'!W893&lt;'[1]Methods write-up'!$R$18,'[1]observations-276632'!X893&gt;'[1]Methods write-up'!$S$18,'[1]observations-276632'!X893&lt;'[1]Methods write-up'!$T$18),"Somali peninsula","")</f>
        <v/>
      </c>
      <c r="BA893" s="22" t="str">
        <f>IF(AND('[1]observations-276632'!W893&gt;'[1]Methods write-up'!$Q$19,'[1]observations-276632'!W893&lt;'[1]Methods write-up'!$R$19,'[1]observations-276632'!X893&gt;'[1]Methods write-up'!$S$19,'[1]observations-276632'!X893&lt;'[1]Methods write-up'!$T$19),"East Africa","")</f>
        <v>East Africa</v>
      </c>
      <c r="BB893" s="22" t="str">
        <f>IF(AND('[1]observations-276632'!W893&gt;'[1]Methods write-up'!$Q$20,'[1]observations-276632'!W893&lt;'[1]Methods write-up'!$R$20,'[1]observations-276632'!X893&gt;'[1]Methods write-up'!$S$20,'[1]observations-276632'!X893&lt;'[1]Methods write-up'!$T$20),"Temperate seasonal","")</f>
        <v/>
      </c>
      <c r="BC893" s="22" t="str">
        <f>IF(AND('[1]observations-276632'!W893&gt;'[1]Methods write-up'!$Q$21,'[1]observations-276632'!W893&lt;'[1]Methods write-up'!$R$21,'[1]observations-276632'!X893&gt;'[1]Methods write-up'!$S$21,'[1]observations-276632'!X893&lt;'[1]Methods write-up'!$T$21),"Desert and high aridity","")</f>
        <v/>
      </c>
      <c r="BD893" s="23" t="str">
        <f t="shared" si="60"/>
        <v>East Africa</v>
      </c>
      <c r="BE893" s="24">
        <f t="shared" si="57"/>
        <v>29</v>
      </c>
      <c r="BF893" s="24">
        <f t="shared" si="58"/>
        <v>12</v>
      </c>
    </row>
    <row r="894" spans="1:58" ht="16.25" customHeight="1" x14ac:dyDescent="0.2">
      <c r="A894">
        <v>104159209</v>
      </c>
      <c r="B894" t="s">
        <v>6666</v>
      </c>
      <c r="C894" s="14">
        <v>38756</v>
      </c>
      <c r="D894" t="s">
        <v>6667</v>
      </c>
      <c r="E894" t="s">
        <v>1408</v>
      </c>
      <c r="F894">
        <v>2138373</v>
      </c>
      <c r="G894" t="s">
        <v>6668</v>
      </c>
      <c r="H894" t="s">
        <v>6669</v>
      </c>
      <c r="I894" t="s">
        <v>6670</v>
      </c>
      <c r="J894" t="s">
        <v>6671</v>
      </c>
      <c r="K894" t="s">
        <v>62</v>
      </c>
      <c r="M894" t="s">
        <v>6672</v>
      </c>
      <c r="N894" t="s">
        <v>6673</v>
      </c>
      <c r="R894">
        <v>2</v>
      </c>
      <c r="S894">
        <v>0</v>
      </c>
      <c r="T894" t="b">
        <v>0</v>
      </c>
      <c r="V894" t="s">
        <v>6674</v>
      </c>
      <c r="W894" s="15">
        <v>16.061951000000001</v>
      </c>
      <c r="X894" s="15">
        <v>-16.454944000000001</v>
      </c>
      <c r="Y894">
        <v>2084</v>
      </c>
      <c r="AC894">
        <v>2084</v>
      </c>
      <c r="AF894" t="b">
        <v>0</v>
      </c>
      <c r="AI894" t="s">
        <v>71</v>
      </c>
      <c r="AJ894" t="s">
        <v>70</v>
      </c>
      <c r="AK894" t="s">
        <v>71</v>
      </c>
      <c r="AL894" t="s">
        <v>72</v>
      </c>
      <c r="AM894">
        <v>346053</v>
      </c>
      <c r="AO894" s="16" t="s">
        <v>150</v>
      </c>
      <c r="AP894" s="17" t="str">
        <f t="shared" si="61"/>
        <v>Male (off nest)</v>
      </c>
      <c r="AX894" s="22" t="str">
        <f>IF(AND('[1]observations-276632'!W894&gt;'[1]Methods write-up'!$Q$16,'[1]observations-276632'!W894&lt;'[1]Methods write-up'!$R$16,'[1]observations-276632'!X894&gt;'[1]Methods write-up'!$S$16,'[1]observations-276632'!X894&lt;'[1]Methods write-up'!$T$16),"West and Central Africa","")</f>
        <v/>
      </c>
      <c r="AY894" s="22" t="str">
        <f>IF(AND('[1]observations-276632'!W894&gt;'[1]Methods write-up'!$Q$17,'[1]observations-276632'!W894&lt;'[1]Methods write-up'!$R$17,'[1]observations-276632'!X894&gt;'[1]Methods write-up'!$S$17,'[1]observations-276632'!X894&lt;'[1]Methods write-up'!$T$17),"Equatorial tropical forest","")</f>
        <v/>
      </c>
      <c r="AZ894" s="22" t="str">
        <f>IF(AND('[1]observations-276632'!W894&gt;'[1]Methods write-up'!$Q$18,'[1]observations-276632'!W894&lt;'[1]Methods write-up'!$R$18,'[1]observations-276632'!X894&gt;'[1]Methods write-up'!$S$18,'[1]observations-276632'!X894&lt;'[1]Methods write-up'!$T$18),"Somali peninsula","")</f>
        <v/>
      </c>
      <c r="BA894" s="22" t="str">
        <f>IF(AND('[1]observations-276632'!W894&gt;'[1]Methods write-up'!$Q$19,'[1]observations-276632'!W894&lt;'[1]Methods write-up'!$R$19,'[1]observations-276632'!X894&gt;'[1]Methods write-up'!$S$19,'[1]observations-276632'!X894&lt;'[1]Methods write-up'!$T$19),"East Africa","")</f>
        <v/>
      </c>
      <c r="BB894" s="22" t="str">
        <f>IF(AND('[1]observations-276632'!W894&gt;'[1]Methods write-up'!$Q$20,'[1]observations-276632'!W894&lt;'[1]Methods write-up'!$R$20,'[1]observations-276632'!X894&gt;'[1]Methods write-up'!$S$20,'[1]observations-276632'!X894&lt;'[1]Methods write-up'!$T$20),"Temperate seasonal","")</f>
        <v/>
      </c>
      <c r="BC894" s="22" t="str">
        <f>IF(AND('[1]observations-276632'!W894&gt;'[1]Methods write-up'!$Q$21,'[1]observations-276632'!W894&lt;'[1]Methods write-up'!$R$21,'[1]observations-276632'!X894&gt;'[1]Methods write-up'!$S$21,'[1]observations-276632'!X894&lt;'[1]Methods write-up'!$T$21),"Desert and high aridity","")</f>
        <v/>
      </c>
      <c r="BD894" s="23" t="str">
        <f t="shared" si="60"/>
        <v/>
      </c>
      <c r="BE894" s="24">
        <f t="shared" si="57"/>
        <v>8</v>
      </c>
      <c r="BF894" s="24">
        <f t="shared" si="58"/>
        <v>2</v>
      </c>
    </row>
    <row r="895" spans="1:58" ht="16.25" customHeight="1" x14ac:dyDescent="0.2">
      <c r="A895">
        <v>104185012</v>
      </c>
      <c r="B895" t="s">
        <v>6675</v>
      </c>
      <c r="C895" s="14">
        <v>43184</v>
      </c>
      <c r="D895" t="s">
        <v>6676</v>
      </c>
      <c r="E895" t="s">
        <v>1408</v>
      </c>
      <c r="F895">
        <v>5279261</v>
      </c>
      <c r="G895" t="s">
        <v>6677</v>
      </c>
      <c r="H895" t="s">
        <v>6678</v>
      </c>
      <c r="I895" t="s">
        <v>6679</v>
      </c>
      <c r="J895" t="s">
        <v>6680</v>
      </c>
      <c r="K895" t="s">
        <v>62</v>
      </c>
      <c r="L895" t="s">
        <v>63</v>
      </c>
      <c r="M895" t="s">
        <v>6681</v>
      </c>
      <c r="N895" t="s">
        <v>6682</v>
      </c>
      <c r="R895">
        <v>1</v>
      </c>
      <c r="S895">
        <v>0</v>
      </c>
      <c r="T895" t="b">
        <v>0</v>
      </c>
      <c r="V895" t="s">
        <v>6683</v>
      </c>
      <c r="W895" s="15">
        <v>-3.3654323000000002</v>
      </c>
      <c r="X895" s="15">
        <v>36.703727399999998</v>
      </c>
      <c r="Y895">
        <v>206</v>
      </c>
      <c r="AC895">
        <v>206</v>
      </c>
      <c r="AF895" t="b">
        <v>0</v>
      </c>
      <c r="AI895" t="s">
        <v>71</v>
      </c>
      <c r="AJ895" t="s">
        <v>70</v>
      </c>
      <c r="AK895" t="s">
        <v>71</v>
      </c>
      <c r="AL895" t="s">
        <v>72</v>
      </c>
      <c r="AM895">
        <v>346053</v>
      </c>
      <c r="AO895" s="16" t="s">
        <v>150</v>
      </c>
      <c r="AP895" s="17" t="str">
        <f t="shared" si="61"/>
        <v>Male (off nest)</v>
      </c>
      <c r="AX895" s="22" t="str">
        <f>IF(AND('[1]observations-276632'!W895&gt;'[1]Methods write-up'!$Q$16,'[1]observations-276632'!W895&lt;'[1]Methods write-up'!$R$16,'[1]observations-276632'!X895&gt;'[1]Methods write-up'!$S$16,'[1]observations-276632'!X895&lt;'[1]Methods write-up'!$T$16),"West and Central Africa","")</f>
        <v/>
      </c>
      <c r="AY895" s="22" t="str">
        <f>IF(AND('[1]observations-276632'!W895&gt;'[1]Methods write-up'!$Q$17,'[1]observations-276632'!W895&lt;'[1]Methods write-up'!$R$17,'[1]observations-276632'!X895&gt;'[1]Methods write-up'!$S$17,'[1]observations-276632'!X895&lt;'[1]Methods write-up'!$T$17),"Equatorial tropical forest","")</f>
        <v/>
      </c>
      <c r="AZ895" s="22" t="str">
        <f>IF(AND('[1]observations-276632'!W895&gt;'[1]Methods write-up'!$Q$18,'[1]observations-276632'!W895&lt;'[1]Methods write-up'!$R$18,'[1]observations-276632'!X895&gt;'[1]Methods write-up'!$S$18,'[1]observations-276632'!X895&lt;'[1]Methods write-up'!$T$18),"Somali peninsula","")</f>
        <v/>
      </c>
      <c r="BA895" s="22" t="str">
        <f>IF(AND('[1]observations-276632'!W895&gt;'[1]Methods write-up'!$Q$19,'[1]observations-276632'!W895&lt;'[1]Methods write-up'!$R$19,'[1]observations-276632'!X895&gt;'[1]Methods write-up'!$S$19,'[1]observations-276632'!X895&lt;'[1]Methods write-up'!$T$19),"East Africa","")</f>
        <v>East Africa</v>
      </c>
      <c r="BB895" s="22" t="str">
        <f>IF(AND('[1]observations-276632'!W895&gt;'[1]Methods write-up'!$Q$20,'[1]observations-276632'!W895&lt;'[1]Methods write-up'!$R$20,'[1]observations-276632'!X895&gt;'[1]Methods write-up'!$S$20,'[1]observations-276632'!X895&lt;'[1]Methods write-up'!$T$20),"Temperate seasonal","")</f>
        <v/>
      </c>
      <c r="BC895" s="22" t="str">
        <f>IF(AND('[1]observations-276632'!W895&gt;'[1]Methods write-up'!$Q$21,'[1]observations-276632'!W895&lt;'[1]Methods write-up'!$R$21,'[1]observations-276632'!X895&gt;'[1]Methods write-up'!$S$21,'[1]observations-276632'!X895&lt;'[1]Methods write-up'!$T$21),"Desert and high aridity","")</f>
        <v/>
      </c>
      <c r="BD895" s="23" t="str">
        <f t="shared" si="60"/>
        <v>East Africa</v>
      </c>
      <c r="BE895" s="24">
        <f t="shared" si="57"/>
        <v>25</v>
      </c>
      <c r="BF895" s="24">
        <f t="shared" si="58"/>
        <v>3</v>
      </c>
    </row>
    <row r="896" spans="1:58" ht="16.25" customHeight="1" x14ac:dyDescent="0.2">
      <c r="A896">
        <v>104269367</v>
      </c>
      <c r="B896" t="s">
        <v>6684</v>
      </c>
      <c r="C896" s="14">
        <v>43534</v>
      </c>
      <c r="D896" t="s">
        <v>6685</v>
      </c>
      <c r="E896" t="s">
        <v>1408</v>
      </c>
      <c r="F896">
        <v>5279261</v>
      </c>
      <c r="G896" t="s">
        <v>6677</v>
      </c>
      <c r="H896" t="s">
        <v>6678</v>
      </c>
      <c r="I896" t="s">
        <v>6686</v>
      </c>
      <c r="J896" t="s">
        <v>6687</v>
      </c>
      <c r="K896" t="s">
        <v>62</v>
      </c>
      <c r="L896" t="s">
        <v>63</v>
      </c>
      <c r="M896" t="s">
        <v>6688</v>
      </c>
      <c r="N896" t="s">
        <v>6689</v>
      </c>
      <c r="R896">
        <v>3</v>
      </c>
      <c r="S896">
        <v>0</v>
      </c>
      <c r="T896" t="b">
        <v>0</v>
      </c>
      <c r="V896" t="s">
        <v>6690</v>
      </c>
      <c r="W896" s="15">
        <v>-3.40032362</v>
      </c>
      <c r="X896" s="15">
        <v>36.878433639999997</v>
      </c>
      <c r="Y896">
        <v>4</v>
      </c>
      <c r="AC896">
        <v>4</v>
      </c>
      <c r="AF896" t="b">
        <v>0</v>
      </c>
      <c r="AI896" t="s">
        <v>71</v>
      </c>
      <c r="AJ896" t="s">
        <v>70</v>
      </c>
      <c r="AK896" t="s">
        <v>71</v>
      </c>
      <c r="AL896" t="s">
        <v>72</v>
      </c>
      <c r="AM896">
        <v>346053</v>
      </c>
      <c r="AO896" s="16" t="s">
        <v>442</v>
      </c>
      <c r="AP896" s="17" t="str">
        <f t="shared" si="61"/>
        <v>Dead female</v>
      </c>
      <c r="AX896" s="22" t="str">
        <f>IF(AND('[1]observations-276632'!W896&gt;'[1]Methods write-up'!$Q$16,'[1]observations-276632'!W896&lt;'[1]Methods write-up'!$R$16,'[1]observations-276632'!X896&gt;'[1]Methods write-up'!$S$16,'[1]observations-276632'!X896&lt;'[1]Methods write-up'!$T$16),"West and Central Africa","")</f>
        <v/>
      </c>
      <c r="AY896" s="22" t="str">
        <f>IF(AND('[1]observations-276632'!W896&gt;'[1]Methods write-up'!$Q$17,'[1]observations-276632'!W896&lt;'[1]Methods write-up'!$R$17,'[1]observations-276632'!X896&gt;'[1]Methods write-up'!$S$17,'[1]observations-276632'!X896&lt;'[1]Methods write-up'!$T$17),"Equatorial tropical forest","")</f>
        <v/>
      </c>
      <c r="AZ896" s="22" t="str">
        <f>IF(AND('[1]observations-276632'!W896&gt;'[1]Methods write-up'!$Q$18,'[1]observations-276632'!W896&lt;'[1]Methods write-up'!$R$18,'[1]observations-276632'!X896&gt;'[1]Methods write-up'!$S$18,'[1]observations-276632'!X896&lt;'[1]Methods write-up'!$T$18),"Somali peninsula","")</f>
        <v/>
      </c>
      <c r="BA896" s="22" t="str">
        <f>IF(AND('[1]observations-276632'!W896&gt;'[1]Methods write-up'!$Q$19,'[1]observations-276632'!W896&lt;'[1]Methods write-up'!$R$19,'[1]observations-276632'!X896&gt;'[1]Methods write-up'!$S$19,'[1]observations-276632'!X896&lt;'[1]Methods write-up'!$T$19),"East Africa","")</f>
        <v>East Africa</v>
      </c>
      <c r="BB896" s="22" t="str">
        <f>IF(AND('[1]observations-276632'!W896&gt;'[1]Methods write-up'!$Q$20,'[1]observations-276632'!W896&lt;'[1]Methods write-up'!$R$20,'[1]observations-276632'!X896&gt;'[1]Methods write-up'!$S$20,'[1]observations-276632'!X896&lt;'[1]Methods write-up'!$T$20),"Temperate seasonal","")</f>
        <v/>
      </c>
      <c r="BC896" s="22" t="str">
        <f>IF(AND('[1]observations-276632'!W896&gt;'[1]Methods write-up'!$Q$21,'[1]observations-276632'!W896&lt;'[1]Methods write-up'!$R$21,'[1]observations-276632'!X896&gt;'[1]Methods write-up'!$S$21,'[1]observations-276632'!X896&lt;'[1]Methods write-up'!$T$21),"Desert and high aridity","")</f>
        <v/>
      </c>
      <c r="BD896" s="23" t="str">
        <f t="shared" si="60"/>
        <v>East Africa</v>
      </c>
      <c r="BE896" s="24">
        <f t="shared" si="57"/>
        <v>10</v>
      </c>
      <c r="BF896" s="24">
        <f t="shared" si="58"/>
        <v>3</v>
      </c>
    </row>
    <row r="897" spans="1:58" ht="16.25" customHeight="1" x14ac:dyDescent="0.2">
      <c r="A897">
        <v>104351718</v>
      </c>
      <c r="B897" t="s">
        <v>6691</v>
      </c>
      <c r="C897" s="14">
        <v>44546</v>
      </c>
      <c r="D897" t="s">
        <v>6692</v>
      </c>
      <c r="E897" t="s">
        <v>193</v>
      </c>
      <c r="F897">
        <v>3550339</v>
      </c>
      <c r="G897" t="s">
        <v>4733</v>
      </c>
      <c r="H897" t="s">
        <v>4734</v>
      </c>
      <c r="I897" t="s">
        <v>6693</v>
      </c>
      <c r="J897" t="s">
        <v>6694</v>
      </c>
      <c r="K897" t="s">
        <v>62</v>
      </c>
      <c r="L897" t="s">
        <v>373</v>
      </c>
      <c r="M897" t="s">
        <v>6695</v>
      </c>
      <c r="N897" t="s">
        <v>6696</v>
      </c>
      <c r="R897">
        <v>1</v>
      </c>
      <c r="S897">
        <v>0</v>
      </c>
      <c r="T897" t="b">
        <v>0</v>
      </c>
      <c r="U897">
        <v>3</v>
      </c>
      <c r="V897" t="s">
        <v>6697</v>
      </c>
      <c r="W897" s="15">
        <v>5.1798419999999998</v>
      </c>
      <c r="X897" s="15">
        <v>-1.309392965</v>
      </c>
      <c r="Y897">
        <v>42</v>
      </c>
      <c r="AC897">
        <v>42</v>
      </c>
      <c r="AF897" t="b">
        <v>0</v>
      </c>
      <c r="AI897" t="s">
        <v>71</v>
      </c>
      <c r="AJ897" t="s">
        <v>70</v>
      </c>
      <c r="AK897" t="s">
        <v>71</v>
      </c>
      <c r="AL897" t="s">
        <v>72</v>
      </c>
      <c r="AM897">
        <v>346053</v>
      </c>
      <c r="AO897" s="16" t="s">
        <v>73</v>
      </c>
      <c r="AP897" s="17" t="str">
        <f t="shared" si="61"/>
        <v>Off-nest female</v>
      </c>
      <c r="AX897" s="22" t="str">
        <f>IF(AND('[1]observations-276632'!W897&gt;'[1]Methods write-up'!$Q$16,'[1]observations-276632'!W897&lt;'[1]Methods write-up'!$R$16,'[1]observations-276632'!X897&gt;'[1]Methods write-up'!$S$16,'[1]observations-276632'!X897&lt;'[1]Methods write-up'!$T$16),"West and Central Africa","")</f>
        <v>West and Central Africa</v>
      </c>
      <c r="AY897" s="22" t="str">
        <f>IF(AND('[1]observations-276632'!W897&gt;'[1]Methods write-up'!$Q$17,'[1]observations-276632'!W897&lt;'[1]Methods write-up'!$R$17,'[1]observations-276632'!X897&gt;'[1]Methods write-up'!$S$17,'[1]observations-276632'!X897&lt;'[1]Methods write-up'!$T$17),"Equatorial tropical forest","")</f>
        <v/>
      </c>
      <c r="AZ897" s="22" t="str">
        <f>IF(AND('[1]observations-276632'!W897&gt;'[1]Methods write-up'!$Q$18,'[1]observations-276632'!W897&lt;'[1]Methods write-up'!$R$18,'[1]observations-276632'!X897&gt;'[1]Methods write-up'!$S$18,'[1]observations-276632'!X897&lt;'[1]Methods write-up'!$T$18),"Somali peninsula","")</f>
        <v/>
      </c>
      <c r="BA897" s="22" t="str">
        <f>IF(AND('[1]observations-276632'!W897&gt;'[1]Methods write-up'!$Q$19,'[1]observations-276632'!W897&lt;'[1]Methods write-up'!$R$19,'[1]observations-276632'!X897&gt;'[1]Methods write-up'!$S$19,'[1]observations-276632'!X897&lt;'[1]Methods write-up'!$T$19),"East Africa","")</f>
        <v/>
      </c>
      <c r="BB897" s="22" t="str">
        <f>IF(AND('[1]observations-276632'!W897&gt;'[1]Methods write-up'!$Q$20,'[1]observations-276632'!W897&lt;'[1]Methods write-up'!$R$20,'[1]observations-276632'!X897&gt;'[1]Methods write-up'!$S$20,'[1]observations-276632'!X897&lt;'[1]Methods write-up'!$T$20),"Temperate seasonal","")</f>
        <v/>
      </c>
      <c r="BC897" s="22" t="str">
        <f>IF(AND('[1]observations-276632'!W897&gt;'[1]Methods write-up'!$Q$21,'[1]observations-276632'!W897&lt;'[1]Methods write-up'!$R$21,'[1]observations-276632'!X897&gt;'[1]Methods write-up'!$S$21,'[1]observations-276632'!X897&lt;'[1]Methods write-up'!$T$21),"Desert and high aridity","")</f>
        <v/>
      </c>
      <c r="BD897" s="23" t="str">
        <f t="shared" si="60"/>
        <v>West and Central Africa</v>
      </c>
      <c r="BE897" s="24">
        <f t="shared" si="57"/>
        <v>16</v>
      </c>
      <c r="BF897" s="24">
        <f t="shared" si="58"/>
        <v>12</v>
      </c>
    </row>
    <row r="898" spans="1:58" ht="16.25" customHeight="1" x14ac:dyDescent="0.2">
      <c r="A898">
        <v>104396720</v>
      </c>
      <c r="B898" t="s">
        <v>6698</v>
      </c>
      <c r="C898" s="14">
        <v>44547</v>
      </c>
      <c r="D898" t="s">
        <v>6699</v>
      </c>
      <c r="E898" t="s">
        <v>193</v>
      </c>
      <c r="F898">
        <v>3550339</v>
      </c>
      <c r="G898" t="s">
        <v>4733</v>
      </c>
      <c r="H898" t="s">
        <v>4734</v>
      </c>
      <c r="I898" t="s">
        <v>6700</v>
      </c>
      <c r="J898" t="s">
        <v>6701</v>
      </c>
      <c r="K898" t="s">
        <v>62</v>
      </c>
      <c r="L898" t="s">
        <v>373</v>
      </c>
      <c r="M898" t="s">
        <v>6702</v>
      </c>
      <c r="N898" t="s">
        <v>6703</v>
      </c>
      <c r="R898">
        <v>2</v>
      </c>
      <c r="S898">
        <v>0</v>
      </c>
      <c r="T898" t="b">
        <v>0</v>
      </c>
      <c r="U898">
        <v>3</v>
      </c>
      <c r="V898" t="s">
        <v>6704</v>
      </c>
      <c r="W898" s="15">
        <v>5.3491215749999999</v>
      </c>
      <c r="X898" s="15">
        <v>-1.383809678</v>
      </c>
      <c r="Y898">
        <v>41</v>
      </c>
      <c r="AC898">
        <v>41</v>
      </c>
      <c r="AF898" t="b">
        <v>0</v>
      </c>
      <c r="AI898" t="s">
        <v>71</v>
      </c>
      <c r="AJ898" t="s">
        <v>70</v>
      </c>
      <c r="AK898" t="s">
        <v>71</v>
      </c>
      <c r="AL898" t="s">
        <v>72</v>
      </c>
      <c r="AM898">
        <v>346053</v>
      </c>
      <c r="AO898" s="16" t="s">
        <v>150</v>
      </c>
      <c r="AP898" s="17" t="str">
        <f t="shared" si="61"/>
        <v>Male (off nest)</v>
      </c>
      <c r="AX898" s="22" t="str">
        <f>IF(AND('[1]observations-276632'!W898&gt;'[1]Methods write-up'!$Q$16,'[1]observations-276632'!W898&lt;'[1]Methods write-up'!$R$16,'[1]observations-276632'!X898&gt;'[1]Methods write-up'!$S$16,'[1]observations-276632'!X898&lt;'[1]Methods write-up'!$T$16),"West and Central Africa","")</f>
        <v>West and Central Africa</v>
      </c>
      <c r="AY898" s="22" t="str">
        <f>IF(AND('[1]observations-276632'!W898&gt;'[1]Methods write-up'!$Q$17,'[1]observations-276632'!W898&lt;'[1]Methods write-up'!$R$17,'[1]observations-276632'!X898&gt;'[1]Methods write-up'!$S$17,'[1]observations-276632'!X898&lt;'[1]Methods write-up'!$T$17),"Equatorial tropical forest","")</f>
        <v/>
      </c>
      <c r="AZ898" s="22" t="str">
        <f>IF(AND('[1]observations-276632'!W898&gt;'[1]Methods write-up'!$Q$18,'[1]observations-276632'!W898&lt;'[1]Methods write-up'!$R$18,'[1]observations-276632'!X898&gt;'[1]Methods write-up'!$S$18,'[1]observations-276632'!X898&lt;'[1]Methods write-up'!$T$18),"Somali peninsula","")</f>
        <v/>
      </c>
      <c r="BA898" s="22" t="str">
        <f>IF(AND('[1]observations-276632'!W898&gt;'[1]Methods write-up'!$Q$19,'[1]observations-276632'!W898&lt;'[1]Methods write-up'!$R$19,'[1]observations-276632'!X898&gt;'[1]Methods write-up'!$S$19,'[1]observations-276632'!X898&lt;'[1]Methods write-up'!$T$19),"East Africa","")</f>
        <v/>
      </c>
      <c r="BB898" s="22" t="str">
        <f>IF(AND('[1]observations-276632'!W898&gt;'[1]Methods write-up'!$Q$20,'[1]observations-276632'!W898&lt;'[1]Methods write-up'!$R$20,'[1]observations-276632'!X898&gt;'[1]Methods write-up'!$S$20,'[1]observations-276632'!X898&lt;'[1]Methods write-up'!$T$20),"Temperate seasonal","")</f>
        <v/>
      </c>
      <c r="BC898" s="22" t="str">
        <f>IF(AND('[1]observations-276632'!W898&gt;'[1]Methods write-up'!$Q$21,'[1]observations-276632'!W898&lt;'[1]Methods write-up'!$R$21,'[1]observations-276632'!X898&gt;'[1]Methods write-up'!$S$21,'[1]observations-276632'!X898&lt;'[1]Methods write-up'!$T$21),"Desert and high aridity","")</f>
        <v/>
      </c>
      <c r="BD898" s="23" t="str">
        <f t="shared" si="60"/>
        <v>West and Central Africa</v>
      </c>
      <c r="BE898" s="24">
        <f t="shared" ref="BE898:BE961" si="62">DAY(C898)</f>
        <v>17</v>
      </c>
      <c r="BF898" s="24">
        <f t="shared" ref="BF898:BF961" si="63">MONTH(C898)</f>
        <v>12</v>
      </c>
    </row>
    <row r="899" spans="1:58" ht="16.25" customHeight="1" x14ac:dyDescent="0.2">
      <c r="A899">
        <v>104544451</v>
      </c>
      <c r="B899" t="s">
        <v>6705</v>
      </c>
      <c r="C899" s="14">
        <v>44568</v>
      </c>
      <c r="D899" t="s">
        <v>6706</v>
      </c>
      <c r="E899" t="s">
        <v>1408</v>
      </c>
      <c r="F899">
        <v>2138373</v>
      </c>
      <c r="G899" t="s">
        <v>6668</v>
      </c>
      <c r="H899" t="s">
        <v>6669</v>
      </c>
      <c r="I899" t="s">
        <v>6707</v>
      </c>
      <c r="J899" t="s">
        <v>6708</v>
      </c>
      <c r="K899" t="s">
        <v>62</v>
      </c>
      <c r="M899" t="s">
        <v>6709</v>
      </c>
      <c r="N899" t="s">
        <v>6710</v>
      </c>
      <c r="R899">
        <v>1</v>
      </c>
      <c r="S899">
        <v>0</v>
      </c>
      <c r="T899" t="b">
        <v>0</v>
      </c>
      <c r="V899" t="s">
        <v>6711</v>
      </c>
      <c r="W899" s="15">
        <v>13.460836390000001</v>
      </c>
      <c r="X899" s="15">
        <v>-16.707884719999999</v>
      </c>
      <c r="AF899" t="b">
        <v>0</v>
      </c>
      <c r="AI899" t="s">
        <v>71</v>
      </c>
      <c r="AJ899" t="s">
        <v>70</v>
      </c>
      <c r="AK899" t="s">
        <v>71</v>
      </c>
      <c r="AL899" t="s">
        <v>72</v>
      </c>
      <c r="AM899">
        <v>346053</v>
      </c>
      <c r="AO899" s="16" t="s">
        <v>150</v>
      </c>
      <c r="AP899" s="17" t="str">
        <f t="shared" si="61"/>
        <v>Male (off nest)</v>
      </c>
      <c r="AX899" s="22" t="str">
        <f>IF(AND('[1]observations-276632'!W899&gt;'[1]Methods write-up'!$Q$16,'[1]observations-276632'!W899&lt;'[1]Methods write-up'!$R$16,'[1]observations-276632'!X899&gt;'[1]Methods write-up'!$S$16,'[1]observations-276632'!X899&lt;'[1]Methods write-up'!$T$16),"West and Central Africa","")</f>
        <v/>
      </c>
      <c r="AY899" s="22" t="str">
        <f>IF(AND('[1]observations-276632'!W899&gt;'[1]Methods write-up'!$Q$17,'[1]observations-276632'!W899&lt;'[1]Methods write-up'!$R$17,'[1]observations-276632'!X899&gt;'[1]Methods write-up'!$S$17,'[1]observations-276632'!X899&lt;'[1]Methods write-up'!$T$17),"Equatorial tropical forest","")</f>
        <v/>
      </c>
      <c r="AZ899" s="22" t="str">
        <f>IF(AND('[1]observations-276632'!W899&gt;'[1]Methods write-up'!$Q$18,'[1]observations-276632'!W899&lt;'[1]Methods write-up'!$R$18,'[1]observations-276632'!X899&gt;'[1]Methods write-up'!$S$18,'[1]observations-276632'!X899&lt;'[1]Methods write-up'!$T$18),"Somali peninsula","")</f>
        <v/>
      </c>
      <c r="BA899" s="22" t="str">
        <f>IF(AND('[1]observations-276632'!W899&gt;'[1]Methods write-up'!$Q$19,'[1]observations-276632'!W899&lt;'[1]Methods write-up'!$R$19,'[1]observations-276632'!X899&gt;'[1]Methods write-up'!$S$19,'[1]observations-276632'!X899&lt;'[1]Methods write-up'!$T$19),"East Africa","")</f>
        <v/>
      </c>
      <c r="BB899" s="22" t="str">
        <f>IF(AND('[1]observations-276632'!W899&gt;'[1]Methods write-up'!$Q$20,'[1]observations-276632'!W899&lt;'[1]Methods write-up'!$R$20,'[1]observations-276632'!X899&gt;'[1]Methods write-up'!$S$20,'[1]observations-276632'!X899&lt;'[1]Methods write-up'!$T$20),"Temperate seasonal","")</f>
        <v/>
      </c>
      <c r="BC899" s="22" t="str">
        <f>IF(AND('[1]observations-276632'!W899&gt;'[1]Methods write-up'!$Q$21,'[1]observations-276632'!W899&lt;'[1]Methods write-up'!$R$21,'[1]observations-276632'!X899&gt;'[1]Methods write-up'!$S$21,'[1]observations-276632'!X899&lt;'[1]Methods write-up'!$T$21),"Desert and high aridity","")</f>
        <v/>
      </c>
      <c r="BD899" s="23" t="str">
        <f t="shared" ref="BD899:BD962" si="64">AX899&amp;AY899&amp;AZ899&amp;BA899&amp;BB899&amp;BC899</f>
        <v/>
      </c>
      <c r="BE899" s="24">
        <f t="shared" si="62"/>
        <v>7</v>
      </c>
      <c r="BF899" s="24">
        <f t="shared" si="63"/>
        <v>1</v>
      </c>
    </row>
    <row r="900" spans="1:58" ht="16.25" customHeight="1" x14ac:dyDescent="0.2">
      <c r="A900">
        <v>104644873</v>
      </c>
      <c r="B900" s="25">
        <v>44570.552083333336</v>
      </c>
      <c r="C900" s="14">
        <v>44570</v>
      </c>
      <c r="D900" t="s">
        <v>6712</v>
      </c>
      <c r="E900" t="s">
        <v>113</v>
      </c>
      <c r="F900">
        <v>1495441</v>
      </c>
      <c r="G900" t="s">
        <v>6713</v>
      </c>
      <c r="H900" t="s">
        <v>6714</v>
      </c>
      <c r="I900" t="s">
        <v>6715</v>
      </c>
      <c r="J900" t="s">
        <v>6716</v>
      </c>
      <c r="K900" t="s">
        <v>62</v>
      </c>
      <c r="L900" t="s">
        <v>63</v>
      </c>
      <c r="M900" t="s">
        <v>6717</v>
      </c>
      <c r="N900" t="s">
        <v>6718</v>
      </c>
      <c r="R900">
        <v>2</v>
      </c>
      <c r="S900">
        <v>0</v>
      </c>
      <c r="T900" t="b">
        <v>0</v>
      </c>
      <c r="U900">
        <v>2</v>
      </c>
      <c r="V900" t="s">
        <v>2936</v>
      </c>
      <c r="W900" s="15">
        <v>-33.984179060000002</v>
      </c>
      <c r="X900" s="15">
        <v>22.609283000000001</v>
      </c>
      <c r="Y900">
        <v>10</v>
      </c>
      <c r="AC900">
        <v>10</v>
      </c>
      <c r="AF900" t="b">
        <v>0</v>
      </c>
      <c r="AI900" t="s">
        <v>71</v>
      </c>
      <c r="AJ900" t="s">
        <v>70</v>
      </c>
      <c r="AK900" t="s">
        <v>71</v>
      </c>
      <c r="AL900" t="s">
        <v>72</v>
      </c>
      <c r="AM900">
        <v>346053</v>
      </c>
      <c r="AO900" s="16" t="s">
        <v>110</v>
      </c>
      <c r="AP900" s="17" t="str">
        <f t="shared" si="61"/>
        <v>Nest (foundress)</v>
      </c>
      <c r="AQ900" s="18">
        <v>1</v>
      </c>
      <c r="AT900" s="19" t="s">
        <v>104</v>
      </c>
      <c r="AX900" s="22" t="str">
        <f>IF(AND('[1]observations-276632'!W900&gt;'[1]Methods write-up'!$Q$16,'[1]observations-276632'!W900&lt;'[1]Methods write-up'!$R$16,'[1]observations-276632'!X900&gt;'[1]Methods write-up'!$S$16,'[1]observations-276632'!X900&lt;'[1]Methods write-up'!$T$16),"West and Central Africa","")</f>
        <v/>
      </c>
      <c r="AY900" s="22" t="str">
        <f>IF(AND('[1]observations-276632'!W900&gt;'[1]Methods write-up'!$Q$17,'[1]observations-276632'!W900&lt;'[1]Methods write-up'!$R$17,'[1]observations-276632'!X900&gt;'[1]Methods write-up'!$S$17,'[1]observations-276632'!X900&lt;'[1]Methods write-up'!$T$17),"Equatorial tropical forest","")</f>
        <v/>
      </c>
      <c r="AZ900" s="22" t="str">
        <f>IF(AND('[1]observations-276632'!W900&gt;'[1]Methods write-up'!$Q$18,'[1]observations-276632'!W900&lt;'[1]Methods write-up'!$R$18,'[1]observations-276632'!X900&gt;'[1]Methods write-up'!$S$18,'[1]observations-276632'!X900&lt;'[1]Methods write-up'!$T$18),"Somali peninsula","")</f>
        <v/>
      </c>
      <c r="BA900" s="22" t="str">
        <f>IF(AND('[1]observations-276632'!W900&gt;'[1]Methods write-up'!$Q$19,'[1]observations-276632'!W900&lt;'[1]Methods write-up'!$R$19,'[1]observations-276632'!X900&gt;'[1]Methods write-up'!$S$19,'[1]observations-276632'!X900&lt;'[1]Methods write-up'!$T$19),"East Africa","")</f>
        <v/>
      </c>
      <c r="BB900" s="22" t="str">
        <f>IF(AND('[1]observations-276632'!W900&gt;'[1]Methods write-up'!$Q$20,'[1]observations-276632'!W900&lt;'[1]Methods write-up'!$R$20,'[1]observations-276632'!X900&gt;'[1]Methods write-up'!$S$20,'[1]observations-276632'!X900&lt;'[1]Methods write-up'!$T$20),"Temperate seasonal","")</f>
        <v/>
      </c>
      <c r="BC900" s="22" t="str">
        <f>IF(AND('[1]observations-276632'!W900&gt;'[1]Methods write-up'!$Q$21,'[1]observations-276632'!W900&lt;'[1]Methods write-up'!$R$21,'[1]observations-276632'!X900&gt;'[1]Methods write-up'!$S$21,'[1]observations-276632'!X900&lt;'[1]Methods write-up'!$T$21),"Desert and high aridity","")</f>
        <v/>
      </c>
      <c r="BD900" s="23" t="str">
        <f t="shared" si="64"/>
        <v/>
      </c>
      <c r="BE900" s="24">
        <f t="shared" si="62"/>
        <v>9</v>
      </c>
      <c r="BF900" s="24">
        <f t="shared" si="63"/>
        <v>1</v>
      </c>
    </row>
    <row r="901" spans="1:58" ht="16.25" customHeight="1" x14ac:dyDescent="0.2">
      <c r="A901">
        <v>104696882</v>
      </c>
      <c r="B901" t="s">
        <v>6719</v>
      </c>
      <c r="C901" s="14">
        <v>44571</v>
      </c>
      <c r="D901" t="s">
        <v>6720</v>
      </c>
      <c r="E901" t="s">
        <v>6201</v>
      </c>
      <c r="F901">
        <v>5074728</v>
      </c>
      <c r="G901" t="s">
        <v>6347</v>
      </c>
      <c r="I901" t="s">
        <v>6721</v>
      </c>
      <c r="J901" t="s">
        <v>6722</v>
      </c>
      <c r="K901" t="s">
        <v>62</v>
      </c>
      <c r="L901" t="s">
        <v>63</v>
      </c>
      <c r="M901" t="s">
        <v>6723</v>
      </c>
      <c r="N901" t="s">
        <v>6724</v>
      </c>
      <c r="R901">
        <v>3</v>
      </c>
      <c r="S901">
        <v>0</v>
      </c>
      <c r="T901" t="b">
        <v>0</v>
      </c>
      <c r="U901">
        <v>3</v>
      </c>
      <c r="V901" t="s">
        <v>6725</v>
      </c>
      <c r="W901" s="15">
        <v>-29.822893400000002</v>
      </c>
      <c r="X901" s="15">
        <v>31.01901814</v>
      </c>
      <c r="Y901">
        <v>70</v>
      </c>
      <c r="AC901">
        <v>70</v>
      </c>
      <c r="AF901" t="b">
        <v>0</v>
      </c>
      <c r="AI901" t="s">
        <v>71</v>
      </c>
      <c r="AJ901" t="s">
        <v>70</v>
      </c>
      <c r="AK901" t="s">
        <v>71</v>
      </c>
      <c r="AL901" t="s">
        <v>72</v>
      </c>
      <c r="AM901">
        <v>346053</v>
      </c>
      <c r="AO901" s="16" t="s">
        <v>73</v>
      </c>
      <c r="AP901" s="17" t="str">
        <f t="shared" si="61"/>
        <v>Off-nest female</v>
      </c>
      <c r="AX901" s="22" t="str">
        <f>IF(AND('[1]observations-276632'!W901&gt;'[1]Methods write-up'!$Q$16,'[1]observations-276632'!W901&lt;'[1]Methods write-up'!$R$16,'[1]observations-276632'!X901&gt;'[1]Methods write-up'!$S$16,'[1]observations-276632'!X901&lt;'[1]Methods write-up'!$T$16),"West and Central Africa","")</f>
        <v/>
      </c>
      <c r="AY901" s="22" t="str">
        <f>IF(AND('[1]observations-276632'!W901&gt;'[1]Methods write-up'!$Q$17,'[1]observations-276632'!W901&lt;'[1]Methods write-up'!$R$17,'[1]observations-276632'!X901&gt;'[1]Methods write-up'!$S$17,'[1]observations-276632'!X901&lt;'[1]Methods write-up'!$T$17),"Equatorial tropical forest","")</f>
        <v/>
      </c>
      <c r="AZ901" s="22" t="str">
        <f>IF(AND('[1]observations-276632'!W901&gt;'[1]Methods write-up'!$Q$18,'[1]observations-276632'!W901&lt;'[1]Methods write-up'!$R$18,'[1]observations-276632'!X901&gt;'[1]Methods write-up'!$S$18,'[1]observations-276632'!X901&lt;'[1]Methods write-up'!$T$18),"Somali peninsula","")</f>
        <v/>
      </c>
      <c r="BA901" s="22" t="str">
        <f>IF(AND('[1]observations-276632'!W901&gt;'[1]Methods write-up'!$Q$19,'[1]observations-276632'!W901&lt;'[1]Methods write-up'!$R$19,'[1]observations-276632'!X901&gt;'[1]Methods write-up'!$S$19,'[1]observations-276632'!X901&lt;'[1]Methods write-up'!$T$19),"East Africa","")</f>
        <v/>
      </c>
      <c r="BB901" s="22" t="str">
        <f>IF(AND('[1]observations-276632'!W901&gt;'[1]Methods write-up'!$Q$20,'[1]observations-276632'!W901&lt;'[1]Methods write-up'!$R$20,'[1]observations-276632'!X901&gt;'[1]Methods write-up'!$S$20,'[1]observations-276632'!X901&lt;'[1]Methods write-up'!$T$20),"Temperate seasonal","")</f>
        <v>Temperate seasonal</v>
      </c>
      <c r="BC901" s="22" t="str">
        <f>IF(AND('[1]observations-276632'!W901&gt;'[1]Methods write-up'!$Q$21,'[1]observations-276632'!W901&lt;'[1]Methods write-up'!$R$21,'[1]observations-276632'!X901&gt;'[1]Methods write-up'!$S$21,'[1]observations-276632'!X901&lt;'[1]Methods write-up'!$T$21),"Desert and high aridity","")</f>
        <v/>
      </c>
      <c r="BD901" s="23" t="str">
        <f t="shared" si="64"/>
        <v>Temperate seasonal</v>
      </c>
      <c r="BE901" s="24">
        <f t="shared" si="62"/>
        <v>10</v>
      </c>
      <c r="BF901" s="24">
        <f t="shared" si="63"/>
        <v>1</v>
      </c>
    </row>
    <row r="902" spans="1:58" ht="16.25" customHeight="1" x14ac:dyDescent="0.2">
      <c r="A902">
        <v>104719904</v>
      </c>
      <c r="B902" t="s">
        <v>6726</v>
      </c>
      <c r="C902" s="14">
        <v>44484</v>
      </c>
      <c r="D902" t="s">
        <v>6727</v>
      </c>
      <c r="E902" t="s">
        <v>113</v>
      </c>
      <c r="F902">
        <v>632306</v>
      </c>
      <c r="G902" t="s">
        <v>1011</v>
      </c>
      <c r="H902" t="s">
        <v>1012</v>
      </c>
      <c r="I902" t="s">
        <v>6728</v>
      </c>
      <c r="J902" t="s">
        <v>6729</v>
      </c>
      <c r="K902" t="s">
        <v>62</v>
      </c>
      <c r="L902" t="s">
        <v>63</v>
      </c>
      <c r="M902" t="s">
        <v>6730</v>
      </c>
      <c r="N902" t="s">
        <v>6731</v>
      </c>
      <c r="R902">
        <v>1</v>
      </c>
      <c r="S902">
        <v>0</v>
      </c>
      <c r="T902" t="b">
        <v>0</v>
      </c>
      <c r="V902" t="s">
        <v>4190</v>
      </c>
      <c r="W902" s="15">
        <v>-24.55716395</v>
      </c>
      <c r="X902" s="15">
        <v>25.963788610000002</v>
      </c>
      <c r="Y902">
        <v>8</v>
      </c>
      <c r="AC902">
        <v>8</v>
      </c>
      <c r="AF902" t="b">
        <v>0</v>
      </c>
      <c r="AI902" t="s">
        <v>71</v>
      </c>
      <c r="AJ902" t="s">
        <v>70</v>
      </c>
      <c r="AK902" t="s">
        <v>71</v>
      </c>
      <c r="AL902" t="s">
        <v>72</v>
      </c>
      <c r="AM902">
        <v>346053</v>
      </c>
      <c r="AO902" s="16" t="s">
        <v>73</v>
      </c>
      <c r="AP902" s="17" t="str">
        <f t="shared" ref="AP902:AP906" si="65">IF(COUNTIF(AO902,"*foundress*"),"Nest (foundress)",AO902)</f>
        <v>Off-nest female</v>
      </c>
      <c r="AX902" s="22" t="str">
        <f>IF(AND('[1]observations-276632'!W902&gt;'[1]Methods write-up'!$Q$16,'[1]observations-276632'!W902&lt;'[1]Methods write-up'!$R$16,'[1]observations-276632'!X902&gt;'[1]Methods write-up'!$S$16,'[1]observations-276632'!X902&lt;'[1]Methods write-up'!$T$16),"West and Central Africa","")</f>
        <v/>
      </c>
      <c r="AY902" s="22" t="str">
        <f>IF(AND('[1]observations-276632'!W902&gt;'[1]Methods write-up'!$Q$17,'[1]observations-276632'!W902&lt;'[1]Methods write-up'!$R$17,'[1]observations-276632'!X902&gt;'[1]Methods write-up'!$S$17,'[1]observations-276632'!X902&lt;'[1]Methods write-up'!$T$17),"Equatorial tropical forest","")</f>
        <v/>
      </c>
      <c r="AZ902" s="22" t="str">
        <f>IF(AND('[1]observations-276632'!W902&gt;'[1]Methods write-up'!$Q$18,'[1]observations-276632'!W902&lt;'[1]Methods write-up'!$R$18,'[1]observations-276632'!X902&gt;'[1]Methods write-up'!$S$18,'[1]observations-276632'!X902&lt;'[1]Methods write-up'!$T$18),"Somali peninsula","")</f>
        <v/>
      </c>
      <c r="BA902" s="22" t="str">
        <f>IF(AND('[1]observations-276632'!W902&gt;'[1]Methods write-up'!$Q$19,'[1]observations-276632'!W902&lt;'[1]Methods write-up'!$R$19,'[1]observations-276632'!X902&gt;'[1]Methods write-up'!$S$19,'[1]observations-276632'!X902&lt;'[1]Methods write-up'!$T$19),"East Africa","")</f>
        <v/>
      </c>
      <c r="BB902" s="22" t="str">
        <f>IF(AND('[1]observations-276632'!W902&gt;'[1]Methods write-up'!$Q$20,'[1]observations-276632'!W902&lt;'[1]Methods write-up'!$R$20,'[1]observations-276632'!X902&gt;'[1]Methods write-up'!$S$20,'[1]observations-276632'!X902&lt;'[1]Methods write-up'!$T$20),"Temperate seasonal","")</f>
        <v/>
      </c>
      <c r="BC902" s="22" t="str">
        <f>IF(AND('[1]observations-276632'!W902&gt;'[1]Methods write-up'!$Q$21,'[1]observations-276632'!W902&lt;'[1]Methods write-up'!$R$21,'[1]observations-276632'!X902&gt;'[1]Methods write-up'!$S$21,'[1]observations-276632'!X902&lt;'[1]Methods write-up'!$T$21),"Desert and high aridity","")</f>
        <v/>
      </c>
      <c r="BD902" s="23" t="str">
        <f t="shared" si="64"/>
        <v/>
      </c>
      <c r="BE902" s="24">
        <f t="shared" si="62"/>
        <v>15</v>
      </c>
      <c r="BF902" s="24">
        <f t="shared" si="63"/>
        <v>10</v>
      </c>
    </row>
    <row r="903" spans="1:58" ht="16.25" customHeight="1" x14ac:dyDescent="0.2">
      <c r="A903">
        <v>104728299</v>
      </c>
      <c r="B903" s="25">
        <v>44571.388888888891</v>
      </c>
      <c r="C903" s="14">
        <v>44571</v>
      </c>
      <c r="D903" t="s">
        <v>6732</v>
      </c>
      <c r="E903" t="s">
        <v>1408</v>
      </c>
      <c r="F903">
        <v>3994468</v>
      </c>
      <c r="G903" t="s">
        <v>6733</v>
      </c>
      <c r="H903" t="s">
        <v>6734</v>
      </c>
      <c r="I903" t="s">
        <v>6735</v>
      </c>
      <c r="J903" t="s">
        <v>6736</v>
      </c>
      <c r="K903" t="s">
        <v>62</v>
      </c>
      <c r="L903" t="s">
        <v>63</v>
      </c>
      <c r="M903" t="s">
        <v>6737</v>
      </c>
      <c r="N903" t="s">
        <v>6738</v>
      </c>
      <c r="R903">
        <v>1</v>
      </c>
      <c r="S903">
        <v>0</v>
      </c>
      <c r="T903" t="b">
        <v>0</v>
      </c>
      <c r="U903">
        <v>2</v>
      </c>
      <c r="V903" t="s">
        <v>6739</v>
      </c>
      <c r="W903" s="15">
        <v>5.5588682739999999</v>
      </c>
      <c r="X903" s="15">
        <v>-0.29696077100000001</v>
      </c>
      <c r="Y903">
        <v>202</v>
      </c>
      <c r="AC903">
        <v>202</v>
      </c>
      <c r="AF903" t="b">
        <v>0</v>
      </c>
      <c r="AI903" t="s">
        <v>71</v>
      </c>
      <c r="AJ903" t="s">
        <v>70</v>
      </c>
      <c r="AK903" t="s">
        <v>71</v>
      </c>
      <c r="AL903" t="s">
        <v>72</v>
      </c>
      <c r="AM903">
        <v>346053</v>
      </c>
      <c r="AO903" s="16" t="s">
        <v>140</v>
      </c>
      <c r="AP903" s="17" t="str">
        <f t="shared" si="65"/>
        <v>Post-emergence nest</v>
      </c>
      <c r="AQ903" s="18">
        <v>2</v>
      </c>
      <c r="AT903" s="19" t="s">
        <v>104</v>
      </c>
      <c r="AU903" s="20" t="s">
        <v>104</v>
      </c>
      <c r="AX903" s="22" t="str">
        <f>IF(AND('[1]observations-276632'!W903&gt;'[1]Methods write-up'!$Q$16,'[1]observations-276632'!W903&lt;'[1]Methods write-up'!$R$16,'[1]observations-276632'!X903&gt;'[1]Methods write-up'!$S$16,'[1]observations-276632'!X903&lt;'[1]Methods write-up'!$T$16),"West and Central Africa","")</f>
        <v>West and Central Africa</v>
      </c>
      <c r="AY903" s="22" t="str">
        <f>IF(AND('[1]observations-276632'!W903&gt;'[1]Methods write-up'!$Q$17,'[1]observations-276632'!W903&lt;'[1]Methods write-up'!$R$17,'[1]observations-276632'!X903&gt;'[1]Methods write-up'!$S$17,'[1]observations-276632'!X903&lt;'[1]Methods write-up'!$T$17),"Equatorial tropical forest","")</f>
        <v/>
      </c>
      <c r="AZ903" s="22" t="str">
        <f>IF(AND('[1]observations-276632'!W903&gt;'[1]Methods write-up'!$Q$18,'[1]observations-276632'!W903&lt;'[1]Methods write-up'!$R$18,'[1]observations-276632'!X903&gt;'[1]Methods write-up'!$S$18,'[1]observations-276632'!X903&lt;'[1]Methods write-up'!$T$18),"Somali peninsula","")</f>
        <v/>
      </c>
      <c r="BA903" s="22" t="str">
        <f>IF(AND('[1]observations-276632'!W903&gt;'[1]Methods write-up'!$Q$19,'[1]observations-276632'!W903&lt;'[1]Methods write-up'!$R$19,'[1]observations-276632'!X903&gt;'[1]Methods write-up'!$S$19,'[1]observations-276632'!X903&lt;'[1]Methods write-up'!$T$19),"East Africa","")</f>
        <v/>
      </c>
      <c r="BB903" s="22" t="str">
        <f>IF(AND('[1]observations-276632'!W903&gt;'[1]Methods write-up'!$Q$20,'[1]observations-276632'!W903&lt;'[1]Methods write-up'!$R$20,'[1]observations-276632'!X903&gt;'[1]Methods write-up'!$S$20,'[1]observations-276632'!X903&lt;'[1]Methods write-up'!$T$20),"Temperate seasonal","")</f>
        <v/>
      </c>
      <c r="BC903" s="22" t="str">
        <f>IF(AND('[1]observations-276632'!W903&gt;'[1]Methods write-up'!$Q$21,'[1]observations-276632'!W903&lt;'[1]Methods write-up'!$R$21,'[1]observations-276632'!X903&gt;'[1]Methods write-up'!$S$21,'[1]observations-276632'!X903&lt;'[1]Methods write-up'!$T$21),"Desert and high aridity","")</f>
        <v/>
      </c>
      <c r="BD903" s="23" t="str">
        <f t="shared" si="64"/>
        <v>West and Central Africa</v>
      </c>
      <c r="BE903" s="24">
        <f t="shared" si="62"/>
        <v>10</v>
      </c>
      <c r="BF903" s="24">
        <f t="shared" si="63"/>
        <v>1</v>
      </c>
    </row>
    <row r="904" spans="1:58" ht="16.25" customHeight="1" x14ac:dyDescent="0.2">
      <c r="A904">
        <v>104807514</v>
      </c>
      <c r="B904" s="25">
        <v>44573.525000000001</v>
      </c>
      <c r="C904" s="14">
        <v>44573</v>
      </c>
      <c r="D904" t="s">
        <v>6740</v>
      </c>
      <c r="E904" t="s">
        <v>113</v>
      </c>
      <c r="F904">
        <v>3577046</v>
      </c>
      <c r="G904" t="s">
        <v>6741</v>
      </c>
      <c r="H904" t="s">
        <v>6742</v>
      </c>
      <c r="I904" t="s">
        <v>6743</v>
      </c>
      <c r="J904" t="s">
        <v>6744</v>
      </c>
      <c r="K904" t="s">
        <v>62</v>
      </c>
      <c r="M904" t="s">
        <v>6745</v>
      </c>
      <c r="N904" t="s">
        <v>6746</v>
      </c>
      <c r="R904">
        <v>4</v>
      </c>
      <c r="S904">
        <v>0</v>
      </c>
      <c r="T904" t="b">
        <v>0</v>
      </c>
      <c r="U904">
        <v>2</v>
      </c>
      <c r="V904" t="s">
        <v>6747</v>
      </c>
      <c r="W904" s="15">
        <v>-25.4958946</v>
      </c>
      <c r="X904" s="15">
        <v>30.948908400000001</v>
      </c>
      <c r="AF904" t="b">
        <v>0</v>
      </c>
      <c r="AG904" t="s">
        <v>350</v>
      </c>
      <c r="AH904" t="s">
        <v>350</v>
      </c>
      <c r="AI904" t="s">
        <v>71</v>
      </c>
      <c r="AJ904" t="s">
        <v>70</v>
      </c>
      <c r="AK904" t="s">
        <v>71</v>
      </c>
      <c r="AL904" t="s">
        <v>72</v>
      </c>
      <c r="AM904">
        <v>346053</v>
      </c>
      <c r="AO904" s="16" t="s">
        <v>150</v>
      </c>
      <c r="AP904" s="17" t="str">
        <f t="shared" si="65"/>
        <v>Male (off nest)</v>
      </c>
      <c r="AX904" s="22" t="str">
        <f>IF(AND('[1]observations-276632'!W904&gt;'[1]Methods write-up'!$Q$16,'[1]observations-276632'!W904&lt;'[1]Methods write-up'!$R$16,'[1]observations-276632'!X904&gt;'[1]Methods write-up'!$S$16,'[1]observations-276632'!X904&lt;'[1]Methods write-up'!$T$16),"West and Central Africa","")</f>
        <v/>
      </c>
      <c r="AY904" s="22" t="str">
        <f>IF(AND('[1]observations-276632'!W904&gt;'[1]Methods write-up'!$Q$17,'[1]observations-276632'!W904&lt;'[1]Methods write-up'!$R$17,'[1]observations-276632'!X904&gt;'[1]Methods write-up'!$S$17,'[1]observations-276632'!X904&lt;'[1]Methods write-up'!$T$17),"Equatorial tropical forest","")</f>
        <v/>
      </c>
      <c r="AZ904" s="22" t="str">
        <f>IF(AND('[1]observations-276632'!W904&gt;'[1]Methods write-up'!$Q$18,'[1]observations-276632'!W904&lt;'[1]Methods write-up'!$R$18,'[1]observations-276632'!X904&gt;'[1]Methods write-up'!$S$18,'[1]observations-276632'!X904&lt;'[1]Methods write-up'!$T$18),"Somali peninsula","")</f>
        <v/>
      </c>
      <c r="BA904" s="22" t="str">
        <f>IF(AND('[1]observations-276632'!W904&gt;'[1]Methods write-up'!$Q$19,'[1]observations-276632'!W904&lt;'[1]Methods write-up'!$R$19,'[1]observations-276632'!X904&gt;'[1]Methods write-up'!$S$19,'[1]observations-276632'!X904&lt;'[1]Methods write-up'!$T$19),"East Africa","")</f>
        <v/>
      </c>
      <c r="BB904" s="22" t="str">
        <f>IF(AND('[1]observations-276632'!W904&gt;'[1]Methods write-up'!$Q$20,'[1]observations-276632'!W904&lt;'[1]Methods write-up'!$R$20,'[1]observations-276632'!X904&gt;'[1]Methods write-up'!$S$20,'[1]observations-276632'!X904&lt;'[1]Methods write-up'!$T$20),"Temperate seasonal","")</f>
        <v>Temperate seasonal</v>
      </c>
      <c r="BC904" s="22" t="str">
        <f>IF(AND('[1]observations-276632'!W904&gt;'[1]Methods write-up'!$Q$21,'[1]observations-276632'!W904&lt;'[1]Methods write-up'!$R$21,'[1]observations-276632'!X904&gt;'[1]Methods write-up'!$S$21,'[1]observations-276632'!X904&lt;'[1]Methods write-up'!$T$21),"Desert and high aridity","")</f>
        <v/>
      </c>
      <c r="BD904" s="23" t="str">
        <f t="shared" si="64"/>
        <v>Temperate seasonal</v>
      </c>
      <c r="BE904" s="24">
        <f t="shared" si="62"/>
        <v>12</v>
      </c>
      <c r="BF904" s="24">
        <f t="shared" si="63"/>
        <v>1</v>
      </c>
    </row>
    <row r="905" spans="1:58" ht="16.25" customHeight="1" x14ac:dyDescent="0.2">
      <c r="A905">
        <v>105147477</v>
      </c>
      <c r="B905" t="s">
        <v>6748</v>
      </c>
      <c r="C905" s="14">
        <v>44579</v>
      </c>
      <c r="D905" t="s">
        <v>6749</v>
      </c>
      <c r="E905" t="s">
        <v>403</v>
      </c>
      <c r="F905">
        <v>3722248</v>
      </c>
      <c r="G905" t="s">
        <v>6750</v>
      </c>
      <c r="I905" t="s">
        <v>6751</v>
      </c>
      <c r="J905" t="s">
        <v>6752</v>
      </c>
      <c r="K905" t="s">
        <v>62</v>
      </c>
      <c r="L905" t="s">
        <v>63</v>
      </c>
      <c r="M905" t="s">
        <v>6753</v>
      </c>
      <c r="N905" t="s">
        <v>6754</v>
      </c>
      <c r="R905">
        <v>1</v>
      </c>
      <c r="S905">
        <v>0</v>
      </c>
      <c r="T905" t="b">
        <v>0</v>
      </c>
      <c r="U905">
        <v>3</v>
      </c>
      <c r="V905" t="s">
        <v>6755</v>
      </c>
      <c r="W905" s="15">
        <v>-0.228405</v>
      </c>
      <c r="X905" s="15">
        <v>37.099430499999997</v>
      </c>
      <c r="Y905">
        <v>4</v>
      </c>
      <c r="AC905">
        <v>4</v>
      </c>
      <c r="AF905" t="b">
        <v>0</v>
      </c>
      <c r="AI905" t="s">
        <v>71</v>
      </c>
      <c r="AJ905" t="s">
        <v>70</v>
      </c>
      <c r="AK905" t="s">
        <v>71</v>
      </c>
      <c r="AL905" t="s">
        <v>72</v>
      </c>
      <c r="AM905">
        <v>346053</v>
      </c>
      <c r="AO905" s="16" t="s">
        <v>73</v>
      </c>
      <c r="AP905" s="17" t="str">
        <f t="shared" si="65"/>
        <v>Off-nest female</v>
      </c>
      <c r="AX905" s="22" t="str">
        <f>IF(AND('[1]observations-276632'!W905&gt;'[1]Methods write-up'!$Q$16,'[1]observations-276632'!W905&lt;'[1]Methods write-up'!$R$16,'[1]observations-276632'!X905&gt;'[1]Methods write-up'!$S$16,'[1]observations-276632'!X905&lt;'[1]Methods write-up'!$T$16),"West and Central Africa","")</f>
        <v/>
      </c>
      <c r="AY905" s="22" t="str">
        <f>IF(AND('[1]observations-276632'!W905&gt;'[1]Methods write-up'!$Q$17,'[1]observations-276632'!W905&lt;'[1]Methods write-up'!$R$17,'[1]observations-276632'!X905&gt;'[1]Methods write-up'!$S$17,'[1]observations-276632'!X905&lt;'[1]Methods write-up'!$T$17),"Equatorial tropical forest","")</f>
        <v/>
      </c>
      <c r="AZ905" s="22" t="str">
        <f>IF(AND('[1]observations-276632'!W905&gt;'[1]Methods write-up'!$Q$18,'[1]observations-276632'!W905&lt;'[1]Methods write-up'!$R$18,'[1]observations-276632'!X905&gt;'[1]Methods write-up'!$S$18,'[1]observations-276632'!X905&lt;'[1]Methods write-up'!$T$18),"Somali peninsula","")</f>
        <v/>
      </c>
      <c r="BA905" s="22" t="str">
        <f>IF(AND('[1]observations-276632'!W905&gt;'[1]Methods write-up'!$Q$19,'[1]observations-276632'!W905&lt;'[1]Methods write-up'!$R$19,'[1]observations-276632'!X905&gt;'[1]Methods write-up'!$S$19,'[1]observations-276632'!X905&lt;'[1]Methods write-up'!$T$19),"East Africa","")</f>
        <v>East Africa</v>
      </c>
      <c r="BB905" s="22" t="str">
        <f>IF(AND('[1]observations-276632'!W905&gt;'[1]Methods write-up'!$Q$20,'[1]observations-276632'!W905&lt;'[1]Methods write-up'!$R$20,'[1]observations-276632'!X905&gt;'[1]Methods write-up'!$S$20,'[1]observations-276632'!X905&lt;'[1]Methods write-up'!$T$20),"Temperate seasonal","")</f>
        <v/>
      </c>
      <c r="BC905" s="22" t="str">
        <f>IF(AND('[1]observations-276632'!W905&gt;'[1]Methods write-up'!$Q$21,'[1]observations-276632'!W905&lt;'[1]Methods write-up'!$R$21,'[1]observations-276632'!X905&gt;'[1]Methods write-up'!$S$21,'[1]observations-276632'!X905&lt;'[1]Methods write-up'!$T$21),"Desert and high aridity","")</f>
        <v/>
      </c>
      <c r="BD905" s="23" t="str">
        <f t="shared" si="64"/>
        <v>East Africa</v>
      </c>
      <c r="BE905" s="24">
        <f t="shared" si="62"/>
        <v>18</v>
      </c>
      <c r="BF905" s="24">
        <f t="shared" si="63"/>
        <v>1</v>
      </c>
    </row>
    <row r="906" spans="1:58" ht="16.25" customHeight="1" x14ac:dyDescent="0.2">
      <c r="A906">
        <v>105161883</v>
      </c>
      <c r="B906" t="s">
        <v>6756</v>
      </c>
      <c r="C906" s="14">
        <v>44570</v>
      </c>
      <c r="D906" t="s">
        <v>6757</v>
      </c>
      <c r="E906" t="s">
        <v>201</v>
      </c>
      <c r="F906">
        <v>1682332</v>
      </c>
      <c r="G906" t="s">
        <v>5320</v>
      </c>
      <c r="H906" t="s">
        <v>5321</v>
      </c>
      <c r="I906" t="s">
        <v>6758</v>
      </c>
      <c r="J906" t="s">
        <v>6759</v>
      </c>
      <c r="K906" t="s">
        <v>62</v>
      </c>
      <c r="L906" t="s">
        <v>63</v>
      </c>
      <c r="M906" t="s">
        <v>6760</v>
      </c>
      <c r="N906" t="s">
        <v>6761</v>
      </c>
      <c r="R906">
        <v>2</v>
      </c>
      <c r="S906">
        <v>0</v>
      </c>
      <c r="T906" t="b">
        <v>0</v>
      </c>
      <c r="V906" t="s">
        <v>6762</v>
      </c>
      <c r="W906" s="15">
        <v>-30.972483010000001</v>
      </c>
      <c r="X906" s="15">
        <v>30.28097739</v>
      </c>
      <c r="Y906">
        <v>217</v>
      </c>
      <c r="AC906">
        <v>217</v>
      </c>
      <c r="AF906" t="b">
        <v>0</v>
      </c>
      <c r="AI906" t="s">
        <v>71</v>
      </c>
      <c r="AJ906" t="s">
        <v>70</v>
      </c>
      <c r="AK906" t="s">
        <v>71</v>
      </c>
      <c r="AL906" t="s">
        <v>72</v>
      </c>
      <c r="AM906">
        <v>346053</v>
      </c>
      <c r="AO906" s="16" t="s">
        <v>73</v>
      </c>
      <c r="AP906" s="17" t="str">
        <f t="shared" si="65"/>
        <v>Off-nest female</v>
      </c>
      <c r="AX906" s="22" t="str">
        <f>IF(AND('[1]observations-276632'!W906&gt;'[1]Methods write-up'!$Q$16,'[1]observations-276632'!W906&lt;'[1]Methods write-up'!$R$16,'[1]observations-276632'!X906&gt;'[1]Methods write-up'!$S$16,'[1]observations-276632'!X906&lt;'[1]Methods write-up'!$T$16),"West and Central Africa","")</f>
        <v/>
      </c>
      <c r="AY906" s="22" t="str">
        <f>IF(AND('[1]observations-276632'!W906&gt;'[1]Methods write-up'!$Q$17,'[1]observations-276632'!W906&lt;'[1]Methods write-up'!$R$17,'[1]observations-276632'!X906&gt;'[1]Methods write-up'!$S$17,'[1]observations-276632'!X906&lt;'[1]Methods write-up'!$T$17),"Equatorial tropical forest","")</f>
        <v/>
      </c>
      <c r="AZ906" s="22" t="str">
        <f>IF(AND('[1]observations-276632'!W906&gt;'[1]Methods write-up'!$Q$18,'[1]observations-276632'!W906&lt;'[1]Methods write-up'!$R$18,'[1]observations-276632'!X906&gt;'[1]Methods write-up'!$S$18,'[1]observations-276632'!X906&lt;'[1]Methods write-up'!$T$18),"Somali peninsula","")</f>
        <v/>
      </c>
      <c r="BA906" s="22" t="str">
        <f>IF(AND('[1]observations-276632'!W906&gt;'[1]Methods write-up'!$Q$19,'[1]observations-276632'!W906&lt;'[1]Methods write-up'!$R$19,'[1]observations-276632'!X906&gt;'[1]Methods write-up'!$S$19,'[1]observations-276632'!X906&lt;'[1]Methods write-up'!$T$19),"East Africa","")</f>
        <v/>
      </c>
      <c r="BB906" s="22" t="str">
        <f>IF(AND('[1]observations-276632'!W906&gt;'[1]Methods write-up'!$Q$20,'[1]observations-276632'!W906&lt;'[1]Methods write-up'!$R$20,'[1]observations-276632'!X906&gt;'[1]Methods write-up'!$S$20,'[1]observations-276632'!X906&lt;'[1]Methods write-up'!$T$20),"Temperate seasonal","")</f>
        <v>Temperate seasonal</v>
      </c>
      <c r="BC906" s="22" t="str">
        <f>IF(AND('[1]observations-276632'!W906&gt;'[1]Methods write-up'!$Q$21,'[1]observations-276632'!W906&lt;'[1]Methods write-up'!$R$21,'[1]observations-276632'!X906&gt;'[1]Methods write-up'!$S$21,'[1]observations-276632'!X906&lt;'[1]Methods write-up'!$T$21),"Desert and high aridity","")</f>
        <v/>
      </c>
      <c r="BD906" s="23" t="str">
        <f t="shared" si="64"/>
        <v>Temperate seasonal</v>
      </c>
      <c r="BE906" s="24">
        <f t="shared" si="62"/>
        <v>9</v>
      </c>
      <c r="BF906" s="24">
        <f t="shared" si="63"/>
        <v>1</v>
      </c>
    </row>
    <row r="907" spans="1:58" ht="16.25" customHeight="1" x14ac:dyDescent="0.2">
      <c r="A907">
        <v>105206673</v>
      </c>
      <c r="B907" t="s">
        <v>6763</v>
      </c>
      <c r="C907" s="14">
        <v>44580</v>
      </c>
      <c r="D907" t="s">
        <v>6764</v>
      </c>
      <c r="E907" t="s">
        <v>403</v>
      </c>
      <c r="F907">
        <v>1383266</v>
      </c>
      <c r="G907" t="s">
        <v>6765</v>
      </c>
      <c r="I907" t="s">
        <v>6766</v>
      </c>
      <c r="J907" t="s">
        <v>6766</v>
      </c>
      <c r="K907" t="s">
        <v>2038</v>
      </c>
      <c r="M907" t="s">
        <v>6767</v>
      </c>
      <c r="R907">
        <v>0</v>
      </c>
      <c r="S907">
        <v>0</v>
      </c>
      <c r="T907" t="b">
        <v>0</v>
      </c>
      <c r="U907">
        <v>3</v>
      </c>
      <c r="V907" t="s">
        <v>6768</v>
      </c>
      <c r="W907" s="15">
        <v>0.41500041999999998</v>
      </c>
      <c r="X907" s="15">
        <v>32.805970440000003</v>
      </c>
      <c r="Y907">
        <v>234</v>
      </c>
      <c r="AC907">
        <v>234</v>
      </c>
      <c r="AF907" t="b">
        <v>0</v>
      </c>
      <c r="AJ907" t="s">
        <v>70</v>
      </c>
      <c r="AK907" t="s">
        <v>71</v>
      </c>
      <c r="AL907" t="s">
        <v>72</v>
      </c>
      <c r="AM907">
        <v>346053</v>
      </c>
      <c r="AO907" s="16" t="s">
        <v>6769</v>
      </c>
      <c r="AP907" s="16"/>
      <c r="AX907" s="22" t="str">
        <f>IF(AND('[1]observations-276632'!W907&gt;'[1]Methods write-up'!$Q$16,'[1]observations-276632'!W907&lt;'[1]Methods write-up'!$R$16,'[1]observations-276632'!X907&gt;'[1]Methods write-up'!$S$16,'[1]observations-276632'!X907&lt;'[1]Methods write-up'!$T$16),"West Africa","")</f>
        <v/>
      </c>
      <c r="AY907" s="22" t="str">
        <f>IF(AND('[1]observations-276632'!W907&gt;'[1]Methods write-up'!$Q$17,'[1]observations-276632'!W907&lt;'[1]Methods write-up'!$R$17,'[1]observations-276632'!X907&gt;'[1]Methods write-up'!$S$17,'[1]observations-276632'!X907&lt;'[1]Methods write-up'!$T$17),"Equatorial tropical forest","")</f>
        <v/>
      </c>
      <c r="AZ907" s="22" t="str">
        <f>IF(AND('[1]observations-276632'!W907&gt;'[1]Methods write-up'!$Q$18,'[1]observations-276632'!W907&lt;'[1]Methods write-up'!$R$18,'[1]observations-276632'!X907&gt;'[1]Methods write-up'!$S$18,'[1]observations-276632'!X907&lt;'[1]Methods write-up'!$T$18),"Somali peninsula","")</f>
        <v/>
      </c>
      <c r="BA907" s="22" t="str">
        <f>IF(AND('[1]observations-276632'!W907&gt;'[1]Methods write-up'!$Q$19,'[1]observations-276632'!W907&lt;'[1]Methods write-up'!$R$19,'[1]observations-276632'!X907&gt;'[1]Methods write-up'!$S$19,'[1]observations-276632'!X907&lt;'[1]Methods write-up'!$T$19),"East Africa","")</f>
        <v>East Africa</v>
      </c>
      <c r="BB907" s="22" t="str">
        <f>IF(AND('[1]observations-276632'!W907&gt;'[1]Methods write-up'!$Q$20,'[1]observations-276632'!W907&lt;'[1]Methods write-up'!$R$20,'[1]observations-276632'!X907&gt;'[1]Methods write-up'!$S$20,'[1]observations-276632'!X907&lt;'[1]Methods write-up'!$T$20),"Temperate seasonal","")</f>
        <v/>
      </c>
      <c r="BC907" s="22" t="str">
        <f>IF(AND('[1]observations-276632'!W907&gt;'[1]Methods write-up'!$Q$21,'[1]observations-276632'!W907&lt;'[1]Methods write-up'!$R$21,'[1]observations-276632'!X907&gt;'[1]Methods write-up'!$S$21,'[1]observations-276632'!X907&lt;'[1]Methods write-up'!$T$21),"Desert and high aridity","")</f>
        <v/>
      </c>
      <c r="BD907" s="23" t="str">
        <f t="shared" si="64"/>
        <v>East Africa</v>
      </c>
      <c r="BE907" s="24">
        <f t="shared" si="62"/>
        <v>19</v>
      </c>
      <c r="BF907" s="24">
        <f t="shared" si="63"/>
        <v>1</v>
      </c>
    </row>
    <row r="908" spans="1:58" ht="16.25" customHeight="1" x14ac:dyDescent="0.2">
      <c r="A908">
        <v>105211315</v>
      </c>
      <c r="B908" t="s">
        <v>6770</v>
      </c>
      <c r="C908" s="14">
        <v>43093</v>
      </c>
      <c r="D908" t="s">
        <v>6771</v>
      </c>
      <c r="E908" t="s">
        <v>57</v>
      </c>
      <c r="F908">
        <v>550276</v>
      </c>
      <c r="G908" t="s">
        <v>6772</v>
      </c>
      <c r="H908" t="s">
        <v>6773</v>
      </c>
      <c r="I908" t="s">
        <v>6774</v>
      </c>
      <c r="J908" t="s">
        <v>6775</v>
      </c>
      <c r="K908" t="s">
        <v>62</v>
      </c>
      <c r="M908" t="s">
        <v>6776</v>
      </c>
      <c r="N908" t="s">
        <v>6777</v>
      </c>
      <c r="R908">
        <v>4</v>
      </c>
      <c r="S908">
        <v>0</v>
      </c>
      <c r="T908" t="b">
        <v>0</v>
      </c>
      <c r="V908" t="s">
        <v>6778</v>
      </c>
      <c r="W908" s="15">
        <v>-25.864464259999998</v>
      </c>
      <c r="X908" s="15">
        <v>29.237463099999999</v>
      </c>
      <c r="AF908" t="b">
        <v>0</v>
      </c>
      <c r="AI908" t="s">
        <v>71</v>
      </c>
      <c r="AJ908" t="s">
        <v>70</v>
      </c>
      <c r="AK908" t="s">
        <v>71</v>
      </c>
      <c r="AL908" t="s">
        <v>72</v>
      </c>
      <c r="AM908">
        <v>346053</v>
      </c>
      <c r="AO908" s="16" t="s">
        <v>140</v>
      </c>
      <c r="AP908" s="17" t="str">
        <f t="shared" ref="AP908:AP954" si="66">IF(COUNTIF(AO908,"*foundress*"),"Nest (foundress)",AO908)</f>
        <v>Post-emergence nest</v>
      </c>
      <c r="AQ908" s="18">
        <v>6</v>
      </c>
      <c r="AT908" s="19" t="s">
        <v>141</v>
      </c>
      <c r="AU908" s="20" t="s">
        <v>104</v>
      </c>
      <c r="AX908" s="22" t="str">
        <f>IF(AND('[1]observations-276632'!W908&gt;'[1]Methods write-up'!$Q$16,'[1]observations-276632'!W908&lt;'[1]Methods write-up'!$R$16,'[1]observations-276632'!X908&gt;'[1]Methods write-up'!$S$16,'[1]observations-276632'!X908&lt;'[1]Methods write-up'!$T$16),"West and Central Africa","")</f>
        <v/>
      </c>
      <c r="AY908" s="22" t="str">
        <f>IF(AND('[1]observations-276632'!W908&gt;'[1]Methods write-up'!$Q$17,'[1]observations-276632'!W908&lt;'[1]Methods write-up'!$R$17,'[1]observations-276632'!X908&gt;'[1]Methods write-up'!$S$17,'[1]observations-276632'!X908&lt;'[1]Methods write-up'!$T$17),"Equatorial tropical forest","")</f>
        <v/>
      </c>
      <c r="AZ908" s="22" t="str">
        <f>IF(AND('[1]observations-276632'!W908&gt;'[1]Methods write-up'!$Q$18,'[1]observations-276632'!W908&lt;'[1]Methods write-up'!$R$18,'[1]observations-276632'!X908&gt;'[1]Methods write-up'!$S$18,'[1]observations-276632'!X908&lt;'[1]Methods write-up'!$T$18),"Somali peninsula","")</f>
        <v/>
      </c>
      <c r="BA908" s="22" t="str">
        <f>IF(AND('[1]observations-276632'!W908&gt;'[1]Methods write-up'!$Q$19,'[1]observations-276632'!W908&lt;'[1]Methods write-up'!$R$19,'[1]observations-276632'!X908&gt;'[1]Methods write-up'!$S$19,'[1]observations-276632'!X908&lt;'[1]Methods write-up'!$T$19),"East Africa","")</f>
        <v/>
      </c>
      <c r="BB908" s="22" t="str">
        <f>IF(AND('[1]observations-276632'!W908&gt;'[1]Methods write-up'!$Q$20,'[1]observations-276632'!W908&lt;'[1]Methods write-up'!$R$20,'[1]observations-276632'!X908&gt;'[1]Methods write-up'!$S$20,'[1]observations-276632'!X908&lt;'[1]Methods write-up'!$T$20),"Temperate seasonal","")</f>
        <v>Temperate seasonal</v>
      </c>
      <c r="BC908" s="22" t="str">
        <f>IF(AND('[1]observations-276632'!W908&gt;'[1]Methods write-up'!$Q$21,'[1]observations-276632'!W908&lt;'[1]Methods write-up'!$R$21,'[1]observations-276632'!X908&gt;'[1]Methods write-up'!$S$21,'[1]observations-276632'!X908&lt;'[1]Methods write-up'!$T$21),"Desert and high aridity","")</f>
        <v/>
      </c>
      <c r="BD908" s="23" t="str">
        <f t="shared" si="64"/>
        <v>Temperate seasonal</v>
      </c>
      <c r="BE908" s="24">
        <f t="shared" si="62"/>
        <v>24</v>
      </c>
      <c r="BF908" s="24">
        <f t="shared" si="63"/>
        <v>12</v>
      </c>
    </row>
    <row r="909" spans="1:58" ht="16.25" customHeight="1" x14ac:dyDescent="0.2">
      <c r="A909">
        <v>105369141</v>
      </c>
      <c r="B909" t="s">
        <v>6779</v>
      </c>
      <c r="C909" s="14">
        <v>39356</v>
      </c>
      <c r="D909" t="s">
        <v>6780</v>
      </c>
      <c r="E909" t="s">
        <v>113</v>
      </c>
      <c r="F909">
        <v>5121587</v>
      </c>
      <c r="G909" t="s">
        <v>6781</v>
      </c>
      <c r="H909" t="s">
        <v>6782</v>
      </c>
      <c r="I909" t="s">
        <v>6783</v>
      </c>
      <c r="J909" t="s">
        <v>6784</v>
      </c>
      <c r="K909" t="s">
        <v>62</v>
      </c>
      <c r="L909" t="s">
        <v>98</v>
      </c>
      <c r="M909" t="s">
        <v>6785</v>
      </c>
      <c r="N909" t="s">
        <v>6786</v>
      </c>
      <c r="R909">
        <v>3</v>
      </c>
      <c r="S909">
        <v>0</v>
      </c>
      <c r="T909" t="b">
        <v>0</v>
      </c>
      <c r="V909" t="s">
        <v>535</v>
      </c>
      <c r="W909" s="15">
        <v>-23.831528479999999</v>
      </c>
      <c r="X909" s="15">
        <v>27.953765199999999</v>
      </c>
      <c r="Y909">
        <v>61</v>
      </c>
      <c r="AC909">
        <v>61</v>
      </c>
      <c r="AF909" t="b">
        <v>0</v>
      </c>
      <c r="AI909" t="s">
        <v>71</v>
      </c>
      <c r="AJ909" t="s">
        <v>70</v>
      </c>
      <c r="AK909" t="s">
        <v>71</v>
      </c>
      <c r="AL909" t="s">
        <v>72</v>
      </c>
      <c r="AM909">
        <v>346053</v>
      </c>
      <c r="AO909" s="16" t="s">
        <v>73</v>
      </c>
      <c r="AP909" s="17" t="str">
        <f t="shared" si="66"/>
        <v>Off-nest female</v>
      </c>
      <c r="AX909" s="22" t="str">
        <f>IF(AND('[1]observations-276632'!W909&gt;'[1]Methods write-up'!$Q$16,'[1]observations-276632'!W909&lt;'[1]Methods write-up'!$R$16,'[1]observations-276632'!X909&gt;'[1]Methods write-up'!$S$16,'[1]observations-276632'!X909&lt;'[1]Methods write-up'!$T$16),"West and Central Africa","")</f>
        <v/>
      </c>
      <c r="AY909" s="22" t="str">
        <f>IF(AND('[1]observations-276632'!W909&gt;'[1]Methods write-up'!$Q$17,'[1]observations-276632'!W909&lt;'[1]Methods write-up'!$R$17,'[1]observations-276632'!X909&gt;'[1]Methods write-up'!$S$17,'[1]observations-276632'!X909&lt;'[1]Methods write-up'!$T$17),"Equatorial tropical forest","")</f>
        <v/>
      </c>
      <c r="AZ909" s="22" t="str">
        <f>IF(AND('[1]observations-276632'!W909&gt;'[1]Methods write-up'!$Q$18,'[1]observations-276632'!W909&lt;'[1]Methods write-up'!$R$18,'[1]observations-276632'!X909&gt;'[1]Methods write-up'!$S$18,'[1]observations-276632'!X909&lt;'[1]Methods write-up'!$T$18),"Somali peninsula","")</f>
        <v/>
      </c>
      <c r="BA909" s="22" t="str">
        <f>IF(AND('[1]observations-276632'!W909&gt;'[1]Methods write-up'!$Q$19,'[1]observations-276632'!W909&lt;'[1]Methods write-up'!$R$19,'[1]observations-276632'!X909&gt;'[1]Methods write-up'!$S$19,'[1]observations-276632'!X909&lt;'[1]Methods write-up'!$T$19),"East Africa","")</f>
        <v/>
      </c>
      <c r="BB909" s="22" t="str">
        <f>IF(AND('[1]observations-276632'!W909&gt;'[1]Methods write-up'!$Q$20,'[1]observations-276632'!W909&lt;'[1]Methods write-up'!$R$20,'[1]observations-276632'!X909&gt;'[1]Methods write-up'!$S$20,'[1]observations-276632'!X909&lt;'[1]Methods write-up'!$T$20),"Temperate seasonal","")</f>
        <v/>
      </c>
      <c r="BC909" s="22" t="str">
        <f>IF(AND('[1]observations-276632'!W909&gt;'[1]Methods write-up'!$Q$21,'[1]observations-276632'!W909&lt;'[1]Methods write-up'!$R$21,'[1]observations-276632'!X909&gt;'[1]Methods write-up'!$S$21,'[1]observations-276632'!X909&lt;'[1]Methods write-up'!$T$21),"Desert and high aridity","")</f>
        <v/>
      </c>
      <c r="BD909" s="23" t="str">
        <f t="shared" si="64"/>
        <v/>
      </c>
      <c r="BE909" s="24">
        <f t="shared" si="62"/>
        <v>1</v>
      </c>
      <c r="BF909" s="24">
        <f t="shared" si="63"/>
        <v>10</v>
      </c>
    </row>
    <row r="910" spans="1:58" ht="16.25" customHeight="1" x14ac:dyDescent="0.2">
      <c r="A910">
        <v>105423970</v>
      </c>
      <c r="B910" t="s">
        <v>6787</v>
      </c>
      <c r="C910" s="14">
        <v>44523</v>
      </c>
      <c r="D910" t="s">
        <v>6788</v>
      </c>
      <c r="E910" t="s">
        <v>193</v>
      </c>
      <c r="F910">
        <v>121603</v>
      </c>
      <c r="G910" t="s">
        <v>1286</v>
      </c>
      <c r="I910" t="s">
        <v>6789</v>
      </c>
      <c r="J910" t="s">
        <v>6790</v>
      </c>
      <c r="K910" t="s">
        <v>157</v>
      </c>
      <c r="L910" t="s">
        <v>63</v>
      </c>
      <c r="M910" t="s">
        <v>6791</v>
      </c>
      <c r="N910" t="s">
        <v>6792</v>
      </c>
      <c r="R910">
        <v>2</v>
      </c>
      <c r="S910">
        <v>0</v>
      </c>
      <c r="T910" t="b">
        <v>0</v>
      </c>
      <c r="U910">
        <v>3</v>
      </c>
      <c r="V910" t="s">
        <v>6793</v>
      </c>
      <c r="W910" s="15">
        <v>-10.585808330000001</v>
      </c>
      <c r="X910" s="15">
        <v>34.133869500000003</v>
      </c>
      <c r="Y910">
        <v>4</v>
      </c>
      <c r="AC910">
        <v>4</v>
      </c>
      <c r="AF910" t="b">
        <v>0</v>
      </c>
      <c r="AI910" t="s">
        <v>1808</v>
      </c>
      <c r="AJ910" t="s">
        <v>1808</v>
      </c>
      <c r="AL910" t="s">
        <v>72</v>
      </c>
      <c r="AM910">
        <v>861097</v>
      </c>
      <c r="AO910" s="16" t="s">
        <v>73</v>
      </c>
      <c r="AP910" s="17" t="str">
        <f t="shared" si="66"/>
        <v>Off-nest female</v>
      </c>
      <c r="AX910" s="22" t="str">
        <f>IF(AND('[1]observations-276632'!W910&gt;'[1]Methods write-up'!$Q$16,'[1]observations-276632'!W910&lt;'[1]Methods write-up'!$R$16,'[1]observations-276632'!X910&gt;'[1]Methods write-up'!$S$16,'[1]observations-276632'!X910&lt;'[1]Methods write-up'!$T$16),"West and Central Africa","")</f>
        <v/>
      </c>
      <c r="AY910" s="22" t="str">
        <f>IF(AND('[1]observations-276632'!W910&gt;'[1]Methods write-up'!$Q$17,'[1]observations-276632'!W910&lt;'[1]Methods write-up'!$R$17,'[1]observations-276632'!X910&gt;'[1]Methods write-up'!$S$17,'[1]observations-276632'!X910&lt;'[1]Methods write-up'!$T$17),"Equatorial tropical forest","")</f>
        <v/>
      </c>
      <c r="AZ910" s="22" t="str">
        <f>IF(AND('[1]observations-276632'!W910&gt;'[1]Methods write-up'!$Q$18,'[1]observations-276632'!W910&lt;'[1]Methods write-up'!$R$18,'[1]observations-276632'!X910&gt;'[1]Methods write-up'!$S$18,'[1]observations-276632'!X910&lt;'[1]Methods write-up'!$T$18),"Somali peninsula","")</f>
        <v/>
      </c>
      <c r="BA910" s="22" t="str">
        <f>IF(AND('[1]observations-276632'!W910&gt;'[1]Methods write-up'!$Q$19,'[1]observations-276632'!W910&lt;'[1]Methods write-up'!$R$19,'[1]observations-276632'!X910&gt;'[1]Methods write-up'!$S$19,'[1]observations-276632'!X910&lt;'[1]Methods write-up'!$T$19),"East Africa","")</f>
        <v/>
      </c>
      <c r="BB910" s="22" t="str">
        <f>IF(AND('[1]observations-276632'!W910&gt;'[1]Methods write-up'!$Q$20,'[1]observations-276632'!W910&lt;'[1]Methods write-up'!$R$20,'[1]observations-276632'!X910&gt;'[1]Methods write-up'!$S$20,'[1]observations-276632'!X910&lt;'[1]Methods write-up'!$T$20),"Temperate seasonal","")</f>
        <v/>
      </c>
      <c r="BC910" s="22" t="str">
        <f>IF(AND('[1]observations-276632'!W910&gt;'[1]Methods write-up'!$Q$21,'[1]observations-276632'!W910&lt;'[1]Methods write-up'!$R$21,'[1]observations-276632'!X910&gt;'[1]Methods write-up'!$S$21,'[1]observations-276632'!X910&lt;'[1]Methods write-up'!$T$21),"Desert and high aridity","")</f>
        <v/>
      </c>
      <c r="BD910" s="23" t="str">
        <f t="shared" si="64"/>
        <v/>
      </c>
      <c r="BE910" s="24">
        <f t="shared" si="62"/>
        <v>23</v>
      </c>
      <c r="BF910" s="24">
        <f t="shared" si="63"/>
        <v>11</v>
      </c>
    </row>
    <row r="911" spans="1:58" ht="16.25" customHeight="1" x14ac:dyDescent="0.2">
      <c r="A911">
        <v>105449563</v>
      </c>
      <c r="B911" s="25">
        <v>44584.570833333331</v>
      </c>
      <c r="C911" s="14">
        <v>44584</v>
      </c>
      <c r="D911" t="s">
        <v>6794</v>
      </c>
      <c r="E911" t="s">
        <v>113</v>
      </c>
      <c r="F911">
        <v>3804804</v>
      </c>
      <c r="G911" t="s">
        <v>6795</v>
      </c>
      <c r="H911" t="s">
        <v>6796</v>
      </c>
      <c r="I911" t="s">
        <v>6797</v>
      </c>
      <c r="J911" t="s">
        <v>6798</v>
      </c>
      <c r="K911" t="s">
        <v>62</v>
      </c>
      <c r="L911" t="s">
        <v>63</v>
      </c>
      <c r="M911" t="s">
        <v>6799</v>
      </c>
      <c r="N911" t="s">
        <v>6800</v>
      </c>
      <c r="R911">
        <v>3</v>
      </c>
      <c r="S911">
        <v>0</v>
      </c>
      <c r="T911" t="b">
        <v>0</v>
      </c>
      <c r="U911">
        <v>2</v>
      </c>
      <c r="V911" t="s">
        <v>6801</v>
      </c>
      <c r="W911" s="15">
        <v>-25.49491184</v>
      </c>
      <c r="X911" s="15">
        <v>30.962773370000001</v>
      </c>
      <c r="AF911" t="b">
        <v>0</v>
      </c>
      <c r="AG911" t="s">
        <v>350</v>
      </c>
      <c r="AH911" t="s">
        <v>350</v>
      </c>
      <c r="AI911" t="s">
        <v>71</v>
      </c>
      <c r="AJ911" t="s">
        <v>70</v>
      </c>
      <c r="AK911" t="s">
        <v>71</v>
      </c>
      <c r="AL911" t="s">
        <v>72</v>
      </c>
      <c r="AM911">
        <v>346053</v>
      </c>
      <c r="AO911" s="16" t="s">
        <v>73</v>
      </c>
      <c r="AP911" s="17" t="str">
        <f t="shared" si="66"/>
        <v>Off-nest female</v>
      </c>
      <c r="AX911" s="22" t="str">
        <f>IF(AND('[1]observations-276632'!W911&gt;'[1]Methods write-up'!$Q$16,'[1]observations-276632'!W911&lt;'[1]Methods write-up'!$R$16,'[1]observations-276632'!X911&gt;'[1]Methods write-up'!$S$16,'[1]observations-276632'!X911&lt;'[1]Methods write-up'!$T$16),"West and Central Africa","")</f>
        <v/>
      </c>
      <c r="AY911" s="22" t="str">
        <f>IF(AND('[1]observations-276632'!W911&gt;'[1]Methods write-up'!$Q$17,'[1]observations-276632'!W911&lt;'[1]Methods write-up'!$R$17,'[1]observations-276632'!X911&gt;'[1]Methods write-up'!$S$17,'[1]observations-276632'!X911&lt;'[1]Methods write-up'!$T$17),"Equatorial tropical forest","")</f>
        <v/>
      </c>
      <c r="AZ911" s="22" t="str">
        <f>IF(AND('[1]observations-276632'!W911&gt;'[1]Methods write-up'!$Q$18,'[1]observations-276632'!W911&lt;'[1]Methods write-up'!$R$18,'[1]observations-276632'!X911&gt;'[1]Methods write-up'!$S$18,'[1]observations-276632'!X911&lt;'[1]Methods write-up'!$T$18),"Somali peninsula","")</f>
        <v/>
      </c>
      <c r="BA911" s="22" t="str">
        <f>IF(AND('[1]observations-276632'!W911&gt;'[1]Methods write-up'!$Q$19,'[1]observations-276632'!W911&lt;'[1]Methods write-up'!$R$19,'[1]observations-276632'!X911&gt;'[1]Methods write-up'!$S$19,'[1]observations-276632'!X911&lt;'[1]Methods write-up'!$T$19),"East Africa","")</f>
        <v/>
      </c>
      <c r="BB911" s="22" t="str">
        <f>IF(AND('[1]observations-276632'!W911&gt;'[1]Methods write-up'!$Q$20,'[1]observations-276632'!W911&lt;'[1]Methods write-up'!$R$20,'[1]observations-276632'!X911&gt;'[1]Methods write-up'!$S$20,'[1]observations-276632'!X911&lt;'[1]Methods write-up'!$T$20),"Temperate seasonal","")</f>
        <v>Temperate seasonal</v>
      </c>
      <c r="BC911" s="22" t="str">
        <f>IF(AND('[1]observations-276632'!W911&gt;'[1]Methods write-up'!$Q$21,'[1]observations-276632'!W911&lt;'[1]Methods write-up'!$R$21,'[1]observations-276632'!X911&gt;'[1]Methods write-up'!$S$21,'[1]observations-276632'!X911&lt;'[1]Methods write-up'!$T$21),"Desert and high aridity","")</f>
        <v/>
      </c>
      <c r="BD911" s="23" t="str">
        <f t="shared" si="64"/>
        <v>Temperate seasonal</v>
      </c>
      <c r="BE911" s="24">
        <f t="shared" si="62"/>
        <v>23</v>
      </c>
      <c r="BF911" s="24">
        <f t="shared" si="63"/>
        <v>1</v>
      </c>
    </row>
    <row r="912" spans="1:58" ht="16.25" customHeight="1" x14ac:dyDescent="0.2">
      <c r="A912">
        <v>105494422</v>
      </c>
      <c r="B912" t="s">
        <v>6802</v>
      </c>
      <c r="C912" s="14">
        <v>44585</v>
      </c>
      <c r="D912" t="s">
        <v>6803</v>
      </c>
      <c r="E912" t="s">
        <v>113</v>
      </c>
      <c r="F912">
        <v>3814194</v>
      </c>
      <c r="G912" t="s">
        <v>5242</v>
      </c>
      <c r="H912" t="s">
        <v>5243</v>
      </c>
      <c r="I912" t="s">
        <v>6804</v>
      </c>
      <c r="J912" t="s">
        <v>6805</v>
      </c>
      <c r="K912" t="s">
        <v>62</v>
      </c>
      <c r="L912" t="s">
        <v>63</v>
      </c>
      <c r="M912" t="s">
        <v>6806</v>
      </c>
      <c r="N912" t="s">
        <v>6807</v>
      </c>
      <c r="P912" t="s">
        <v>5248</v>
      </c>
      <c r="R912">
        <v>2</v>
      </c>
      <c r="S912">
        <v>0</v>
      </c>
      <c r="T912" t="b">
        <v>0</v>
      </c>
      <c r="V912" t="s">
        <v>5250</v>
      </c>
      <c r="W912" s="15">
        <v>-26.0585816</v>
      </c>
      <c r="X912" s="15">
        <v>27.975387999999999</v>
      </c>
      <c r="Y912">
        <v>1769</v>
      </c>
      <c r="AC912">
        <v>1769</v>
      </c>
      <c r="AF912" t="b">
        <v>0</v>
      </c>
      <c r="AI912" t="s">
        <v>71</v>
      </c>
      <c r="AJ912" t="s">
        <v>70</v>
      </c>
      <c r="AK912" t="s">
        <v>71</v>
      </c>
      <c r="AL912" t="s">
        <v>72</v>
      </c>
      <c r="AM912">
        <v>346053</v>
      </c>
      <c r="AO912" s="16" t="s">
        <v>73</v>
      </c>
      <c r="AP912" s="17" t="str">
        <f t="shared" si="66"/>
        <v>Off-nest female</v>
      </c>
      <c r="AX912" s="22" t="str">
        <f>IF(AND('[1]observations-276632'!W912&gt;'[1]Methods write-up'!$Q$16,'[1]observations-276632'!W912&lt;'[1]Methods write-up'!$R$16,'[1]observations-276632'!X912&gt;'[1]Methods write-up'!$S$16,'[1]observations-276632'!X912&lt;'[1]Methods write-up'!$T$16),"West and Central Africa","")</f>
        <v/>
      </c>
      <c r="AY912" s="22" t="str">
        <f>IF(AND('[1]observations-276632'!W912&gt;'[1]Methods write-up'!$Q$17,'[1]observations-276632'!W912&lt;'[1]Methods write-up'!$R$17,'[1]observations-276632'!X912&gt;'[1]Methods write-up'!$S$17,'[1]observations-276632'!X912&lt;'[1]Methods write-up'!$T$17),"Equatorial tropical forest","")</f>
        <v/>
      </c>
      <c r="AZ912" s="22" t="str">
        <f>IF(AND('[1]observations-276632'!W912&gt;'[1]Methods write-up'!$Q$18,'[1]observations-276632'!W912&lt;'[1]Methods write-up'!$R$18,'[1]observations-276632'!X912&gt;'[1]Methods write-up'!$S$18,'[1]observations-276632'!X912&lt;'[1]Methods write-up'!$T$18),"Somali peninsula","")</f>
        <v/>
      </c>
      <c r="BA912" s="22" t="str">
        <f>IF(AND('[1]observations-276632'!W912&gt;'[1]Methods write-up'!$Q$19,'[1]observations-276632'!W912&lt;'[1]Methods write-up'!$R$19,'[1]observations-276632'!X912&gt;'[1]Methods write-up'!$S$19,'[1]observations-276632'!X912&lt;'[1]Methods write-up'!$T$19),"East Africa","")</f>
        <v/>
      </c>
      <c r="BB912" s="22" t="str">
        <f>IF(AND('[1]observations-276632'!W912&gt;'[1]Methods write-up'!$Q$20,'[1]observations-276632'!W912&lt;'[1]Methods write-up'!$R$20,'[1]observations-276632'!X912&gt;'[1]Methods write-up'!$S$20,'[1]observations-276632'!X912&lt;'[1]Methods write-up'!$T$20),"Temperate seasonal","")</f>
        <v>Temperate seasonal</v>
      </c>
      <c r="BC912" s="22" t="str">
        <f>IF(AND('[1]observations-276632'!W912&gt;'[1]Methods write-up'!$Q$21,'[1]observations-276632'!W912&lt;'[1]Methods write-up'!$R$21,'[1]observations-276632'!X912&gt;'[1]Methods write-up'!$S$21,'[1]observations-276632'!X912&lt;'[1]Methods write-up'!$T$21),"Desert and high aridity","")</f>
        <v/>
      </c>
      <c r="BD912" s="23" t="str">
        <f t="shared" si="64"/>
        <v>Temperate seasonal</v>
      </c>
      <c r="BE912" s="24">
        <f t="shared" si="62"/>
        <v>24</v>
      </c>
      <c r="BF912" s="24">
        <f t="shared" si="63"/>
        <v>1</v>
      </c>
    </row>
    <row r="913" spans="1:58" ht="16.25" customHeight="1" x14ac:dyDescent="0.2">
      <c r="A913">
        <v>105613670</v>
      </c>
      <c r="B913" t="s">
        <v>6808</v>
      </c>
      <c r="C913" s="14">
        <v>44587</v>
      </c>
      <c r="D913" t="s">
        <v>6809</v>
      </c>
      <c r="E913" t="s">
        <v>6201</v>
      </c>
      <c r="F913">
        <v>4023157</v>
      </c>
      <c r="G913" t="s">
        <v>4891</v>
      </c>
      <c r="H913" t="s">
        <v>4892</v>
      </c>
      <c r="I913" t="s">
        <v>6810</v>
      </c>
      <c r="J913" t="s">
        <v>6811</v>
      </c>
      <c r="K913" t="s">
        <v>62</v>
      </c>
      <c r="M913" t="s">
        <v>6812</v>
      </c>
      <c r="N913" t="s">
        <v>6813</v>
      </c>
      <c r="R913">
        <v>2</v>
      </c>
      <c r="S913">
        <v>0</v>
      </c>
      <c r="T913" t="b">
        <v>0</v>
      </c>
      <c r="U913">
        <v>2</v>
      </c>
      <c r="V913" t="s">
        <v>4898</v>
      </c>
      <c r="W913" s="15">
        <v>-25.79744492</v>
      </c>
      <c r="X913" s="15">
        <v>28.298322670000001</v>
      </c>
      <c r="Y913">
        <v>200</v>
      </c>
      <c r="AC913">
        <v>200</v>
      </c>
      <c r="AF913" t="b">
        <v>0</v>
      </c>
      <c r="AG913" t="s">
        <v>350</v>
      </c>
      <c r="AH913" t="s">
        <v>350</v>
      </c>
      <c r="AI913" t="s">
        <v>71</v>
      </c>
      <c r="AJ913" t="s">
        <v>70</v>
      </c>
      <c r="AK913" t="s">
        <v>71</v>
      </c>
      <c r="AL913" t="s">
        <v>72</v>
      </c>
      <c r="AM913">
        <v>346053</v>
      </c>
      <c r="AO913" s="16" t="s">
        <v>73</v>
      </c>
      <c r="AP913" s="17" t="str">
        <f t="shared" si="66"/>
        <v>Off-nest female</v>
      </c>
      <c r="AX913" s="22" t="str">
        <f>IF(AND('[1]observations-276632'!W913&gt;'[1]Methods write-up'!$Q$16,'[1]observations-276632'!W913&lt;'[1]Methods write-up'!$R$16,'[1]observations-276632'!X913&gt;'[1]Methods write-up'!$S$16,'[1]observations-276632'!X913&lt;'[1]Methods write-up'!$T$16),"West and Central Africa","")</f>
        <v/>
      </c>
      <c r="AY913" s="22" t="str">
        <f>IF(AND('[1]observations-276632'!W913&gt;'[1]Methods write-up'!$Q$17,'[1]observations-276632'!W913&lt;'[1]Methods write-up'!$R$17,'[1]observations-276632'!X913&gt;'[1]Methods write-up'!$S$17,'[1]observations-276632'!X913&lt;'[1]Methods write-up'!$T$17),"Equatorial tropical forest","")</f>
        <v/>
      </c>
      <c r="AZ913" s="22" t="str">
        <f>IF(AND('[1]observations-276632'!W913&gt;'[1]Methods write-up'!$Q$18,'[1]observations-276632'!W913&lt;'[1]Methods write-up'!$R$18,'[1]observations-276632'!X913&gt;'[1]Methods write-up'!$S$18,'[1]observations-276632'!X913&lt;'[1]Methods write-up'!$T$18),"Somali peninsula","")</f>
        <v/>
      </c>
      <c r="BA913" s="22" t="str">
        <f>IF(AND('[1]observations-276632'!W913&gt;'[1]Methods write-up'!$Q$19,'[1]observations-276632'!W913&lt;'[1]Methods write-up'!$R$19,'[1]observations-276632'!X913&gt;'[1]Methods write-up'!$S$19,'[1]observations-276632'!X913&lt;'[1]Methods write-up'!$T$19),"East Africa","")</f>
        <v/>
      </c>
      <c r="BB913" s="22" t="str">
        <f>IF(AND('[1]observations-276632'!W913&gt;'[1]Methods write-up'!$Q$20,'[1]observations-276632'!W913&lt;'[1]Methods write-up'!$R$20,'[1]observations-276632'!X913&gt;'[1]Methods write-up'!$S$20,'[1]observations-276632'!X913&lt;'[1]Methods write-up'!$T$20),"Temperate seasonal","")</f>
        <v>Temperate seasonal</v>
      </c>
      <c r="BC913" s="22" t="str">
        <f>IF(AND('[1]observations-276632'!W913&gt;'[1]Methods write-up'!$Q$21,'[1]observations-276632'!W913&lt;'[1]Methods write-up'!$R$21,'[1]observations-276632'!X913&gt;'[1]Methods write-up'!$S$21,'[1]observations-276632'!X913&lt;'[1]Methods write-up'!$T$21),"Desert and high aridity","")</f>
        <v/>
      </c>
      <c r="BD913" s="23" t="str">
        <f t="shared" si="64"/>
        <v>Temperate seasonal</v>
      </c>
      <c r="BE913" s="24">
        <f t="shared" si="62"/>
        <v>26</v>
      </c>
      <c r="BF913" s="24">
        <f t="shared" si="63"/>
        <v>1</v>
      </c>
    </row>
    <row r="914" spans="1:58" ht="16.25" customHeight="1" x14ac:dyDescent="0.2">
      <c r="A914">
        <v>105672788</v>
      </c>
      <c r="B914" t="s">
        <v>6814</v>
      </c>
      <c r="C914" s="14">
        <v>44555</v>
      </c>
      <c r="D914" t="s">
        <v>6815</v>
      </c>
      <c r="E914" t="s">
        <v>243</v>
      </c>
      <c r="F914">
        <v>1476120</v>
      </c>
      <c r="G914" t="s">
        <v>6816</v>
      </c>
      <c r="H914" t="s">
        <v>6817</v>
      </c>
      <c r="I914" t="s">
        <v>6818</v>
      </c>
      <c r="J914" t="s">
        <v>6819</v>
      </c>
      <c r="K914" t="s">
        <v>62</v>
      </c>
      <c r="L914" t="s">
        <v>98</v>
      </c>
      <c r="M914" t="s">
        <v>6820</v>
      </c>
      <c r="N914" t="s">
        <v>6821</v>
      </c>
      <c r="R914">
        <v>1</v>
      </c>
      <c r="S914">
        <v>0</v>
      </c>
      <c r="T914" t="b">
        <v>0</v>
      </c>
      <c r="V914" t="s">
        <v>6822</v>
      </c>
      <c r="W914" s="15">
        <v>0.35288839500000002</v>
      </c>
      <c r="X914" s="15">
        <v>34.863991800000001</v>
      </c>
      <c r="Y914">
        <v>36</v>
      </c>
      <c r="AC914">
        <v>36</v>
      </c>
      <c r="AF914" t="b">
        <v>0</v>
      </c>
      <c r="AI914" t="s">
        <v>71</v>
      </c>
      <c r="AJ914" t="s">
        <v>70</v>
      </c>
      <c r="AK914" t="s">
        <v>71</v>
      </c>
      <c r="AL914" t="s">
        <v>72</v>
      </c>
      <c r="AM914">
        <v>346053</v>
      </c>
      <c r="AO914" s="16" t="s">
        <v>110</v>
      </c>
      <c r="AP914" s="17" t="str">
        <f t="shared" si="66"/>
        <v>Nest (foundress)</v>
      </c>
      <c r="AQ914" s="18">
        <v>5</v>
      </c>
      <c r="AT914" s="19" t="s">
        <v>141</v>
      </c>
      <c r="AX914" s="22" t="str">
        <f>IF(AND('[1]observations-276632'!W914&gt;'[1]Methods write-up'!$Q$16,'[1]observations-276632'!W914&lt;'[1]Methods write-up'!$R$16,'[1]observations-276632'!X914&gt;'[1]Methods write-up'!$S$16,'[1]observations-276632'!X914&lt;'[1]Methods write-up'!$T$16),"West and Central Africa","")</f>
        <v/>
      </c>
      <c r="AY914" s="22" t="str">
        <f>IF(AND('[1]observations-276632'!W914&gt;'[1]Methods write-up'!$Q$17,'[1]observations-276632'!W914&lt;'[1]Methods write-up'!$R$17,'[1]observations-276632'!X914&gt;'[1]Methods write-up'!$S$17,'[1]observations-276632'!X914&lt;'[1]Methods write-up'!$T$17),"Equatorial tropical forest","")</f>
        <v/>
      </c>
      <c r="AZ914" s="22" t="str">
        <f>IF(AND('[1]observations-276632'!W914&gt;'[1]Methods write-up'!$Q$18,'[1]observations-276632'!W914&lt;'[1]Methods write-up'!$R$18,'[1]observations-276632'!X914&gt;'[1]Methods write-up'!$S$18,'[1]observations-276632'!X914&lt;'[1]Methods write-up'!$T$18),"Somali peninsula","")</f>
        <v/>
      </c>
      <c r="BA914" s="22" t="str">
        <f>IF(AND('[1]observations-276632'!W914&gt;'[1]Methods write-up'!$Q$19,'[1]observations-276632'!W914&lt;'[1]Methods write-up'!$R$19,'[1]observations-276632'!X914&gt;'[1]Methods write-up'!$S$19,'[1]observations-276632'!X914&lt;'[1]Methods write-up'!$T$19),"East Africa","")</f>
        <v>East Africa</v>
      </c>
      <c r="BB914" s="22" t="str">
        <f>IF(AND('[1]observations-276632'!W914&gt;'[1]Methods write-up'!$Q$20,'[1]observations-276632'!W914&lt;'[1]Methods write-up'!$R$20,'[1]observations-276632'!X914&gt;'[1]Methods write-up'!$S$20,'[1]observations-276632'!X914&lt;'[1]Methods write-up'!$T$20),"Temperate seasonal","")</f>
        <v/>
      </c>
      <c r="BC914" s="22" t="str">
        <f>IF(AND('[1]observations-276632'!W914&gt;'[1]Methods write-up'!$Q$21,'[1]observations-276632'!W914&lt;'[1]Methods write-up'!$R$21,'[1]observations-276632'!X914&gt;'[1]Methods write-up'!$S$21,'[1]observations-276632'!X914&lt;'[1]Methods write-up'!$T$21),"Desert and high aridity","")</f>
        <v/>
      </c>
      <c r="BD914" s="23" t="str">
        <f t="shared" si="64"/>
        <v>East Africa</v>
      </c>
      <c r="BE914" s="24">
        <f t="shared" si="62"/>
        <v>25</v>
      </c>
      <c r="BF914" s="24">
        <f t="shared" si="63"/>
        <v>12</v>
      </c>
    </row>
    <row r="915" spans="1:58" ht="16.25" customHeight="1" x14ac:dyDescent="0.2">
      <c r="A915">
        <v>105674306</v>
      </c>
      <c r="B915" t="s">
        <v>6823</v>
      </c>
      <c r="C915" s="14">
        <v>44557</v>
      </c>
      <c r="D915" t="s">
        <v>6824</v>
      </c>
      <c r="E915" t="s">
        <v>243</v>
      </c>
      <c r="F915">
        <v>1476120</v>
      </c>
      <c r="G915" t="s">
        <v>6816</v>
      </c>
      <c r="H915" t="s">
        <v>6817</v>
      </c>
      <c r="I915" t="s">
        <v>6825</v>
      </c>
      <c r="J915" t="s">
        <v>6826</v>
      </c>
      <c r="K915" t="s">
        <v>62</v>
      </c>
      <c r="L915" t="s">
        <v>98</v>
      </c>
      <c r="M915" t="s">
        <v>6827</v>
      </c>
      <c r="N915" t="s">
        <v>6828</v>
      </c>
      <c r="R915">
        <v>1</v>
      </c>
      <c r="S915">
        <v>0</v>
      </c>
      <c r="T915" t="b">
        <v>0</v>
      </c>
      <c r="V915" t="s">
        <v>6829</v>
      </c>
      <c r="W915" s="15">
        <v>1.0942254769999999</v>
      </c>
      <c r="X915" s="15">
        <v>35.118182609999998</v>
      </c>
      <c r="Y915">
        <v>44</v>
      </c>
      <c r="AC915">
        <v>44</v>
      </c>
      <c r="AF915" t="b">
        <v>0</v>
      </c>
      <c r="AI915" t="s">
        <v>71</v>
      </c>
      <c r="AJ915" t="s">
        <v>70</v>
      </c>
      <c r="AK915" t="s">
        <v>71</v>
      </c>
      <c r="AL915" t="s">
        <v>72</v>
      </c>
      <c r="AM915">
        <v>346053</v>
      </c>
      <c r="AO915" s="16" t="s">
        <v>73</v>
      </c>
      <c r="AP915" s="17" t="str">
        <f t="shared" si="66"/>
        <v>Off-nest female</v>
      </c>
      <c r="AX915" s="22" t="str">
        <f>IF(AND('[1]observations-276632'!W915&gt;'[1]Methods write-up'!$Q$16,'[1]observations-276632'!W915&lt;'[1]Methods write-up'!$R$16,'[1]observations-276632'!X915&gt;'[1]Methods write-up'!$S$16,'[1]observations-276632'!X915&lt;'[1]Methods write-up'!$T$16),"West and Central Africa","")</f>
        <v/>
      </c>
      <c r="AY915" s="22" t="str">
        <f>IF(AND('[1]observations-276632'!W915&gt;'[1]Methods write-up'!$Q$17,'[1]observations-276632'!W915&lt;'[1]Methods write-up'!$R$17,'[1]observations-276632'!X915&gt;'[1]Methods write-up'!$S$17,'[1]observations-276632'!X915&lt;'[1]Methods write-up'!$T$17),"Equatorial tropical forest","")</f>
        <v/>
      </c>
      <c r="AZ915" s="22" t="str">
        <f>IF(AND('[1]observations-276632'!W915&gt;'[1]Methods write-up'!$Q$18,'[1]observations-276632'!W915&lt;'[1]Methods write-up'!$R$18,'[1]observations-276632'!X915&gt;'[1]Methods write-up'!$S$18,'[1]observations-276632'!X915&lt;'[1]Methods write-up'!$T$18),"Somali peninsula","")</f>
        <v/>
      </c>
      <c r="BA915" s="22" t="str">
        <f>IF(AND('[1]observations-276632'!W915&gt;'[1]Methods write-up'!$Q$19,'[1]observations-276632'!W915&lt;'[1]Methods write-up'!$R$19,'[1]observations-276632'!X915&gt;'[1]Methods write-up'!$S$19,'[1]observations-276632'!X915&lt;'[1]Methods write-up'!$T$19),"East Africa","")</f>
        <v>East Africa</v>
      </c>
      <c r="BB915" s="22" t="str">
        <f>IF(AND('[1]observations-276632'!W915&gt;'[1]Methods write-up'!$Q$20,'[1]observations-276632'!W915&lt;'[1]Methods write-up'!$R$20,'[1]observations-276632'!X915&gt;'[1]Methods write-up'!$S$20,'[1]observations-276632'!X915&lt;'[1]Methods write-up'!$T$20),"Temperate seasonal","")</f>
        <v/>
      </c>
      <c r="BC915" s="22" t="str">
        <f>IF(AND('[1]observations-276632'!W915&gt;'[1]Methods write-up'!$Q$21,'[1]observations-276632'!W915&lt;'[1]Methods write-up'!$R$21,'[1]observations-276632'!X915&gt;'[1]Methods write-up'!$S$21,'[1]observations-276632'!X915&lt;'[1]Methods write-up'!$T$21),"Desert and high aridity","")</f>
        <v/>
      </c>
      <c r="BD915" s="23" t="str">
        <f t="shared" si="64"/>
        <v>East Africa</v>
      </c>
      <c r="BE915" s="24">
        <f t="shared" si="62"/>
        <v>27</v>
      </c>
      <c r="BF915" s="24">
        <f t="shared" si="63"/>
        <v>12</v>
      </c>
    </row>
    <row r="916" spans="1:58" ht="16.25" customHeight="1" x14ac:dyDescent="0.2">
      <c r="A916">
        <v>105716851</v>
      </c>
      <c r="B916" t="s">
        <v>6830</v>
      </c>
      <c r="C916" s="14">
        <v>44589</v>
      </c>
      <c r="D916" t="s">
        <v>6831</v>
      </c>
      <c r="E916" t="s">
        <v>57</v>
      </c>
      <c r="F916">
        <v>4011361</v>
      </c>
      <c r="G916" t="s">
        <v>5071</v>
      </c>
      <c r="H916" t="s">
        <v>5072</v>
      </c>
      <c r="I916" t="s">
        <v>6832</v>
      </c>
      <c r="J916" t="s">
        <v>6833</v>
      </c>
      <c r="K916" t="s">
        <v>157</v>
      </c>
      <c r="L916" t="s">
        <v>63</v>
      </c>
      <c r="M916" t="s">
        <v>6834</v>
      </c>
      <c r="N916" t="s">
        <v>6835</v>
      </c>
      <c r="R916">
        <v>3</v>
      </c>
      <c r="S916">
        <v>0</v>
      </c>
      <c r="T916" t="b">
        <v>0</v>
      </c>
      <c r="V916" t="s">
        <v>6836</v>
      </c>
      <c r="W916" s="15">
        <v>-22.57264047</v>
      </c>
      <c r="X916" s="15">
        <v>17.128385990000002</v>
      </c>
      <c r="Y916">
        <v>15</v>
      </c>
      <c r="AC916">
        <v>15</v>
      </c>
      <c r="AF916" t="b">
        <v>0</v>
      </c>
      <c r="AI916" t="s">
        <v>756</v>
      </c>
      <c r="AJ916" t="s">
        <v>756</v>
      </c>
      <c r="AL916" t="s">
        <v>72</v>
      </c>
      <c r="AM916">
        <v>652800</v>
      </c>
      <c r="AO916" s="16" t="s">
        <v>73</v>
      </c>
      <c r="AP916" s="17" t="str">
        <f t="shared" si="66"/>
        <v>Off-nest female</v>
      </c>
      <c r="AX916" s="22" t="str">
        <f>IF(AND('[1]observations-276632'!W916&gt;'[1]Methods write-up'!$Q$16,'[1]observations-276632'!W916&lt;'[1]Methods write-up'!$R$16,'[1]observations-276632'!X916&gt;'[1]Methods write-up'!$S$16,'[1]observations-276632'!X916&lt;'[1]Methods write-up'!$T$16),"West and Central Africa","")</f>
        <v/>
      </c>
      <c r="AY916" s="22" t="str">
        <f>IF(AND('[1]observations-276632'!W916&gt;'[1]Methods write-up'!$Q$17,'[1]observations-276632'!W916&lt;'[1]Methods write-up'!$R$17,'[1]observations-276632'!X916&gt;'[1]Methods write-up'!$S$17,'[1]observations-276632'!X916&lt;'[1]Methods write-up'!$T$17),"Equatorial tropical forest","")</f>
        <v/>
      </c>
      <c r="AZ916" s="22" t="str">
        <f>IF(AND('[1]observations-276632'!W916&gt;'[1]Methods write-up'!$Q$18,'[1]observations-276632'!W916&lt;'[1]Methods write-up'!$R$18,'[1]observations-276632'!X916&gt;'[1]Methods write-up'!$S$18,'[1]observations-276632'!X916&lt;'[1]Methods write-up'!$T$18),"Somali peninsula","")</f>
        <v/>
      </c>
      <c r="BA916" s="22" t="str">
        <f>IF(AND('[1]observations-276632'!W916&gt;'[1]Methods write-up'!$Q$19,'[1]observations-276632'!W916&lt;'[1]Methods write-up'!$R$19,'[1]observations-276632'!X916&gt;'[1]Methods write-up'!$S$19,'[1]observations-276632'!X916&lt;'[1]Methods write-up'!$T$19),"East Africa","")</f>
        <v/>
      </c>
      <c r="BB916" s="22" t="str">
        <f>IF(AND('[1]observations-276632'!W916&gt;'[1]Methods write-up'!$Q$20,'[1]observations-276632'!W916&lt;'[1]Methods write-up'!$R$20,'[1]observations-276632'!X916&gt;'[1]Methods write-up'!$S$20,'[1]observations-276632'!X916&lt;'[1]Methods write-up'!$T$20),"Temperate seasonal","")</f>
        <v/>
      </c>
      <c r="BC916" s="22" t="str">
        <f>IF(AND('[1]observations-276632'!W916&gt;'[1]Methods write-up'!$Q$21,'[1]observations-276632'!W916&lt;'[1]Methods write-up'!$R$21,'[1]observations-276632'!X916&gt;'[1]Methods write-up'!$S$21,'[1]observations-276632'!X916&lt;'[1]Methods write-up'!$T$21),"Desert and high aridity","")</f>
        <v>Desert and high aridity</v>
      </c>
      <c r="BD916" s="23" t="str">
        <f t="shared" si="64"/>
        <v>Desert and high aridity</v>
      </c>
      <c r="BE916" s="24">
        <f t="shared" si="62"/>
        <v>28</v>
      </c>
      <c r="BF916" s="24">
        <f t="shared" si="63"/>
        <v>1</v>
      </c>
    </row>
    <row r="917" spans="1:58" ht="16.25" customHeight="1" x14ac:dyDescent="0.2">
      <c r="A917">
        <v>105722782</v>
      </c>
      <c r="B917" t="s">
        <v>6837</v>
      </c>
      <c r="C917" s="14">
        <v>44589</v>
      </c>
      <c r="D917" t="s">
        <v>6838</v>
      </c>
      <c r="E917" t="s">
        <v>1408</v>
      </c>
      <c r="F917">
        <v>5291119</v>
      </c>
      <c r="G917" t="s">
        <v>6839</v>
      </c>
      <c r="I917" t="s">
        <v>6840</v>
      </c>
      <c r="J917" t="s">
        <v>6841</v>
      </c>
      <c r="K917" t="s">
        <v>62</v>
      </c>
      <c r="L917" t="s">
        <v>63</v>
      </c>
      <c r="M917" t="s">
        <v>6842</v>
      </c>
      <c r="N917" t="s">
        <v>6843</v>
      </c>
      <c r="R917">
        <v>3</v>
      </c>
      <c r="S917">
        <v>0</v>
      </c>
      <c r="T917" t="b">
        <v>0</v>
      </c>
      <c r="V917" t="s">
        <v>6844</v>
      </c>
      <c r="W917" s="15">
        <v>5.5344154999999997</v>
      </c>
      <c r="X917" s="15">
        <v>-0.42527369999999998</v>
      </c>
      <c r="Y917">
        <v>3545</v>
      </c>
      <c r="AC917">
        <v>3545</v>
      </c>
      <c r="AF917" t="b">
        <v>0</v>
      </c>
      <c r="AI917" t="s">
        <v>71</v>
      </c>
      <c r="AJ917" t="s">
        <v>70</v>
      </c>
      <c r="AK917" t="s">
        <v>71</v>
      </c>
      <c r="AL917" t="s">
        <v>72</v>
      </c>
      <c r="AM917">
        <v>346053</v>
      </c>
      <c r="AO917" s="16" t="s">
        <v>140</v>
      </c>
      <c r="AP917" s="17" t="str">
        <f t="shared" si="66"/>
        <v>Post-emergence nest</v>
      </c>
      <c r="AQ917" s="18">
        <v>5</v>
      </c>
      <c r="AT917" s="19" t="s">
        <v>141</v>
      </c>
      <c r="AU917" s="20" t="s">
        <v>315</v>
      </c>
      <c r="AV917" s="21" t="s">
        <v>6476</v>
      </c>
      <c r="AX917" s="22" t="str">
        <f>IF(AND('[1]observations-276632'!W917&gt;'[1]Methods write-up'!$Q$16,'[1]observations-276632'!W917&lt;'[1]Methods write-up'!$R$16,'[1]observations-276632'!X917&gt;'[1]Methods write-up'!$S$16,'[1]observations-276632'!X917&lt;'[1]Methods write-up'!$T$16),"West and Central Africa","")</f>
        <v>West and Central Africa</v>
      </c>
      <c r="AY917" s="22" t="str">
        <f>IF(AND('[1]observations-276632'!W917&gt;'[1]Methods write-up'!$Q$17,'[1]observations-276632'!W917&lt;'[1]Methods write-up'!$R$17,'[1]observations-276632'!X917&gt;'[1]Methods write-up'!$S$17,'[1]observations-276632'!X917&lt;'[1]Methods write-up'!$T$17),"Equatorial tropical forest","")</f>
        <v/>
      </c>
      <c r="AZ917" s="22" t="str">
        <f>IF(AND('[1]observations-276632'!W917&gt;'[1]Methods write-up'!$Q$18,'[1]observations-276632'!W917&lt;'[1]Methods write-up'!$R$18,'[1]observations-276632'!X917&gt;'[1]Methods write-up'!$S$18,'[1]observations-276632'!X917&lt;'[1]Methods write-up'!$T$18),"Somali peninsula","")</f>
        <v/>
      </c>
      <c r="BA917" s="22" t="str">
        <f>IF(AND('[1]observations-276632'!W917&gt;'[1]Methods write-up'!$Q$19,'[1]observations-276632'!W917&lt;'[1]Methods write-up'!$R$19,'[1]observations-276632'!X917&gt;'[1]Methods write-up'!$S$19,'[1]observations-276632'!X917&lt;'[1]Methods write-up'!$T$19),"East Africa","")</f>
        <v/>
      </c>
      <c r="BB917" s="22" t="str">
        <f>IF(AND('[1]observations-276632'!W917&gt;'[1]Methods write-up'!$Q$20,'[1]observations-276632'!W917&lt;'[1]Methods write-up'!$R$20,'[1]observations-276632'!X917&gt;'[1]Methods write-up'!$S$20,'[1]observations-276632'!X917&lt;'[1]Methods write-up'!$T$20),"Temperate seasonal","")</f>
        <v/>
      </c>
      <c r="BC917" s="22" t="str">
        <f>IF(AND('[1]observations-276632'!W917&gt;'[1]Methods write-up'!$Q$21,'[1]observations-276632'!W917&lt;'[1]Methods write-up'!$R$21,'[1]observations-276632'!X917&gt;'[1]Methods write-up'!$S$21,'[1]observations-276632'!X917&lt;'[1]Methods write-up'!$T$21),"Desert and high aridity","")</f>
        <v/>
      </c>
      <c r="BD917" s="23" t="str">
        <f t="shared" si="64"/>
        <v>West and Central Africa</v>
      </c>
      <c r="BE917" s="24">
        <f t="shared" si="62"/>
        <v>28</v>
      </c>
      <c r="BF917" s="24">
        <f t="shared" si="63"/>
        <v>1</v>
      </c>
    </row>
    <row r="918" spans="1:58" ht="16.25" customHeight="1" x14ac:dyDescent="0.2">
      <c r="A918">
        <v>105896177</v>
      </c>
      <c r="B918" s="25">
        <v>44588.59652777778</v>
      </c>
      <c r="C918" s="14">
        <v>44588</v>
      </c>
      <c r="D918" t="s">
        <v>6845</v>
      </c>
      <c r="E918" t="s">
        <v>74</v>
      </c>
      <c r="F918">
        <v>2629943</v>
      </c>
      <c r="G918" t="s">
        <v>4009</v>
      </c>
      <c r="H918" t="s">
        <v>4010</v>
      </c>
      <c r="I918" t="s">
        <v>6846</v>
      </c>
      <c r="J918" t="s">
        <v>6847</v>
      </c>
      <c r="K918" t="s">
        <v>62</v>
      </c>
      <c r="L918" t="s">
        <v>63</v>
      </c>
      <c r="M918" t="s">
        <v>6848</v>
      </c>
      <c r="N918" t="s">
        <v>6849</v>
      </c>
      <c r="R918">
        <v>3</v>
      </c>
      <c r="S918">
        <v>0</v>
      </c>
      <c r="T918" t="b">
        <v>0</v>
      </c>
      <c r="U918">
        <v>2</v>
      </c>
      <c r="V918" t="s">
        <v>6850</v>
      </c>
      <c r="W918" s="15">
        <v>-18.003957310000001</v>
      </c>
      <c r="X918" s="15">
        <v>31.879240679999999</v>
      </c>
      <c r="Y918">
        <v>140</v>
      </c>
      <c r="AC918">
        <v>140</v>
      </c>
      <c r="AF918" t="b">
        <v>0</v>
      </c>
      <c r="AG918" t="s">
        <v>350</v>
      </c>
      <c r="AH918" t="s">
        <v>350</v>
      </c>
      <c r="AI918" t="s">
        <v>71</v>
      </c>
      <c r="AJ918" t="s">
        <v>70</v>
      </c>
      <c r="AK918" t="s">
        <v>71</v>
      </c>
      <c r="AL918" t="s">
        <v>72</v>
      </c>
      <c r="AM918">
        <v>346053</v>
      </c>
      <c r="AO918" s="16" t="s">
        <v>73</v>
      </c>
      <c r="AP918" s="17" t="str">
        <f t="shared" si="66"/>
        <v>Off-nest female</v>
      </c>
      <c r="AX918" s="22" t="str">
        <f>IF(AND('[1]observations-276632'!W918&gt;'[1]Methods write-up'!$Q$16,'[1]observations-276632'!W918&lt;'[1]Methods write-up'!$R$16,'[1]observations-276632'!X918&gt;'[1]Methods write-up'!$S$16,'[1]observations-276632'!X918&lt;'[1]Methods write-up'!$T$16),"West and Central Africa","")</f>
        <v/>
      </c>
      <c r="AY918" s="22" t="str">
        <f>IF(AND('[1]observations-276632'!W918&gt;'[1]Methods write-up'!$Q$17,'[1]observations-276632'!W918&lt;'[1]Methods write-up'!$R$17,'[1]observations-276632'!X918&gt;'[1]Methods write-up'!$S$17,'[1]observations-276632'!X918&lt;'[1]Methods write-up'!$T$17),"Equatorial tropical forest","")</f>
        <v/>
      </c>
      <c r="AZ918" s="22" t="str">
        <f>IF(AND('[1]observations-276632'!W918&gt;'[1]Methods write-up'!$Q$18,'[1]observations-276632'!W918&lt;'[1]Methods write-up'!$R$18,'[1]observations-276632'!X918&gt;'[1]Methods write-up'!$S$18,'[1]observations-276632'!X918&lt;'[1]Methods write-up'!$T$18),"Somali peninsula","")</f>
        <v/>
      </c>
      <c r="BA918" s="22" t="str">
        <f>IF(AND('[1]observations-276632'!W918&gt;'[1]Methods write-up'!$Q$19,'[1]observations-276632'!W918&lt;'[1]Methods write-up'!$R$19,'[1]observations-276632'!X918&gt;'[1]Methods write-up'!$S$19,'[1]observations-276632'!X918&lt;'[1]Methods write-up'!$T$19),"East Africa","")</f>
        <v/>
      </c>
      <c r="BB918" s="22" t="str">
        <f>IF(AND('[1]observations-276632'!W918&gt;'[1]Methods write-up'!$Q$20,'[1]observations-276632'!W918&lt;'[1]Methods write-up'!$R$20,'[1]observations-276632'!X918&gt;'[1]Methods write-up'!$S$20,'[1]observations-276632'!X918&lt;'[1]Methods write-up'!$T$20),"Temperate seasonal","")</f>
        <v/>
      </c>
      <c r="BC918" s="22" t="str">
        <f>IF(AND('[1]observations-276632'!W918&gt;'[1]Methods write-up'!$Q$21,'[1]observations-276632'!W918&lt;'[1]Methods write-up'!$R$21,'[1]observations-276632'!X918&gt;'[1]Methods write-up'!$S$21,'[1]observations-276632'!X918&lt;'[1]Methods write-up'!$T$21),"Desert and high aridity","")</f>
        <v/>
      </c>
      <c r="BD918" s="23" t="str">
        <f t="shared" si="64"/>
        <v/>
      </c>
      <c r="BE918" s="24">
        <f t="shared" si="62"/>
        <v>27</v>
      </c>
      <c r="BF918" s="24">
        <f t="shared" si="63"/>
        <v>1</v>
      </c>
    </row>
    <row r="919" spans="1:58" ht="16.25" customHeight="1" x14ac:dyDescent="0.2">
      <c r="A919">
        <v>105910309</v>
      </c>
      <c r="B919" t="s">
        <v>6851</v>
      </c>
      <c r="C919" s="14">
        <v>44592</v>
      </c>
      <c r="D919" t="s">
        <v>6852</v>
      </c>
      <c r="E919" t="s">
        <v>6201</v>
      </c>
      <c r="F919">
        <v>4023157</v>
      </c>
      <c r="G919" t="s">
        <v>4891</v>
      </c>
      <c r="H919" t="s">
        <v>4892</v>
      </c>
      <c r="I919" t="s">
        <v>6853</v>
      </c>
      <c r="J919" t="s">
        <v>6854</v>
      </c>
      <c r="K919" t="s">
        <v>62</v>
      </c>
      <c r="M919" t="s">
        <v>6855</v>
      </c>
      <c r="N919" t="s">
        <v>6856</v>
      </c>
      <c r="R919">
        <v>2</v>
      </c>
      <c r="S919">
        <v>0</v>
      </c>
      <c r="T919" t="b">
        <v>0</v>
      </c>
      <c r="U919">
        <v>2</v>
      </c>
      <c r="V919" t="s">
        <v>4898</v>
      </c>
      <c r="W919" s="15">
        <v>-25.79744492</v>
      </c>
      <c r="X919" s="15">
        <v>28.298322670000001</v>
      </c>
      <c r="Y919">
        <v>200</v>
      </c>
      <c r="AC919">
        <v>200</v>
      </c>
      <c r="AF919" t="b">
        <v>0</v>
      </c>
      <c r="AG919" t="s">
        <v>350</v>
      </c>
      <c r="AH919" t="s">
        <v>350</v>
      </c>
      <c r="AI919" t="s">
        <v>71</v>
      </c>
      <c r="AJ919" t="s">
        <v>70</v>
      </c>
      <c r="AK919" t="s">
        <v>71</v>
      </c>
      <c r="AL919" t="s">
        <v>72</v>
      </c>
      <c r="AM919">
        <v>346053</v>
      </c>
      <c r="AO919" s="16" t="s">
        <v>150</v>
      </c>
      <c r="AP919" s="17" t="str">
        <f t="shared" si="66"/>
        <v>Male (off nest)</v>
      </c>
      <c r="AX919" s="22" t="str">
        <f>IF(AND('[1]observations-276632'!W919&gt;'[1]Methods write-up'!$Q$16,'[1]observations-276632'!W919&lt;'[1]Methods write-up'!$R$16,'[1]observations-276632'!X919&gt;'[1]Methods write-up'!$S$16,'[1]observations-276632'!X919&lt;'[1]Methods write-up'!$T$16),"West and Central Africa","")</f>
        <v/>
      </c>
      <c r="AY919" s="22" t="str">
        <f>IF(AND('[1]observations-276632'!W919&gt;'[1]Methods write-up'!$Q$17,'[1]observations-276632'!W919&lt;'[1]Methods write-up'!$R$17,'[1]observations-276632'!X919&gt;'[1]Methods write-up'!$S$17,'[1]observations-276632'!X919&lt;'[1]Methods write-up'!$T$17),"Equatorial tropical forest","")</f>
        <v/>
      </c>
      <c r="AZ919" s="22" t="str">
        <f>IF(AND('[1]observations-276632'!W919&gt;'[1]Methods write-up'!$Q$18,'[1]observations-276632'!W919&lt;'[1]Methods write-up'!$R$18,'[1]observations-276632'!X919&gt;'[1]Methods write-up'!$S$18,'[1]observations-276632'!X919&lt;'[1]Methods write-up'!$T$18),"Somali peninsula","")</f>
        <v/>
      </c>
      <c r="BA919" s="22" t="str">
        <f>IF(AND('[1]observations-276632'!W919&gt;'[1]Methods write-up'!$Q$19,'[1]observations-276632'!W919&lt;'[1]Methods write-up'!$R$19,'[1]observations-276632'!X919&gt;'[1]Methods write-up'!$S$19,'[1]observations-276632'!X919&lt;'[1]Methods write-up'!$T$19),"East Africa","")</f>
        <v/>
      </c>
      <c r="BB919" s="22" t="str">
        <f>IF(AND('[1]observations-276632'!W919&gt;'[1]Methods write-up'!$Q$20,'[1]observations-276632'!W919&lt;'[1]Methods write-up'!$R$20,'[1]observations-276632'!X919&gt;'[1]Methods write-up'!$S$20,'[1]observations-276632'!X919&lt;'[1]Methods write-up'!$T$20),"Temperate seasonal","")</f>
        <v>Temperate seasonal</v>
      </c>
      <c r="BC919" s="22" t="str">
        <f>IF(AND('[1]observations-276632'!W919&gt;'[1]Methods write-up'!$Q$21,'[1]observations-276632'!W919&lt;'[1]Methods write-up'!$R$21,'[1]observations-276632'!X919&gt;'[1]Methods write-up'!$S$21,'[1]observations-276632'!X919&lt;'[1]Methods write-up'!$T$21),"Desert and high aridity","")</f>
        <v/>
      </c>
      <c r="BD919" s="23" t="str">
        <f t="shared" si="64"/>
        <v>Temperate seasonal</v>
      </c>
      <c r="BE919" s="24">
        <f t="shared" si="62"/>
        <v>31</v>
      </c>
      <c r="BF919" s="24">
        <f t="shared" si="63"/>
        <v>1</v>
      </c>
    </row>
    <row r="920" spans="1:58" ht="16.25" customHeight="1" x14ac:dyDescent="0.2">
      <c r="A920">
        <v>106062967</v>
      </c>
      <c r="B920" t="s">
        <v>6857</v>
      </c>
      <c r="C920" s="14">
        <v>44594</v>
      </c>
      <c r="D920" t="s">
        <v>6858</v>
      </c>
      <c r="E920" t="s">
        <v>1408</v>
      </c>
      <c r="F920">
        <v>2915466</v>
      </c>
      <c r="G920" t="s">
        <v>6859</v>
      </c>
      <c r="H920" t="s">
        <v>6860</v>
      </c>
      <c r="I920" t="s">
        <v>6861</v>
      </c>
      <c r="J920" t="s">
        <v>6862</v>
      </c>
      <c r="K920" t="s">
        <v>62</v>
      </c>
      <c r="M920" t="s">
        <v>6863</v>
      </c>
      <c r="N920" t="s">
        <v>6864</v>
      </c>
      <c r="R920">
        <v>1</v>
      </c>
      <c r="S920">
        <v>0</v>
      </c>
      <c r="T920" t="b">
        <v>0</v>
      </c>
      <c r="V920" t="s">
        <v>6865</v>
      </c>
      <c r="W920" s="15">
        <v>-22.050592590000001</v>
      </c>
      <c r="X920" s="15">
        <v>17.36542021</v>
      </c>
      <c r="Y920">
        <v>488</v>
      </c>
      <c r="AC920">
        <v>488</v>
      </c>
      <c r="AF920" t="b">
        <v>0</v>
      </c>
      <c r="AI920" t="s">
        <v>288</v>
      </c>
      <c r="AJ920" t="s">
        <v>756</v>
      </c>
      <c r="AL920" t="s">
        <v>72</v>
      </c>
      <c r="AM920">
        <v>652800</v>
      </c>
      <c r="AO920" s="16" t="s">
        <v>140</v>
      </c>
      <c r="AP920" s="17" t="str">
        <f t="shared" si="66"/>
        <v>Post-emergence nest</v>
      </c>
      <c r="AQ920" s="18">
        <v>14</v>
      </c>
      <c r="AT920" s="19" t="s">
        <v>141</v>
      </c>
      <c r="AU920" s="20" t="s">
        <v>104</v>
      </c>
      <c r="AX920" s="22" t="str">
        <f>IF(AND('[1]observations-276632'!W920&gt;'[1]Methods write-up'!$Q$16,'[1]observations-276632'!W920&lt;'[1]Methods write-up'!$R$16,'[1]observations-276632'!X920&gt;'[1]Methods write-up'!$S$16,'[1]observations-276632'!X920&lt;'[1]Methods write-up'!$T$16),"West and Central Africa","")</f>
        <v/>
      </c>
      <c r="AY920" s="22" t="str">
        <f>IF(AND('[1]observations-276632'!W920&gt;'[1]Methods write-up'!$Q$17,'[1]observations-276632'!W920&lt;'[1]Methods write-up'!$R$17,'[1]observations-276632'!X920&gt;'[1]Methods write-up'!$S$17,'[1]observations-276632'!X920&lt;'[1]Methods write-up'!$T$17),"Equatorial tropical forest","")</f>
        <v/>
      </c>
      <c r="AZ920" s="22" t="str">
        <f>IF(AND('[1]observations-276632'!W920&gt;'[1]Methods write-up'!$Q$18,'[1]observations-276632'!W920&lt;'[1]Methods write-up'!$R$18,'[1]observations-276632'!X920&gt;'[1]Methods write-up'!$S$18,'[1]observations-276632'!X920&lt;'[1]Methods write-up'!$T$18),"Somali peninsula","")</f>
        <v/>
      </c>
      <c r="BA920" s="22" t="str">
        <f>IF(AND('[1]observations-276632'!W920&gt;'[1]Methods write-up'!$Q$19,'[1]observations-276632'!W920&lt;'[1]Methods write-up'!$R$19,'[1]observations-276632'!X920&gt;'[1]Methods write-up'!$S$19,'[1]observations-276632'!X920&lt;'[1]Methods write-up'!$T$19),"East Africa","")</f>
        <v/>
      </c>
      <c r="BB920" s="22" t="str">
        <f>IF(AND('[1]observations-276632'!W920&gt;'[1]Methods write-up'!$Q$20,'[1]observations-276632'!W920&lt;'[1]Methods write-up'!$R$20,'[1]observations-276632'!X920&gt;'[1]Methods write-up'!$S$20,'[1]observations-276632'!X920&lt;'[1]Methods write-up'!$T$20),"Temperate seasonal","")</f>
        <v/>
      </c>
      <c r="BC920" s="22" t="str">
        <f>IF(AND('[1]observations-276632'!W920&gt;'[1]Methods write-up'!$Q$21,'[1]observations-276632'!W920&lt;'[1]Methods write-up'!$R$21,'[1]observations-276632'!X920&gt;'[1]Methods write-up'!$S$21,'[1]observations-276632'!X920&lt;'[1]Methods write-up'!$T$21),"Desert and high aridity","")</f>
        <v>Desert and high aridity</v>
      </c>
      <c r="BD920" s="23" t="str">
        <f t="shared" si="64"/>
        <v>Desert and high aridity</v>
      </c>
      <c r="BE920" s="24">
        <f t="shared" si="62"/>
        <v>2</v>
      </c>
      <c r="BF920" s="24">
        <f t="shared" si="63"/>
        <v>2</v>
      </c>
    </row>
    <row r="921" spans="1:58" ht="16.25" customHeight="1" x14ac:dyDescent="0.2">
      <c r="A921">
        <v>106207772</v>
      </c>
      <c r="B921" t="s">
        <v>6866</v>
      </c>
      <c r="C921" s="14">
        <v>42311</v>
      </c>
      <c r="D921" t="s">
        <v>6867</v>
      </c>
      <c r="E921" t="s">
        <v>1408</v>
      </c>
      <c r="F921">
        <v>3039694</v>
      </c>
      <c r="G921" t="s">
        <v>6868</v>
      </c>
      <c r="H921" t="s">
        <v>6869</v>
      </c>
      <c r="I921" t="s">
        <v>6870</v>
      </c>
      <c r="J921" t="s">
        <v>6871</v>
      </c>
      <c r="K921" t="s">
        <v>62</v>
      </c>
      <c r="M921" t="s">
        <v>6872</v>
      </c>
      <c r="N921" t="s">
        <v>6873</v>
      </c>
      <c r="R921">
        <v>1</v>
      </c>
      <c r="S921">
        <v>0</v>
      </c>
      <c r="T921" t="b">
        <v>0</v>
      </c>
      <c r="V921" t="s">
        <v>6874</v>
      </c>
      <c r="W921" s="15">
        <v>-24.801777779999998</v>
      </c>
      <c r="X921" s="15">
        <v>47.163600000000002</v>
      </c>
      <c r="AF921" t="b">
        <v>0</v>
      </c>
      <c r="AI921" t="s">
        <v>2537</v>
      </c>
      <c r="AJ921" t="s">
        <v>2537</v>
      </c>
      <c r="AL921" t="s">
        <v>72</v>
      </c>
      <c r="AM921">
        <v>1098050</v>
      </c>
      <c r="AO921" s="16" t="s">
        <v>1574</v>
      </c>
      <c r="AP921" s="17" t="str">
        <f t="shared" si="66"/>
        <v>Nest (foundress)</v>
      </c>
      <c r="AQ921" s="18">
        <v>1</v>
      </c>
      <c r="AT921" s="19" t="s">
        <v>141</v>
      </c>
      <c r="AX921" s="22" t="str">
        <f>IF(AND('[1]observations-276632'!W921&gt;'[1]Methods write-up'!$Q$16,'[1]observations-276632'!W921&lt;'[1]Methods write-up'!$R$16,'[1]observations-276632'!X921&gt;'[1]Methods write-up'!$S$16,'[1]observations-276632'!X921&lt;'[1]Methods write-up'!$T$16),"West and Central Africa","")</f>
        <v/>
      </c>
      <c r="AY921" s="22" t="str">
        <f>IF(AND('[1]observations-276632'!W921&gt;'[1]Methods write-up'!$Q$17,'[1]observations-276632'!W921&lt;'[1]Methods write-up'!$R$17,'[1]observations-276632'!X921&gt;'[1]Methods write-up'!$S$17,'[1]observations-276632'!X921&lt;'[1]Methods write-up'!$T$17),"Equatorial tropical forest","")</f>
        <v/>
      </c>
      <c r="AZ921" s="22" t="str">
        <f>IF(AND('[1]observations-276632'!W921&gt;'[1]Methods write-up'!$Q$18,'[1]observations-276632'!W921&lt;'[1]Methods write-up'!$R$18,'[1]observations-276632'!X921&gt;'[1]Methods write-up'!$S$18,'[1]observations-276632'!X921&lt;'[1]Methods write-up'!$T$18),"Somali peninsula","")</f>
        <v/>
      </c>
      <c r="BA921" s="22" t="str">
        <f>IF(AND('[1]observations-276632'!W921&gt;'[1]Methods write-up'!$Q$19,'[1]observations-276632'!W921&lt;'[1]Methods write-up'!$R$19,'[1]observations-276632'!X921&gt;'[1]Methods write-up'!$S$19,'[1]observations-276632'!X921&lt;'[1]Methods write-up'!$T$19),"East Africa","")</f>
        <v/>
      </c>
      <c r="BB921" s="22" t="str">
        <f>IF(AND('[1]observations-276632'!W921&gt;'[1]Methods write-up'!$Q$20,'[1]observations-276632'!W921&lt;'[1]Methods write-up'!$R$20,'[1]observations-276632'!X921&gt;'[1]Methods write-up'!$S$20,'[1]observations-276632'!X921&lt;'[1]Methods write-up'!$T$20),"Temperate seasonal","")</f>
        <v/>
      </c>
      <c r="BC921" s="22" t="str">
        <f>IF(AND('[1]observations-276632'!W921&gt;'[1]Methods write-up'!$Q$21,'[1]observations-276632'!W921&lt;'[1]Methods write-up'!$R$21,'[1]observations-276632'!X921&gt;'[1]Methods write-up'!$S$21,'[1]observations-276632'!X921&lt;'[1]Methods write-up'!$T$21),"Desert and high aridity","")</f>
        <v/>
      </c>
      <c r="BD921" s="23" t="str">
        <f t="shared" si="64"/>
        <v/>
      </c>
      <c r="BE921" s="24">
        <f t="shared" si="62"/>
        <v>3</v>
      </c>
      <c r="BF921" s="24">
        <f t="shared" si="63"/>
        <v>11</v>
      </c>
    </row>
    <row r="922" spans="1:58" ht="16.25" customHeight="1" x14ac:dyDescent="0.2">
      <c r="A922">
        <v>106234261</v>
      </c>
      <c r="B922" s="25">
        <v>44598.431250000001</v>
      </c>
      <c r="C922" s="14">
        <v>44598</v>
      </c>
      <c r="D922" t="s">
        <v>6875</v>
      </c>
      <c r="E922" t="s">
        <v>113</v>
      </c>
      <c r="F922">
        <v>3737633</v>
      </c>
      <c r="G922" t="s">
        <v>6876</v>
      </c>
      <c r="H922" t="s">
        <v>6877</v>
      </c>
      <c r="I922" t="s">
        <v>6878</v>
      </c>
      <c r="J922" t="s">
        <v>6879</v>
      </c>
      <c r="K922" t="s">
        <v>62</v>
      </c>
      <c r="L922" t="s">
        <v>63</v>
      </c>
      <c r="M922" t="s">
        <v>6880</v>
      </c>
      <c r="N922" t="s">
        <v>6881</v>
      </c>
      <c r="R922">
        <v>4</v>
      </c>
      <c r="S922">
        <v>0</v>
      </c>
      <c r="T922" t="b">
        <v>0</v>
      </c>
      <c r="U922">
        <v>2</v>
      </c>
      <c r="V922" t="s">
        <v>6882</v>
      </c>
      <c r="W922" s="15">
        <v>-29.485327909999999</v>
      </c>
      <c r="X922" s="15">
        <v>31.234259269999999</v>
      </c>
      <c r="AF922" t="b">
        <v>0</v>
      </c>
      <c r="AI922" t="s">
        <v>71</v>
      </c>
      <c r="AJ922" t="s">
        <v>70</v>
      </c>
      <c r="AK922" t="s">
        <v>71</v>
      </c>
      <c r="AL922" t="s">
        <v>72</v>
      </c>
      <c r="AM922">
        <v>346053</v>
      </c>
      <c r="AO922" s="16" t="s">
        <v>73</v>
      </c>
      <c r="AP922" s="17" t="str">
        <f t="shared" si="66"/>
        <v>Off-nest female</v>
      </c>
      <c r="AX922" s="22" t="str">
        <f>IF(AND('[1]observations-276632'!W922&gt;'[1]Methods write-up'!$Q$16,'[1]observations-276632'!W922&lt;'[1]Methods write-up'!$R$16,'[1]observations-276632'!X922&gt;'[1]Methods write-up'!$S$16,'[1]observations-276632'!X922&lt;'[1]Methods write-up'!$T$16),"West and Central Africa","")</f>
        <v/>
      </c>
      <c r="AY922" s="22" t="str">
        <f>IF(AND('[1]observations-276632'!W922&gt;'[1]Methods write-up'!$Q$17,'[1]observations-276632'!W922&lt;'[1]Methods write-up'!$R$17,'[1]observations-276632'!X922&gt;'[1]Methods write-up'!$S$17,'[1]observations-276632'!X922&lt;'[1]Methods write-up'!$T$17),"Equatorial tropical forest","")</f>
        <v/>
      </c>
      <c r="AZ922" s="22" t="str">
        <f>IF(AND('[1]observations-276632'!W922&gt;'[1]Methods write-up'!$Q$18,'[1]observations-276632'!W922&lt;'[1]Methods write-up'!$R$18,'[1]observations-276632'!X922&gt;'[1]Methods write-up'!$S$18,'[1]observations-276632'!X922&lt;'[1]Methods write-up'!$T$18),"Somali peninsula","")</f>
        <v/>
      </c>
      <c r="BA922" s="22" t="str">
        <f>IF(AND('[1]observations-276632'!W922&gt;'[1]Methods write-up'!$Q$19,'[1]observations-276632'!W922&lt;'[1]Methods write-up'!$R$19,'[1]observations-276632'!X922&gt;'[1]Methods write-up'!$S$19,'[1]observations-276632'!X922&lt;'[1]Methods write-up'!$T$19),"East Africa","")</f>
        <v/>
      </c>
      <c r="BB922" s="22" t="str">
        <f>IF(AND('[1]observations-276632'!W922&gt;'[1]Methods write-up'!$Q$20,'[1]observations-276632'!W922&lt;'[1]Methods write-up'!$R$20,'[1]observations-276632'!X922&gt;'[1]Methods write-up'!$S$20,'[1]observations-276632'!X922&lt;'[1]Methods write-up'!$T$20),"Temperate seasonal","")</f>
        <v>Temperate seasonal</v>
      </c>
      <c r="BC922" s="22" t="str">
        <f>IF(AND('[1]observations-276632'!W922&gt;'[1]Methods write-up'!$Q$21,'[1]observations-276632'!W922&lt;'[1]Methods write-up'!$R$21,'[1]observations-276632'!X922&gt;'[1]Methods write-up'!$S$21,'[1]observations-276632'!X922&lt;'[1]Methods write-up'!$T$21),"Desert and high aridity","")</f>
        <v/>
      </c>
      <c r="BD922" s="23" t="str">
        <f t="shared" si="64"/>
        <v>Temperate seasonal</v>
      </c>
      <c r="BE922" s="24">
        <f t="shared" si="62"/>
        <v>6</v>
      </c>
      <c r="BF922" s="24">
        <f t="shared" si="63"/>
        <v>2</v>
      </c>
    </row>
    <row r="923" spans="1:58" ht="16.25" customHeight="1" x14ac:dyDescent="0.2">
      <c r="A923">
        <v>106236791</v>
      </c>
      <c r="B923" s="25">
        <v>44594.317361111112</v>
      </c>
      <c r="C923" s="14">
        <v>44594</v>
      </c>
      <c r="D923" t="s">
        <v>6883</v>
      </c>
      <c r="E923" t="s">
        <v>57</v>
      </c>
      <c r="F923">
        <v>268272</v>
      </c>
      <c r="G923" t="s">
        <v>677</v>
      </c>
      <c r="H923" t="s">
        <v>678</v>
      </c>
      <c r="I923" t="s">
        <v>6884</v>
      </c>
      <c r="J923" t="s">
        <v>6885</v>
      </c>
      <c r="K923" t="s">
        <v>62</v>
      </c>
      <c r="L923" t="s">
        <v>63</v>
      </c>
      <c r="M923" t="s">
        <v>6886</v>
      </c>
      <c r="N923" t="s">
        <v>6887</v>
      </c>
      <c r="R923">
        <v>2</v>
      </c>
      <c r="S923">
        <v>0</v>
      </c>
      <c r="T923" t="b">
        <v>0</v>
      </c>
      <c r="U923">
        <v>2</v>
      </c>
      <c r="V923" t="s">
        <v>6888</v>
      </c>
      <c r="W923" s="15">
        <v>7.4955611109999998</v>
      </c>
      <c r="X923" s="15">
        <v>5.248208333</v>
      </c>
      <c r="AF923" t="b">
        <v>0</v>
      </c>
      <c r="AG923" t="s">
        <v>350</v>
      </c>
      <c r="AH923" t="s">
        <v>350</v>
      </c>
      <c r="AI923" t="s">
        <v>71</v>
      </c>
      <c r="AJ923" t="s">
        <v>70</v>
      </c>
      <c r="AK923" t="s">
        <v>71</v>
      </c>
      <c r="AL923" t="s">
        <v>72</v>
      </c>
      <c r="AM923">
        <v>346053</v>
      </c>
      <c r="AO923" s="16" t="s">
        <v>73</v>
      </c>
      <c r="AP923" s="17" t="str">
        <f t="shared" si="66"/>
        <v>Off-nest female</v>
      </c>
      <c r="AX923" s="22" t="str">
        <f>IF(AND('[1]observations-276632'!W923&gt;'[1]Methods write-up'!$Q$16,'[1]observations-276632'!W923&lt;'[1]Methods write-up'!$R$16,'[1]observations-276632'!X923&gt;'[1]Methods write-up'!$S$16,'[1]observations-276632'!X923&lt;'[1]Methods write-up'!$T$16),"West and Central Africa","")</f>
        <v>West and Central Africa</v>
      </c>
      <c r="AY923" s="22" t="str">
        <f>IF(AND('[1]observations-276632'!W923&gt;'[1]Methods write-up'!$Q$17,'[1]observations-276632'!W923&lt;'[1]Methods write-up'!$R$17,'[1]observations-276632'!X923&gt;'[1]Methods write-up'!$S$17,'[1]observations-276632'!X923&lt;'[1]Methods write-up'!$T$17),"Equatorial tropical forest","")</f>
        <v/>
      </c>
      <c r="AZ923" s="22" t="str">
        <f>IF(AND('[1]observations-276632'!W923&gt;'[1]Methods write-up'!$Q$18,'[1]observations-276632'!W923&lt;'[1]Methods write-up'!$R$18,'[1]observations-276632'!X923&gt;'[1]Methods write-up'!$S$18,'[1]observations-276632'!X923&lt;'[1]Methods write-up'!$T$18),"Somali peninsula","")</f>
        <v/>
      </c>
      <c r="BA923" s="22" t="str">
        <f>IF(AND('[1]observations-276632'!W923&gt;'[1]Methods write-up'!$Q$19,'[1]observations-276632'!W923&lt;'[1]Methods write-up'!$R$19,'[1]observations-276632'!X923&gt;'[1]Methods write-up'!$S$19,'[1]observations-276632'!X923&lt;'[1]Methods write-up'!$T$19),"East Africa","")</f>
        <v/>
      </c>
      <c r="BB923" s="22" t="str">
        <f>IF(AND('[1]observations-276632'!W923&gt;'[1]Methods write-up'!$Q$20,'[1]observations-276632'!W923&lt;'[1]Methods write-up'!$R$20,'[1]observations-276632'!X923&gt;'[1]Methods write-up'!$S$20,'[1]observations-276632'!X923&lt;'[1]Methods write-up'!$T$20),"Temperate seasonal","")</f>
        <v/>
      </c>
      <c r="BC923" s="22" t="str">
        <f>IF(AND('[1]observations-276632'!W923&gt;'[1]Methods write-up'!$Q$21,'[1]observations-276632'!W923&lt;'[1]Methods write-up'!$R$21,'[1]observations-276632'!X923&gt;'[1]Methods write-up'!$S$21,'[1]observations-276632'!X923&lt;'[1]Methods write-up'!$T$21),"Desert and high aridity","")</f>
        <v/>
      </c>
      <c r="BD923" s="23" t="str">
        <f t="shared" si="64"/>
        <v>West and Central Africa</v>
      </c>
      <c r="BE923" s="24">
        <f t="shared" si="62"/>
        <v>2</v>
      </c>
      <c r="BF923" s="24">
        <f t="shared" si="63"/>
        <v>2</v>
      </c>
    </row>
    <row r="924" spans="1:58" ht="16.25" customHeight="1" x14ac:dyDescent="0.2">
      <c r="A924">
        <v>106240124</v>
      </c>
      <c r="B924" t="s">
        <v>6889</v>
      </c>
      <c r="C924" s="14">
        <v>42309</v>
      </c>
      <c r="D924" t="s">
        <v>6890</v>
      </c>
      <c r="E924" t="s">
        <v>1408</v>
      </c>
      <c r="F924">
        <v>3039694</v>
      </c>
      <c r="G924" t="s">
        <v>6868</v>
      </c>
      <c r="H924" t="s">
        <v>6869</v>
      </c>
      <c r="I924" t="s">
        <v>6891</v>
      </c>
      <c r="J924" t="s">
        <v>6892</v>
      </c>
      <c r="K924" t="s">
        <v>157</v>
      </c>
      <c r="M924" t="s">
        <v>6893</v>
      </c>
      <c r="N924" t="s">
        <v>6894</v>
      </c>
      <c r="R924">
        <v>1</v>
      </c>
      <c r="S924">
        <v>0</v>
      </c>
      <c r="T924" t="b">
        <v>0</v>
      </c>
      <c r="V924" t="s">
        <v>6874</v>
      </c>
      <c r="W924" s="15">
        <v>-24.802286110000001</v>
      </c>
      <c r="X924" s="15">
        <v>47.16369444</v>
      </c>
      <c r="AF924" t="b">
        <v>0</v>
      </c>
      <c r="AI924" t="s">
        <v>252</v>
      </c>
      <c r="AJ924" t="s">
        <v>252</v>
      </c>
      <c r="AL924" t="s">
        <v>72</v>
      </c>
      <c r="AM924">
        <v>491507</v>
      </c>
      <c r="AO924" s="16" t="s">
        <v>110</v>
      </c>
      <c r="AP924" s="17" t="str">
        <f t="shared" si="66"/>
        <v>Nest (foundress)</v>
      </c>
      <c r="AQ924" s="18">
        <v>1</v>
      </c>
      <c r="AT924" s="19" t="s">
        <v>104</v>
      </c>
      <c r="AX924" s="22" t="str">
        <f>IF(AND('[1]observations-276632'!W924&gt;'[1]Methods write-up'!$Q$16,'[1]observations-276632'!W924&lt;'[1]Methods write-up'!$R$16,'[1]observations-276632'!X924&gt;'[1]Methods write-up'!$S$16,'[1]observations-276632'!X924&lt;'[1]Methods write-up'!$T$16),"West and Central Africa","")</f>
        <v/>
      </c>
      <c r="AY924" s="22" t="str">
        <f>IF(AND('[1]observations-276632'!W924&gt;'[1]Methods write-up'!$Q$17,'[1]observations-276632'!W924&lt;'[1]Methods write-up'!$R$17,'[1]observations-276632'!X924&gt;'[1]Methods write-up'!$S$17,'[1]observations-276632'!X924&lt;'[1]Methods write-up'!$T$17),"Equatorial tropical forest","")</f>
        <v/>
      </c>
      <c r="AZ924" s="22" t="str">
        <f>IF(AND('[1]observations-276632'!W924&gt;'[1]Methods write-up'!$Q$18,'[1]observations-276632'!W924&lt;'[1]Methods write-up'!$R$18,'[1]observations-276632'!X924&gt;'[1]Methods write-up'!$S$18,'[1]observations-276632'!X924&lt;'[1]Methods write-up'!$T$18),"Somali peninsula","")</f>
        <v/>
      </c>
      <c r="BA924" s="22" t="str">
        <f>IF(AND('[1]observations-276632'!W924&gt;'[1]Methods write-up'!$Q$19,'[1]observations-276632'!W924&lt;'[1]Methods write-up'!$R$19,'[1]observations-276632'!X924&gt;'[1]Methods write-up'!$S$19,'[1]observations-276632'!X924&lt;'[1]Methods write-up'!$T$19),"East Africa","")</f>
        <v/>
      </c>
      <c r="BB924" s="22" t="str">
        <f>IF(AND('[1]observations-276632'!W924&gt;'[1]Methods write-up'!$Q$20,'[1]observations-276632'!W924&lt;'[1]Methods write-up'!$R$20,'[1]observations-276632'!X924&gt;'[1]Methods write-up'!$S$20,'[1]observations-276632'!X924&lt;'[1]Methods write-up'!$T$20),"Temperate seasonal","")</f>
        <v/>
      </c>
      <c r="BC924" s="22" t="str">
        <f>IF(AND('[1]observations-276632'!W924&gt;'[1]Methods write-up'!$Q$21,'[1]observations-276632'!W924&lt;'[1]Methods write-up'!$R$21,'[1]observations-276632'!X924&gt;'[1]Methods write-up'!$S$21,'[1]observations-276632'!X924&lt;'[1]Methods write-up'!$T$21),"Desert and high aridity","")</f>
        <v/>
      </c>
      <c r="BD924" s="23" t="str">
        <f t="shared" si="64"/>
        <v/>
      </c>
      <c r="BE924" s="24">
        <f t="shared" si="62"/>
        <v>1</v>
      </c>
      <c r="BF924" s="24">
        <f t="shared" si="63"/>
        <v>11</v>
      </c>
    </row>
    <row r="925" spans="1:58" ht="16.25" customHeight="1" x14ac:dyDescent="0.2">
      <c r="A925">
        <v>106331114</v>
      </c>
      <c r="B925" t="s">
        <v>6895</v>
      </c>
      <c r="C925" s="14">
        <v>44590</v>
      </c>
      <c r="D925" t="s">
        <v>6896</v>
      </c>
      <c r="E925" t="s">
        <v>113</v>
      </c>
      <c r="F925">
        <v>5250414</v>
      </c>
      <c r="G925" t="s">
        <v>6532</v>
      </c>
      <c r="H925" t="s">
        <v>6533</v>
      </c>
      <c r="I925" t="s">
        <v>6897</v>
      </c>
      <c r="J925" t="s">
        <v>6898</v>
      </c>
      <c r="K925" t="s">
        <v>62</v>
      </c>
      <c r="L925" t="s">
        <v>63</v>
      </c>
      <c r="M925" t="s">
        <v>6899</v>
      </c>
      <c r="N925" t="s">
        <v>6900</v>
      </c>
      <c r="R925">
        <v>3</v>
      </c>
      <c r="S925">
        <v>0</v>
      </c>
      <c r="T925" t="b">
        <v>0</v>
      </c>
      <c r="V925" t="s">
        <v>6901</v>
      </c>
      <c r="W925" s="15">
        <v>-25.259198349999998</v>
      </c>
      <c r="X925" s="15">
        <v>27.081393340000002</v>
      </c>
      <c r="AF925" t="b">
        <v>0</v>
      </c>
      <c r="AI925" t="s">
        <v>71</v>
      </c>
      <c r="AJ925" t="s">
        <v>70</v>
      </c>
      <c r="AK925" t="s">
        <v>71</v>
      </c>
      <c r="AL925" t="s">
        <v>72</v>
      </c>
      <c r="AM925">
        <v>346053</v>
      </c>
      <c r="AO925" s="16" t="s">
        <v>73</v>
      </c>
      <c r="AP925" s="17" t="str">
        <f t="shared" si="66"/>
        <v>Off-nest female</v>
      </c>
      <c r="AX925" s="22" t="str">
        <f>IF(AND('[1]observations-276632'!W925&gt;'[1]Methods write-up'!$Q$16,'[1]observations-276632'!W925&lt;'[1]Methods write-up'!$R$16,'[1]observations-276632'!X925&gt;'[1]Methods write-up'!$S$16,'[1]observations-276632'!X925&lt;'[1]Methods write-up'!$T$16),"West and Central Africa","")</f>
        <v/>
      </c>
      <c r="AY925" s="22" t="str">
        <f>IF(AND('[1]observations-276632'!W925&gt;'[1]Methods write-up'!$Q$17,'[1]observations-276632'!W925&lt;'[1]Methods write-up'!$R$17,'[1]observations-276632'!X925&gt;'[1]Methods write-up'!$S$17,'[1]observations-276632'!X925&lt;'[1]Methods write-up'!$T$17),"Equatorial tropical forest","")</f>
        <v/>
      </c>
      <c r="AZ925" s="22" t="str">
        <f>IF(AND('[1]observations-276632'!W925&gt;'[1]Methods write-up'!$Q$18,'[1]observations-276632'!W925&lt;'[1]Methods write-up'!$R$18,'[1]observations-276632'!X925&gt;'[1]Methods write-up'!$S$18,'[1]observations-276632'!X925&lt;'[1]Methods write-up'!$T$18),"Somali peninsula","")</f>
        <v/>
      </c>
      <c r="BA925" s="22" t="str">
        <f>IF(AND('[1]observations-276632'!W925&gt;'[1]Methods write-up'!$Q$19,'[1]observations-276632'!W925&lt;'[1]Methods write-up'!$R$19,'[1]observations-276632'!X925&gt;'[1]Methods write-up'!$S$19,'[1]observations-276632'!X925&lt;'[1]Methods write-up'!$T$19),"East Africa","")</f>
        <v/>
      </c>
      <c r="BB925" s="22" t="str">
        <f>IF(AND('[1]observations-276632'!W925&gt;'[1]Methods write-up'!$Q$20,'[1]observations-276632'!W925&lt;'[1]Methods write-up'!$R$20,'[1]observations-276632'!X925&gt;'[1]Methods write-up'!$S$20,'[1]observations-276632'!X925&lt;'[1]Methods write-up'!$T$20),"Temperate seasonal","")</f>
        <v>Temperate seasonal</v>
      </c>
      <c r="BC925" s="22" t="str">
        <f>IF(AND('[1]observations-276632'!W925&gt;'[1]Methods write-up'!$Q$21,'[1]observations-276632'!W925&lt;'[1]Methods write-up'!$R$21,'[1]observations-276632'!X925&gt;'[1]Methods write-up'!$S$21,'[1]observations-276632'!X925&lt;'[1]Methods write-up'!$T$21),"Desert and high aridity","")</f>
        <v/>
      </c>
      <c r="BD925" s="23" t="str">
        <f t="shared" si="64"/>
        <v>Temperate seasonal</v>
      </c>
      <c r="BE925" s="24">
        <f t="shared" si="62"/>
        <v>29</v>
      </c>
      <c r="BF925" s="24">
        <f t="shared" si="63"/>
        <v>1</v>
      </c>
    </row>
    <row r="926" spans="1:58" ht="16.25" customHeight="1" x14ac:dyDescent="0.2">
      <c r="A926">
        <v>106501277</v>
      </c>
      <c r="B926" t="s">
        <v>6902</v>
      </c>
      <c r="C926" s="14">
        <v>42038</v>
      </c>
      <c r="D926" t="s">
        <v>6903</v>
      </c>
      <c r="E926" t="s">
        <v>2218</v>
      </c>
      <c r="F926">
        <v>98825</v>
      </c>
      <c r="G926" t="s">
        <v>6904</v>
      </c>
      <c r="H926" t="s">
        <v>6905</v>
      </c>
      <c r="I926" t="s">
        <v>6906</v>
      </c>
      <c r="J926" t="s">
        <v>6907</v>
      </c>
      <c r="K926" t="s">
        <v>157</v>
      </c>
      <c r="L926" t="s">
        <v>63</v>
      </c>
      <c r="M926" t="s">
        <v>6908</v>
      </c>
      <c r="N926" t="s">
        <v>6909</v>
      </c>
      <c r="R926">
        <v>1</v>
      </c>
      <c r="S926">
        <v>0</v>
      </c>
      <c r="T926" t="b">
        <v>0</v>
      </c>
      <c r="V926" t="s">
        <v>6910</v>
      </c>
      <c r="W926" s="15">
        <v>12.61036279</v>
      </c>
      <c r="X926" s="15">
        <v>53.401652859999999</v>
      </c>
      <c r="AF926" t="b">
        <v>0</v>
      </c>
      <c r="AI926" t="s">
        <v>180</v>
      </c>
      <c r="AJ926" t="s">
        <v>180</v>
      </c>
      <c r="AL926" t="s">
        <v>72</v>
      </c>
      <c r="AM926">
        <v>461987</v>
      </c>
      <c r="AO926" s="16" t="s">
        <v>73</v>
      </c>
      <c r="AP926" s="17" t="str">
        <f t="shared" si="66"/>
        <v>Off-nest female</v>
      </c>
      <c r="AV926" s="21" t="s">
        <v>6911</v>
      </c>
      <c r="AX926" s="22" t="str">
        <f>IF(AND('[1]observations-276632'!W926&gt;'[1]Methods write-up'!$Q$16,'[1]observations-276632'!W926&lt;'[1]Methods write-up'!$R$16,'[1]observations-276632'!X926&gt;'[1]Methods write-up'!$S$16,'[1]observations-276632'!X926&lt;'[1]Methods write-up'!$T$16),"West and Central Africa","")</f>
        <v/>
      </c>
      <c r="AY926" s="22" t="str">
        <f>IF(AND('[1]observations-276632'!W926&gt;'[1]Methods write-up'!$Q$17,'[1]observations-276632'!W926&lt;'[1]Methods write-up'!$R$17,'[1]observations-276632'!X926&gt;'[1]Methods write-up'!$S$17,'[1]observations-276632'!X926&lt;'[1]Methods write-up'!$T$17),"Equatorial tropical forest","")</f>
        <v/>
      </c>
      <c r="AZ926" s="22" t="str">
        <f>IF(AND('[1]observations-276632'!W926&gt;'[1]Methods write-up'!$Q$18,'[1]observations-276632'!W926&lt;'[1]Methods write-up'!$R$18,'[1]observations-276632'!X926&gt;'[1]Methods write-up'!$S$18,'[1]observations-276632'!X926&lt;'[1]Methods write-up'!$T$18),"Somali peninsula","")</f>
        <v/>
      </c>
      <c r="BA926" s="22" t="str">
        <f>IF(AND('[1]observations-276632'!W926&gt;'[1]Methods write-up'!$Q$19,'[1]observations-276632'!W926&lt;'[1]Methods write-up'!$R$19,'[1]observations-276632'!X926&gt;'[1]Methods write-up'!$S$19,'[1]observations-276632'!X926&lt;'[1]Methods write-up'!$T$19),"East Africa","")</f>
        <v/>
      </c>
      <c r="BB926" s="22" t="str">
        <f>IF(AND('[1]observations-276632'!W926&gt;'[1]Methods write-up'!$Q$20,'[1]observations-276632'!W926&lt;'[1]Methods write-up'!$R$20,'[1]observations-276632'!X926&gt;'[1]Methods write-up'!$S$20,'[1]observations-276632'!X926&lt;'[1]Methods write-up'!$T$20),"Temperate seasonal","")</f>
        <v/>
      </c>
      <c r="BC926" s="22" t="str">
        <f>IF(AND('[1]observations-276632'!W926&gt;'[1]Methods write-up'!$Q$21,'[1]observations-276632'!W926&lt;'[1]Methods write-up'!$R$21,'[1]observations-276632'!X926&gt;'[1]Methods write-up'!$S$21,'[1]observations-276632'!X926&lt;'[1]Methods write-up'!$T$21),"Desert and high aridity","")</f>
        <v/>
      </c>
      <c r="BD926" s="23" t="str">
        <f t="shared" si="64"/>
        <v/>
      </c>
      <c r="BE926" s="24">
        <f t="shared" si="62"/>
        <v>3</v>
      </c>
      <c r="BF926" s="24">
        <f t="shared" si="63"/>
        <v>2</v>
      </c>
    </row>
    <row r="927" spans="1:58" ht="16.25" customHeight="1" x14ac:dyDescent="0.2">
      <c r="A927">
        <v>106546365</v>
      </c>
      <c r="B927" t="s">
        <v>6912</v>
      </c>
      <c r="C927" s="14">
        <v>44602</v>
      </c>
      <c r="D927" t="s">
        <v>6913</v>
      </c>
      <c r="E927" t="s">
        <v>113</v>
      </c>
      <c r="F927">
        <v>528390</v>
      </c>
      <c r="G927" t="s">
        <v>843</v>
      </c>
      <c r="H927" t="s">
        <v>844</v>
      </c>
      <c r="I927" t="s">
        <v>6914</v>
      </c>
      <c r="J927" t="s">
        <v>6915</v>
      </c>
      <c r="K927" t="s">
        <v>62</v>
      </c>
      <c r="L927" t="s">
        <v>63</v>
      </c>
      <c r="M927" t="s">
        <v>6916</v>
      </c>
      <c r="N927" t="s">
        <v>6917</v>
      </c>
      <c r="Q927" t="s">
        <v>6918</v>
      </c>
      <c r="R927">
        <v>3</v>
      </c>
      <c r="S927">
        <v>0</v>
      </c>
      <c r="T927" t="b">
        <v>0</v>
      </c>
      <c r="V927" t="s">
        <v>6388</v>
      </c>
      <c r="W927" s="15">
        <v>-33.962656750000001</v>
      </c>
      <c r="X927" s="15">
        <v>22.086049259999999</v>
      </c>
      <c r="Y927">
        <v>20</v>
      </c>
      <c r="AC927">
        <v>20</v>
      </c>
      <c r="AF927" t="b">
        <v>0</v>
      </c>
      <c r="AI927" t="s">
        <v>71</v>
      </c>
      <c r="AJ927" t="s">
        <v>70</v>
      </c>
      <c r="AK927" t="s">
        <v>71</v>
      </c>
      <c r="AL927" t="s">
        <v>72</v>
      </c>
      <c r="AM927">
        <v>346053</v>
      </c>
      <c r="AO927" s="16" t="s">
        <v>140</v>
      </c>
      <c r="AP927" s="17" t="str">
        <f t="shared" si="66"/>
        <v>Post-emergence nest</v>
      </c>
      <c r="AQ927" s="18">
        <v>5</v>
      </c>
      <c r="AT927" s="19" t="s">
        <v>141</v>
      </c>
      <c r="AU927" s="20" t="s">
        <v>141</v>
      </c>
      <c r="AX927" s="22" t="str">
        <f>IF(AND('[1]observations-276632'!W927&gt;'[1]Methods write-up'!$Q$16,'[1]observations-276632'!W927&lt;'[1]Methods write-up'!$R$16,'[1]observations-276632'!X927&gt;'[1]Methods write-up'!$S$16,'[1]observations-276632'!X927&lt;'[1]Methods write-up'!$T$16),"West and Central Africa","")</f>
        <v/>
      </c>
      <c r="AY927" s="22" t="str">
        <f>IF(AND('[1]observations-276632'!W927&gt;'[1]Methods write-up'!$Q$17,'[1]observations-276632'!W927&lt;'[1]Methods write-up'!$R$17,'[1]observations-276632'!X927&gt;'[1]Methods write-up'!$S$17,'[1]observations-276632'!X927&lt;'[1]Methods write-up'!$T$17),"Equatorial tropical forest","")</f>
        <v/>
      </c>
      <c r="AZ927" s="22" t="str">
        <f>IF(AND('[1]observations-276632'!W927&gt;'[1]Methods write-up'!$Q$18,'[1]observations-276632'!W927&lt;'[1]Methods write-up'!$R$18,'[1]observations-276632'!X927&gt;'[1]Methods write-up'!$S$18,'[1]observations-276632'!X927&lt;'[1]Methods write-up'!$T$18),"Somali peninsula","")</f>
        <v/>
      </c>
      <c r="BA927" s="22" t="str">
        <f>IF(AND('[1]observations-276632'!W927&gt;'[1]Methods write-up'!$Q$19,'[1]observations-276632'!W927&lt;'[1]Methods write-up'!$R$19,'[1]observations-276632'!X927&gt;'[1]Methods write-up'!$S$19,'[1]observations-276632'!X927&lt;'[1]Methods write-up'!$T$19),"East Africa","")</f>
        <v/>
      </c>
      <c r="BB927" s="22" t="str">
        <f>IF(AND('[1]observations-276632'!W927&gt;'[1]Methods write-up'!$Q$20,'[1]observations-276632'!W927&lt;'[1]Methods write-up'!$R$20,'[1]observations-276632'!X927&gt;'[1]Methods write-up'!$S$20,'[1]observations-276632'!X927&lt;'[1]Methods write-up'!$T$20),"Temperate seasonal","")</f>
        <v/>
      </c>
      <c r="BC927" s="22" t="str">
        <f>IF(AND('[1]observations-276632'!W927&gt;'[1]Methods write-up'!$Q$21,'[1]observations-276632'!W927&lt;'[1]Methods write-up'!$R$21,'[1]observations-276632'!X927&gt;'[1]Methods write-up'!$S$21,'[1]observations-276632'!X927&lt;'[1]Methods write-up'!$T$21),"Desert and high aridity","")</f>
        <v/>
      </c>
      <c r="BD927" s="23" t="str">
        <f t="shared" si="64"/>
        <v/>
      </c>
      <c r="BE927" s="24">
        <f t="shared" si="62"/>
        <v>10</v>
      </c>
      <c r="BF927" s="24">
        <f t="shared" si="63"/>
        <v>2</v>
      </c>
    </row>
    <row r="928" spans="1:58" ht="16.25" customHeight="1" x14ac:dyDescent="0.2">
      <c r="A928">
        <v>106685047</v>
      </c>
      <c r="B928" t="s">
        <v>6919</v>
      </c>
      <c r="C928" s="14">
        <v>44149</v>
      </c>
      <c r="D928" t="s">
        <v>6920</v>
      </c>
      <c r="E928" t="s">
        <v>57</v>
      </c>
      <c r="F928">
        <v>2498450</v>
      </c>
      <c r="G928" t="s">
        <v>2851</v>
      </c>
      <c r="H928" t="s">
        <v>2852</v>
      </c>
      <c r="I928" t="s">
        <v>6921</v>
      </c>
      <c r="J928" t="s">
        <v>6922</v>
      </c>
      <c r="K928" t="s">
        <v>62</v>
      </c>
      <c r="M928" t="s">
        <v>6923</v>
      </c>
      <c r="N928" t="s">
        <v>6924</v>
      </c>
      <c r="R928">
        <v>3</v>
      </c>
      <c r="S928">
        <v>0</v>
      </c>
      <c r="T928" t="b">
        <v>0</v>
      </c>
      <c r="V928" t="s">
        <v>5380</v>
      </c>
      <c r="W928" s="15">
        <v>-29.7117504</v>
      </c>
      <c r="X928" s="15">
        <v>31.09308064</v>
      </c>
      <c r="Y928">
        <v>15</v>
      </c>
      <c r="AC928">
        <v>15</v>
      </c>
      <c r="AF928" t="b">
        <v>0</v>
      </c>
      <c r="AI928" t="s">
        <v>71</v>
      </c>
      <c r="AJ928" t="s">
        <v>70</v>
      </c>
      <c r="AK928" t="s">
        <v>71</v>
      </c>
      <c r="AL928" t="s">
        <v>72</v>
      </c>
      <c r="AM928">
        <v>346053</v>
      </c>
      <c r="AO928" s="16" t="s">
        <v>150</v>
      </c>
      <c r="AP928" s="17" t="str">
        <f t="shared" si="66"/>
        <v>Male (off nest)</v>
      </c>
      <c r="AX928" s="22" t="str">
        <f>IF(AND('[1]observations-276632'!W928&gt;'[1]Methods write-up'!$Q$16,'[1]observations-276632'!W928&lt;'[1]Methods write-up'!$R$16,'[1]observations-276632'!X928&gt;'[1]Methods write-up'!$S$16,'[1]observations-276632'!X928&lt;'[1]Methods write-up'!$T$16),"West and Central Africa","")</f>
        <v/>
      </c>
      <c r="AY928" s="22" t="str">
        <f>IF(AND('[1]observations-276632'!W928&gt;'[1]Methods write-up'!$Q$17,'[1]observations-276632'!W928&lt;'[1]Methods write-up'!$R$17,'[1]observations-276632'!X928&gt;'[1]Methods write-up'!$S$17,'[1]observations-276632'!X928&lt;'[1]Methods write-up'!$T$17),"Equatorial tropical forest","")</f>
        <v/>
      </c>
      <c r="AZ928" s="22" t="str">
        <f>IF(AND('[1]observations-276632'!W928&gt;'[1]Methods write-up'!$Q$18,'[1]observations-276632'!W928&lt;'[1]Methods write-up'!$R$18,'[1]observations-276632'!X928&gt;'[1]Methods write-up'!$S$18,'[1]observations-276632'!X928&lt;'[1]Methods write-up'!$T$18),"Somali peninsula","")</f>
        <v/>
      </c>
      <c r="BA928" s="22" t="str">
        <f>IF(AND('[1]observations-276632'!W928&gt;'[1]Methods write-up'!$Q$19,'[1]observations-276632'!W928&lt;'[1]Methods write-up'!$R$19,'[1]observations-276632'!X928&gt;'[1]Methods write-up'!$S$19,'[1]observations-276632'!X928&lt;'[1]Methods write-up'!$T$19),"East Africa","")</f>
        <v/>
      </c>
      <c r="BB928" s="22" t="str">
        <f>IF(AND('[1]observations-276632'!W928&gt;'[1]Methods write-up'!$Q$20,'[1]observations-276632'!W928&lt;'[1]Methods write-up'!$R$20,'[1]observations-276632'!X928&gt;'[1]Methods write-up'!$S$20,'[1]observations-276632'!X928&lt;'[1]Methods write-up'!$T$20),"Temperate seasonal","")</f>
        <v>Temperate seasonal</v>
      </c>
      <c r="BC928" s="22" t="str">
        <f>IF(AND('[1]observations-276632'!W928&gt;'[1]Methods write-up'!$Q$21,'[1]observations-276632'!W928&lt;'[1]Methods write-up'!$R$21,'[1]observations-276632'!X928&gt;'[1]Methods write-up'!$S$21,'[1]observations-276632'!X928&lt;'[1]Methods write-up'!$T$21),"Desert and high aridity","")</f>
        <v/>
      </c>
      <c r="BD928" s="23" t="str">
        <f t="shared" si="64"/>
        <v>Temperate seasonal</v>
      </c>
      <c r="BE928" s="24">
        <f t="shared" si="62"/>
        <v>14</v>
      </c>
      <c r="BF928" s="24">
        <f t="shared" si="63"/>
        <v>11</v>
      </c>
    </row>
    <row r="929" spans="1:58" ht="16.25" customHeight="1" x14ac:dyDescent="0.2">
      <c r="A929">
        <v>106819098</v>
      </c>
      <c r="B929" t="s">
        <v>6925</v>
      </c>
      <c r="C929" s="14">
        <v>44607</v>
      </c>
      <c r="D929" t="s">
        <v>6926</v>
      </c>
      <c r="E929" t="s">
        <v>193</v>
      </c>
      <c r="F929">
        <v>3967919</v>
      </c>
      <c r="G929" t="s">
        <v>4742</v>
      </c>
      <c r="H929" t="s">
        <v>4743</v>
      </c>
      <c r="I929" t="s">
        <v>6927</v>
      </c>
      <c r="J929" t="s">
        <v>6928</v>
      </c>
      <c r="K929" t="s">
        <v>62</v>
      </c>
      <c r="M929" t="s">
        <v>6929</v>
      </c>
      <c r="N929" t="s">
        <v>6930</v>
      </c>
      <c r="R929">
        <v>2</v>
      </c>
      <c r="S929">
        <v>0</v>
      </c>
      <c r="T929" t="b">
        <v>0</v>
      </c>
      <c r="U929">
        <v>3</v>
      </c>
      <c r="V929" t="s">
        <v>6931</v>
      </c>
      <c r="W929" s="15">
        <v>-4.3194876200000003</v>
      </c>
      <c r="X929" s="15">
        <v>15.2679163</v>
      </c>
      <c r="Y929">
        <v>28</v>
      </c>
      <c r="AC929">
        <v>28</v>
      </c>
      <c r="AF929" t="b">
        <v>0</v>
      </c>
      <c r="AI929" t="s">
        <v>71</v>
      </c>
      <c r="AJ929" t="s">
        <v>70</v>
      </c>
      <c r="AK929" t="s">
        <v>71</v>
      </c>
      <c r="AL929" t="s">
        <v>72</v>
      </c>
      <c r="AM929">
        <v>346053</v>
      </c>
      <c r="AO929" s="16" t="s">
        <v>140</v>
      </c>
      <c r="AP929" s="17" t="str">
        <f t="shared" si="66"/>
        <v>Post-emergence nest</v>
      </c>
      <c r="AQ929" s="18">
        <v>3</v>
      </c>
      <c r="AT929" s="19" t="s">
        <v>141</v>
      </c>
      <c r="AU929" s="20" t="s">
        <v>104</v>
      </c>
      <c r="AV929" s="21" t="s">
        <v>431</v>
      </c>
      <c r="AX929" s="22" t="str">
        <f>IF(AND('[1]observations-276632'!W929&gt;'[1]Methods write-up'!$Q$16,'[1]observations-276632'!W929&lt;'[1]Methods write-up'!$R$16,'[1]observations-276632'!X929&gt;'[1]Methods write-up'!$S$16,'[1]observations-276632'!X929&lt;'[1]Methods write-up'!$T$16),"West and Central Africa","")</f>
        <v>West and Central Africa</v>
      </c>
      <c r="AY929" s="22" t="str">
        <f>IF(AND('[1]observations-276632'!W929&gt;'[1]Methods write-up'!$Q$17,'[1]observations-276632'!W929&lt;'[1]Methods write-up'!$R$17,'[1]observations-276632'!X929&gt;'[1]Methods write-up'!$S$17,'[1]observations-276632'!X929&lt;'[1]Methods write-up'!$T$17),"Equatorial tropical forest","")</f>
        <v/>
      </c>
      <c r="AZ929" s="22" t="str">
        <f>IF(AND('[1]observations-276632'!W929&gt;'[1]Methods write-up'!$Q$18,'[1]observations-276632'!W929&lt;'[1]Methods write-up'!$R$18,'[1]observations-276632'!X929&gt;'[1]Methods write-up'!$S$18,'[1]observations-276632'!X929&lt;'[1]Methods write-up'!$T$18),"Somali peninsula","")</f>
        <v/>
      </c>
      <c r="BA929" s="22" t="str">
        <f>IF(AND('[1]observations-276632'!W929&gt;'[1]Methods write-up'!$Q$19,'[1]observations-276632'!W929&lt;'[1]Methods write-up'!$R$19,'[1]observations-276632'!X929&gt;'[1]Methods write-up'!$S$19,'[1]observations-276632'!X929&lt;'[1]Methods write-up'!$T$19),"East Africa","")</f>
        <v/>
      </c>
      <c r="BB929" s="22" t="str">
        <f>IF(AND('[1]observations-276632'!W929&gt;'[1]Methods write-up'!$Q$20,'[1]observations-276632'!W929&lt;'[1]Methods write-up'!$R$20,'[1]observations-276632'!X929&gt;'[1]Methods write-up'!$S$20,'[1]observations-276632'!X929&lt;'[1]Methods write-up'!$T$20),"Temperate seasonal","")</f>
        <v/>
      </c>
      <c r="BC929" s="22" t="str">
        <f>IF(AND('[1]observations-276632'!W929&gt;'[1]Methods write-up'!$Q$21,'[1]observations-276632'!W929&lt;'[1]Methods write-up'!$R$21,'[1]observations-276632'!X929&gt;'[1]Methods write-up'!$S$21,'[1]observations-276632'!X929&lt;'[1]Methods write-up'!$T$21),"Desert and high aridity","")</f>
        <v/>
      </c>
      <c r="BD929" s="23" t="str">
        <f t="shared" si="64"/>
        <v>West and Central Africa</v>
      </c>
      <c r="BE929" s="24">
        <f t="shared" si="62"/>
        <v>15</v>
      </c>
      <c r="BF929" s="24">
        <f t="shared" si="63"/>
        <v>2</v>
      </c>
    </row>
    <row r="930" spans="1:58" ht="16.25" customHeight="1" x14ac:dyDescent="0.2">
      <c r="A930">
        <v>106987933</v>
      </c>
      <c r="B930" t="s">
        <v>6932</v>
      </c>
      <c r="C930" s="14">
        <v>43673</v>
      </c>
      <c r="D930" t="s">
        <v>6933</v>
      </c>
      <c r="E930" t="s">
        <v>1408</v>
      </c>
      <c r="F930">
        <v>5257393</v>
      </c>
      <c r="G930" t="s">
        <v>6934</v>
      </c>
      <c r="I930" t="s">
        <v>6935</v>
      </c>
      <c r="J930" t="s">
        <v>6936</v>
      </c>
      <c r="K930" t="s">
        <v>62</v>
      </c>
      <c r="L930" t="s">
        <v>63</v>
      </c>
      <c r="M930" t="s">
        <v>6937</v>
      </c>
      <c r="N930" t="s">
        <v>6938</v>
      </c>
      <c r="R930">
        <v>2</v>
      </c>
      <c r="S930">
        <v>0</v>
      </c>
      <c r="T930" t="b">
        <v>0</v>
      </c>
      <c r="V930" t="s">
        <v>6939</v>
      </c>
      <c r="W930" s="15">
        <v>-5.0926185449999997</v>
      </c>
      <c r="X930" s="15">
        <v>38.638969500000002</v>
      </c>
      <c r="Y930">
        <v>8</v>
      </c>
      <c r="AC930">
        <v>8</v>
      </c>
      <c r="AF930" t="b">
        <v>0</v>
      </c>
      <c r="AI930" t="s">
        <v>71</v>
      </c>
      <c r="AJ930" t="s">
        <v>70</v>
      </c>
      <c r="AK930" t="s">
        <v>71</v>
      </c>
      <c r="AL930" t="s">
        <v>72</v>
      </c>
      <c r="AM930">
        <v>346053</v>
      </c>
      <c r="AO930" s="16" t="s">
        <v>140</v>
      </c>
      <c r="AP930" s="17" t="str">
        <f t="shared" si="66"/>
        <v>Post-emergence nest</v>
      </c>
      <c r="AQ930" s="18">
        <v>5</v>
      </c>
      <c r="AT930" s="19" t="s">
        <v>141</v>
      </c>
      <c r="AU930" s="20" t="s">
        <v>104</v>
      </c>
      <c r="AX930" s="22" t="str">
        <f>IF(AND('[1]observations-276632'!W930&gt;'[1]Methods write-up'!$Q$16,'[1]observations-276632'!W930&lt;'[1]Methods write-up'!$R$16,'[1]observations-276632'!X930&gt;'[1]Methods write-up'!$S$16,'[1]observations-276632'!X930&lt;'[1]Methods write-up'!$T$16),"West and Central Africa","")</f>
        <v/>
      </c>
      <c r="AY930" s="22" t="str">
        <f>IF(AND('[1]observations-276632'!W930&gt;'[1]Methods write-up'!$Q$17,'[1]observations-276632'!W930&lt;'[1]Methods write-up'!$R$17,'[1]observations-276632'!X930&gt;'[1]Methods write-up'!$S$17,'[1]observations-276632'!X930&lt;'[1]Methods write-up'!$T$17),"Equatorial tropical forest","")</f>
        <v/>
      </c>
      <c r="AZ930" s="22" t="str">
        <f>IF(AND('[1]observations-276632'!W930&gt;'[1]Methods write-up'!$Q$18,'[1]observations-276632'!W930&lt;'[1]Methods write-up'!$R$18,'[1]observations-276632'!X930&gt;'[1]Methods write-up'!$S$18,'[1]observations-276632'!X930&lt;'[1]Methods write-up'!$T$18),"Somali peninsula","")</f>
        <v/>
      </c>
      <c r="BA930" s="22" t="str">
        <f>IF(AND('[1]observations-276632'!W930&gt;'[1]Methods write-up'!$Q$19,'[1]observations-276632'!W930&lt;'[1]Methods write-up'!$R$19,'[1]observations-276632'!X930&gt;'[1]Methods write-up'!$S$19,'[1]observations-276632'!X930&lt;'[1]Methods write-up'!$T$19),"East Africa","")</f>
        <v>East Africa</v>
      </c>
      <c r="BB930" s="22" t="str">
        <f>IF(AND('[1]observations-276632'!W930&gt;'[1]Methods write-up'!$Q$20,'[1]observations-276632'!W930&lt;'[1]Methods write-up'!$R$20,'[1]observations-276632'!X930&gt;'[1]Methods write-up'!$S$20,'[1]observations-276632'!X930&lt;'[1]Methods write-up'!$T$20),"Temperate seasonal","")</f>
        <v/>
      </c>
      <c r="BC930" s="22" t="str">
        <f>IF(AND('[1]observations-276632'!W930&gt;'[1]Methods write-up'!$Q$21,'[1]observations-276632'!W930&lt;'[1]Methods write-up'!$R$21,'[1]observations-276632'!X930&gt;'[1]Methods write-up'!$S$21,'[1]observations-276632'!X930&lt;'[1]Methods write-up'!$T$21),"Desert and high aridity","")</f>
        <v/>
      </c>
      <c r="BD930" s="23" t="str">
        <f t="shared" si="64"/>
        <v>East Africa</v>
      </c>
      <c r="BE930" s="24">
        <f t="shared" si="62"/>
        <v>27</v>
      </c>
      <c r="BF930" s="24">
        <f t="shared" si="63"/>
        <v>7</v>
      </c>
    </row>
    <row r="931" spans="1:58" ht="16.25" customHeight="1" x14ac:dyDescent="0.2">
      <c r="A931">
        <v>106998502</v>
      </c>
      <c r="B931" t="s">
        <v>6940</v>
      </c>
      <c r="C931" s="14">
        <v>44588</v>
      </c>
      <c r="D931" t="s">
        <v>6941</v>
      </c>
      <c r="E931" t="s">
        <v>243</v>
      </c>
      <c r="F931">
        <v>4986668</v>
      </c>
      <c r="G931" t="s">
        <v>6942</v>
      </c>
      <c r="H931" t="s">
        <v>6943</v>
      </c>
      <c r="I931" t="s">
        <v>6944</v>
      </c>
      <c r="J931" t="s">
        <v>6945</v>
      </c>
      <c r="K931" t="s">
        <v>157</v>
      </c>
      <c r="L931" t="s">
        <v>63</v>
      </c>
      <c r="M931" t="s">
        <v>6946</v>
      </c>
      <c r="N931" t="s">
        <v>6947</v>
      </c>
      <c r="R931">
        <v>2</v>
      </c>
      <c r="S931">
        <v>0</v>
      </c>
      <c r="T931" t="b">
        <v>0</v>
      </c>
      <c r="V931" t="s">
        <v>6948</v>
      </c>
      <c r="W931" s="15">
        <v>-22.609917450000001</v>
      </c>
      <c r="X931" s="15">
        <v>17.085494959999998</v>
      </c>
      <c r="Y931">
        <v>15</v>
      </c>
      <c r="AC931">
        <v>15</v>
      </c>
      <c r="AF931" t="b">
        <v>0</v>
      </c>
      <c r="AI931" t="s">
        <v>756</v>
      </c>
      <c r="AJ931" t="s">
        <v>756</v>
      </c>
      <c r="AL931" t="s">
        <v>72</v>
      </c>
      <c r="AM931">
        <v>652800</v>
      </c>
      <c r="AO931" s="16" t="s">
        <v>73</v>
      </c>
      <c r="AP931" s="17" t="str">
        <f t="shared" si="66"/>
        <v>Off-nest female</v>
      </c>
      <c r="AX931" s="22" t="str">
        <f>IF(AND('[1]observations-276632'!W931&gt;'[1]Methods write-up'!$Q$16,'[1]observations-276632'!W931&lt;'[1]Methods write-up'!$R$16,'[1]observations-276632'!X931&gt;'[1]Methods write-up'!$S$16,'[1]observations-276632'!X931&lt;'[1]Methods write-up'!$T$16),"West and Central Africa","")</f>
        <v/>
      </c>
      <c r="AY931" s="22" t="str">
        <f>IF(AND('[1]observations-276632'!W931&gt;'[1]Methods write-up'!$Q$17,'[1]observations-276632'!W931&lt;'[1]Methods write-up'!$R$17,'[1]observations-276632'!X931&gt;'[1]Methods write-up'!$S$17,'[1]observations-276632'!X931&lt;'[1]Methods write-up'!$T$17),"Equatorial tropical forest","")</f>
        <v/>
      </c>
      <c r="AZ931" s="22" t="str">
        <f>IF(AND('[1]observations-276632'!W931&gt;'[1]Methods write-up'!$Q$18,'[1]observations-276632'!W931&lt;'[1]Methods write-up'!$R$18,'[1]observations-276632'!X931&gt;'[1]Methods write-up'!$S$18,'[1]observations-276632'!X931&lt;'[1]Methods write-up'!$T$18),"Somali peninsula","")</f>
        <v/>
      </c>
      <c r="BA931" s="22" t="str">
        <f>IF(AND('[1]observations-276632'!W931&gt;'[1]Methods write-up'!$Q$19,'[1]observations-276632'!W931&lt;'[1]Methods write-up'!$R$19,'[1]observations-276632'!X931&gt;'[1]Methods write-up'!$S$19,'[1]observations-276632'!X931&lt;'[1]Methods write-up'!$T$19),"East Africa","")</f>
        <v/>
      </c>
      <c r="BB931" s="22" t="str">
        <f>IF(AND('[1]observations-276632'!W931&gt;'[1]Methods write-up'!$Q$20,'[1]observations-276632'!W931&lt;'[1]Methods write-up'!$R$20,'[1]observations-276632'!X931&gt;'[1]Methods write-up'!$S$20,'[1]observations-276632'!X931&lt;'[1]Methods write-up'!$T$20),"Temperate seasonal","")</f>
        <v/>
      </c>
      <c r="BC931" s="22" t="str">
        <f>IF(AND('[1]observations-276632'!W931&gt;'[1]Methods write-up'!$Q$21,'[1]observations-276632'!W931&lt;'[1]Methods write-up'!$R$21,'[1]observations-276632'!X931&gt;'[1]Methods write-up'!$S$21,'[1]observations-276632'!X931&lt;'[1]Methods write-up'!$T$21),"Desert and high aridity","")</f>
        <v>Desert and high aridity</v>
      </c>
      <c r="BD931" s="23" t="str">
        <f t="shared" si="64"/>
        <v>Desert and high aridity</v>
      </c>
      <c r="BE931" s="24">
        <f t="shared" si="62"/>
        <v>27</v>
      </c>
      <c r="BF931" s="24">
        <f t="shared" si="63"/>
        <v>1</v>
      </c>
    </row>
    <row r="932" spans="1:58" ht="16.25" customHeight="1" x14ac:dyDescent="0.2">
      <c r="A932">
        <v>107035882</v>
      </c>
      <c r="B932" t="s">
        <v>6949</v>
      </c>
      <c r="C932" s="14">
        <v>44596</v>
      </c>
      <c r="D932" t="s">
        <v>6950</v>
      </c>
      <c r="E932" t="s">
        <v>113</v>
      </c>
      <c r="F932">
        <v>2461905</v>
      </c>
      <c r="G932" t="s">
        <v>6951</v>
      </c>
      <c r="H932" t="s">
        <v>6952</v>
      </c>
      <c r="I932" t="s">
        <v>6953</v>
      </c>
      <c r="J932" t="s">
        <v>6954</v>
      </c>
      <c r="K932" t="s">
        <v>62</v>
      </c>
      <c r="L932" t="s">
        <v>63</v>
      </c>
      <c r="M932" t="s">
        <v>6955</v>
      </c>
      <c r="N932" t="s">
        <v>6956</v>
      </c>
      <c r="R932">
        <v>4</v>
      </c>
      <c r="S932">
        <v>0</v>
      </c>
      <c r="T932" t="b">
        <v>0</v>
      </c>
      <c r="V932" t="s">
        <v>535</v>
      </c>
      <c r="W932" s="15">
        <v>-23.908537240000001</v>
      </c>
      <c r="X932" s="15">
        <v>28.276353310000001</v>
      </c>
      <c r="Y932">
        <v>4</v>
      </c>
      <c r="AC932">
        <v>4</v>
      </c>
      <c r="AF932" t="b">
        <v>0</v>
      </c>
      <c r="AI932" t="s">
        <v>71</v>
      </c>
      <c r="AJ932" t="s">
        <v>70</v>
      </c>
      <c r="AK932" t="s">
        <v>71</v>
      </c>
      <c r="AL932" t="s">
        <v>72</v>
      </c>
      <c r="AM932">
        <v>346053</v>
      </c>
      <c r="AO932" s="16" t="s">
        <v>150</v>
      </c>
      <c r="AP932" s="17" t="str">
        <f t="shared" si="66"/>
        <v>Male (off nest)</v>
      </c>
      <c r="AX932" s="22" t="str">
        <f>IF(AND('[1]observations-276632'!W932&gt;'[1]Methods write-up'!$Q$16,'[1]observations-276632'!W932&lt;'[1]Methods write-up'!$R$16,'[1]observations-276632'!X932&gt;'[1]Methods write-up'!$S$16,'[1]observations-276632'!X932&lt;'[1]Methods write-up'!$T$16),"West and Central Africa","")</f>
        <v/>
      </c>
      <c r="AY932" s="22" t="str">
        <f>IF(AND('[1]observations-276632'!W932&gt;'[1]Methods write-up'!$Q$17,'[1]observations-276632'!W932&lt;'[1]Methods write-up'!$R$17,'[1]observations-276632'!X932&gt;'[1]Methods write-up'!$S$17,'[1]observations-276632'!X932&lt;'[1]Methods write-up'!$T$17),"Equatorial tropical forest","")</f>
        <v/>
      </c>
      <c r="AZ932" s="22" t="str">
        <f>IF(AND('[1]observations-276632'!W932&gt;'[1]Methods write-up'!$Q$18,'[1]observations-276632'!W932&lt;'[1]Methods write-up'!$R$18,'[1]observations-276632'!X932&gt;'[1]Methods write-up'!$S$18,'[1]observations-276632'!X932&lt;'[1]Methods write-up'!$T$18),"Somali peninsula","")</f>
        <v/>
      </c>
      <c r="BA932" s="22" t="str">
        <f>IF(AND('[1]observations-276632'!W932&gt;'[1]Methods write-up'!$Q$19,'[1]observations-276632'!W932&lt;'[1]Methods write-up'!$R$19,'[1]observations-276632'!X932&gt;'[1]Methods write-up'!$S$19,'[1]observations-276632'!X932&lt;'[1]Methods write-up'!$T$19),"East Africa","")</f>
        <v/>
      </c>
      <c r="BB932" s="22" t="str">
        <f>IF(AND('[1]observations-276632'!W932&gt;'[1]Methods write-up'!$Q$20,'[1]observations-276632'!W932&lt;'[1]Methods write-up'!$R$20,'[1]observations-276632'!X932&gt;'[1]Methods write-up'!$S$20,'[1]observations-276632'!X932&lt;'[1]Methods write-up'!$T$20),"Temperate seasonal","")</f>
        <v/>
      </c>
      <c r="BC932" s="22" t="str">
        <f>IF(AND('[1]observations-276632'!W932&gt;'[1]Methods write-up'!$Q$21,'[1]observations-276632'!W932&lt;'[1]Methods write-up'!$R$21,'[1]observations-276632'!X932&gt;'[1]Methods write-up'!$S$21,'[1]observations-276632'!X932&lt;'[1]Methods write-up'!$T$21),"Desert and high aridity","")</f>
        <v/>
      </c>
      <c r="BD932" s="23" t="str">
        <f t="shared" si="64"/>
        <v/>
      </c>
      <c r="BE932" s="24">
        <f t="shared" si="62"/>
        <v>4</v>
      </c>
      <c r="BF932" s="24">
        <f t="shared" si="63"/>
        <v>2</v>
      </c>
    </row>
    <row r="933" spans="1:58" ht="16.25" customHeight="1" x14ac:dyDescent="0.2">
      <c r="A933">
        <v>107319242</v>
      </c>
      <c r="B933" t="s">
        <v>6957</v>
      </c>
      <c r="C933" s="14">
        <v>41046</v>
      </c>
      <c r="D933" t="s">
        <v>6958</v>
      </c>
      <c r="E933" t="s">
        <v>243</v>
      </c>
      <c r="F933">
        <v>4860507</v>
      </c>
      <c r="G933" t="s">
        <v>6959</v>
      </c>
      <c r="H933" t="s">
        <v>6960</v>
      </c>
      <c r="I933" t="s">
        <v>6961</v>
      </c>
      <c r="J933" t="s">
        <v>6962</v>
      </c>
      <c r="K933" t="s">
        <v>157</v>
      </c>
      <c r="L933" t="s">
        <v>63</v>
      </c>
      <c r="M933" t="s">
        <v>6963</v>
      </c>
      <c r="N933" t="s">
        <v>6964</v>
      </c>
      <c r="P933" t="s">
        <v>6965</v>
      </c>
      <c r="R933">
        <v>1</v>
      </c>
      <c r="S933">
        <v>0</v>
      </c>
      <c r="T933" t="b">
        <v>0</v>
      </c>
      <c r="V933" t="s">
        <v>6966</v>
      </c>
      <c r="W933" s="15">
        <v>-22.882974999999998</v>
      </c>
      <c r="X933" s="15">
        <v>44.694786110000003</v>
      </c>
      <c r="AF933" t="b">
        <v>0</v>
      </c>
      <c r="AI933" t="s">
        <v>2537</v>
      </c>
      <c r="AJ933" t="s">
        <v>2537</v>
      </c>
      <c r="AL933" t="s">
        <v>72</v>
      </c>
      <c r="AM933">
        <v>1098050</v>
      </c>
      <c r="AO933" s="16" t="s">
        <v>140</v>
      </c>
      <c r="AP933" s="17" t="str">
        <f t="shared" si="66"/>
        <v>Post-emergence nest</v>
      </c>
      <c r="AQ933" s="18">
        <v>10</v>
      </c>
      <c r="AT933" s="19" t="s">
        <v>141</v>
      </c>
      <c r="AU933" s="20" t="s">
        <v>141</v>
      </c>
      <c r="AX933" s="22" t="str">
        <f>IF(AND('[1]observations-276632'!W933&gt;'[1]Methods write-up'!$Q$16,'[1]observations-276632'!W933&lt;'[1]Methods write-up'!$R$16,'[1]observations-276632'!X933&gt;'[1]Methods write-up'!$S$16,'[1]observations-276632'!X933&lt;'[1]Methods write-up'!$T$16),"West and Central Africa","")</f>
        <v/>
      </c>
      <c r="AY933" s="22" t="str">
        <f>IF(AND('[1]observations-276632'!W933&gt;'[1]Methods write-up'!$Q$17,'[1]observations-276632'!W933&lt;'[1]Methods write-up'!$R$17,'[1]observations-276632'!X933&gt;'[1]Methods write-up'!$S$17,'[1]observations-276632'!X933&lt;'[1]Methods write-up'!$T$17),"Equatorial tropical forest","")</f>
        <v/>
      </c>
      <c r="AZ933" s="22" t="str">
        <f>IF(AND('[1]observations-276632'!W933&gt;'[1]Methods write-up'!$Q$18,'[1]observations-276632'!W933&lt;'[1]Methods write-up'!$R$18,'[1]observations-276632'!X933&gt;'[1]Methods write-up'!$S$18,'[1]observations-276632'!X933&lt;'[1]Methods write-up'!$T$18),"Somali peninsula","")</f>
        <v/>
      </c>
      <c r="BA933" s="22" t="str">
        <f>IF(AND('[1]observations-276632'!W933&gt;'[1]Methods write-up'!$Q$19,'[1]observations-276632'!W933&lt;'[1]Methods write-up'!$R$19,'[1]observations-276632'!X933&gt;'[1]Methods write-up'!$S$19,'[1]observations-276632'!X933&lt;'[1]Methods write-up'!$T$19),"East Africa","")</f>
        <v/>
      </c>
      <c r="BB933" s="22" t="str">
        <f>IF(AND('[1]observations-276632'!W933&gt;'[1]Methods write-up'!$Q$20,'[1]observations-276632'!W933&lt;'[1]Methods write-up'!$R$20,'[1]observations-276632'!X933&gt;'[1]Methods write-up'!$S$20,'[1]observations-276632'!X933&lt;'[1]Methods write-up'!$T$20),"Temperate seasonal","")</f>
        <v/>
      </c>
      <c r="BC933" s="22" t="str">
        <f>IF(AND('[1]observations-276632'!W933&gt;'[1]Methods write-up'!$Q$21,'[1]observations-276632'!W933&lt;'[1]Methods write-up'!$R$21,'[1]observations-276632'!X933&gt;'[1]Methods write-up'!$S$21,'[1]observations-276632'!X933&lt;'[1]Methods write-up'!$T$21),"Desert and high aridity","")</f>
        <v/>
      </c>
      <c r="BD933" s="23" t="str">
        <f t="shared" si="64"/>
        <v/>
      </c>
      <c r="BE933" s="24">
        <f t="shared" si="62"/>
        <v>17</v>
      </c>
      <c r="BF933" s="24">
        <f t="shared" si="63"/>
        <v>5</v>
      </c>
    </row>
    <row r="934" spans="1:58" ht="16.25" customHeight="1" x14ac:dyDescent="0.2">
      <c r="A934">
        <v>107417250</v>
      </c>
      <c r="B934" s="25">
        <v>44617.717361111114</v>
      </c>
      <c r="C934" s="14">
        <v>44617</v>
      </c>
      <c r="D934" t="s">
        <v>6967</v>
      </c>
      <c r="E934" t="s">
        <v>113</v>
      </c>
      <c r="F934">
        <v>4023157</v>
      </c>
      <c r="G934" t="s">
        <v>4891</v>
      </c>
      <c r="H934" t="s">
        <v>4892</v>
      </c>
      <c r="I934" t="s">
        <v>6968</v>
      </c>
      <c r="J934" t="s">
        <v>6969</v>
      </c>
      <c r="K934" t="s">
        <v>62</v>
      </c>
      <c r="M934" t="s">
        <v>6970</v>
      </c>
      <c r="N934" t="s">
        <v>6971</v>
      </c>
      <c r="R934">
        <v>3</v>
      </c>
      <c r="S934">
        <v>0</v>
      </c>
      <c r="T934" t="b">
        <v>0</v>
      </c>
      <c r="U934">
        <v>2</v>
      </c>
      <c r="V934" t="s">
        <v>4898</v>
      </c>
      <c r="W934" s="15">
        <v>-25.79744492</v>
      </c>
      <c r="X934" s="15">
        <v>28.298322670000001</v>
      </c>
      <c r="Y934">
        <v>200</v>
      </c>
      <c r="AC934">
        <v>200</v>
      </c>
      <c r="AF934" t="b">
        <v>0</v>
      </c>
      <c r="AG934" t="s">
        <v>350</v>
      </c>
      <c r="AH934" t="s">
        <v>350</v>
      </c>
      <c r="AI934" t="s">
        <v>71</v>
      </c>
      <c r="AJ934" t="s">
        <v>70</v>
      </c>
      <c r="AK934" t="s">
        <v>71</v>
      </c>
      <c r="AL934" t="s">
        <v>72</v>
      </c>
      <c r="AM934">
        <v>346053</v>
      </c>
      <c r="AO934" s="16" t="s">
        <v>150</v>
      </c>
      <c r="AP934" s="17" t="str">
        <f t="shared" si="66"/>
        <v>Male (off nest)</v>
      </c>
      <c r="AX934" s="22" t="str">
        <f>IF(AND('[1]observations-276632'!W934&gt;'[1]Methods write-up'!$Q$16,'[1]observations-276632'!W934&lt;'[1]Methods write-up'!$R$16,'[1]observations-276632'!X934&gt;'[1]Methods write-up'!$S$16,'[1]observations-276632'!X934&lt;'[1]Methods write-up'!$T$16),"West and Central Africa","")</f>
        <v/>
      </c>
      <c r="AY934" s="22" t="str">
        <f>IF(AND('[1]observations-276632'!W934&gt;'[1]Methods write-up'!$Q$17,'[1]observations-276632'!W934&lt;'[1]Methods write-up'!$R$17,'[1]observations-276632'!X934&gt;'[1]Methods write-up'!$S$17,'[1]observations-276632'!X934&lt;'[1]Methods write-up'!$T$17),"Equatorial tropical forest","")</f>
        <v/>
      </c>
      <c r="AZ934" s="22" t="str">
        <f>IF(AND('[1]observations-276632'!W934&gt;'[1]Methods write-up'!$Q$18,'[1]observations-276632'!W934&lt;'[1]Methods write-up'!$R$18,'[1]observations-276632'!X934&gt;'[1]Methods write-up'!$S$18,'[1]observations-276632'!X934&lt;'[1]Methods write-up'!$T$18),"Somali peninsula","")</f>
        <v/>
      </c>
      <c r="BA934" s="22" t="str">
        <f>IF(AND('[1]observations-276632'!W934&gt;'[1]Methods write-up'!$Q$19,'[1]observations-276632'!W934&lt;'[1]Methods write-up'!$R$19,'[1]observations-276632'!X934&gt;'[1]Methods write-up'!$S$19,'[1]observations-276632'!X934&lt;'[1]Methods write-up'!$T$19),"East Africa","")</f>
        <v/>
      </c>
      <c r="BB934" s="22" t="str">
        <f>IF(AND('[1]observations-276632'!W934&gt;'[1]Methods write-up'!$Q$20,'[1]observations-276632'!W934&lt;'[1]Methods write-up'!$R$20,'[1]observations-276632'!X934&gt;'[1]Methods write-up'!$S$20,'[1]observations-276632'!X934&lt;'[1]Methods write-up'!$T$20),"Temperate seasonal","")</f>
        <v>Temperate seasonal</v>
      </c>
      <c r="BC934" s="22" t="str">
        <f>IF(AND('[1]observations-276632'!W934&gt;'[1]Methods write-up'!$Q$21,'[1]observations-276632'!W934&lt;'[1]Methods write-up'!$R$21,'[1]observations-276632'!X934&gt;'[1]Methods write-up'!$S$21,'[1]observations-276632'!X934&lt;'[1]Methods write-up'!$T$21),"Desert and high aridity","")</f>
        <v/>
      </c>
      <c r="BD934" s="23" t="str">
        <f t="shared" si="64"/>
        <v>Temperate seasonal</v>
      </c>
      <c r="BE934" s="24">
        <f t="shared" si="62"/>
        <v>25</v>
      </c>
      <c r="BF934" s="24">
        <f t="shared" si="63"/>
        <v>2</v>
      </c>
    </row>
    <row r="935" spans="1:58" ht="16.25" customHeight="1" x14ac:dyDescent="0.2">
      <c r="A935">
        <v>107472205</v>
      </c>
      <c r="B935" s="25">
        <v>44618.598611111112</v>
      </c>
      <c r="C935" s="14">
        <v>44618</v>
      </c>
      <c r="D935" t="s">
        <v>6972</v>
      </c>
      <c r="E935" t="s">
        <v>113</v>
      </c>
      <c r="F935">
        <v>4023157</v>
      </c>
      <c r="G935" t="s">
        <v>4891</v>
      </c>
      <c r="H935" t="s">
        <v>4892</v>
      </c>
      <c r="I935" t="s">
        <v>6973</v>
      </c>
      <c r="J935" t="s">
        <v>6974</v>
      </c>
      <c r="K935" t="s">
        <v>62</v>
      </c>
      <c r="M935" t="s">
        <v>6975</v>
      </c>
      <c r="N935" t="s">
        <v>6976</v>
      </c>
      <c r="R935">
        <v>2</v>
      </c>
      <c r="S935">
        <v>0</v>
      </c>
      <c r="T935" t="b">
        <v>0</v>
      </c>
      <c r="U935">
        <v>2</v>
      </c>
      <c r="V935" t="s">
        <v>4898</v>
      </c>
      <c r="W935" s="15">
        <v>-25.79744492</v>
      </c>
      <c r="X935" s="15">
        <v>28.298322670000001</v>
      </c>
      <c r="Y935">
        <v>200</v>
      </c>
      <c r="AC935">
        <v>200</v>
      </c>
      <c r="AF935" t="b">
        <v>0</v>
      </c>
      <c r="AG935" t="s">
        <v>350</v>
      </c>
      <c r="AH935" t="s">
        <v>350</v>
      </c>
      <c r="AI935" t="s">
        <v>71</v>
      </c>
      <c r="AJ935" t="s">
        <v>70</v>
      </c>
      <c r="AK935" t="s">
        <v>71</v>
      </c>
      <c r="AL935" t="s">
        <v>72</v>
      </c>
      <c r="AM935">
        <v>346053</v>
      </c>
      <c r="AO935" s="16" t="s">
        <v>73</v>
      </c>
      <c r="AP935" s="17" t="str">
        <f t="shared" si="66"/>
        <v>Off-nest female</v>
      </c>
      <c r="AX935" s="22" t="str">
        <f>IF(AND('[1]observations-276632'!W935&gt;'[1]Methods write-up'!$Q$16,'[1]observations-276632'!W935&lt;'[1]Methods write-up'!$R$16,'[1]observations-276632'!X935&gt;'[1]Methods write-up'!$S$16,'[1]observations-276632'!X935&lt;'[1]Methods write-up'!$T$16),"West and Central Africa","")</f>
        <v/>
      </c>
      <c r="AY935" s="22" t="str">
        <f>IF(AND('[1]observations-276632'!W935&gt;'[1]Methods write-up'!$Q$17,'[1]observations-276632'!W935&lt;'[1]Methods write-up'!$R$17,'[1]observations-276632'!X935&gt;'[1]Methods write-up'!$S$17,'[1]observations-276632'!X935&lt;'[1]Methods write-up'!$T$17),"Equatorial tropical forest","")</f>
        <v/>
      </c>
      <c r="AZ935" s="22" t="str">
        <f>IF(AND('[1]observations-276632'!W935&gt;'[1]Methods write-up'!$Q$18,'[1]observations-276632'!W935&lt;'[1]Methods write-up'!$R$18,'[1]observations-276632'!X935&gt;'[1]Methods write-up'!$S$18,'[1]observations-276632'!X935&lt;'[1]Methods write-up'!$T$18),"Somali peninsula","")</f>
        <v/>
      </c>
      <c r="BA935" s="22" t="str">
        <f>IF(AND('[1]observations-276632'!W935&gt;'[1]Methods write-up'!$Q$19,'[1]observations-276632'!W935&lt;'[1]Methods write-up'!$R$19,'[1]observations-276632'!X935&gt;'[1]Methods write-up'!$S$19,'[1]observations-276632'!X935&lt;'[1]Methods write-up'!$T$19),"East Africa","")</f>
        <v/>
      </c>
      <c r="BB935" s="22" t="str">
        <f>IF(AND('[1]observations-276632'!W935&gt;'[1]Methods write-up'!$Q$20,'[1]observations-276632'!W935&lt;'[1]Methods write-up'!$R$20,'[1]observations-276632'!X935&gt;'[1]Methods write-up'!$S$20,'[1]observations-276632'!X935&lt;'[1]Methods write-up'!$T$20),"Temperate seasonal","")</f>
        <v>Temperate seasonal</v>
      </c>
      <c r="BC935" s="22" t="str">
        <f>IF(AND('[1]observations-276632'!W935&gt;'[1]Methods write-up'!$Q$21,'[1]observations-276632'!W935&lt;'[1]Methods write-up'!$R$21,'[1]observations-276632'!X935&gt;'[1]Methods write-up'!$S$21,'[1]observations-276632'!X935&lt;'[1]Methods write-up'!$T$21),"Desert and high aridity","")</f>
        <v/>
      </c>
      <c r="BD935" s="23" t="str">
        <f t="shared" si="64"/>
        <v>Temperate seasonal</v>
      </c>
      <c r="BE935" s="24">
        <f t="shared" si="62"/>
        <v>26</v>
      </c>
      <c r="BF935" s="24">
        <f t="shared" si="63"/>
        <v>2</v>
      </c>
    </row>
    <row r="936" spans="1:58" ht="16.25" customHeight="1" x14ac:dyDescent="0.2">
      <c r="A936">
        <v>107577996</v>
      </c>
      <c r="B936" t="s">
        <v>6977</v>
      </c>
      <c r="C936" s="14">
        <v>44617</v>
      </c>
      <c r="D936" t="s">
        <v>6978</v>
      </c>
      <c r="E936" t="s">
        <v>1408</v>
      </c>
      <c r="F936">
        <v>1476026</v>
      </c>
      <c r="G936" t="s">
        <v>3989</v>
      </c>
      <c r="H936" t="s">
        <v>3990</v>
      </c>
      <c r="I936" t="s">
        <v>6979</v>
      </c>
      <c r="J936" t="s">
        <v>6980</v>
      </c>
      <c r="K936" t="s">
        <v>62</v>
      </c>
      <c r="L936" t="s">
        <v>373</v>
      </c>
      <c r="M936" t="s">
        <v>6981</v>
      </c>
      <c r="N936" t="s">
        <v>6982</v>
      </c>
      <c r="R936">
        <v>3</v>
      </c>
      <c r="S936">
        <v>0</v>
      </c>
      <c r="T936" t="b">
        <v>0</v>
      </c>
      <c r="V936" t="s">
        <v>6983</v>
      </c>
      <c r="W936" s="15">
        <v>-19.105322210000001</v>
      </c>
      <c r="X936" s="15">
        <v>32.750936449999998</v>
      </c>
      <c r="Y936">
        <v>300</v>
      </c>
      <c r="AC936">
        <v>300</v>
      </c>
      <c r="AF936" t="b">
        <v>0</v>
      </c>
      <c r="AI936" t="s">
        <v>71</v>
      </c>
      <c r="AJ936" t="s">
        <v>70</v>
      </c>
      <c r="AK936" t="s">
        <v>71</v>
      </c>
      <c r="AL936" t="s">
        <v>72</v>
      </c>
      <c r="AM936">
        <v>346053</v>
      </c>
      <c r="AO936" s="16" t="s">
        <v>140</v>
      </c>
      <c r="AP936" s="17" t="str">
        <f t="shared" si="66"/>
        <v>Post-emergence nest</v>
      </c>
      <c r="AQ936" s="18">
        <v>10</v>
      </c>
      <c r="AT936" s="19" t="s">
        <v>141</v>
      </c>
      <c r="AU936" s="20" t="s">
        <v>104</v>
      </c>
      <c r="AV936" s="21" t="s">
        <v>431</v>
      </c>
      <c r="AX936" s="22" t="str">
        <f>IF(AND('[1]observations-276632'!W936&gt;'[1]Methods write-up'!$Q$16,'[1]observations-276632'!W936&lt;'[1]Methods write-up'!$R$16,'[1]observations-276632'!X936&gt;'[1]Methods write-up'!$S$16,'[1]observations-276632'!X936&lt;'[1]Methods write-up'!$T$16),"West and Central Africa","")</f>
        <v/>
      </c>
      <c r="AY936" s="22" t="str">
        <f>IF(AND('[1]observations-276632'!W936&gt;'[1]Methods write-up'!$Q$17,'[1]observations-276632'!W936&lt;'[1]Methods write-up'!$R$17,'[1]observations-276632'!X936&gt;'[1]Methods write-up'!$S$17,'[1]observations-276632'!X936&lt;'[1]Methods write-up'!$T$17),"Equatorial tropical forest","")</f>
        <v/>
      </c>
      <c r="AZ936" s="22" t="str">
        <f>IF(AND('[1]observations-276632'!W936&gt;'[1]Methods write-up'!$Q$18,'[1]observations-276632'!W936&lt;'[1]Methods write-up'!$R$18,'[1]observations-276632'!X936&gt;'[1]Methods write-up'!$S$18,'[1]observations-276632'!X936&lt;'[1]Methods write-up'!$T$18),"Somali peninsula","")</f>
        <v/>
      </c>
      <c r="BA936" s="22" t="str">
        <f>IF(AND('[1]observations-276632'!W936&gt;'[1]Methods write-up'!$Q$19,'[1]observations-276632'!W936&lt;'[1]Methods write-up'!$R$19,'[1]observations-276632'!X936&gt;'[1]Methods write-up'!$S$19,'[1]observations-276632'!X936&lt;'[1]Methods write-up'!$T$19),"East Africa","")</f>
        <v/>
      </c>
      <c r="BB936" s="22" t="str">
        <f>IF(AND('[1]observations-276632'!W936&gt;'[1]Methods write-up'!$Q$20,'[1]observations-276632'!W936&lt;'[1]Methods write-up'!$R$20,'[1]observations-276632'!X936&gt;'[1]Methods write-up'!$S$20,'[1]observations-276632'!X936&lt;'[1]Methods write-up'!$T$20),"Temperate seasonal","")</f>
        <v/>
      </c>
      <c r="BC936" s="22" t="str">
        <f>IF(AND('[1]observations-276632'!W936&gt;'[1]Methods write-up'!$Q$21,'[1]observations-276632'!W936&lt;'[1]Methods write-up'!$R$21,'[1]observations-276632'!X936&gt;'[1]Methods write-up'!$S$21,'[1]observations-276632'!X936&lt;'[1]Methods write-up'!$T$21),"Desert and high aridity","")</f>
        <v/>
      </c>
      <c r="BD936" s="23" t="str">
        <f t="shared" si="64"/>
        <v/>
      </c>
      <c r="BE936" s="24">
        <f t="shared" si="62"/>
        <v>25</v>
      </c>
      <c r="BF936" s="24">
        <f t="shared" si="63"/>
        <v>2</v>
      </c>
    </row>
    <row r="937" spans="1:58" ht="16.25" customHeight="1" x14ac:dyDescent="0.2">
      <c r="A937">
        <v>107636285</v>
      </c>
      <c r="B937" t="s">
        <v>6984</v>
      </c>
      <c r="C937" s="14">
        <v>44620</v>
      </c>
      <c r="D937" t="s">
        <v>6985</v>
      </c>
      <c r="E937" t="s">
        <v>113</v>
      </c>
      <c r="F937">
        <v>5275031</v>
      </c>
      <c r="G937" t="s">
        <v>6986</v>
      </c>
      <c r="I937" t="s">
        <v>6987</v>
      </c>
      <c r="J937" t="s">
        <v>6988</v>
      </c>
      <c r="K937" t="s">
        <v>62</v>
      </c>
      <c r="L937" t="s">
        <v>63</v>
      </c>
      <c r="M937" t="s">
        <v>6989</v>
      </c>
      <c r="N937" t="s">
        <v>6990</v>
      </c>
      <c r="R937">
        <v>3</v>
      </c>
      <c r="S937">
        <v>0</v>
      </c>
      <c r="T937" t="b">
        <v>0</v>
      </c>
      <c r="U937">
        <v>333</v>
      </c>
      <c r="V937" t="s">
        <v>6991</v>
      </c>
      <c r="W937" s="15">
        <v>-26.05833054</v>
      </c>
      <c r="X937" s="15">
        <v>28.240064619999998</v>
      </c>
      <c r="Y937">
        <v>17</v>
      </c>
      <c r="AC937">
        <v>17</v>
      </c>
      <c r="AF937" t="b">
        <v>0</v>
      </c>
      <c r="AI937" t="s">
        <v>71</v>
      </c>
      <c r="AJ937" t="s">
        <v>70</v>
      </c>
      <c r="AK937" t="s">
        <v>71</v>
      </c>
      <c r="AL937" t="s">
        <v>72</v>
      </c>
      <c r="AM937">
        <v>346053</v>
      </c>
      <c r="AO937" s="16" t="s">
        <v>73</v>
      </c>
      <c r="AP937" s="17" t="str">
        <f t="shared" si="66"/>
        <v>Off-nest female</v>
      </c>
      <c r="AX937" s="22" t="str">
        <f>IF(AND('[1]observations-276632'!W937&gt;'[1]Methods write-up'!$Q$16,'[1]observations-276632'!W937&lt;'[1]Methods write-up'!$R$16,'[1]observations-276632'!X937&gt;'[1]Methods write-up'!$S$16,'[1]observations-276632'!X937&lt;'[1]Methods write-up'!$T$16),"West and Central Africa","")</f>
        <v/>
      </c>
      <c r="AY937" s="22" t="str">
        <f>IF(AND('[1]observations-276632'!W937&gt;'[1]Methods write-up'!$Q$17,'[1]observations-276632'!W937&lt;'[1]Methods write-up'!$R$17,'[1]observations-276632'!X937&gt;'[1]Methods write-up'!$S$17,'[1]observations-276632'!X937&lt;'[1]Methods write-up'!$T$17),"Equatorial tropical forest","")</f>
        <v/>
      </c>
      <c r="AZ937" s="22" t="str">
        <f>IF(AND('[1]observations-276632'!W937&gt;'[1]Methods write-up'!$Q$18,'[1]observations-276632'!W937&lt;'[1]Methods write-up'!$R$18,'[1]observations-276632'!X937&gt;'[1]Methods write-up'!$S$18,'[1]observations-276632'!X937&lt;'[1]Methods write-up'!$T$18),"Somali peninsula","")</f>
        <v/>
      </c>
      <c r="BA937" s="22" t="str">
        <f>IF(AND('[1]observations-276632'!W937&gt;'[1]Methods write-up'!$Q$19,'[1]observations-276632'!W937&lt;'[1]Methods write-up'!$R$19,'[1]observations-276632'!X937&gt;'[1]Methods write-up'!$S$19,'[1]observations-276632'!X937&lt;'[1]Methods write-up'!$T$19),"East Africa","")</f>
        <v/>
      </c>
      <c r="BB937" s="22" t="str">
        <f>IF(AND('[1]observations-276632'!W937&gt;'[1]Methods write-up'!$Q$20,'[1]observations-276632'!W937&lt;'[1]Methods write-up'!$R$20,'[1]observations-276632'!X937&gt;'[1]Methods write-up'!$S$20,'[1]observations-276632'!X937&lt;'[1]Methods write-up'!$T$20),"Temperate seasonal","")</f>
        <v>Temperate seasonal</v>
      </c>
      <c r="BC937" s="22" t="str">
        <f>IF(AND('[1]observations-276632'!W937&gt;'[1]Methods write-up'!$Q$21,'[1]observations-276632'!W937&lt;'[1]Methods write-up'!$R$21,'[1]observations-276632'!X937&gt;'[1]Methods write-up'!$S$21,'[1]observations-276632'!X937&lt;'[1]Methods write-up'!$T$21),"Desert and high aridity","")</f>
        <v/>
      </c>
      <c r="BD937" s="23" t="str">
        <f t="shared" si="64"/>
        <v>Temperate seasonal</v>
      </c>
      <c r="BE937" s="24">
        <f t="shared" si="62"/>
        <v>28</v>
      </c>
      <c r="BF937" s="24">
        <f t="shared" si="63"/>
        <v>2</v>
      </c>
    </row>
    <row r="938" spans="1:58" ht="16.25" customHeight="1" x14ac:dyDescent="0.2">
      <c r="A938">
        <v>107656990</v>
      </c>
      <c r="B938" t="s">
        <v>6992</v>
      </c>
      <c r="C938" s="14">
        <v>44619</v>
      </c>
      <c r="D938" t="s">
        <v>6993</v>
      </c>
      <c r="E938" t="s">
        <v>113</v>
      </c>
      <c r="F938">
        <v>5250414</v>
      </c>
      <c r="G938" t="s">
        <v>6532</v>
      </c>
      <c r="H938" t="s">
        <v>6533</v>
      </c>
      <c r="I938" t="s">
        <v>6994</v>
      </c>
      <c r="J938" t="s">
        <v>6995</v>
      </c>
      <c r="K938" t="s">
        <v>62</v>
      </c>
      <c r="L938" t="s">
        <v>63</v>
      </c>
      <c r="M938" t="s">
        <v>6996</v>
      </c>
      <c r="N938" t="s">
        <v>6997</v>
      </c>
      <c r="R938">
        <v>2</v>
      </c>
      <c r="S938">
        <v>0</v>
      </c>
      <c r="T938" t="b">
        <v>0</v>
      </c>
      <c r="V938" t="s">
        <v>6998</v>
      </c>
      <c r="W938" s="15">
        <v>-25.72015167</v>
      </c>
      <c r="X938" s="15">
        <v>27.168606669999999</v>
      </c>
      <c r="AF938" t="b">
        <v>0</v>
      </c>
      <c r="AI938" t="s">
        <v>71</v>
      </c>
      <c r="AJ938" t="s">
        <v>70</v>
      </c>
      <c r="AK938" t="s">
        <v>71</v>
      </c>
      <c r="AL938" t="s">
        <v>72</v>
      </c>
      <c r="AM938">
        <v>346053</v>
      </c>
      <c r="AO938" s="16" t="s">
        <v>73</v>
      </c>
      <c r="AP938" s="17" t="str">
        <f t="shared" si="66"/>
        <v>Off-nest female</v>
      </c>
      <c r="AX938" s="22" t="str">
        <f>IF(AND('[1]observations-276632'!W938&gt;'[1]Methods write-up'!$Q$16,'[1]observations-276632'!W938&lt;'[1]Methods write-up'!$R$16,'[1]observations-276632'!X938&gt;'[1]Methods write-up'!$S$16,'[1]observations-276632'!X938&lt;'[1]Methods write-up'!$T$16),"West and Central Africa","")</f>
        <v/>
      </c>
      <c r="AY938" s="22" t="str">
        <f>IF(AND('[1]observations-276632'!W938&gt;'[1]Methods write-up'!$Q$17,'[1]observations-276632'!W938&lt;'[1]Methods write-up'!$R$17,'[1]observations-276632'!X938&gt;'[1]Methods write-up'!$S$17,'[1]observations-276632'!X938&lt;'[1]Methods write-up'!$T$17),"Equatorial tropical forest","")</f>
        <v/>
      </c>
      <c r="AZ938" s="22" t="str">
        <f>IF(AND('[1]observations-276632'!W938&gt;'[1]Methods write-up'!$Q$18,'[1]observations-276632'!W938&lt;'[1]Methods write-up'!$R$18,'[1]observations-276632'!X938&gt;'[1]Methods write-up'!$S$18,'[1]observations-276632'!X938&lt;'[1]Methods write-up'!$T$18),"Somali peninsula","")</f>
        <v/>
      </c>
      <c r="BA938" s="22" t="str">
        <f>IF(AND('[1]observations-276632'!W938&gt;'[1]Methods write-up'!$Q$19,'[1]observations-276632'!W938&lt;'[1]Methods write-up'!$R$19,'[1]observations-276632'!X938&gt;'[1]Methods write-up'!$S$19,'[1]observations-276632'!X938&lt;'[1]Methods write-up'!$T$19),"East Africa","")</f>
        <v/>
      </c>
      <c r="BB938" s="22" t="str">
        <f>IF(AND('[1]observations-276632'!W938&gt;'[1]Methods write-up'!$Q$20,'[1]observations-276632'!W938&lt;'[1]Methods write-up'!$R$20,'[1]observations-276632'!X938&gt;'[1]Methods write-up'!$S$20,'[1]observations-276632'!X938&lt;'[1]Methods write-up'!$T$20),"Temperate seasonal","")</f>
        <v>Temperate seasonal</v>
      </c>
      <c r="BC938" s="22" t="str">
        <f>IF(AND('[1]observations-276632'!W938&gt;'[1]Methods write-up'!$Q$21,'[1]observations-276632'!W938&lt;'[1]Methods write-up'!$R$21,'[1]observations-276632'!X938&gt;'[1]Methods write-up'!$S$21,'[1]observations-276632'!X938&lt;'[1]Methods write-up'!$T$21),"Desert and high aridity","")</f>
        <v/>
      </c>
      <c r="BD938" s="23" t="str">
        <f t="shared" si="64"/>
        <v>Temperate seasonal</v>
      </c>
      <c r="BE938" s="24">
        <f t="shared" si="62"/>
        <v>27</v>
      </c>
      <c r="BF938" s="24">
        <f t="shared" si="63"/>
        <v>2</v>
      </c>
    </row>
    <row r="939" spans="1:58" ht="16.25" customHeight="1" x14ac:dyDescent="0.2">
      <c r="A939">
        <v>107951358</v>
      </c>
      <c r="B939" s="25">
        <v>44625.525694444441</v>
      </c>
      <c r="C939" s="14">
        <v>44625</v>
      </c>
      <c r="D939" t="s">
        <v>6999</v>
      </c>
      <c r="E939" t="s">
        <v>1408</v>
      </c>
      <c r="F939">
        <v>2878482</v>
      </c>
      <c r="G939" t="s">
        <v>7000</v>
      </c>
      <c r="H939" t="s">
        <v>7001</v>
      </c>
      <c r="I939" t="s">
        <v>7002</v>
      </c>
      <c r="J939" t="s">
        <v>7003</v>
      </c>
      <c r="K939" t="s">
        <v>62</v>
      </c>
      <c r="M939" t="s">
        <v>7004</v>
      </c>
      <c r="N939" t="s">
        <v>7005</v>
      </c>
      <c r="R939">
        <v>2</v>
      </c>
      <c r="S939">
        <v>0</v>
      </c>
      <c r="T939" t="b">
        <v>0</v>
      </c>
      <c r="U939">
        <v>2</v>
      </c>
      <c r="V939" t="s">
        <v>7006</v>
      </c>
      <c r="W939" s="15">
        <v>13.420802950000001</v>
      </c>
      <c r="X939" s="15">
        <v>-16.736829019999998</v>
      </c>
      <c r="Y939">
        <v>2110</v>
      </c>
      <c r="AC939">
        <v>2110</v>
      </c>
      <c r="AF939" t="b">
        <v>0</v>
      </c>
      <c r="AG939" t="s">
        <v>350</v>
      </c>
      <c r="AH939" t="s">
        <v>350</v>
      </c>
      <c r="AI939" t="s">
        <v>71</v>
      </c>
      <c r="AJ939" t="s">
        <v>70</v>
      </c>
      <c r="AK939" t="s">
        <v>71</v>
      </c>
      <c r="AL939" t="s">
        <v>72</v>
      </c>
      <c r="AM939">
        <v>346053</v>
      </c>
      <c r="AO939" s="16" t="s">
        <v>73</v>
      </c>
      <c r="AP939" s="17" t="str">
        <f t="shared" si="66"/>
        <v>Off-nest female</v>
      </c>
      <c r="AX939" s="22" t="str">
        <f>IF(AND('[1]observations-276632'!W939&gt;'[1]Methods write-up'!$Q$16,'[1]observations-276632'!W939&lt;'[1]Methods write-up'!$R$16,'[1]observations-276632'!X939&gt;'[1]Methods write-up'!$S$16,'[1]observations-276632'!X939&lt;'[1]Methods write-up'!$T$16),"West and Central Africa","")</f>
        <v/>
      </c>
      <c r="AY939" s="22" t="str">
        <f>IF(AND('[1]observations-276632'!W939&gt;'[1]Methods write-up'!$Q$17,'[1]observations-276632'!W939&lt;'[1]Methods write-up'!$R$17,'[1]observations-276632'!X939&gt;'[1]Methods write-up'!$S$17,'[1]observations-276632'!X939&lt;'[1]Methods write-up'!$T$17),"Equatorial tropical forest","")</f>
        <v/>
      </c>
      <c r="AZ939" s="22" t="str">
        <f>IF(AND('[1]observations-276632'!W939&gt;'[1]Methods write-up'!$Q$18,'[1]observations-276632'!W939&lt;'[1]Methods write-up'!$R$18,'[1]observations-276632'!X939&gt;'[1]Methods write-up'!$S$18,'[1]observations-276632'!X939&lt;'[1]Methods write-up'!$T$18),"Somali peninsula","")</f>
        <v/>
      </c>
      <c r="BA939" s="22" t="str">
        <f>IF(AND('[1]observations-276632'!W939&gt;'[1]Methods write-up'!$Q$19,'[1]observations-276632'!W939&lt;'[1]Methods write-up'!$R$19,'[1]observations-276632'!X939&gt;'[1]Methods write-up'!$S$19,'[1]observations-276632'!X939&lt;'[1]Methods write-up'!$T$19),"East Africa","")</f>
        <v/>
      </c>
      <c r="BB939" s="22" t="str">
        <f>IF(AND('[1]observations-276632'!W939&gt;'[1]Methods write-up'!$Q$20,'[1]observations-276632'!W939&lt;'[1]Methods write-up'!$R$20,'[1]observations-276632'!X939&gt;'[1]Methods write-up'!$S$20,'[1]observations-276632'!X939&lt;'[1]Methods write-up'!$T$20),"Temperate seasonal","")</f>
        <v/>
      </c>
      <c r="BC939" s="22" t="str">
        <f>IF(AND('[1]observations-276632'!W939&gt;'[1]Methods write-up'!$Q$21,'[1]observations-276632'!W939&lt;'[1]Methods write-up'!$R$21,'[1]observations-276632'!X939&gt;'[1]Methods write-up'!$S$21,'[1]observations-276632'!X939&lt;'[1]Methods write-up'!$T$21),"Desert and high aridity","")</f>
        <v/>
      </c>
      <c r="BD939" s="23" t="str">
        <f t="shared" si="64"/>
        <v/>
      </c>
      <c r="BE939" s="24">
        <f t="shared" si="62"/>
        <v>5</v>
      </c>
      <c r="BF939" s="24">
        <f t="shared" si="63"/>
        <v>3</v>
      </c>
    </row>
    <row r="940" spans="1:58" ht="16.25" customHeight="1" x14ac:dyDescent="0.2">
      <c r="A940">
        <v>108182693</v>
      </c>
      <c r="B940" t="s">
        <v>7007</v>
      </c>
      <c r="C940" s="14">
        <v>44628</v>
      </c>
      <c r="D940" t="s">
        <v>7008</v>
      </c>
      <c r="E940" t="s">
        <v>6201</v>
      </c>
      <c r="F940">
        <v>1522502</v>
      </c>
      <c r="G940" t="s">
        <v>7009</v>
      </c>
      <c r="I940" t="s">
        <v>7010</v>
      </c>
      <c r="J940" t="s">
        <v>7011</v>
      </c>
      <c r="K940" t="s">
        <v>62</v>
      </c>
      <c r="L940" t="s">
        <v>63</v>
      </c>
      <c r="M940" t="s">
        <v>7012</v>
      </c>
      <c r="N940" t="s">
        <v>7013</v>
      </c>
      <c r="Q940" t="s">
        <v>7014</v>
      </c>
      <c r="R940">
        <v>2</v>
      </c>
      <c r="S940">
        <v>0</v>
      </c>
      <c r="T940" t="b">
        <v>0</v>
      </c>
      <c r="U940">
        <v>3</v>
      </c>
      <c r="V940" t="s">
        <v>7015</v>
      </c>
      <c r="W940" s="15">
        <v>-25.74915742</v>
      </c>
      <c r="X940" s="15">
        <v>28.100163429999998</v>
      </c>
      <c r="Y940">
        <v>634</v>
      </c>
      <c r="AC940">
        <v>634</v>
      </c>
      <c r="AF940" t="b">
        <v>0</v>
      </c>
      <c r="AI940" t="s">
        <v>71</v>
      </c>
      <c r="AJ940" t="s">
        <v>70</v>
      </c>
      <c r="AK940" t="s">
        <v>71</v>
      </c>
      <c r="AL940" t="s">
        <v>72</v>
      </c>
      <c r="AM940">
        <v>346053</v>
      </c>
      <c r="AO940" s="16" t="s">
        <v>140</v>
      </c>
      <c r="AP940" s="17" t="str">
        <f t="shared" si="66"/>
        <v>Post-emergence nest</v>
      </c>
      <c r="AQ940" s="18">
        <v>14</v>
      </c>
      <c r="AT940" s="19" t="s">
        <v>141</v>
      </c>
      <c r="AU940" s="20" t="s">
        <v>315</v>
      </c>
      <c r="AV940" s="21" t="s">
        <v>7016</v>
      </c>
      <c r="AX940" s="22" t="str">
        <f>IF(AND('[1]observations-276632'!W940&gt;'[1]Methods write-up'!$Q$16,'[1]observations-276632'!W940&lt;'[1]Methods write-up'!$R$16,'[1]observations-276632'!X940&gt;'[1]Methods write-up'!$S$16,'[1]observations-276632'!X940&lt;'[1]Methods write-up'!$T$16),"West and Central Africa","")</f>
        <v/>
      </c>
      <c r="AY940" s="22" t="str">
        <f>IF(AND('[1]observations-276632'!W940&gt;'[1]Methods write-up'!$Q$17,'[1]observations-276632'!W940&lt;'[1]Methods write-up'!$R$17,'[1]observations-276632'!X940&gt;'[1]Methods write-up'!$S$17,'[1]observations-276632'!X940&lt;'[1]Methods write-up'!$T$17),"Equatorial tropical forest","")</f>
        <v/>
      </c>
      <c r="AZ940" s="22" t="str">
        <f>IF(AND('[1]observations-276632'!W940&gt;'[1]Methods write-up'!$Q$18,'[1]observations-276632'!W940&lt;'[1]Methods write-up'!$R$18,'[1]observations-276632'!X940&gt;'[1]Methods write-up'!$S$18,'[1]observations-276632'!X940&lt;'[1]Methods write-up'!$T$18),"Somali peninsula","")</f>
        <v/>
      </c>
      <c r="BA940" s="22" t="str">
        <f>IF(AND('[1]observations-276632'!W940&gt;'[1]Methods write-up'!$Q$19,'[1]observations-276632'!W940&lt;'[1]Methods write-up'!$R$19,'[1]observations-276632'!X940&gt;'[1]Methods write-up'!$S$19,'[1]observations-276632'!X940&lt;'[1]Methods write-up'!$T$19),"East Africa","")</f>
        <v/>
      </c>
      <c r="BB940" s="22" t="str">
        <f>IF(AND('[1]observations-276632'!W940&gt;'[1]Methods write-up'!$Q$20,'[1]observations-276632'!W940&lt;'[1]Methods write-up'!$R$20,'[1]observations-276632'!X940&gt;'[1]Methods write-up'!$S$20,'[1]observations-276632'!X940&lt;'[1]Methods write-up'!$T$20),"Temperate seasonal","")</f>
        <v>Temperate seasonal</v>
      </c>
      <c r="BC940" s="22" t="str">
        <f>IF(AND('[1]observations-276632'!W940&gt;'[1]Methods write-up'!$Q$21,'[1]observations-276632'!W940&lt;'[1]Methods write-up'!$R$21,'[1]observations-276632'!X940&gt;'[1]Methods write-up'!$S$21,'[1]observations-276632'!X940&lt;'[1]Methods write-up'!$T$21),"Desert and high aridity","")</f>
        <v/>
      </c>
      <c r="BD940" s="23" t="str">
        <f t="shared" si="64"/>
        <v>Temperate seasonal</v>
      </c>
      <c r="BE940" s="24">
        <f t="shared" si="62"/>
        <v>8</v>
      </c>
      <c r="BF940" s="24">
        <f t="shared" si="63"/>
        <v>3</v>
      </c>
    </row>
    <row r="941" spans="1:58" ht="16.25" customHeight="1" x14ac:dyDescent="0.2">
      <c r="A941">
        <v>108293441</v>
      </c>
      <c r="B941" s="25">
        <v>44629.606249999997</v>
      </c>
      <c r="C941" s="14">
        <v>44629</v>
      </c>
      <c r="D941" t="s">
        <v>7017</v>
      </c>
      <c r="E941" t="s">
        <v>74</v>
      </c>
      <c r="F941">
        <v>3683633</v>
      </c>
      <c r="G941" t="s">
        <v>4988</v>
      </c>
      <c r="H941" t="s">
        <v>4989</v>
      </c>
      <c r="I941" t="s">
        <v>7018</v>
      </c>
      <c r="J941" t="s">
        <v>7019</v>
      </c>
      <c r="K941" t="s">
        <v>62</v>
      </c>
      <c r="L941" t="s">
        <v>63</v>
      </c>
      <c r="M941" t="s">
        <v>7020</v>
      </c>
      <c r="N941" t="s">
        <v>7021</v>
      </c>
      <c r="R941">
        <v>3</v>
      </c>
      <c r="S941">
        <v>0</v>
      </c>
      <c r="T941" t="b">
        <v>0</v>
      </c>
      <c r="U941">
        <v>2</v>
      </c>
      <c r="V941" t="s">
        <v>7022</v>
      </c>
      <c r="W941" s="15">
        <v>-17.837537189999999</v>
      </c>
      <c r="X941" s="15">
        <v>31.088837120000001</v>
      </c>
      <c r="Y941">
        <v>6</v>
      </c>
      <c r="AC941">
        <v>6</v>
      </c>
      <c r="AF941" t="b">
        <v>0</v>
      </c>
      <c r="AI941" t="s">
        <v>71</v>
      </c>
      <c r="AJ941" t="s">
        <v>70</v>
      </c>
      <c r="AK941" t="s">
        <v>71</v>
      </c>
      <c r="AL941" t="s">
        <v>72</v>
      </c>
      <c r="AM941">
        <v>346053</v>
      </c>
      <c r="AO941" s="16" t="s">
        <v>140</v>
      </c>
      <c r="AP941" s="17" t="str">
        <f t="shared" si="66"/>
        <v>Post-emergence nest</v>
      </c>
      <c r="AQ941" s="18">
        <v>5</v>
      </c>
      <c r="AT941" s="19" t="s">
        <v>141</v>
      </c>
      <c r="AU941" s="20" t="s">
        <v>104</v>
      </c>
      <c r="AV941" s="21" t="s">
        <v>7023</v>
      </c>
      <c r="AX941" s="22" t="str">
        <f>IF(AND('[1]observations-276632'!W941&gt;'[1]Methods write-up'!$Q$16,'[1]observations-276632'!W941&lt;'[1]Methods write-up'!$R$16,'[1]observations-276632'!X941&gt;'[1]Methods write-up'!$S$16,'[1]observations-276632'!X941&lt;'[1]Methods write-up'!$T$16),"West and Central Africa","")</f>
        <v/>
      </c>
      <c r="AY941" s="22" t="str">
        <f>IF(AND('[1]observations-276632'!W941&gt;'[1]Methods write-up'!$Q$17,'[1]observations-276632'!W941&lt;'[1]Methods write-up'!$R$17,'[1]observations-276632'!X941&gt;'[1]Methods write-up'!$S$17,'[1]observations-276632'!X941&lt;'[1]Methods write-up'!$T$17),"Equatorial tropical forest","")</f>
        <v/>
      </c>
      <c r="AZ941" s="22" t="str">
        <f>IF(AND('[1]observations-276632'!W941&gt;'[1]Methods write-up'!$Q$18,'[1]observations-276632'!W941&lt;'[1]Methods write-up'!$R$18,'[1]observations-276632'!X941&gt;'[1]Methods write-up'!$S$18,'[1]observations-276632'!X941&lt;'[1]Methods write-up'!$T$18),"Somali peninsula","")</f>
        <v/>
      </c>
      <c r="BA941" s="22" t="str">
        <f>IF(AND('[1]observations-276632'!W941&gt;'[1]Methods write-up'!$Q$19,'[1]observations-276632'!W941&lt;'[1]Methods write-up'!$R$19,'[1]observations-276632'!X941&gt;'[1]Methods write-up'!$S$19,'[1]observations-276632'!X941&lt;'[1]Methods write-up'!$T$19),"East Africa","")</f>
        <v/>
      </c>
      <c r="BB941" s="22" t="str">
        <f>IF(AND('[1]observations-276632'!W941&gt;'[1]Methods write-up'!$Q$20,'[1]observations-276632'!W941&lt;'[1]Methods write-up'!$R$20,'[1]observations-276632'!X941&gt;'[1]Methods write-up'!$S$20,'[1]observations-276632'!X941&lt;'[1]Methods write-up'!$T$20),"Temperate seasonal","")</f>
        <v/>
      </c>
      <c r="BC941" s="22" t="str">
        <f>IF(AND('[1]observations-276632'!W941&gt;'[1]Methods write-up'!$Q$21,'[1]observations-276632'!W941&lt;'[1]Methods write-up'!$R$21,'[1]observations-276632'!X941&gt;'[1]Methods write-up'!$S$21,'[1]observations-276632'!X941&lt;'[1]Methods write-up'!$T$21),"Desert and high aridity","")</f>
        <v/>
      </c>
      <c r="BD941" s="23" t="str">
        <f t="shared" si="64"/>
        <v/>
      </c>
      <c r="BE941" s="24">
        <f t="shared" si="62"/>
        <v>9</v>
      </c>
      <c r="BF941" s="24">
        <f t="shared" si="63"/>
        <v>3</v>
      </c>
    </row>
    <row r="942" spans="1:58" ht="16.25" customHeight="1" x14ac:dyDescent="0.2">
      <c r="A942">
        <v>108410372</v>
      </c>
      <c r="B942" s="25">
        <v>44604.625</v>
      </c>
      <c r="C942" s="14">
        <v>44604</v>
      </c>
      <c r="D942" t="s">
        <v>7024</v>
      </c>
      <c r="E942" t="s">
        <v>113</v>
      </c>
      <c r="F942">
        <v>774784</v>
      </c>
      <c r="G942" t="s">
        <v>1516</v>
      </c>
      <c r="I942" t="s">
        <v>7025</v>
      </c>
      <c r="J942" t="s">
        <v>7026</v>
      </c>
      <c r="K942" t="s">
        <v>62</v>
      </c>
      <c r="L942" t="s">
        <v>63</v>
      </c>
      <c r="M942" t="s">
        <v>7027</v>
      </c>
      <c r="N942" t="s">
        <v>7028</v>
      </c>
      <c r="Q942" t="s">
        <v>7029</v>
      </c>
      <c r="R942">
        <v>2</v>
      </c>
      <c r="S942">
        <v>0</v>
      </c>
      <c r="T942" t="b">
        <v>0</v>
      </c>
      <c r="U942">
        <v>2</v>
      </c>
      <c r="V942" t="s">
        <v>7030</v>
      </c>
      <c r="W942" s="15">
        <v>-28.383296340000001</v>
      </c>
      <c r="X942" s="15">
        <v>32.411597819999997</v>
      </c>
      <c r="Y942">
        <v>37</v>
      </c>
      <c r="AC942">
        <v>37</v>
      </c>
      <c r="AF942" t="b">
        <v>0</v>
      </c>
      <c r="AG942" t="s">
        <v>350</v>
      </c>
      <c r="AH942" t="s">
        <v>350</v>
      </c>
      <c r="AI942" t="s">
        <v>71</v>
      </c>
      <c r="AJ942" t="s">
        <v>70</v>
      </c>
      <c r="AK942" t="s">
        <v>71</v>
      </c>
      <c r="AL942" t="s">
        <v>72</v>
      </c>
      <c r="AM942">
        <v>346053</v>
      </c>
      <c r="AO942" s="16" t="s">
        <v>140</v>
      </c>
      <c r="AP942" s="17" t="str">
        <f t="shared" si="66"/>
        <v>Post-emergence nest</v>
      </c>
      <c r="AQ942" s="18">
        <v>7</v>
      </c>
      <c r="AT942" s="19" t="s">
        <v>141</v>
      </c>
      <c r="AU942" s="20" t="s">
        <v>104</v>
      </c>
      <c r="AX942" s="22" t="str">
        <f>IF(AND('[1]observations-276632'!W942&gt;'[1]Methods write-up'!$Q$16,'[1]observations-276632'!W942&lt;'[1]Methods write-up'!$R$16,'[1]observations-276632'!X942&gt;'[1]Methods write-up'!$S$16,'[1]observations-276632'!X942&lt;'[1]Methods write-up'!$T$16),"West and Central Africa","")</f>
        <v/>
      </c>
      <c r="AY942" s="22" t="str">
        <f>IF(AND('[1]observations-276632'!W942&gt;'[1]Methods write-up'!$Q$17,'[1]observations-276632'!W942&lt;'[1]Methods write-up'!$R$17,'[1]observations-276632'!X942&gt;'[1]Methods write-up'!$S$17,'[1]observations-276632'!X942&lt;'[1]Methods write-up'!$T$17),"Equatorial tropical forest","")</f>
        <v/>
      </c>
      <c r="AZ942" s="22" t="str">
        <f>IF(AND('[1]observations-276632'!W942&gt;'[1]Methods write-up'!$Q$18,'[1]observations-276632'!W942&lt;'[1]Methods write-up'!$R$18,'[1]observations-276632'!X942&gt;'[1]Methods write-up'!$S$18,'[1]observations-276632'!X942&lt;'[1]Methods write-up'!$T$18),"Somali peninsula","")</f>
        <v/>
      </c>
      <c r="BA942" s="22" t="str">
        <f>IF(AND('[1]observations-276632'!W942&gt;'[1]Methods write-up'!$Q$19,'[1]observations-276632'!W942&lt;'[1]Methods write-up'!$R$19,'[1]observations-276632'!X942&gt;'[1]Methods write-up'!$S$19,'[1]observations-276632'!X942&lt;'[1]Methods write-up'!$T$19),"East Africa","")</f>
        <v/>
      </c>
      <c r="BB942" s="22" t="str">
        <f>IF(AND('[1]observations-276632'!W942&gt;'[1]Methods write-up'!$Q$20,'[1]observations-276632'!W942&lt;'[1]Methods write-up'!$R$20,'[1]observations-276632'!X942&gt;'[1]Methods write-up'!$S$20,'[1]observations-276632'!X942&lt;'[1]Methods write-up'!$T$20),"Temperate seasonal","")</f>
        <v>Temperate seasonal</v>
      </c>
      <c r="BC942" s="22" t="str">
        <f>IF(AND('[1]observations-276632'!W942&gt;'[1]Methods write-up'!$Q$21,'[1]observations-276632'!W942&lt;'[1]Methods write-up'!$R$21,'[1]observations-276632'!X942&gt;'[1]Methods write-up'!$S$21,'[1]observations-276632'!X942&lt;'[1]Methods write-up'!$T$21),"Desert and high aridity","")</f>
        <v/>
      </c>
      <c r="BD942" s="23" t="str">
        <f t="shared" si="64"/>
        <v>Temperate seasonal</v>
      </c>
      <c r="BE942" s="24">
        <f t="shared" si="62"/>
        <v>12</v>
      </c>
      <c r="BF942" s="24">
        <f t="shared" si="63"/>
        <v>2</v>
      </c>
    </row>
    <row r="943" spans="1:58" ht="16.25" customHeight="1" x14ac:dyDescent="0.2">
      <c r="A943">
        <v>108502516</v>
      </c>
      <c r="B943" t="s">
        <v>7031</v>
      </c>
      <c r="C943" s="14">
        <v>44633</v>
      </c>
      <c r="D943" t="s">
        <v>7032</v>
      </c>
      <c r="E943" t="s">
        <v>6201</v>
      </c>
      <c r="F943">
        <v>2859268</v>
      </c>
      <c r="G943" t="s">
        <v>7033</v>
      </c>
      <c r="I943" t="s">
        <v>7034</v>
      </c>
      <c r="J943" t="s">
        <v>7035</v>
      </c>
      <c r="K943" t="s">
        <v>62</v>
      </c>
      <c r="L943" t="s">
        <v>63</v>
      </c>
      <c r="M943" t="s">
        <v>7036</v>
      </c>
      <c r="N943" t="s">
        <v>7037</v>
      </c>
      <c r="R943">
        <v>3</v>
      </c>
      <c r="S943">
        <v>0</v>
      </c>
      <c r="T943" t="b">
        <v>0</v>
      </c>
      <c r="U943">
        <v>3</v>
      </c>
      <c r="V943" t="s">
        <v>7038</v>
      </c>
      <c r="W943" s="15">
        <v>-33.970266279999997</v>
      </c>
      <c r="X943" s="15">
        <v>18.449469140000001</v>
      </c>
      <c r="Y943">
        <v>44</v>
      </c>
      <c r="AC943">
        <v>44</v>
      </c>
      <c r="AF943" t="b">
        <v>0</v>
      </c>
      <c r="AI943" t="s">
        <v>71</v>
      </c>
      <c r="AJ943" t="s">
        <v>70</v>
      </c>
      <c r="AK943" t="s">
        <v>71</v>
      </c>
      <c r="AL943" t="s">
        <v>72</v>
      </c>
      <c r="AM943">
        <v>346053</v>
      </c>
      <c r="AO943" s="16" t="s">
        <v>140</v>
      </c>
      <c r="AP943" s="17" t="str">
        <f t="shared" si="66"/>
        <v>Post-emergence nest</v>
      </c>
      <c r="AQ943" s="18">
        <v>5</v>
      </c>
      <c r="AT943" s="19" t="s">
        <v>141</v>
      </c>
      <c r="AU943" s="20" t="s">
        <v>141</v>
      </c>
      <c r="AX943" s="22" t="str">
        <f>IF(AND('[1]observations-276632'!W943&gt;'[1]Methods write-up'!$Q$16,'[1]observations-276632'!W943&lt;'[1]Methods write-up'!$R$16,'[1]observations-276632'!X943&gt;'[1]Methods write-up'!$S$16,'[1]observations-276632'!X943&lt;'[1]Methods write-up'!$T$16),"West and Central Africa","")</f>
        <v/>
      </c>
      <c r="AY943" s="22" t="str">
        <f>IF(AND('[1]observations-276632'!W943&gt;'[1]Methods write-up'!$Q$17,'[1]observations-276632'!W943&lt;'[1]Methods write-up'!$R$17,'[1]observations-276632'!X943&gt;'[1]Methods write-up'!$S$17,'[1]observations-276632'!X943&lt;'[1]Methods write-up'!$T$17),"Equatorial tropical forest","")</f>
        <v/>
      </c>
      <c r="AZ943" s="22" t="str">
        <f>IF(AND('[1]observations-276632'!W943&gt;'[1]Methods write-up'!$Q$18,'[1]observations-276632'!W943&lt;'[1]Methods write-up'!$R$18,'[1]observations-276632'!X943&gt;'[1]Methods write-up'!$S$18,'[1]observations-276632'!X943&lt;'[1]Methods write-up'!$T$18),"Somali peninsula","")</f>
        <v/>
      </c>
      <c r="BA943" s="22" t="str">
        <f>IF(AND('[1]observations-276632'!W943&gt;'[1]Methods write-up'!$Q$19,'[1]observations-276632'!W943&lt;'[1]Methods write-up'!$R$19,'[1]observations-276632'!X943&gt;'[1]Methods write-up'!$S$19,'[1]observations-276632'!X943&lt;'[1]Methods write-up'!$T$19),"East Africa","")</f>
        <v/>
      </c>
      <c r="BB943" s="22" t="str">
        <f>IF(AND('[1]observations-276632'!W943&gt;'[1]Methods write-up'!$Q$20,'[1]observations-276632'!W943&lt;'[1]Methods write-up'!$R$20,'[1]observations-276632'!X943&gt;'[1]Methods write-up'!$S$20,'[1]observations-276632'!X943&lt;'[1]Methods write-up'!$T$20),"Temperate seasonal","")</f>
        <v/>
      </c>
      <c r="BC943" s="22" t="str">
        <f>IF(AND('[1]observations-276632'!W943&gt;'[1]Methods write-up'!$Q$21,'[1]observations-276632'!W943&lt;'[1]Methods write-up'!$R$21,'[1]observations-276632'!X943&gt;'[1]Methods write-up'!$S$21,'[1]observations-276632'!X943&lt;'[1]Methods write-up'!$T$21),"Desert and high aridity","")</f>
        <v/>
      </c>
      <c r="BD943" s="23" t="str">
        <f t="shared" si="64"/>
        <v/>
      </c>
      <c r="BE943" s="24">
        <f t="shared" si="62"/>
        <v>13</v>
      </c>
      <c r="BF943" s="24">
        <f t="shared" si="63"/>
        <v>3</v>
      </c>
    </row>
    <row r="944" spans="1:58" ht="16.25" customHeight="1" x14ac:dyDescent="0.2">
      <c r="A944">
        <v>108508368</v>
      </c>
      <c r="B944" t="s">
        <v>7039</v>
      </c>
      <c r="C944" s="14">
        <v>44512</v>
      </c>
      <c r="D944" t="s">
        <v>7040</v>
      </c>
      <c r="E944" t="s">
        <v>243</v>
      </c>
      <c r="F944">
        <v>1383652</v>
      </c>
      <c r="G944" t="s">
        <v>1633</v>
      </c>
      <c r="H944" t="s">
        <v>1634</v>
      </c>
      <c r="I944" t="s">
        <v>7041</v>
      </c>
      <c r="J944" t="s">
        <v>7042</v>
      </c>
      <c r="K944" t="s">
        <v>62</v>
      </c>
      <c r="L944" t="s">
        <v>63</v>
      </c>
      <c r="M944" t="s">
        <v>7043</v>
      </c>
      <c r="N944" t="s">
        <v>7044</v>
      </c>
      <c r="R944">
        <v>1</v>
      </c>
      <c r="S944">
        <v>0</v>
      </c>
      <c r="T944" t="b">
        <v>0</v>
      </c>
      <c r="V944" t="s">
        <v>2918</v>
      </c>
      <c r="W944" s="15">
        <v>-1.93234646</v>
      </c>
      <c r="X944" s="15">
        <v>30.05130278</v>
      </c>
      <c r="Y944">
        <v>1953</v>
      </c>
      <c r="AC944">
        <v>1953</v>
      </c>
      <c r="AF944" t="b">
        <v>0</v>
      </c>
      <c r="AI944" t="s">
        <v>71</v>
      </c>
      <c r="AJ944" t="s">
        <v>70</v>
      </c>
      <c r="AK944" t="s">
        <v>71</v>
      </c>
      <c r="AL944" t="s">
        <v>72</v>
      </c>
      <c r="AM944">
        <v>346053</v>
      </c>
      <c r="AO944" s="16" t="s">
        <v>73</v>
      </c>
      <c r="AP944" s="17" t="str">
        <f t="shared" si="66"/>
        <v>Off-nest female</v>
      </c>
      <c r="AX944" s="22" t="str">
        <f>IF(AND('[1]observations-276632'!W944&gt;'[1]Methods write-up'!$Q$16,'[1]observations-276632'!W944&lt;'[1]Methods write-up'!$R$16,'[1]observations-276632'!X944&gt;'[1]Methods write-up'!$S$16,'[1]observations-276632'!X944&lt;'[1]Methods write-up'!$T$16),"West and Central Africa","")</f>
        <v>West and Central Africa</v>
      </c>
      <c r="AY944" s="22" t="str">
        <f>IF(AND('[1]observations-276632'!W944&gt;'[1]Methods write-up'!$Q$17,'[1]observations-276632'!W944&lt;'[1]Methods write-up'!$R$17,'[1]observations-276632'!X944&gt;'[1]Methods write-up'!$S$17,'[1]observations-276632'!X944&lt;'[1]Methods write-up'!$T$17),"Equatorial tropical forest","")</f>
        <v/>
      </c>
      <c r="AZ944" s="22" t="str">
        <f>IF(AND('[1]observations-276632'!W944&gt;'[1]Methods write-up'!$Q$18,'[1]observations-276632'!W944&lt;'[1]Methods write-up'!$R$18,'[1]observations-276632'!X944&gt;'[1]Methods write-up'!$S$18,'[1]observations-276632'!X944&lt;'[1]Methods write-up'!$T$18),"Somali peninsula","")</f>
        <v/>
      </c>
      <c r="BA944" s="22" t="str">
        <f>IF(AND('[1]observations-276632'!W944&gt;'[1]Methods write-up'!$Q$19,'[1]observations-276632'!W944&lt;'[1]Methods write-up'!$R$19,'[1]observations-276632'!X944&gt;'[1]Methods write-up'!$S$19,'[1]observations-276632'!X944&lt;'[1]Methods write-up'!$T$19),"East Africa","")</f>
        <v/>
      </c>
      <c r="BB944" s="22" t="str">
        <f>IF(AND('[1]observations-276632'!W944&gt;'[1]Methods write-up'!$Q$20,'[1]observations-276632'!W944&lt;'[1]Methods write-up'!$R$20,'[1]observations-276632'!X944&gt;'[1]Methods write-up'!$S$20,'[1]observations-276632'!X944&lt;'[1]Methods write-up'!$T$20),"Temperate seasonal","")</f>
        <v/>
      </c>
      <c r="BC944" s="22" t="str">
        <f>IF(AND('[1]observations-276632'!W944&gt;'[1]Methods write-up'!$Q$21,'[1]observations-276632'!W944&lt;'[1]Methods write-up'!$R$21,'[1]observations-276632'!X944&gt;'[1]Methods write-up'!$S$21,'[1]observations-276632'!X944&lt;'[1]Methods write-up'!$T$21),"Desert and high aridity","")</f>
        <v/>
      </c>
      <c r="BD944" s="23" t="str">
        <f t="shared" si="64"/>
        <v>West and Central Africa</v>
      </c>
      <c r="BE944" s="24">
        <f t="shared" si="62"/>
        <v>12</v>
      </c>
      <c r="BF944" s="24">
        <f t="shared" si="63"/>
        <v>11</v>
      </c>
    </row>
    <row r="945" spans="1:58" ht="16.25" customHeight="1" x14ac:dyDescent="0.2">
      <c r="A945">
        <v>108517206</v>
      </c>
      <c r="B945" t="s">
        <v>7045</v>
      </c>
      <c r="C945" s="14">
        <v>43639</v>
      </c>
      <c r="D945" t="s">
        <v>7046</v>
      </c>
      <c r="E945" t="s">
        <v>1988</v>
      </c>
      <c r="F945">
        <v>2666628</v>
      </c>
      <c r="G945" t="s">
        <v>7047</v>
      </c>
      <c r="H945" t="s">
        <v>7048</v>
      </c>
      <c r="I945" t="s">
        <v>7049</v>
      </c>
      <c r="J945" t="s">
        <v>7050</v>
      </c>
      <c r="K945" t="s">
        <v>62</v>
      </c>
      <c r="L945" t="s">
        <v>63</v>
      </c>
      <c r="M945" t="s">
        <v>7051</v>
      </c>
      <c r="N945" t="s">
        <v>7052</v>
      </c>
      <c r="R945">
        <v>1</v>
      </c>
      <c r="S945">
        <v>0</v>
      </c>
      <c r="T945" t="b">
        <v>0</v>
      </c>
      <c r="V945" t="s">
        <v>7053</v>
      </c>
      <c r="W945" s="15">
        <v>0.29359039100000001</v>
      </c>
      <c r="X945" s="15">
        <v>36.90001883</v>
      </c>
      <c r="Y945">
        <v>304</v>
      </c>
      <c r="AC945">
        <v>304</v>
      </c>
      <c r="AF945" t="b">
        <v>0</v>
      </c>
      <c r="AI945" t="s">
        <v>71</v>
      </c>
      <c r="AJ945" t="s">
        <v>70</v>
      </c>
      <c r="AK945" t="s">
        <v>71</v>
      </c>
      <c r="AL945" t="s">
        <v>72</v>
      </c>
      <c r="AM945">
        <v>346053</v>
      </c>
      <c r="AO945" s="16" t="s">
        <v>1574</v>
      </c>
      <c r="AP945" s="17" t="str">
        <f t="shared" si="66"/>
        <v>Nest (foundress)</v>
      </c>
      <c r="AQ945" s="18">
        <v>2</v>
      </c>
      <c r="AT945" s="19" t="s">
        <v>141</v>
      </c>
      <c r="AX945" s="22" t="str">
        <f>IF(AND('[1]observations-276632'!W945&gt;'[1]Methods write-up'!$Q$16,'[1]observations-276632'!W945&lt;'[1]Methods write-up'!$R$16,'[1]observations-276632'!X945&gt;'[1]Methods write-up'!$S$16,'[1]observations-276632'!X945&lt;'[1]Methods write-up'!$T$16),"West and Central Africa","")</f>
        <v/>
      </c>
      <c r="AY945" s="22" t="str">
        <f>IF(AND('[1]observations-276632'!W945&gt;'[1]Methods write-up'!$Q$17,'[1]observations-276632'!W945&lt;'[1]Methods write-up'!$R$17,'[1]observations-276632'!X945&gt;'[1]Methods write-up'!$S$17,'[1]observations-276632'!X945&lt;'[1]Methods write-up'!$T$17),"Equatorial tropical forest","")</f>
        <v/>
      </c>
      <c r="AZ945" s="22" t="str">
        <f>IF(AND('[1]observations-276632'!W945&gt;'[1]Methods write-up'!$Q$18,'[1]observations-276632'!W945&lt;'[1]Methods write-up'!$R$18,'[1]observations-276632'!X945&gt;'[1]Methods write-up'!$S$18,'[1]observations-276632'!X945&lt;'[1]Methods write-up'!$T$18),"Somali peninsula","")</f>
        <v/>
      </c>
      <c r="BA945" s="22" t="str">
        <f>IF(AND('[1]observations-276632'!W945&gt;'[1]Methods write-up'!$Q$19,'[1]observations-276632'!W945&lt;'[1]Methods write-up'!$R$19,'[1]observations-276632'!X945&gt;'[1]Methods write-up'!$S$19,'[1]observations-276632'!X945&lt;'[1]Methods write-up'!$T$19),"East Africa","")</f>
        <v>East Africa</v>
      </c>
      <c r="BB945" s="22" t="str">
        <f>IF(AND('[1]observations-276632'!W945&gt;'[1]Methods write-up'!$Q$20,'[1]observations-276632'!W945&lt;'[1]Methods write-up'!$R$20,'[1]observations-276632'!X945&gt;'[1]Methods write-up'!$S$20,'[1]observations-276632'!X945&lt;'[1]Methods write-up'!$T$20),"Temperate seasonal","")</f>
        <v/>
      </c>
      <c r="BC945" s="22" t="str">
        <f>IF(AND('[1]observations-276632'!W945&gt;'[1]Methods write-up'!$Q$21,'[1]observations-276632'!W945&lt;'[1]Methods write-up'!$R$21,'[1]observations-276632'!X945&gt;'[1]Methods write-up'!$S$21,'[1]observations-276632'!X945&lt;'[1]Methods write-up'!$T$21),"Desert and high aridity","")</f>
        <v/>
      </c>
      <c r="BD945" s="23" t="str">
        <f t="shared" si="64"/>
        <v>East Africa</v>
      </c>
      <c r="BE945" s="24">
        <f t="shared" si="62"/>
        <v>23</v>
      </c>
      <c r="BF945" s="24">
        <f t="shared" si="63"/>
        <v>6</v>
      </c>
    </row>
    <row r="946" spans="1:58" ht="16.25" customHeight="1" x14ac:dyDescent="0.2">
      <c r="A946">
        <v>108528839</v>
      </c>
      <c r="B946" t="s">
        <v>7054</v>
      </c>
      <c r="C946" s="14">
        <v>43252</v>
      </c>
      <c r="D946" t="s">
        <v>7055</v>
      </c>
      <c r="E946" t="s">
        <v>1988</v>
      </c>
      <c r="F946">
        <v>2666628</v>
      </c>
      <c r="G946" t="s">
        <v>7047</v>
      </c>
      <c r="H946" t="s">
        <v>7048</v>
      </c>
      <c r="I946" t="s">
        <v>7056</v>
      </c>
      <c r="J946" t="s">
        <v>7057</v>
      </c>
      <c r="K946" t="s">
        <v>62</v>
      </c>
      <c r="L946" t="s">
        <v>63</v>
      </c>
      <c r="M946" t="s">
        <v>7058</v>
      </c>
      <c r="N946" t="s">
        <v>7059</v>
      </c>
      <c r="R946">
        <v>1</v>
      </c>
      <c r="S946">
        <v>0</v>
      </c>
      <c r="T946" t="b">
        <v>0</v>
      </c>
      <c r="V946" t="s">
        <v>5317</v>
      </c>
      <c r="W946" s="15">
        <v>0.29236600000000001</v>
      </c>
      <c r="X946" s="15">
        <v>36.898460399999998</v>
      </c>
      <c r="Y946">
        <v>299</v>
      </c>
      <c r="AC946">
        <v>299</v>
      </c>
      <c r="AF946" t="b">
        <v>0</v>
      </c>
      <c r="AI946" t="s">
        <v>71</v>
      </c>
      <c r="AJ946" t="s">
        <v>70</v>
      </c>
      <c r="AK946" t="s">
        <v>71</v>
      </c>
      <c r="AL946" t="s">
        <v>72</v>
      </c>
      <c r="AM946">
        <v>346053</v>
      </c>
      <c r="AO946" s="16" t="s">
        <v>73</v>
      </c>
      <c r="AP946" s="17" t="str">
        <f t="shared" si="66"/>
        <v>Off-nest female</v>
      </c>
      <c r="AX946" s="22" t="str">
        <f>IF(AND('[1]observations-276632'!W946&gt;'[1]Methods write-up'!$Q$16,'[1]observations-276632'!W946&lt;'[1]Methods write-up'!$R$16,'[1]observations-276632'!X946&gt;'[1]Methods write-up'!$S$16,'[1]observations-276632'!X946&lt;'[1]Methods write-up'!$T$16),"West and Central Africa","")</f>
        <v/>
      </c>
      <c r="AY946" s="22" t="str">
        <f>IF(AND('[1]observations-276632'!W946&gt;'[1]Methods write-up'!$Q$17,'[1]observations-276632'!W946&lt;'[1]Methods write-up'!$R$17,'[1]observations-276632'!X946&gt;'[1]Methods write-up'!$S$17,'[1]observations-276632'!X946&lt;'[1]Methods write-up'!$T$17),"Equatorial tropical forest","")</f>
        <v/>
      </c>
      <c r="AZ946" s="22" t="str">
        <f>IF(AND('[1]observations-276632'!W946&gt;'[1]Methods write-up'!$Q$18,'[1]observations-276632'!W946&lt;'[1]Methods write-up'!$R$18,'[1]observations-276632'!X946&gt;'[1]Methods write-up'!$S$18,'[1]observations-276632'!X946&lt;'[1]Methods write-up'!$T$18),"Somali peninsula","")</f>
        <v/>
      </c>
      <c r="BA946" s="22" t="str">
        <f>IF(AND('[1]observations-276632'!W946&gt;'[1]Methods write-up'!$Q$19,'[1]observations-276632'!W946&lt;'[1]Methods write-up'!$R$19,'[1]observations-276632'!X946&gt;'[1]Methods write-up'!$S$19,'[1]observations-276632'!X946&lt;'[1]Methods write-up'!$T$19),"East Africa","")</f>
        <v>East Africa</v>
      </c>
      <c r="BB946" s="22" t="str">
        <f>IF(AND('[1]observations-276632'!W946&gt;'[1]Methods write-up'!$Q$20,'[1]observations-276632'!W946&lt;'[1]Methods write-up'!$R$20,'[1]observations-276632'!X946&gt;'[1]Methods write-up'!$S$20,'[1]observations-276632'!X946&lt;'[1]Methods write-up'!$T$20),"Temperate seasonal","")</f>
        <v/>
      </c>
      <c r="BC946" s="22" t="str">
        <f>IF(AND('[1]observations-276632'!W946&gt;'[1]Methods write-up'!$Q$21,'[1]observations-276632'!W946&lt;'[1]Methods write-up'!$R$21,'[1]observations-276632'!X946&gt;'[1]Methods write-up'!$S$21,'[1]observations-276632'!X946&lt;'[1]Methods write-up'!$T$21),"Desert and high aridity","")</f>
        <v/>
      </c>
      <c r="BD946" s="23" t="str">
        <f t="shared" si="64"/>
        <v>East Africa</v>
      </c>
      <c r="BE946" s="24">
        <f t="shared" si="62"/>
        <v>1</v>
      </c>
      <c r="BF946" s="24">
        <f t="shared" si="63"/>
        <v>6</v>
      </c>
    </row>
    <row r="947" spans="1:58" ht="16.25" customHeight="1" x14ac:dyDescent="0.2">
      <c r="A947">
        <v>108572824</v>
      </c>
      <c r="B947" s="25">
        <v>44634.417361111111</v>
      </c>
      <c r="C947" s="14">
        <v>44634</v>
      </c>
      <c r="D947" t="s">
        <v>7060</v>
      </c>
      <c r="E947" t="s">
        <v>113</v>
      </c>
      <c r="F947">
        <v>4435087</v>
      </c>
      <c r="G947" t="s">
        <v>7061</v>
      </c>
      <c r="I947" t="s">
        <v>7062</v>
      </c>
      <c r="J947" t="s">
        <v>7063</v>
      </c>
      <c r="K947" t="s">
        <v>62</v>
      </c>
      <c r="L947" t="s">
        <v>63</v>
      </c>
      <c r="M947" t="s">
        <v>7064</v>
      </c>
      <c r="N947" t="s">
        <v>7065</v>
      </c>
      <c r="R947">
        <v>3</v>
      </c>
      <c r="S947">
        <v>1</v>
      </c>
      <c r="T947" t="b">
        <v>0</v>
      </c>
      <c r="U947">
        <v>2</v>
      </c>
      <c r="V947" t="s">
        <v>7066</v>
      </c>
      <c r="W947" s="15">
        <v>-25.775581320000001</v>
      </c>
      <c r="X947" s="15">
        <v>28.33106304</v>
      </c>
      <c r="Y947">
        <v>8</v>
      </c>
      <c r="AC947">
        <v>8</v>
      </c>
      <c r="AF947" t="b">
        <v>0</v>
      </c>
      <c r="AI947" t="s">
        <v>71</v>
      </c>
      <c r="AJ947" t="s">
        <v>70</v>
      </c>
      <c r="AK947" t="s">
        <v>71</v>
      </c>
      <c r="AL947" t="s">
        <v>72</v>
      </c>
      <c r="AM947">
        <v>346053</v>
      </c>
      <c r="AO947" s="16" t="s">
        <v>150</v>
      </c>
      <c r="AP947" s="17" t="str">
        <f t="shared" si="66"/>
        <v>Male (off nest)</v>
      </c>
      <c r="AX947" s="22" t="str">
        <f>IF(AND('[1]observations-276632'!W947&gt;'[1]Methods write-up'!$Q$16,'[1]observations-276632'!W947&lt;'[1]Methods write-up'!$R$16,'[1]observations-276632'!X947&gt;'[1]Methods write-up'!$S$16,'[1]observations-276632'!X947&lt;'[1]Methods write-up'!$T$16),"West and Central Africa","")</f>
        <v/>
      </c>
      <c r="AY947" s="22" t="str">
        <f>IF(AND('[1]observations-276632'!W947&gt;'[1]Methods write-up'!$Q$17,'[1]observations-276632'!W947&lt;'[1]Methods write-up'!$R$17,'[1]observations-276632'!X947&gt;'[1]Methods write-up'!$S$17,'[1]observations-276632'!X947&lt;'[1]Methods write-up'!$T$17),"Equatorial tropical forest","")</f>
        <v/>
      </c>
      <c r="AZ947" s="22" t="str">
        <f>IF(AND('[1]observations-276632'!W947&gt;'[1]Methods write-up'!$Q$18,'[1]observations-276632'!W947&lt;'[1]Methods write-up'!$R$18,'[1]observations-276632'!X947&gt;'[1]Methods write-up'!$S$18,'[1]observations-276632'!X947&lt;'[1]Methods write-up'!$T$18),"Somali peninsula","")</f>
        <v/>
      </c>
      <c r="BA947" s="22" t="str">
        <f>IF(AND('[1]observations-276632'!W947&gt;'[1]Methods write-up'!$Q$19,'[1]observations-276632'!W947&lt;'[1]Methods write-up'!$R$19,'[1]observations-276632'!X947&gt;'[1]Methods write-up'!$S$19,'[1]observations-276632'!X947&lt;'[1]Methods write-up'!$T$19),"East Africa","")</f>
        <v/>
      </c>
      <c r="BB947" s="22" t="str">
        <f>IF(AND('[1]observations-276632'!W947&gt;'[1]Methods write-up'!$Q$20,'[1]observations-276632'!W947&lt;'[1]Methods write-up'!$R$20,'[1]observations-276632'!X947&gt;'[1]Methods write-up'!$S$20,'[1]observations-276632'!X947&lt;'[1]Methods write-up'!$T$20),"Temperate seasonal","")</f>
        <v>Temperate seasonal</v>
      </c>
      <c r="BC947" s="22" t="str">
        <f>IF(AND('[1]observations-276632'!W947&gt;'[1]Methods write-up'!$Q$21,'[1]observations-276632'!W947&lt;'[1]Methods write-up'!$R$21,'[1]observations-276632'!X947&gt;'[1]Methods write-up'!$S$21,'[1]observations-276632'!X947&lt;'[1]Methods write-up'!$T$21),"Desert and high aridity","")</f>
        <v/>
      </c>
      <c r="BD947" s="23" t="str">
        <f t="shared" si="64"/>
        <v>Temperate seasonal</v>
      </c>
      <c r="BE947" s="24">
        <f t="shared" si="62"/>
        <v>14</v>
      </c>
      <c r="BF947" s="24">
        <f t="shared" si="63"/>
        <v>3</v>
      </c>
    </row>
    <row r="948" spans="1:58" ht="16.25" customHeight="1" x14ac:dyDescent="0.2">
      <c r="A948">
        <v>108586490</v>
      </c>
      <c r="B948" t="s">
        <v>7067</v>
      </c>
      <c r="C948" s="14">
        <v>43478</v>
      </c>
      <c r="D948" t="s">
        <v>7068</v>
      </c>
      <c r="E948" t="s">
        <v>1988</v>
      </c>
      <c r="F948">
        <v>2666628</v>
      </c>
      <c r="G948" t="s">
        <v>7047</v>
      </c>
      <c r="H948" t="s">
        <v>7048</v>
      </c>
      <c r="I948" t="s">
        <v>7069</v>
      </c>
      <c r="J948" t="s">
        <v>7070</v>
      </c>
      <c r="K948" t="s">
        <v>62</v>
      </c>
      <c r="L948" t="s">
        <v>63</v>
      </c>
      <c r="M948" t="s">
        <v>7071</v>
      </c>
      <c r="N948" t="s">
        <v>7072</v>
      </c>
      <c r="R948">
        <v>2</v>
      </c>
      <c r="S948">
        <v>0</v>
      </c>
      <c r="T948" t="b">
        <v>0</v>
      </c>
      <c r="V948" t="s">
        <v>5317</v>
      </c>
      <c r="W948" s="15">
        <v>0.29236600000000001</v>
      </c>
      <c r="X948" s="15">
        <v>36.898460399999998</v>
      </c>
      <c r="Y948">
        <v>299</v>
      </c>
      <c r="AC948">
        <v>299</v>
      </c>
      <c r="AF948" t="b">
        <v>0</v>
      </c>
      <c r="AI948" t="s">
        <v>71</v>
      </c>
      <c r="AJ948" t="s">
        <v>70</v>
      </c>
      <c r="AK948" t="s">
        <v>71</v>
      </c>
      <c r="AL948" t="s">
        <v>72</v>
      </c>
      <c r="AM948">
        <v>346053</v>
      </c>
      <c r="AO948" s="16" t="s">
        <v>140</v>
      </c>
      <c r="AP948" s="17" t="str">
        <f t="shared" si="66"/>
        <v>Post-emergence nest</v>
      </c>
      <c r="AQ948" s="18">
        <v>11</v>
      </c>
      <c r="AT948" s="19" t="s">
        <v>141</v>
      </c>
      <c r="AU948" s="20" t="s">
        <v>104</v>
      </c>
      <c r="AX948" s="22" t="str">
        <f>IF(AND('[1]observations-276632'!W948&gt;'[1]Methods write-up'!$Q$16,'[1]observations-276632'!W948&lt;'[1]Methods write-up'!$R$16,'[1]observations-276632'!X948&gt;'[1]Methods write-up'!$S$16,'[1]observations-276632'!X948&lt;'[1]Methods write-up'!$T$16),"West and Central Africa","")</f>
        <v/>
      </c>
      <c r="AY948" s="22" t="str">
        <f>IF(AND('[1]observations-276632'!W948&gt;'[1]Methods write-up'!$Q$17,'[1]observations-276632'!W948&lt;'[1]Methods write-up'!$R$17,'[1]observations-276632'!X948&gt;'[1]Methods write-up'!$S$17,'[1]observations-276632'!X948&lt;'[1]Methods write-up'!$T$17),"Equatorial tropical forest","")</f>
        <v/>
      </c>
      <c r="AZ948" s="22" t="str">
        <f>IF(AND('[1]observations-276632'!W948&gt;'[1]Methods write-up'!$Q$18,'[1]observations-276632'!W948&lt;'[1]Methods write-up'!$R$18,'[1]observations-276632'!X948&gt;'[1]Methods write-up'!$S$18,'[1]observations-276632'!X948&lt;'[1]Methods write-up'!$T$18),"Somali peninsula","")</f>
        <v/>
      </c>
      <c r="BA948" s="22" t="str">
        <f>IF(AND('[1]observations-276632'!W948&gt;'[1]Methods write-up'!$Q$19,'[1]observations-276632'!W948&lt;'[1]Methods write-up'!$R$19,'[1]observations-276632'!X948&gt;'[1]Methods write-up'!$S$19,'[1]observations-276632'!X948&lt;'[1]Methods write-up'!$T$19),"East Africa","")</f>
        <v>East Africa</v>
      </c>
      <c r="BB948" s="22" t="str">
        <f>IF(AND('[1]observations-276632'!W948&gt;'[1]Methods write-up'!$Q$20,'[1]observations-276632'!W948&lt;'[1]Methods write-up'!$R$20,'[1]observations-276632'!X948&gt;'[1]Methods write-up'!$S$20,'[1]observations-276632'!X948&lt;'[1]Methods write-up'!$T$20),"Temperate seasonal","")</f>
        <v/>
      </c>
      <c r="BC948" s="22" t="str">
        <f>IF(AND('[1]observations-276632'!W948&gt;'[1]Methods write-up'!$Q$21,'[1]observations-276632'!W948&lt;'[1]Methods write-up'!$R$21,'[1]observations-276632'!X948&gt;'[1]Methods write-up'!$S$21,'[1]observations-276632'!X948&lt;'[1]Methods write-up'!$T$21),"Desert and high aridity","")</f>
        <v/>
      </c>
      <c r="BD948" s="23" t="str">
        <f t="shared" si="64"/>
        <v>East Africa</v>
      </c>
      <c r="BE948" s="24">
        <f t="shared" si="62"/>
        <v>13</v>
      </c>
      <c r="BF948" s="24">
        <f t="shared" si="63"/>
        <v>1</v>
      </c>
    </row>
    <row r="949" spans="1:58" ht="16.25" customHeight="1" x14ac:dyDescent="0.2">
      <c r="A949">
        <v>108611225</v>
      </c>
      <c r="B949" t="s">
        <v>7073</v>
      </c>
      <c r="C949" s="14">
        <v>44628</v>
      </c>
      <c r="D949" t="s">
        <v>7074</v>
      </c>
      <c r="E949" t="s">
        <v>113</v>
      </c>
      <c r="F949">
        <v>383144</v>
      </c>
      <c r="G949" t="s">
        <v>702</v>
      </c>
      <c r="H949" t="s">
        <v>703</v>
      </c>
      <c r="I949" t="s">
        <v>7075</v>
      </c>
      <c r="J949" t="s">
        <v>7076</v>
      </c>
      <c r="K949" t="s">
        <v>62</v>
      </c>
      <c r="L949" t="s">
        <v>118</v>
      </c>
      <c r="M949" t="s">
        <v>7077</v>
      </c>
      <c r="N949" t="s">
        <v>7078</v>
      </c>
      <c r="R949">
        <v>1</v>
      </c>
      <c r="S949">
        <v>0</v>
      </c>
      <c r="T949" t="b">
        <v>0</v>
      </c>
      <c r="V949" t="s">
        <v>7079</v>
      </c>
      <c r="W949" s="15">
        <v>-20.20008245</v>
      </c>
      <c r="X949" s="15">
        <v>28.619178430000002</v>
      </c>
      <c r="Y949">
        <v>10</v>
      </c>
      <c r="AC949">
        <v>10</v>
      </c>
      <c r="AF949" t="b">
        <v>0</v>
      </c>
      <c r="AI949" t="s">
        <v>71</v>
      </c>
      <c r="AJ949" t="s">
        <v>70</v>
      </c>
      <c r="AK949" t="s">
        <v>71</v>
      </c>
      <c r="AL949" t="s">
        <v>72</v>
      </c>
      <c r="AM949">
        <v>346053</v>
      </c>
      <c r="AO949" s="16" t="s">
        <v>140</v>
      </c>
      <c r="AP949" s="17" t="str">
        <f t="shared" si="66"/>
        <v>Post-emergence nest</v>
      </c>
      <c r="AQ949" s="18">
        <v>4</v>
      </c>
      <c r="AT949" s="19" t="s">
        <v>141</v>
      </c>
      <c r="AU949" s="20" t="s">
        <v>104</v>
      </c>
      <c r="AX949" s="22" t="str">
        <f>IF(AND('[1]observations-276632'!W949&gt;'[1]Methods write-up'!$Q$16,'[1]observations-276632'!W949&lt;'[1]Methods write-up'!$R$16,'[1]observations-276632'!X949&gt;'[1]Methods write-up'!$S$16,'[1]observations-276632'!X949&lt;'[1]Methods write-up'!$T$16),"West and Central Africa","")</f>
        <v/>
      </c>
      <c r="AY949" s="22" t="str">
        <f>IF(AND('[1]observations-276632'!W949&gt;'[1]Methods write-up'!$Q$17,'[1]observations-276632'!W949&lt;'[1]Methods write-up'!$R$17,'[1]observations-276632'!X949&gt;'[1]Methods write-up'!$S$17,'[1]observations-276632'!X949&lt;'[1]Methods write-up'!$T$17),"Equatorial tropical forest","")</f>
        <v/>
      </c>
      <c r="AZ949" s="22" t="str">
        <f>IF(AND('[1]observations-276632'!W949&gt;'[1]Methods write-up'!$Q$18,'[1]observations-276632'!W949&lt;'[1]Methods write-up'!$R$18,'[1]observations-276632'!X949&gt;'[1]Methods write-up'!$S$18,'[1]observations-276632'!X949&lt;'[1]Methods write-up'!$T$18),"Somali peninsula","")</f>
        <v/>
      </c>
      <c r="BA949" s="22" t="str">
        <f>IF(AND('[1]observations-276632'!W949&gt;'[1]Methods write-up'!$Q$19,'[1]observations-276632'!W949&lt;'[1]Methods write-up'!$R$19,'[1]observations-276632'!X949&gt;'[1]Methods write-up'!$S$19,'[1]observations-276632'!X949&lt;'[1]Methods write-up'!$T$19),"East Africa","")</f>
        <v/>
      </c>
      <c r="BB949" s="22" t="str">
        <f>IF(AND('[1]observations-276632'!W949&gt;'[1]Methods write-up'!$Q$20,'[1]observations-276632'!W949&lt;'[1]Methods write-up'!$R$20,'[1]observations-276632'!X949&gt;'[1]Methods write-up'!$S$20,'[1]observations-276632'!X949&lt;'[1]Methods write-up'!$T$20),"Temperate seasonal","")</f>
        <v/>
      </c>
      <c r="BC949" s="22" t="str">
        <f>IF(AND('[1]observations-276632'!W949&gt;'[1]Methods write-up'!$Q$21,'[1]observations-276632'!W949&lt;'[1]Methods write-up'!$R$21,'[1]observations-276632'!X949&gt;'[1]Methods write-up'!$S$21,'[1]observations-276632'!X949&lt;'[1]Methods write-up'!$T$21),"Desert and high aridity","")</f>
        <v/>
      </c>
      <c r="BD949" s="23" t="str">
        <f t="shared" si="64"/>
        <v/>
      </c>
      <c r="BE949" s="24">
        <f t="shared" si="62"/>
        <v>8</v>
      </c>
      <c r="BF949" s="24">
        <f t="shared" si="63"/>
        <v>3</v>
      </c>
    </row>
    <row r="950" spans="1:58" ht="16.25" customHeight="1" x14ac:dyDescent="0.2">
      <c r="A950">
        <v>108715533</v>
      </c>
      <c r="B950" t="s">
        <v>7080</v>
      </c>
      <c r="C950" s="14">
        <v>44632</v>
      </c>
      <c r="D950" t="s">
        <v>7081</v>
      </c>
      <c r="E950" t="s">
        <v>113</v>
      </c>
      <c r="F950">
        <v>383144</v>
      </c>
      <c r="G950" t="s">
        <v>702</v>
      </c>
      <c r="H950" t="s">
        <v>703</v>
      </c>
      <c r="I950" t="s">
        <v>7082</v>
      </c>
      <c r="J950" t="s">
        <v>7083</v>
      </c>
      <c r="K950" t="s">
        <v>62</v>
      </c>
      <c r="L950" t="s">
        <v>118</v>
      </c>
      <c r="M950" t="s">
        <v>7084</v>
      </c>
      <c r="N950" t="s">
        <v>7085</v>
      </c>
      <c r="R950">
        <v>3</v>
      </c>
      <c r="S950">
        <v>0</v>
      </c>
      <c r="T950" t="b">
        <v>0</v>
      </c>
      <c r="V950" t="s">
        <v>7086</v>
      </c>
      <c r="W950" s="15">
        <v>-19.105414</v>
      </c>
      <c r="X950" s="15">
        <v>32.752172690000002</v>
      </c>
      <c r="Y950">
        <v>10</v>
      </c>
      <c r="AC950">
        <v>10</v>
      </c>
      <c r="AF950" t="b">
        <v>0</v>
      </c>
      <c r="AI950" t="s">
        <v>71</v>
      </c>
      <c r="AJ950" t="s">
        <v>70</v>
      </c>
      <c r="AK950" t="s">
        <v>71</v>
      </c>
      <c r="AL950" t="s">
        <v>72</v>
      </c>
      <c r="AM950">
        <v>346053</v>
      </c>
      <c r="AO950" s="16" t="s">
        <v>73</v>
      </c>
      <c r="AP950" s="17" t="str">
        <f t="shared" si="66"/>
        <v>Off-nest female</v>
      </c>
      <c r="AX950" s="22" t="str">
        <f>IF(AND('[1]observations-276632'!W950&gt;'[1]Methods write-up'!$Q$16,'[1]observations-276632'!W950&lt;'[1]Methods write-up'!$R$16,'[1]observations-276632'!X950&gt;'[1]Methods write-up'!$S$16,'[1]observations-276632'!X950&lt;'[1]Methods write-up'!$T$16),"West and Central Africa","")</f>
        <v/>
      </c>
      <c r="AY950" s="22" t="str">
        <f>IF(AND('[1]observations-276632'!W950&gt;'[1]Methods write-up'!$Q$17,'[1]observations-276632'!W950&lt;'[1]Methods write-up'!$R$17,'[1]observations-276632'!X950&gt;'[1]Methods write-up'!$S$17,'[1]observations-276632'!X950&lt;'[1]Methods write-up'!$T$17),"Equatorial tropical forest","")</f>
        <v/>
      </c>
      <c r="AZ950" s="22" t="str">
        <f>IF(AND('[1]observations-276632'!W950&gt;'[1]Methods write-up'!$Q$18,'[1]observations-276632'!W950&lt;'[1]Methods write-up'!$R$18,'[1]observations-276632'!X950&gt;'[1]Methods write-up'!$S$18,'[1]observations-276632'!X950&lt;'[1]Methods write-up'!$T$18),"Somali peninsula","")</f>
        <v/>
      </c>
      <c r="BA950" s="22" t="str">
        <f>IF(AND('[1]observations-276632'!W950&gt;'[1]Methods write-up'!$Q$19,'[1]observations-276632'!W950&lt;'[1]Methods write-up'!$R$19,'[1]observations-276632'!X950&gt;'[1]Methods write-up'!$S$19,'[1]observations-276632'!X950&lt;'[1]Methods write-up'!$T$19),"East Africa","")</f>
        <v/>
      </c>
      <c r="BB950" s="22" t="str">
        <f>IF(AND('[1]observations-276632'!W950&gt;'[1]Methods write-up'!$Q$20,'[1]observations-276632'!W950&lt;'[1]Methods write-up'!$R$20,'[1]observations-276632'!X950&gt;'[1]Methods write-up'!$S$20,'[1]observations-276632'!X950&lt;'[1]Methods write-up'!$T$20),"Temperate seasonal","")</f>
        <v/>
      </c>
      <c r="BC950" s="22" t="str">
        <f>IF(AND('[1]observations-276632'!W950&gt;'[1]Methods write-up'!$Q$21,'[1]observations-276632'!W950&lt;'[1]Methods write-up'!$R$21,'[1]observations-276632'!X950&gt;'[1]Methods write-up'!$S$21,'[1]observations-276632'!X950&lt;'[1]Methods write-up'!$T$21),"Desert and high aridity","")</f>
        <v/>
      </c>
      <c r="BD950" s="23" t="str">
        <f t="shared" si="64"/>
        <v/>
      </c>
      <c r="BE950" s="24">
        <f t="shared" si="62"/>
        <v>12</v>
      </c>
      <c r="BF950" s="24">
        <f t="shared" si="63"/>
        <v>3</v>
      </c>
    </row>
    <row r="951" spans="1:58" ht="16.25" customHeight="1" x14ac:dyDescent="0.2">
      <c r="A951">
        <v>108715540</v>
      </c>
      <c r="B951" t="s">
        <v>7087</v>
      </c>
      <c r="C951" s="14">
        <v>44632</v>
      </c>
      <c r="D951" t="s">
        <v>7088</v>
      </c>
      <c r="E951" t="s">
        <v>113</v>
      </c>
      <c r="F951">
        <v>383144</v>
      </c>
      <c r="G951" t="s">
        <v>702</v>
      </c>
      <c r="H951" t="s">
        <v>703</v>
      </c>
      <c r="I951" t="s">
        <v>7089</v>
      </c>
      <c r="J951" t="s">
        <v>7090</v>
      </c>
      <c r="K951" t="s">
        <v>62</v>
      </c>
      <c r="L951" t="s">
        <v>118</v>
      </c>
      <c r="M951" t="s">
        <v>7091</v>
      </c>
      <c r="N951" t="s">
        <v>7092</v>
      </c>
      <c r="R951">
        <v>1</v>
      </c>
      <c r="S951">
        <v>0</v>
      </c>
      <c r="T951" t="b">
        <v>0</v>
      </c>
      <c r="V951" t="s">
        <v>7086</v>
      </c>
      <c r="W951" s="15">
        <v>-19.105468810000001</v>
      </c>
      <c r="X951" s="15">
        <v>32.752312719999999</v>
      </c>
      <c r="Y951">
        <v>10</v>
      </c>
      <c r="AC951">
        <v>10</v>
      </c>
      <c r="AF951" t="b">
        <v>0</v>
      </c>
      <c r="AI951" t="s">
        <v>71</v>
      </c>
      <c r="AJ951" t="s">
        <v>70</v>
      </c>
      <c r="AK951" t="s">
        <v>71</v>
      </c>
      <c r="AL951" t="s">
        <v>72</v>
      </c>
      <c r="AM951">
        <v>346053</v>
      </c>
      <c r="AO951" s="16" t="s">
        <v>3107</v>
      </c>
      <c r="AP951" s="17" t="str">
        <f t="shared" si="66"/>
        <v>Lek</v>
      </c>
      <c r="AV951" s="21" t="s">
        <v>7093</v>
      </c>
      <c r="AX951" s="22" t="str">
        <f>IF(AND('[1]observations-276632'!W951&gt;'[1]Methods write-up'!$Q$16,'[1]observations-276632'!W951&lt;'[1]Methods write-up'!$R$16,'[1]observations-276632'!X951&gt;'[1]Methods write-up'!$S$16,'[1]observations-276632'!X951&lt;'[1]Methods write-up'!$T$16),"West and Central Africa","")</f>
        <v/>
      </c>
      <c r="AY951" s="22" t="str">
        <f>IF(AND('[1]observations-276632'!W951&gt;'[1]Methods write-up'!$Q$17,'[1]observations-276632'!W951&lt;'[1]Methods write-up'!$R$17,'[1]observations-276632'!X951&gt;'[1]Methods write-up'!$S$17,'[1]observations-276632'!X951&lt;'[1]Methods write-up'!$T$17),"Equatorial tropical forest","")</f>
        <v/>
      </c>
      <c r="AZ951" s="22" t="str">
        <f>IF(AND('[1]observations-276632'!W951&gt;'[1]Methods write-up'!$Q$18,'[1]observations-276632'!W951&lt;'[1]Methods write-up'!$R$18,'[1]observations-276632'!X951&gt;'[1]Methods write-up'!$S$18,'[1]observations-276632'!X951&lt;'[1]Methods write-up'!$T$18),"Somali peninsula","")</f>
        <v/>
      </c>
      <c r="BA951" s="22" t="str">
        <f>IF(AND('[1]observations-276632'!W951&gt;'[1]Methods write-up'!$Q$19,'[1]observations-276632'!W951&lt;'[1]Methods write-up'!$R$19,'[1]observations-276632'!X951&gt;'[1]Methods write-up'!$S$19,'[1]observations-276632'!X951&lt;'[1]Methods write-up'!$T$19),"East Africa","")</f>
        <v/>
      </c>
      <c r="BB951" s="22" t="str">
        <f>IF(AND('[1]observations-276632'!W951&gt;'[1]Methods write-up'!$Q$20,'[1]observations-276632'!W951&lt;'[1]Methods write-up'!$R$20,'[1]observations-276632'!X951&gt;'[1]Methods write-up'!$S$20,'[1]observations-276632'!X951&lt;'[1]Methods write-up'!$T$20),"Temperate seasonal","")</f>
        <v/>
      </c>
      <c r="BC951" s="22" t="str">
        <f>IF(AND('[1]observations-276632'!W951&gt;'[1]Methods write-up'!$Q$21,'[1]observations-276632'!W951&lt;'[1]Methods write-up'!$R$21,'[1]observations-276632'!X951&gt;'[1]Methods write-up'!$S$21,'[1]observations-276632'!X951&lt;'[1]Methods write-up'!$T$21),"Desert and high aridity","")</f>
        <v/>
      </c>
      <c r="BD951" s="23" t="str">
        <f t="shared" si="64"/>
        <v/>
      </c>
      <c r="BE951" s="24">
        <f t="shared" si="62"/>
        <v>12</v>
      </c>
      <c r="BF951" s="24">
        <f t="shared" si="63"/>
        <v>3</v>
      </c>
    </row>
    <row r="952" spans="1:58" ht="16.25" customHeight="1" x14ac:dyDescent="0.2">
      <c r="A952">
        <v>108914545</v>
      </c>
      <c r="B952" t="s">
        <v>7094</v>
      </c>
      <c r="C952" s="14">
        <v>44535</v>
      </c>
      <c r="D952" t="s">
        <v>7095</v>
      </c>
      <c r="E952" t="s">
        <v>122</v>
      </c>
      <c r="F952">
        <v>440749</v>
      </c>
      <c r="G952" t="s">
        <v>7096</v>
      </c>
      <c r="H952" t="s">
        <v>7097</v>
      </c>
      <c r="I952" t="s">
        <v>7098</v>
      </c>
      <c r="J952" t="s">
        <v>7099</v>
      </c>
      <c r="K952" t="s">
        <v>62</v>
      </c>
      <c r="M952" t="s">
        <v>7100</v>
      </c>
      <c r="N952" t="s">
        <v>7101</v>
      </c>
      <c r="R952">
        <v>2</v>
      </c>
      <c r="S952">
        <v>0</v>
      </c>
      <c r="T952" t="b">
        <v>0</v>
      </c>
      <c r="U952">
        <v>3</v>
      </c>
      <c r="V952" t="s">
        <v>7102</v>
      </c>
      <c r="W952" s="15">
        <v>-7.4113833000000004E-2</v>
      </c>
      <c r="X952" s="15">
        <v>30.037875</v>
      </c>
      <c r="Y952">
        <v>9</v>
      </c>
      <c r="AC952">
        <v>9</v>
      </c>
      <c r="AF952" t="b">
        <v>0</v>
      </c>
      <c r="AI952" t="s">
        <v>71</v>
      </c>
      <c r="AJ952" t="s">
        <v>70</v>
      </c>
      <c r="AK952" t="s">
        <v>71</v>
      </c>
      <c r="AL952" t="s">
        <v>72</v>
      </c>
      <c r="AM952">
        <v>346053</v>
      </c>
      <c r="AO952" s="16" t="s">
        <v>1574</v>
      </c>
      <c r="AP952" s="17" t="str">
        <f t="shared" si="66"/>
        <v>Nest (foundress)</v>
      </c>
      <c r="AQ952" s="18">
        <v>3</v>
      </c>
      <c r="AT952" s="19" t="s">
        <v>104</v>
      </c>
      <c r="AX952" s="22" t="str">
        <f>IF(AND('[1]observations-276632'!W952&gt;'[1]Methods write-up'!$Q$16,'[1]observations-276632'!W952&lt;'[1]Methods write-up'!$R$16,'[1]observations-276632'!X952&gt;'[1]Methods write-up'!$S$16,'[1]observations-276632'!X952&lt;'[1]Methods write-up'!$T$16),"West and Central Africa","")</f>
        <v>West and Central Africa</v>
      </c>
      <c r="AY952" s="22" t="str">
        <f>IF(AND('[1]observations-276632'!W952&gt;'[1]Methods write-up'!$Q$17,'[1]observations-276632'!W952&lt;'[1]Methods write-up'!$R$17,'[1]observations-276632'!X952&gt;'[1]Methods write-up'!$S$17,'[1]observations-276632'!X952&lt;'[1]Methods write-up'!$T$17),"Equatorial tropical forest","")</f>
        <v/>
      </c>
      <c r="AZ952" s="22" t="str">
        <f>IF(AND('[1]observations-276632'!W952&gt;'[1]Methods write-up'!$Q$18,'[1]observations-276632'!W952&lt;'[1]Methods write-up'!$R$18,'[1]observations-276632'!X952&gt;'[1]Methods write-up'!$S$18,'[1]observations-276632'!X952&lt;'[1]Methods write-up'!$T$18),"Somali peninsula","")</f>
        <v/>
      </c>
      <c r="BA952" s="22" t="str">
        <f>IF(AND('[1]observations-276632'!W952&gt;'[1]Methods write-up'!$Q$19,'[1]observations-276632'!W952&lt;'[1]Methods write-up'!$R$19,'[1]observations-276632'!X952&gt;'[1]Methods write-up'!$S$19,'[1]observations-276632'!X952&lt;'[1]Methods write-up'!$T$19),"East Africa","")</f>
        <v/>
      </c>
      <c r="BB952" s="22" t="str">
        <f>IF(AND('[1]observations-276632'!W952&gt;'[1]Methods write-up'!$Q$20,'[1]observations-276632'!W952&lt;'[1]Methods write-up'!$R$20,'[1]observations-276632'!X952&gt;'[1]Methods write-up'!$S$20,'[1]observations-276632'!X952&lt;'[1]Methods write-up'!$T$20),"Temperate seasonal","")</f>
        <v/>
      </c>
      <c r="BC952" s="22" t="str">
        <f>IF(AND('[1]observations-276632'!W952&gt;'[1]Methods write-up'!$Q$21,'[1]observations-276632'!W952&lt;'[1]Methods write-up'!$R$21,'[1]observations-276632'!X952&gt;'[1]Methods write-up'!$S$21,'[1]observations-276632'!X952&lt;'[1]Methods write-up'!$T$21),"Desert and high aridity","")</f>
        <v/>
      </c>
      <c r="BD952" s="23" t="str">
        <f t="shared" si="64"/>
        <v>West and Central Africa</v>
      </c>
      <c r="BE952" s="24">
        <f t="shared" si="62"/>
        <v>5</v>
      </c>
      <c r="BF952" s="24">
        <f t="shared" si="63"/>
        <v>12</v>
      </c>
    </row>
    <row r="953" spans="1:58" ht="16.25" customHeight="1" x14ac:dyDescent="0.2">
      <c r="A953">
        <v>109282384</v>
      </c>
      <c r="B953" t="s">
        <v>7103</v>
      </c>
      <c r="C953" s="14">
        <v>44643</v>
      </c>
      <c r="D953" t="s">
        <v>7104</v>
      </c>
      <c r="E953" t="s">
        <v>193</v>
      </c>
      <c r="F953">
        <v>3857722</v>
      </c>
      <c r="G953" t="s">
        <v>4422</v>
      </c>
      <c r="H953" t="s">
        <v>4423</v>
      </c>
      <c r="I953" t="s">
        <v>7105</v>
      </c>
      <c r="J953" t="s">
        <v>7106</v>
      </c>
      <c r="K953" t="s">
        <v>62</v>
      </c>
      <c r="L953" t="s">
        <v>63</v>
      </c>
      <c r="M953" t="s">
        <v>7107</v>
      </c>
      <c r="N953" t="s">
        <v>7108</v>
      </c>
      <c r="R953">
        <v>2</v>
      </c>
      <c r="S953">
        <v>0</v>
      </c>
      <c r="T953" t="b">
        <v>0</v>
      </c>
      <c r="U953">
        <v>3</v>
      </c>
      <c r="V953" t="s">
        <v>7109</v>
      </c>
      <c r="W953" s="15">
        <v>5.4243449999999998</v>
      </c>
      <c r="X953" s="15">
        <v>10.431786669999999</v>
      </c>
      <c r="Y953">
        <v>4</v>
      </c>
      <c r="AC953">
        <v>4</v>
      </c>
      <c r="AF953" t="b">
        <v>0</v>
      </c>
      <c r="AI953" t="s">
        <v>71</v>
      </c>
      <c r="AJ953" t="s">
        <v>70</v>
      </c>
      <c r="AK953" t="s">
        <v>71</v>
      </c>
      <c r="AL953" t="s">
        <v>72</v>
      </c>
      <c r="AM953">
        <v>346053</v>
      </c>
      <c r="AO953" s="16" t="s">
        <v>110</v>
      </c>
      <c r="AP953" s="17" t="str">
        <f t="shared" si="66"/>
        <v>Nest (foundress)</v>
      </c>
      <c r="AQ953" s="18">
        <v>1</v>
      </c>
      <c r="AT953" s="19" t="s">
        <v>104</v>
      </c>
      <c r="AX953" s="22" t="str">
        <f>IF(AND('[1]observations-276632'!W953&gt;'[1]Methods write-up'!$Q$16,'[1]observations-276632'!W953&lt;'[1]Methods write-up'!$R$16,'[1]observations-276632'!X953&gt;'[1]Methods write-up'!$S$16,'[1]observations-276632'!X953&lt;'[1]Methods write-up'!$T$16),"West and Central Africa","")</f>
        <v>West and Central Africa</v>
      </c>
      <c r="AY953" s="22" t="str">
        <f>IF(AND('[1]observations-276632'!W953&gt;'[1]Methods write-up'!$Q$17,'[1]observations-276632'!W953&lt;'[1]Methods write-up'!$R$17,'[1]observations-276632'!X953&gt;'[1]Methods write-up'!$S$17,'[1]observations-276632'!X953&lt;'[1]Methods write-up'!$T$17),"Equatorial tropical forest","")</f>
        <v/>
      </c>
      <c r="AZ953" s="22" t="str">
        <f>IF(AND('[1]observations-276632'!W953&gt;'[1]Methods write-up'!$Q$18,'[1]observations-276632'!W953&lt;'[1]Methods write-up'!$R$18,'[1]observations-276632'!X953&gt;'[1]Methods write-up'!$S$18,'[1]observations-276632'!X953&lt;'[1]Methods write-up'!$T$18),"Somali peninsula","")</f>
        <v/>
      </c>
      <c r="BA953" s="22" t="str">
        <f>IF(AND('[1]observations-276632'!W953&gt;'[1]Methods write-up'!$Q$19,'[1]observations-276632'!W953&lt;'[1]Methods write-up'!$R$19,'[1]observations-276632'!X953&gt;'[1]Methods write-up'!$S$19,'[1]observations-276632'!X953&lt;'[1]Methods write-up'!$T$19),"East Africa","")</f>
        <v/>
      </c>
      <c r="BB953" s="22" t="str">
        <f>IF(AND('[1]observations-276632'!W953&gt;'[1]Methods write-up'!$Q$20,'[1]observations-276632'!W953&lt;'[1]Methods write-up'!$R$20,'[1]observations-276632'!X953&gt;'[1]Methods write-up'!$S$20,'[1]observations-276632'!X953&lt;'[1]Methods write-up'!$T$20),"Temperate seasonal","")</f>
        <v/>
      </c>
      <c r="BC953" s="22" t="str">
        <f>IF(AND('[1]observations-276632'!W953&gt;'[1]Methods write-up'!$Q$21,'[1]observations-276632'!W953&lt;'[1]Methods write-up'!$R$21,'[1]observations-276632'!X953&gt;'[1]Methods write-up'!$S$21,'[1]observations-276632'!X953&lt;'[1]Methods write-up'!$T$21),"Desert and high aridity","")</f>
        <v/>
      </c>
      <c r="BD953" s="23" t="str">
        <f t="shared" si="64"/>
        <v>West and Central Africa</v>
      </c>
      <c r="BE953" s="24">
        <f t="shared" si="62"/>
        <v>23</v>
      </c>
      <c r="BF953" s="24">
        <f t="shared" si="63"/>
        <v>3</v>
      </c>
    </row>
    <row r="954" spans="1:58" ht="16.25" customHeight="1" x14ac:dyDescent="0.2">
      <c r="A954">
        <v>109288007</v>
      </c>
      <c r="B954" t="s">
        <v>7110</v>
      </c>
      <c r="C954" s="14">
        <v>44643</v>
      </c>
      <c r="D954" t="s">
        <v>7111</v>
      </c>
      <c r="E954" t="s">
        <v>403</v>
      </c>
      <c r="F954">
        <v>676508</v>
      </c>
      <c r="G954" t="s">
        <v>7112</v>
      </c>
      <c r="H954" t="s">
        <v>7113</v>
      </c>
      <c r="I954" t="s">
        <v>7114</v>
      </c>
      <c r="J954" t="s">
        <v>7115</v>
      </c>
      <c r="K954" t="s">
        <v>62</v>
      </c>
      <c r="L954" t="s">
        <v>63</v>
      </c>
      <c r="M954" t="s">
        <v>7116</v>
      </c>
      <c r="N954" t="s">
        <v>7117</v>
      </c>
      <c r="R954">
        <v>1</v>
      </c>
      <c r="S954">
        <v>0</v>
      </c>
      <c r="T954" t="b">
        <v>0</v>
      </c>
      <c r="U954">
        <v>2</v>
      </c>
      <c r="V954" t="s">
        <v>7118</v>
      </c>
      <c r="W954" s="15">
        <v>-1.3531239719999999</v>
      </c>
      <c r="X954" s="15">
        <v>36.750238000000003</v>
      </c>
      <c r="AF954" t="b">
        <v>0</v>
      </c>
      <c r="AG954" t="s">
        <v>350</v>
      </c>
      <c r="AH954" t="s">
        <v>350</v>
      </c>
      <c r="AI954" t="s">
        <v>71</v>
      </c>
      <c r="AJ954" t="s">
        <v>70</v>
      </c>
      <c r="AK954" t="s">
        <v>71</v>
      </c>
      <c r="AL954" t="s">
        <v>72</v>
      </c>
      <c r="AM954">
        <v>346053</v>
      </c>
      <c r="AO954" s="16" t="s">
        <v>73</v>
      </c>
      <c r="AP954" s="17" t="str">
        <f t="shared" si="66"/>
        <v>Off-nest female</v>
      </c>
      <c r="AQ954" s="18">
        <v>12</v>
      </c>
      <c r="AT954" s="19" t="s">
        <v>141</v>
      </c>
      <c r="AU954" s="20" t="s">
        <v>141</v>
      </c>
      <c r="AX954" s="22" t="str">
        <f>IF(AND('[1]observations-276632'!W954&gt;'[1]Methods write-up'!$Q$16,'[1]observations-276632'!W954&lt;'[1]Methods write-up'!$R$16,'[1]observations-276632'!X954&gt;'[1]Methods write-up'!$S$16,'[1]observations-276632'!X954&lt;'[1]Methods write-up'!$T$16),"West and Central Africa","")</f>
        <v/>
      </c>
      <c r="AY954" s="22" t="str">
        <f>IF(AND('[1]observations-276632'!W954&gt;'[1]Methods write-up'!$Q$17,'[1]observations-276632'!W954&lt;'[1]Methods write-up'!$R$17,'[1]observations-276632'!X954&gt;'[1]Methods write-up'!$S$17,'[1]observations-276632'!X954&lt;'[1]Methods write-up'!$T$17),"Equatorial tropical forest","")</f>
        <v/>
      </c>
      <c r="AZ954" s="22" t="str">
        <f>IF(AND('[1]observations-276632'!W954&gt;'[1]Methods write-up'!$Q$18,'[1]observations-276632'!W954&lt;'[1]Methods write-up'!$R$18,'[1]observations-276632'!X954&gt;'[1]Methods write-up'!$S$18,'[1]observations-276632'!X954&lt;'[1]Methods write-up'!$T$18),"Somali peninsula","")</f>
        <v/>
      </c>
      <c r="BA954" s="22" t="str">
        <f>IF(AND('[1]observations-276632'!W954&gt;'[1]Methods write-up'!$Q$19,'[1]observations-276632'!W954&lt;'[1]Methods write-up'!$R$19,'[1]observations-276632'!X954&gt;'[1]Methods write-up'!$S$19,'[1]observations-276632'!X954&lt;'[1]Methods write-up'!$T$19),"East Africa","")</f>
        <v>East Africa</v>
      </c>
      <c r="BB954" s="22" t="str">
        <f>IF(AND('[1]observations-276632'!W954&gt;'[1]Methods write-up'!$Q$20,'[1]observations-276632'!W954&lt;'[1]Methods write-up'!$R$20,'[1]observations-276632'!X954&gt;'[1]Methods write-up'!$S$20,'[1]observations-276632'!X954&lt;'[1]Methods write-up'!$T$20),"Temperate seasonal","")</f>
        <v/>
      </c>
      <c r="BC954" s="22" t="str">
        <f>IF(AND('[1]observations-276632'!W954&gt;'[1]Methods write-up'!$Q$21,'[1]observations-276632'!W954&lt;'[1]Methods write-up'!$R$21,'[1]observations-276632'!X954&gt;'[1]Methods write-up'!$S$21,'[1]observations-276632'!X954&lt;'[1]Methods write-up'!$T$21),"Desert and high aridity","")</f>
        <v/>
      </c>
      <c r="BD954" s="23" t="str">
        <f t="shared" si="64"/>
        <v>East Africa</v>
      </c>
      <c r="BE954" s="24">
        <f t="shared" si="62"/>
        <v>23</v>
      </c>
      <c r="BF954" s="24">
        <f t="shared" si="63"/>
        <v>3</v>
      </c>
    </row>
    <row r="955" spans="1:58" ht="16.25" customHeight="1" x14ac:dyDescent="0.2">
      <c r="A955">
        <v>109369151</v>
      </c>
      <c r="B955" t="s">
        <v>7119</v>
      </c>
      <c r="C955" s="14">
        <v>39605</v>
      </c>
      <c r="D955" t="s">
        <v>7120</v>
      </c>
      <c r="E955" t="s">
        <v>2921</v>
      </c>
      <c r="F955">
        <v>5442829</v>
      </c>
      <c r="G955" t="s">
        <v>7121</v>
      </c>
      <c r="H955" t="s">
        <v>7122</v>
      </c>
      <c r="I955" t="s">
        <v>7123</v>
      </c>
      <c r="J955" t="s">
        <v>7124</v>
      </c>
      <c r="K955" t="s">
        <v>62</v>
      </c>
      <c r="L955" t="s">
        <v>63</v>
      </c>
      <c r="M955" t="s">
        <v>7125</v>
      </c>
      <c r="N955" t="s">
        <v>7126</v>
      </c>
      <c r="R955">
        <v>2</v>
      </c>
      <c r="S955">
        <v>0</v>
      </c>
      <c r="T955" t="b">
        <v>0</v>
      </c>
      <c r="V955" t="s">
        <v>7127</v>
      </c>
      <c r="W955" s="15">
        <v>-1.312485774</v>
      </c>
      <c r="X955" s="15">
        <v>35.037188059999998</v>
      </c>
      <c r="Y955">
        <v>15382</v>
      </c>
      <c r="AC955">
        <v>15382</v>
      </c>
      <c r="AF955" t="b">
        <v>0</v>
      </c>
      <c r="AI955" t="s">
        <v>71</v>
      </c>
      <c r="AJ955" t="s">
        <v>70</v>
      </c>
      <c r="AK955" t="s">
        <v>71</v>
      </c>
      <c r="AL955" t="s">
        <v>72</v>
      </c>
      <c r="AM955">
        <v>346053</v>
      </c>
      <c r="AO955" s="16" t="s">
        <v>5601</v>
      </c>
      <c r="AP955" s="16"/>
      <c r="AX955" s="22" t="str">
        <f>IF(AND('[1]observations-276632'!W955&gt;'[1]Methods write-up'!$Q$16,'[1]observations-276632'!W955&lt;'[1]Methods write-up'!$R$16,'[1]observations-276632'!X955&gt;'[1]Methods write-up'!$S$16,'[1]observations-276632'!X955&lt;'[1]Methods write-up'!$T$16),"West Africa","")</f>
        <v/>
      </c>
      <c r="AY955" s="22" t="str">
        <f>IF(AND('[1]observations-276632'!W955&gt;'[1]Methods write-up'!$Q$17,'[1]observations-276632'!W955&lt;'[1]Methods write-up'!$R$17,'[1]observations-276632'!X955&gt;'[1]Methods write-up'!$S$17,'[1]observations-276632'!X955&lt;'[1]Methods write-up'!$T$17),"Equatorial tropical forest","")</f>
        <v/>
      </c>
      <c r="AZ955" s="22" t="str">
        <f>IF(AND('[1]observations-276632'!W955&gt;'[1]Methods write-up'!$Q$18,'[1]observations-276632'!W955&lt;'[1]Methods write-up'!$R$18,'[1]observations-276632'!X955&gt;'[1]Methods write-up'!$S$18,'[1]observations-276632'!X955&lt;'[1]Methods write-up'!$T$18),"Somali peninsula","")</f>
        <v/>
      </c>
      <c r="BA955" s="22" t="str">
        <f>IF(AND('[1]observations-276632'!W955&gt;'[1]Methods write-up'!$Q$19,'[1]observations-276632'!W955&lt;'[1]Methods write-up'!$R$19,'[1]observations-276632'!X955&gt;'[1]Methods write-up'!$S$19,'[1]observations-276632'!X955&lt;'[1]Methods write-up'!$T$19),"East Africa","")</f>
        <v>East Africa</v>
      </c>
      <c r="BB955" s="22" t="str">
        <f>IF(AND('[1]observations-276632'!W955&gt;'[1]Methods write-up'!$Q$20,'[1]observations-276632'!W955&lt;'[1]Methods write-up'!$R$20,'[1]observations-276632'!X955&gt;'[1]Methods write-up'!$S$20,'[1]observations-276632'!X955&lt;'[1]Methods write-up'!$T$20),"Temperate seasonal","")</f>
        <v/>
      </c>
      <c r="BC955" s="22" t="str">
        <f>IF(AND('[1]observations-276632'!W955&gt;'[1]Methods write-up'!$Q$21,'[1]observations-276632'!W955&lt;'[1]Methods write-up'!$R$21,'[1]observations-276632'!X955&gt;'[1]Methods write-up'!$S$21,'[1]observations-276632'!X955&lt;'[1]Methods write-up'!$T$21),"Desert and high aridity","")</f>
        <v/>
      </c>
      <c r="BD955" s="23" t="str">
        <f t="shared" si="64"/>
        <v>East Africa</v>
      </c>
      <c r="BE955" s="24">
        <f t="shared" si="62"/>
        <v>6</v>
      </c>
      <c r="BF955" s="24">
        <f t="shared" si="63"/>
        <v>6</v>
      </c>
    </row>
    <row r="956" spans="1:58" ht="16.25" customHeight="1" x14ac:dyDescent="0.2">
      <c r="A956">
        <v>109512855</v>
      </c>
      <c r="B956" s="25">
        <v>44645.477777777778</v>
      </c>
      <c r="C956" s="14">
        <v>44645</v>
      </c>
      <c r="D956" t="s">
        <v>7128</v>
      </c>
      <c r="E956" t="s">
        <v>243</v>
      </c>
      <c r="F956">
        <v>1281496</v>
      </c>
      <c r="G956" t="s">
        <v>7129</v>
      </c>
      <c r="H956" t="s">
        <v>7130</v>
      </c>
      <c r="I956" t="s">
        <v>7131</v>
      </c>
      <c r="J956" t="s">
        <v>7132</v>
      </c>
      <c r="K956" t="s">
        <v>62</v>
      </c>
      <c r="M956" t="s">
        <v>7133</v>
      </c>
      <c r="N956" t="s">
        <v>7134</v>
      </c>
      <c r="R956">
        <v>2</v>
      </c>
      <c r="S956">
        <v>0</v>
      </c>
      <c r="T956" t="b">
        <v>0</v>
      </c>
      <c r="U956">
        <v>2</v>
      </c>
      <c r="V956" t="s">
        <v>7135</v>
      </c>
      <c r="W956" s="15">
        <v>-8.9300484000000004</v>
      </c>
      <c r="X956" s="15">
        <v>27.20645472</v>
      </c>
      <c r="Y956">
        <v>67</v>
      </c>
      <c r="AC956">
        <v>67</v>
      </c>
      <c r="AF956" t="b">
        <v>0</v>
      </c>
      <c r="AG956" t="s">
        <v>350</v>
      </c>
      <c r="AH956" t="s">
        <v>350</v>
      </c>
      <c r="AI956" t="s">
        <v>71</v>
      </c>
      <c r="AJ956" t="s">
        <v>70</v>
      </c>
      <c r="AK956" t="s">
        <v>71</v>
      </c>
      <c r="AL956" t="s">
        <v>72</v>
      </c>
      <c r="AM956">
        <v>346053</v>
      </c>
      <c r="AO956" s="16" t="s">
        <v>73</v>
      </c>
      <c r="AP956" s="17" t="str">
        <f t="shared" ref="AP956:AP995" si="67">IF(COUNTIF(AO956,"*foundress*"),"Nest (foundress)",AO956)</f>
        <v>Off-nest female</v>
      </c>
      <c r="AX956" s="22" t="str">
        <f>IF(AND('[1]observations-276632'!W956&gt;'[1]Methods write-up'!$Q$16,'[1]observations-276632'!W956&lt;'[1]Methods write-up'!$R$16,'[1]observations-276632'!X956&gt;'[1]Methods write-up'!$S$16,'[1]observations-276632'!X956&lt;'[1]Methods write-up'!$T$16),"West and Central Africa","")</f>
        <v>West and Central Africa</v>
      </c>
      <c r="AY956" s="22" t="str">
        <f>IF(AND('[1]observations-276632'!W956&gt;'[1]Methods write-up'!$Q$17,'[1]observations-276632'!W956&lt;'[1]Methods write-up'!$R$17,'[1]observations-276632'!X956&gt;'[1]Methods write-up'!$S$17,'[1]observations-276632'!X956&lt;'[1]Methods write-up'!$T$17),"Equatorial tropical forest","")</f>
        <v/>
      </c>
      <c r="AZ956" s="22" t="str">
        <f>IF(AND('[1]observations-276632'!W956&gt;'[1]Methods write-up'!$Q$18,'[1]observations-276632'!W956&lt;'[1]Methods write-up'!$R$18,'[1]observations-276632'!X956&gt;'[1]Methods write-up'!$S$18,'[1]observations-276632'!X956&lt;'[1]Methods write-up'!$T$18),"Somali peninsula","")</f>
        <v/>
      </c>
      <c r="BA956" s="22" t="str">
        <f>IF(AND('[1]observations-276632'!W956&gt;'[1]Methods write-up'!$Q$19,'[1]observations-276632'!W956&lt;'[1]Methods write-up'!$R$19,'[1]observations-276632'!X956&gt;'[1]Methods write-up'!$S$19,'[1]observations-276632'!X956&lt;'[1]Methods write-up'!$T$19),"East Africa","")</f>
        <v/>
      </c>
      <c r="BB956" s="22" t="str">
        <f>IF(AND('[1]observations-276632'!W956&gt;'[1]Methods write-up'!$Q$20,'[1]observations-276632'!W956&lt;'[1]Methods write-up'!$R$20,'[1]observations-276632'!X956&gt;'[1]Methods write-up'!$S$20,'[1]observations-276632'!X956&lt;'[1]Methods write-up'!$T$20),"Temperate seasonal","")</f>
        <v/>
      </c>
      <c r="BC956" s="22" t="str">
        <f>IF(AND('[1]observations-276632'!W956&gt;'[1]Methods write-up'!$Q$21,'[1]observations-276632'!W956&lt;'[1]Methods write-up'!$R$21,'[1]observations-276632'!X956&gt;'[1]Methods write-up'!$S$21,'[1]observations-276632'!X956&lt;'[1]Methods write-up'!$T$21),"Desert and high aridity","")</f>
        <v/>
      </c>
      <c r="BD956" s="23" t="str">
        <f t="shared" si="64"/>
        <v>West and Central Africa</v>
      </c>
      <c r="BE956" s="24">
        <f t="shared" si="62"/>
        <v>25</v>
      </c>
      <c r="BF956" s="24">
        <f t="shared" si="63"/>
        <v>3</v>
      </c>
    </row>
    <row r="957" spans="1:58" ht="16.25" customHeight="1" x14ac:dyDescent="0.2">
      <c r="A957">
        <v>109521852</v>
      </c>
      <c r="B957" t="s">
        <v>7136</v>
      </c>
      <c r="C957" s="14">
        <v>44645</v>
      </c>
      <c r="D957" t="s">
        <v>7137</v>
      </c>
      <c r="E957" t="s">
        <v>6201</v>
      </c>
      <c r="F957">
        <v>5223796</v>
      </c>
      <c r="G957" t="s">
        <v>7138</v>
      </c>
      <c r="H957" t="s">
        <v>7139</v>
      </c>
      <c r="I957" t="s">
        <v>7140</v>
      </c>
      <c r="J957" t="s">
        <v>7141</v>
      </c>
      <c r="K957" t="s">
        <v>62</v>
      </c>
      <c r="L957" t="s">
        <v>63</v>
      </c>
      <c r="M957" t="s">
        <v>7142</v>
      </c>
      <c r="N957" t="s">
        <v>7143</v>
      </c>
      <c r="R957">
        <v>2</v>
      </c>
      <c r="S957">
        <v>0</v>
      </c>
      <c r="T957" t="b">
        <v>0</v>
      </c>
      <c r="U957">
        <v>3</v>
      </c>
      <c r="V957" t="s">
        <v>7144</v>
      </c>
      <c r="W957" s="15">
        <v>-1.5061416670000001</v>
      </c>
      <c r="X957" s="15">
        <v>30.680083329999999</v>
      </c>
      <c r="Y957">
        <v>4</v>
      </c>
      <c r="AC957">
        <v>4</v>
      </c>
      <c r="AF957" t="b">
        <v>0</v>
      </c>
      <c r="AI957" t="s">
        <v>71</v>
      </c>
      <c r="AJ957" t="s">
        <v>70</v>
      </c>
      <c r="AK957" t="s">
        <v>71</v>
      </c>
      <c r="AL957" t="s">
        <v>72</v>
      </c>
      <c r="AM957">
        <v>346053</v>
      </c>
      <c r="AO957" s="16" t="s">
        <v>110</v>
      </c>
      <c r="AP957" s="17" t="str">
        <f t="shared" si="67"/>
        <v>Nest (foundress)</v>
      </c>
      <c r="AQ957" s="18">
        <v>1</v>
      </c>
      <c r="AT957" s="19" t="s">
        <v>104</v>
      </c>
      <c r="AX957" s="22" t="str">
        <f>IF(AND('[1]observations-276632'!W957&gt;'[1]Methods write-up'!$Q$16,'[1]observations-276632'!W957&lt;'[1]Methods write-up'!$R$16,'[1]observations-276632'!X957&gt;'[1]Methods write-up'!$S$16,'[1]observations-276632'!X957&lt;'[1]Methods write-up'!$T$16),"West and Central Africa","")</f>
        <v>West and Central Africa</v>
      </c>
      <c r="AY957" s="22" t="str">
        <f>IF(AND('[1]observations-276632'!W957&gt;'[1]Methods write-up'!$Q$17,'[1]observations-276632'!W957&lt;'[1]Methods write-up'!$R$17,'[1]observations-276632'!X957&gt;'[1]Methods write-up'!$S$17,'[1]observations-276632'!X957&lt;'[1]Methods write-up'!$T$17),"Equatorial tropical forest","")</f>
        <v/>
      </c>
      <c r="AZ957" s="22" t="str">
        <f>IF(AND('[1]observations-276632'!W957&gt;'[1]Methods write-up'!$Q$18,'[1]observations-276632'!W957&lt;'[1]Methods write-up'!$R$18,'[1]observations-276632'!X957&gt;'[1]Methods write-up'!$S$18,'[1]observations-276632'!X957&lt;'[1]Methods write-up'!$T$18),"Somali peninsula","")</f>
        <v/>
      </c>
      <c r="BA957" s="22" t="str">
        <f>IF(AND('[1]observations-276632'!W957&gt;'[1]Methods write-up'!$Q$19,'[1]observations-276632'!W957&lt;'[1]Methods write-up'!$R$19,'[1]observations-276632'!X957&gt;'[1]Methods write-up'!$S$19,'[1]observations-276632'!X957&lt;'[1]Methods write-up'!$T$19),"East Africa","")</f>
        <v/>
      </c>
      <c r="BB957" s="22" t="str">
        <f>IF(AND('[1]observations-276632'!W957&gt;'[1]Methods write-up'!$Q$20,'[1]observations-276632'!W957&lt;'[1]Methods write-up'!$R$20,'[1]observations-276632'!X957&gt;'[1]Methods write-up'!$S$20,'[1]observations-276632'!X957&lt;'[1]Methods write-up'!$T$20),"Temperate seasonal","")</f>
        <v/>
      </c>
      <c r="BC957" s="22" t="str">
        <f>IF(AND('[1]observations-276632'!W957&gt;'[1]Methods write-up'!$Q$21,'[1]observations-276632'!W957&lt;'[1]Methods write-up'!$R$21,'[1]observations-276632'!X957&gt;'[1]Methods write-up'!$S$21,'[1]observations-276632'!X957&lt;'[1]Methods write-up'!$T$21),"Desert and high aridity","")</f>
        <v/>
      </c>
      <c r="BD957" s="23" t="str">
        <f t="shared" si="64"/>
        <v>West and Central Africa</v>
      </c>
      <c r="BE957" s="24">
        <f t="shared" si="62"/>
        <v>25</v>
      </c>
      <c r="BF957" s="24">
        <f t="shared" si="63"/>
        <v>3</v>
      </c>
    </row>
    <row r="958" spans="1:58" ht="16.25" customHeight="1" x14ac:dyDescent="0.2">
      <c r="A958">
        <v>109641372</v>
      </c>
      <c r="B958" s="25">
        <v>44646.847222222219</v>
      </c>
      <c r="C958" s="14">
        <v>44646</v>
      </c>
      <c r="D958" t="s">
        <v>7145</v>
      </c>
      <c r="E958" t="s">
        <v>201</v>
      </c>
      <c r="F958">
        <v>4487</v>
      </c>
      <c r="G958" t="s">
        <v>7146</v>
      </c>
      <c r="H958" t="s">
        <v>7147</v>
      </c>
      <c r="I958" t="s">
        <v>7148</v>
      </c>
      <c r="J958" t="s">
        <v>7149</v>
      </c>
      <c r="K958" t="s">
        <v>62</v>
      </c>
      <c r="M958" t="s">
        <v>7150</v>
      </c>
      <c r="N958" t="s">
        <v>7151</v>
      </c>
      <c r="P958" t="s">
        <v>7152</v>
      </c>
      <c r="Q958" t="s">
        <v>7153</v>
      </c>
      <c r="R958">
        <v>3</v>
      </c>
      <c r="S958">
        <v>0</v>
      </c>
      <c r="T958" t="b">
        <v>0</v>
      </c>
      <c r="V958" t="s">
        <v>7154</v>
      </c>
      <c r="W958" s="15">
        <v>-28.883762999999998</v>
      </c>
      <c r="X958" s="15">
        <v>31.458362999999999</v>
      </c>
      <c r="AF958" t="b">
        <v>0</v>
      </c>
      <c r="AI958" t="s">
        <v>71</v>
      </c>
      <c r="AJ958" t="s">
        <v>70</v>
      </c>
      <c r="AK958" t="s">
        <v>71</v>
      </c>
      <c r="AL958" t="s">
        <v>72</v>
      </c>
      <c r="AM958">
        <v>346053</v>
      </c>
      <c r="AO958" s="16" t="s">
        <v>140</v>
      </c>
      <c r="AP958" s="17" t="str">
        <f t="shared" si="67"/>
        <v>Post-emergence nest</v>
      </c>
      <c r="AQ958" s="18">
        <v>3</v>
      </c>
      <c r="AT958" s="19" t="s">
        <v>141</v>
      </c>
      <c r="AU958" s="20" t="s">
        <v>104</v>
      </c>
      <c r="AX958" s="22" t="str">
        <f>IF(AND('[1]observations-276632'!W958&gt;'[1]Methods write-up'!$Q$16,'[1]observations-276632'!W958&lt;'[1]Methods write-up'!$R$16,'[1]observations-276632'!X958&gt;'[1]Methods write-up'!$S$16,'[1]observations-276632'!X958&lt;'[1]Methods write-up'!$T$16),"West and Central Africa","")</f>
        <v/>
      </c>
      <c r="AY958" s="22" t="str">
        <f>IF(AND('[1]observations-276632'!W958&gt;'[1]Methods write-up'!$Q$17,'[1]observations-276632'!W958&lt;'[1]Methods write-up'!$R$17,'[1]observations-276632'!X958&gt;'[1]Methods write-up'!$S$17,'[1]observations-276632'!X958&lt;'[1]Methods write-up'!$T$17),"Equatorial tropical forest","")</f>
        <v/>
      </c>
      <c r="AZ958" s="22" t="str">
        <f>IF(AND('[1]observations-276632'!W958&gt;'[1]Methods write-up'!$Q$18,'[1]observations-276632'!W958&lt;'[1]Methods write-up'!$R$18,'[1]observations-276632'!X958&gt;'[1]Methods write-up'!$S$18,'[1]observations-276632'!X958&lt;'[1]Methods write-up'!$T$18),"Somali peninsula","")</f>
        <v/>
      </c>
      <c r="BA958" s="22" t="str">
        <f>IF(AND('[1]observations-276632'!W958&gt;'[1]Methods write-up'!$Q$19,'[1]observations-276632'!W958&lt;'[1]Methods write-up'!$R$19,'[1]observations-276632'!X958&gt;'[1]Methods write-up'!$S$19,'[1]observations-276632'!X958&lt;'[1]Methods write-up'!$T$19),"East Africa","")</f>
        <v/>
      </c>
      <c r="BB958" s="22" t="str">
        <f>IF(AND('[1]observations-276632'!W958&gt;'[1]Methods write-up'!$Q$20,'[1]observations-276632'!W958&lt;'[1]Methods write-up'!$R$20,'[1]observations-276632'!X958&gt;'[1]Methods write-up'!$S$20,'[1]observations-276632'!X958&lt;'[1]Methods write-up'!$T$20),"Temperate seasonal","")</f>
        <v>Temperate seasonal</v>
      </c>
      <c r="BC958" s="22" t="str">
        <f>IF(AND('[1]observations-276632'!W958&gt;'[1]Methods write-up'!$Q$21,'[1]observations-276632'!W958&lt;'[1]Methods write-up'!$R$21,'[1]observations-276632'!X958&gt;'[1]Methods write-up'!$S$21,'[1]observations-276632'!X958&lt;'[1]Methods write-up'!$T$21),"Desert and high aridity","")</f>
        <v/>
      </c>
      <c r="BD958" s="23" t="str">
        <f t="shared" si="64"/>
        <v>Temperate seasonal</v>
      </c>
      <c r="BE958" s="24">
        <f t="shared" si="62"/>
        <v>26</v>
      </c>
      <c r="BF958" s="24">
        <f t="shared" si="63"/>
        <v>3</v>
      </c>
    </row>
    <row r="959" spans="1:58" ht="16.25" customHeight="1" x14ac:dyDescent="0.2">
      <c r="A959">
        <v>109646100</v>
      </c>
      <c r="B959" t="s">
        <v>7155</v>
      </c>
      <c r="C959" s="14">
        <v>44647</v>
      </c>
      <c r="D959" t="s">
        <v>7156</v>
      </c>
      <c r="E959" t="s">
        <v>1408</v>
      </c>
      <c r="F959">
        <v>5141651</v>
      </c>
      <c r="G959" t="s">
        <v>7157</v>
      </c>
      <c r="I959" t="s">
        <v>7158</v>
      </c>
      <c r="J959" t="s">
        <v>7159</v>
      </c>
      <c r="K959" t="s">
        <v>62</v>
      </c>
      <c r="L959" t="s">
        <v>63</v>
      </c>
      <c r="M959" t="s">
        <v>7160</v>
      </c>
      <c r="N959" t="s">
        <v>7161</v>
      </c>
      <c r="R959">
        <v>1</v>
      </c>
      <c r="S959">
        <v>0</v>
      </c>
      <c r="T959" t="b">
        <v>0</v>
      </c>
      <c r="V959" t="s">
        <v>7162</v>
      </c>
      <c r="W959" s="15">
        <v>0.31928015199999998</v>
      </c>
      <c r="X959" s="15">
        <v>32.660975219999997</v>
      </c>
      <c r="Y959">
        <v>122</v>
      </c>
      <c r="AC959">
        <v>122</v>
      </c>
      <c r="AF959" t="b">
        <v>0</v>
      </c>
      <c r="AI959" t="s">
        <v>71</v>
      </c>
      <c r="AJ959" t="s">
        <v>70</v>
      </c>
      <c r="AK959" t="s">
        <v>71</v>
      </c>
      <c r="AL959" t="s">
        <v>72</v>
      </c>
      <c r="AM959">
        <v>346053</v>
      </c>
      <c r="AO959" s="16" t="s">
        <v>73</v>
      </c>
      <c r="AP959" s="17" t="str">
        <f t="shared" si="67"/>
        <v>Off-nest female</v>
      </c>
      <c r="AX959" s="22" t="str">
        <f>IF(AND('[1]observations-276632'!W959&gt;'[1]Methods write-up'!$Q$16,'[1]observations-276632'!W959&lt;'[1]Methods write-up'!$R$16,'[1]observations-276632'!X959&gt;'[1]Methods write-up'!$S$16,'[1]observations-276632'!X959&lt;'[1]Methods write-up'!$T$16),"West and Central Africa","")</f>
        <v/>
      </c>
      <c r="AY959" s="22" t="str">
        <f>IF(AND('[1]observations-276632'!W959&gt;'[1]Methods write-up'!$Q$17,'[1]observations-276632'!W959&lt;'[1]Methods write-up'!$R$17,'[1]observations-276632'!X959&gt;'[1]Methods write-up'!$S$17,'[1]observations-276632'!X959&lt;'[1]Methods write-up'!$T$17),"Equatorial tropical forest","")</f>
        <v/>
      </c>
      <c r="AZ959" s="22" t="str">
        <f>IF(AND('[1]observations-276632'!W959&gt;'[1]Methods write-up'!$Q$18,'[1]observations-276632'!W959&lt;'[1]Methods write-up'!$R$18,'[1]observations-276632'!X959&gt;'[1]Methods write-up'!$S$18,'[1]observations-276632'!X959&lt;'[1]Methods write-up'!$T$18),"Somali peninsula","")</f>
        <v/>
      </c>
      <c r="BA959" s="22" t="str">
        <f>IF(AND('[1]observations-276632'!W959&gt;'[1]Methods write-up'!$Q$19,'[1]observations-276632'!W959&lt;'[1]Methods write-up'!$R$19,'[1]observations-276632'!X959&gt;'[1]Methods write-up'!$S$19,'[1]observations-276632'!X959&lt;'[1]Methods write-up'!$T$19),"East Africa","")</f>
        <v>East Africa</v>
      </c>
      <c r="BB959" s="22" t="str">
        <f>IF(AND('[1]observations-276632'!W959&gt;'[1]Methods write-up'!$Q$20,'[1]observations-276632'!W959&lt;'[1]Methods write-up'!$R$20,'[1]observations-276632'!X959&gt;'[1]Methods write-up'!$S$20,'[1]observations-276632'!X959&lt;'[1]Methods write-up'!$T$20),"Temperate seasonal","")</f>
        <v/>
      </c>
      <c r="BC959" s="22" t="str">
        <f>IF(AND('[1]observations-276632'!W959&gt;'[1]Methods write-up'!$Q$21,'[1]observations-276632'!W959&lt;'[1]Methods write-up'!$R$21,'[1]observations-276632'!X959&gt;'[1]Methods write-up'!$S$21,'[1]observations-276632'!X959&lt;'[1]Methods write-up'!$T$21),"Desert and high aridity","")</f>
        <v/>
      </c>
      <c r="BD959" s="23" t="str">
        <f t="shared" si="64"/>
        <v>East Africa</v>
      </c>
      <c r="BE959" s="24">
        <f t="shared" si="62"/>
        <v>27</v>
      </c>
      <c r="BF959" s="24">
        <f t="shared" si="63"/>
        <v>3</v>
      </c>
    </row>
    <row r="960" spans="1:58" ht="16.25" customHeight="1" x14ac:dyDescent="0.2">
      <c r="A960">
        <v>109847157</v>
      </c>
      <c r="B960" s="25">
        <v>44646.555555555555</v>
      </c>
      <c r="C960" s="14">
        <v>44646</v>
      </c>
      <c r="D960" t="s">
        <v>7163</v>
      </c>
      <c r="E960" t="s">
        <v>113</v>
      </c>
      <c r="F960">
        <v>1466715</v>
      </c>
      <c r="G960" t="s">
        <v>7164</v>
      </c>
      <c r="H960" t="s">
        <v>7165</v>
      </c>
      <c r="I960" t="s">
        <v>7166</v>
      </c>
      <c r="J960" t="s">
        <v>7167</v>
      </c>
      <c r="K960" t="s">
        <v>62</v>
      </c>
      <c r="M960" t="s">
        <v>7168</v>
      </c>
      <c r="N960" t="s">
        <v>7169</v>
      </c>
      <c r="R960">
        <v>2</v>
      </c>
      <c r="S960">
        <v>0</v>
      </c>
      <c r="T960" t="b">
        <v>0</v>
      </c>
      <c r="U960">
        <v>2</v>
      </c>
      <c r="V960" t="s">
        <v>7170</v>
      </c>
      <c r="W960" s="15">
        <v>-28.258880399999999</v>
      </c>
      <c r="X960" s="15">
        <v>32.4740617</v>
      </c>
      <c r="AF960" t="b">
        <v>0</v>
      </c>
      <c r="AG960" t="s">
        <v>350</v>
      </c>
      <c r="AH960" t="s">
        <v>350</v>
      </c>
      <c r="AI960" t="s">
        <v>71</v>
      </c>
      <c r="AJ960" t="s">
        <v>70</v>
      </c>
      <c r="AK960" t="s">
        <v>71</v>
      </c>
      <c r="AL960" t="s">
        <v>72</v>
      </c>
      <c r="AM960">
        <v>346053</v>
      </c>
      <c r="AO960" s="16" t="s">
        <v>140</v>
      </c>
      <c r="AP960" s="17" t="str">
        <f t="shared" si="67"/>
        <v>Post-emergence nest</v>
      </c>
      <c r="AQ960" s="18">
        <v>32</v>
      </c>
      <c r="AT960" s="19" t="s">
        <v>141</v>
      </c>
      <c r="AU960" s="20" t="s">
        <v>141</v>
      </c>
      <c r="AX960" s="22" t="str">
        <f>IF(AND('[1]observations-276632'!W960&gt;'[1]Methods write-up'!$Q$16,'[1]observations-276632'!W960&lt;'[1]Methods write-up'!$R$16,'[1]observations-276632'!X960&gt;'[1]Methods write-up'!$S$16,'[1]observations-276632'!X960&lt;'[1]Methods write-up'!$T$16),"West and Central Africa","")</f>
        <v/>
      </c>
      <c r="AY960" s="22" t="str">
        <f>IF(AND('[1]observations-276632'!W960&gt;'[1]Methods write-up'!$Q$17,'[1]observations-276632'!W960&lt;'[1]Methods write-up'!$R$17,'[1]observations-276632'!X960&gt;'[1]Methods write-up'!$S$17,'[1]observations-276632'!X960&lt;'[1]Methods write-up'!$T$17),"Equatorial tropical forest","")</f>
        <v/>
      </c>
      <c r="AZ960" s="22" t="str">
        <f>IF(AND('[1]observations-276632'!W960&gt;'[1]Methods write-up'!$Q$18,'[1]observations-276632'!W960&lt;'[1]Methods write-up'!$R$18,'[1]observations-276632'!X960&gt;'[1]Methods write-up'!$S$18,'[1]observations-276632'!X960&lt;'[1]Methods write-up'!$T$18),"Somali peninsula","")</f>
        <v/>
      </c>
      <c r="BA960" s="22" t="str">
        <f>IF(AND('[1]observations-276632'!W960&gt;'[1]Methods write-up'!$Q$19,'[1]observations-276632'!W960&lt;'[1]Methods write-up'!$R$19,'[1]observations-276632'!X960&gt;'[1]Methods write-up'!$S$19,'[1]observations-276632'!X960&lt;'[1]Methods write-up'!$T$19),"East Africa","")</f>
        <v/>
      </c>
      <c r="BB960" s="22" t="str">
        <f>IF(AND('[1]observations-276632'!W960&gt;'[1]Methods write-up'!$Q$20,'[1]observations-276632'!W960&lt;'[1]Methods write-up'!$R$20,'[1]observations-276632'!X960&gt;'[1]Methods write-up'!$S$20,'[1]observations-276632'!X960&lt;'[1]Methods write-up'!$T$20),"Temperate seasonal","")</f>
        <v>Temperate seasonal</v>
      </c>
      <c r="BC960" s="22" t="str">
        <f>IF(AND('[1]observations-276632'!W960&gt;'[1]Methods write-up'!$Q$21,'[1]observations-276632'!W960&lt;'[1]Methods write-up'!$R$21,'[1]observations-276632'!X960&gt;'[1]Methods write-up'!$S$21,'[1]observations-276632'!X960&lt;'[1]Methods write-up'!$T$21),"Desert and high aridity","")</f>
        <v/>
      </c>
      <c r="BD960" s="23" t="str">
        <f t="shared" si="64"/>
        <v>Temperate seasonal</v>
      </c>
      <c r="BE960" s="24">
        <f t="shared" si="62"/>
        <v>26</v>
      </c>
      <c r="BF960" s="24">
        <f t="shared" si="63"/>
        <v>3</v>
      </c>
    </row>
    <row r="961" spans="1:58" ht="16.25" customHeight="1" x14ac:dyDescent="0.2">
      <c r="A961">
        <v>109854516</v>
      </c>
      <c r="B961" s="25">
        <v>44601.453472222223</v>
      </c>
      <c r="C961" s="14">
        <v>44601</v>
      </c>
      <c r="D961" t="s">
        <v>7171</v>
      </c>
      <c r="E961" t="s">
        <v>113</v>
      </c>
      <c r="F961">
        <v>1604813</v>
      </c>
      <c r="G961" t="s">
        <v>7172</v>
      </c>
      <c r="I961" t="s">
        <v>7173</v>
      </c>
      <c r="J961" t="s">
        <v>7174</v>
      </c>
      <c r="K961" t="s">
        <v>62</v>
      </c>
      <c r="L961" t="s">
        <v>63</v>
      </c>
      <c r="M961" t="s">
        <v>7175</v>
      </c>
      <c r="N961" t="s">
        <v>7176</v>
      </c>
      <c r="R961">
        <v>2</v>
      </c>
      <c r="S961">
        <v>0</v>
      </c>
      <c r="T961" t="b">
        <v>0</v>
      </c>
      <c r="U961">
        <v>2</v>
      </c>
      <c r="V961" t="s">
        <v>7177</v>
      </c>
      <c r="W961" s="15">
        <v>-28.00536228</v>
      </c>
      <c r="X961" s="15">
        <v>31.20588485</v>
      </c>
      <c r="Y961">
        <v>22</v>
      </c>
      <c r="AC961">
        <v>22</v>
      </c>
      <c r="AF961" t="b">
        <v>0</v>
      </c>
      <c r="AG961" t="s">
        <v>350</v>
      </c>
      <c r="AH961" t="s">
        <v>350</v>
      </c>
      <c r="AI961" t="s">
        <v>71</v>
      </c>
      <c r="AJ961" t="s">
        <v>70</v>
      </c>
      <c r="AK961" t="s">
        <v>71</v>
      </c>
      <c r="AL961" t="s">
        <v>72</v>
      </c>
      <c r="AM961">
        <v>346053</v>
      </c>
      <c r="AO961" s="16" t="s">
        <v>140</v>
      </c>
      <c r="AP961" s="17" t="str">
        <f t="shared" si="67"/>
        <v>Post-emergence nest</v>
      </c>
      <c r="AQ961" s="18">
        <v>8</v>
      </c>
      <c r="AT961" s="19" t="s">
        <v>141</v>
      </c>
      <c r="AU961" s="20" t="s">
        <v>315</v>
      </c>
      <c r="AX961" s="22" t="str">
        <f>IF(AND('[1]observations-276632'!W961&gt;'[1]Methods write-up'!$Q$16,'[1]observations-276632'!W961&lt;'[1]Methods write-up'!$R$16,'[1]observations-276632'!X961&gt;'[1]Methods write-up'!$S$16,'[1]observations-276632'!X961&lt;'[1]Methods write-up'!$T$16),"West and Central Africa","")</f>
        <v/>
      </c>
      <c r="AY961" s="22" t="str">
        <f>IF(AND('[1]observations-276632'!W961&gt;'[1]Methods write-up'!$Q$17,'[1]observations-276632'!W961&lt;'[1]Methods write-up'!$R$17,'[1]observations-276632'!X961&gt;'[1]Methods write-up'!$S$17,'[1]observations-276632'!X961&lt;'[1]Methods write-up'!$T$17),"Equatorial tropical forest","")</f>
        <v/>
      </c>
      <c r="AZ961" s="22" t="str">
        <f>IF(AND('[1]observations-276632'!W961&gt;'[1]Methods write-up'!$Q$18,'[1]observations-276632'!W961&lt;'[1]Methods write-up'!$R$18,'[1]observations-276632'!X961&gt;'[1]Methods write-up'!$S$18,'[1]observations-276632'!X961&lt;'[1]Methods write-up'!$T$18),"Somali peninsula","")</f>
        <v/>
      </c>
      <c r="BA961" s="22" t="str">
        <f>IF(AND('[1]observations-276632'!W961&gt;'[1]Methods write-up'!$Q$19,'[1]observations-276632'!W961&lt;'[1]Methods write-up'!$R$19,'[1]observations-276632'!X961&gt;'[1]Methods write-up'!$S$19,'[1]observations-276632'!X961&lt;'[1]Methods write-up'!$T$19),"East Africa","")</f>
        <v/>
      </c>
      <c r="BB961" s="22" t="str">
        <f>IF(AND('[1]observations-276632'!W961&gt;'[1]Methods write-up'!$Q$20,'[1]observations-276632'!W961&lt;'[1]Methods write-up'!$R$20,'[1]observations-276632'!X961&gt;'[1]Methods write-up'!$S$20,'[1]observations-276632'!X961&lt;'[1]Methods write-up'!$T$20),"Temperate seasonal","")</f>
        <v>Temperate seasonal</v>
      </c>
      <c r="BC961" s="22" t="str">
        <f>IF(AND('[1]observations-276632'!W961&gt;'[1]Methods write-up'!$Q$21,'[1]observations-276632'!W961&lt;'[1]Methods write-up'!$R$21,'[1]observations-276632'!X961&gt;'[1]Methods write-up'!$S$21,'[1]observations-276632'!X961&lt;'[1]Methods write-up'!$T$21),"Desert and high aridity","")</f>
        <v/>
      </c>
      <c r="BD961" s="23" t="str">
        <f t="shared" si="64"/>
        <v>Temperate seasonal</v>
      </c>
      <c r="BE961" s="24">
        <f t="shared" si="62"/>
        <v>9</v>
      </c>
      <c r="BF961" s="24">
        <f t="shared" si="63"/>
        <v>2</v>
      </c>
    </row>
    <row r="962" spans="1:58" ht="16.25" customHeight="1" x14ac:dyDescent="0.2">
      <c r="A962">
        <v>109898754</v>
      </c>
      <c r="B962" s="25">
        <v>44650.281944444447</v>
      </c>
      <c r="C962" s="14">
        <v>44650</v>
      </c>
      <c r="D962" t="s">
        <v>7178</v>
      </c>
      <c r="E962" t="s">
        <v>113</v>
      </c>
      <c r="F962">
        <v>1923168</v>
      </c>
      <c r="G962" t="s">
        <v>7179</v>
      </c>
      <c r="H962" t="s">
        <v>7180</v>
      </c>
      <c r="I962" t="s">
        <v>7181</v>
      </c>
      <c r="J962" t="s">
        <v>7182</v>
      </c>
      <c r="K962" t="s">
        <v>62</v>
      </c>
      <c r="M962" t="s">
        <v>7183</v>
      </c>
      <c r="N962" t="s">
        <v>7184</v>
      </c>
      <c r="R962">
        <v>2</v>
      </c>
      <c r="S962">
        <v>0</v>
      </c>
      <c r="T962" t="b">
        <v>0</v>
      </c>
      <c r="U962">
        <v>2</v>
      </c>
      <c r="V962" t="s">
        <v>7185</v>
      </c>
      <c r="W962" s="15">
        <v>-29.718347219999998</v>
      </c>
      <c r="X962" s="15">
        <v>31.049483330000001</v>
      </c>
      <c r="AF962" t="b">
        <v>0</v>
      </c>
      <c r="AG962" t="s">
        <v>350</v>
      </c>
      <c r="AH962" t="s">
        <v>350</v>
      </c>
      <c r="AI962" t="s">
        <v>71</v>
      </c>
      <c r="AJ962" t="s">
        <v>70</v>
      </c>
      <c r="AK962" t="s">
        <v>71</v>
      </c>
      <c r="AL962" t="s">
        <v>72</v>
      </c>
      <c r="AM962">
        <v>346053</v>
      </c>
      <c r="AO962" s="16" t="s">
        <v>140</v>
      </c>
      <c r="AP962" s="17" t="str">
        <f t="shared" si="67"/>
        <v>Post-emergence nest</v>
      </c>
      <c r="AQ962" s="18">
        <v>9</v>
      </c>
      <c r="AT962" s="19" t="s">
        <v>141</v>
      </c>
      <c r="AU962" s="20" t="s">
        <v>104</v>
      </c>
      <c r="AX962" s="22" t="str">
        <f>IF(AND('[1]observations-276632'!W962&gt;'[1]Methods write-up'!$Q$16,'[1]observations-276632'!W962&lt;'[1]Methods write-up'!$R$16,'[1]observations-276632'!X962&gt;'[1]Methods write-up'!$S$16,'[1]observations-276632'!X962&lt;'[1]Methods write-up'!$T$16),"West and Central Africa","")</f>
        <v/>
      </c>
      <c r="AY962" s="22" t="str">
        <f>IF(AND('[1]observations-276632'!W962&gt;'[1]Methods write-up'!$Q$17,'[1]observations-276632'!W962&lt;'[1]Methods write-up'!$R$17,'[1]observations-276632'!X962&gt;'[1]Methods write-up'!$S$17,'[1]observations-276632'!X962&lt;'[1]Methods write-up'!$T$17),"Equatorial tropical forest","")</f>
        <v/>
      </c>
      <c r="AZ962" s="22" t="str">
        <f>IF(AND('[1]observations-276632'!W962&gt;'[1]Methods write-up'!$Q$18,'[1]observations-276632'!W962&lt;'[1]Methods write-up'!$R$18,'[1]observations-276632'!X962&gt;'[1]Methods write-up'!$S$18,'[1]observations-276632'!X962&lt;'[1]Methods write-up'!$T$18),"Somali peninsula","")</f>
        <v/>
      </c>
      <c r="BA962" s="22" t="str">
        <f>IF(AND('[1]observations-276632'!W962&gt;'[1]Methods write-up'!$Q$19,'[1]observations-276632'!W962&lt;'[1]Methods write-up'!$R$19,'[1]observations-276632'!X962&gt;'[1]Methods write-up'!$S$19,'[1]observations-276632'!X962&lt;'[1]Methods write-up'!$T$19),"East Africa","")</f>
        <v/>
      </c>
      <c r="BB962" s="22" t="str">
        <f>IF(AND('[1]observations-276632'!W962&gt;'[1]Methods write-up'!$Q$20,'[1]observations-276632'!W962&lt;'[1]Methods write-up'!$R$20,'[1]observations-276632'!X962&gt;'[1]Methods write-up'!$S$20,'[1]observations-276632'!X962&lt;'[1]Methods write-up'!$T$20),"Temperate seasonal","")</f>
        <v>Temperate seasonal</v>
      </c>
      <c r="BC962" s="22" t="str">
        <f>IF(AND('[1]observations-276632'!W962&gt;'[1]Methods write-up'!$Q$21,'[1]observations-276632'!W962&lt;'[1]Methods write-up'!$R$21,'[1]observations-276632'!X962&gt;'[1]Methods write-up'!$S$21,'[1]observations-276632'!X962&lt;'[1]Methods write-up'!$T$21),"Desert and high aridity","")</f>
        <v/>
      </c>
      <c r="BD962" s="23" t="str">
        <f t="shared" si="64"/>
        <v>Temperate seasonal</v>
      </c>
      <c r="BE962" s="24">
        <f t="shared" ref="BE962:BE1025" si="68">DAY(C962)</f>
        <v>30</v>
      </c>
      <c r="BF962" s="24">
        <f t="shared" ref="BF962:BF1025" si="69">MONTH(C962)</f>
        <v>3</v>
      </c>
    </row>
    <row r="963" spans="1:58" ht="16.25" customHeight="1" x14ac:dyDescent="0.2">
      <c r="A963">
        <v>109901568</v>
      </c>
      <c r="B963" t="s">
        <v>7186</v>
      </c>
      <c r="C963" s="14">
        <v>44628</v>
      </c>
      <c r="D963" t="s">
        <v>7187</v>
      </c>
      <c r="E963" t="s">
        <v>243</v>
      </c>
      <c r="F963">
        <v>1926371</v>
      </c>
      <c r="G963" t="s">
        <v>7188</v>
      </c>
      <c r="H963" t="s">
        <v>7189</v>
      </c>
      <c r="I963" t="s">
        <v>7190</v>
      </c>
      <c r="J963" t="s">
        <v>7191</v>
      </c>
      <c r="K963" t="s">
        <v>62</v>
      </c>
      <c r="L963" t="s">
        <v>98</v>
      </c>
      <c r="M963" t="s">
        <v>7192</v>
      </c>
      <c r="N963" t="s">
        <v>7193</v>
      </c>
      <c r="R963">
        <v>2</v>
      </c>
      <c r="S963">
        <v>0</v>
      </c>
      <c r="T963" t="b">
        <v>0</v>
      </c>
      <c r="V963" t="s">
        <v>7194</v>
      </c>
      <c r="W963" s="15">
        <v>12.468038330000001</v>
      </c>
      <c r="X963" s="15">
        <v>-16.647731669999999</v>
      </c>
      <c r="AF963" t="b">
        <v>0</v>
      </c>
      <c r="AI963" t="s">
        <v>71</v>
      </c>
      <c r="AJ963" t="s">
        <v>70</v>
      </c>
      <c r="AK963" t="s">
        <v>71</v>
      </c>
      <c r="AL963" t="s">
        <v>72</v>
      </c>
      <c r="AM963">
        <v>346053</v>
      </c>
      <c r="AO963" s="16" t="s">
        <v>73</v>
      </c>
      <c r="AP963" s="17" t="str">
        <f t="shared" si="67"/>
        <v>Off-nest female</v>
      </c>
      <c r="AX963" s="22" t="str">
        <f>IF(AND('[1]observations-276632'!W963&gt;'[1]Methods write-up'!$Q$16,'[1]observations-276632'!W963&lt;'[1]Methods write-up'!$R$16,'[1]observations-276632'!X963&gt;'[1]Methods write-up'!$S$16,'[1]observations-276632'!X963&lt;'[1]Methods write-up'!$T$16),"West and Central Africa","")</f>
        <v/>
      </c>
      <c r="AY963" s="22" t="str">
        <f>IF(AND('[1]observations-276632'!W963&gt;'[1]Methods write-up'!$Q$17,'[1]observations-276632'!W963&lt;'[1]Methods write-up'!$R$17,'[1]observations-276632'!X963&gt;'[1]Methods write-up'!$S$17,'[1]observations-276632'!X963&lt;'[1]Methods write-up'!$T$17),"Equatorial tropical forest","")</f>
        <v/>
      </c>
      <c r="AZ963" s="22" t="str">
        <f>IF(AND('[1]observations-276632'!W963&gt;'[1]Methods write-up'!$Q$18,'[1]observations-276632'!W963&lt;'[1]Methods write-up'!$R$18,'[1]observations-276632'!X963&gt;'[1]Methods write-up'!$S$18,'[1]observations-276632'!X963&lt;'[1]Methods write-up'!$T$18),"Somali peninsula","")</f>
        <v/>
      </c>
      <c r="BA963" s="22" t="str">
        <f>IF(AND('[1]observations-276632'!W963&gt;'[1]Methods write-up'!$Q$19,'[1]observations-276632'!W963&lt;'[1]Methods write-up'!$R$19,'[1]observations-276632'!X963&gt;'[1]Methods write-up'!$S$19,'[1]observations-276632'!X963&lt;'[1]Methods write-up'!$T$19),"East Africa","")</f>
        <v/>
      </c>
      <c r="BB963" s="22" t="str">
        <f>IF(AND('[1]observations-276632'!W963&gt;'[1]Methods write-up'!$Q$20,'[1]observations-276632'!W963&lt;'[1]Methods write-up'!$R$20,'[1]observations-276632'!X963&gt;'[1]Methods write-up'!$S$20,'[1]observations-276632'!X963&lt;'[1]Methods write-up'!$T$20),"Temperate seasonal","")</f>
        <v/>
      </c>
      <c r="BC963" s="22" t="str">
        <f>IF(AND('[1]observations-276632'!W963&gt;'[1]Methods write-up'!$Q$21,'[1]observations-276632'!W963&lt;'[1]Methods write-up'!$R$21,'[1]observations-276632'!X963&gt;'[1]Methods write-up'!$S$21,'[1]observations-276632'!X963&lt;'[1]Methods write-up'!$T$21),"Desert and high aridity","")</f>
        <v/>
      </c>
      <c r="BD963" s="23" t="str">
        <f t="shared" ref="BD963:BD1026" si="70">AX963&amp;AY963&amp;AZ963&amp;BA963&amp;BB963&amp;BC963</f>
        <v/>
      </c>
      <c r="BE963" s="24">
        <f t="shared" si="68"/>
        <v>8</v>
      </c>
      <c r="BF963" s="24">
        <f t="shared" si="69"/>
        <v>3</v>
      </c>
    </row>
    <row r="964" spans="1:58" ht="16.25" customHeight="1" x14ac:dyDescent="0.2">
      <c r="A964">
        <v>109925180</v>
      </c>
      <c r="B964" t="s">
        <v>7195</v>
      </c>
      <c r="C964" s="14">
        <v>41866</v>
      </c>
      <c r="D964" t="s">
        <v>7196</v>
      </c>
      <c r="E964" t="s">
        <v>243</v>
      </c>
      <c r="F964">
        <v>5422932</v>
      </c>
      <c r="G964" t="s">
        <v>7197</v>
      </c>
      <c r="I964" t="s">
        <v>7198</v>
      </c>
      <c r="J964" t="s">
        <v>7199</v>
      </c>
      <c r="K964" t="s">
        <v>62</v>
      </c>
      <c r="L964" t="s">
        <v>63</v>
      </c>
      <c r="M964" t="s">
        <v>7200</v>
      </c>
      <c r="N964" t="s">
        <v>7201</v>
      </c>
      <c r="R964">
        <v>1</v>
      </c>
      <c r="S964">
        <v>0</v>
      </c>
      <c r="T964" t="b">
        <v>0</v>
      </c>
      <c r="V964" t="s">
        <v>7202</v>
      </c>
      <c r="W964" s="15">
        <v>-1.5924878220000001</v>
      </c>
      <c r="X964" s="15">
        <v>35.390482689999999</v>
      </c>
      <c r="Y964">
        <v>8</v>
      </c>
      <c r="AC964">
        <v>8</v>
      </c>
      <c r="AF964" t="b">
        <v>0</v>
      </c>
      <c r="AI964" t="s">
        <v>71</v>
      </c>
      <c r="AJ964" t="s">
        <v>70</v>
      </c>
      <c r="AK964" t="s">
        <v>71</v>
      </c>
      <c r="AL964" t="s">
        <v>72</v>
      </c>
      <c r="AM964">
        <v>346053</v>
      </c>
      <c r="AO964" s="16" t="s">
        <v>73</v>
      </c>
      <c r="AP964" s="17" t="str">
        <f t="shared" si="67"/>
        <v>Off-nest female</v>
      </c>
      <c r="AX964" s="22" t="str">
        <f>IF(AND('[1]observations-276632'!W964&gt;'[1]Methods write-up'!$Q$16,'[1]observations-276632'!W964&lt;'[1]Methods write-up'!$R$16,'[1]observations-276632'!X964&gt;'[1]Methods write-up'!$S$16,'[1]observations-276632'!X964&lt;'[1]Methods write-up'!$T$16),"West and Central Africa","")</f>
        <v/>
      </c>
      <c r="AY964" s="22" t="str">
        <f>IF(AND('[1]observations-276632'!W964&gt;'[1]Methods write-up'!$Q$17,'[1]observations-276632'!W964&lt;'[1]Methods write-up'!$R$17,'[1]observations-276632'!X964&gt;'[1]Methods write-up'!$S$17,'[1]observations-276632'!X964&lt;'[1]Methods write-up'!$T$17),"Equatorial tropical forest","")</f>
        <v/>
      </c>
      <c r="AZ964" s="22" t="str">
        <f>IF(AND('[1]observations-276632'!W964&gt;'[1]Methods write-up'!$Q$18,'[1]observations-276632'!W964&lt;'[1]Methods write-up'!$R$18,'[1]observations-276632'!X964&gt;'[1]Methods write-up'!$S$18,'[1]observations-276632'!X964&lt;'[1]Methods write-up'!$T$18),"Somali peninsula","")</f>
        <v/>
      </c>
      <c r="BA964" s="22" t="str">
        <f>IF(AND('[1]observations-276632'!W964&gt;'[1]Methods write-up'!$Q$19,'[1]observations-276632'!W964&lt;'[1]Methods write-up'!$R$19,'[1]observations-276632'!X964&gt;'[1]Methods write-up'!$S$19,'[1]observations-276632'!X964&lt;'[1]Methods write-up'!$T$19),"East Africa","")</f>
        <v>East Africa</v>
      </c>
      <c r="BB964" s="22" t="str">
        <f>IF(AND('[1]observations-276632'!W964&gt;'[1]Methods write-up'!$Q$20,'[1]observations-276632'!W964&lt;'[1]Methods write-up'!$R$20,'[1]observations-276632'!X964&gt;'[1]Methods write-up'!$S$20,'[1]observations-276632'!X964&lt;'[1]Methods write-up'!$T$20),"Temperate seasonal","")</f>
        <v/>
      </c>
      <c r="BC964" s="22" t="str">
        <f>IF(AND('[1]observations-276632'!W964&gt;'[1]Methods write-up'!$Q$21,'[1]observations-276632'!W964&lt;'[1]Methods write-up'!$R$21,'[1]observations-276632'!X964&gt;'[1]Methods write-up'!$S$21,'[1]observations-276632'!X964&lt;'[1]Methods write-up'!$T$21),"Desert and high aridity","")</f>
        <v/>
      </c>
      <c r="BD964" s="23" t="str">
        <f t="shared" si="70"/>
        <v>East Africa</v>
      </c>
      <c r="BE964" s="24">
        <f t="shared" si="68"/>
        <v>15</v>
      </c>
      <c r="BF964" s="24">
        <f t="shared" si="69"/>
        <v>8</v>
      </c>
    </row>
    <row r="965" spans="1:58" ht="16.25" customHeight="1" x14ac:dyDescent="0.2">
      <c r="A965">
        <v>110000593</v>
      </c>
      <c r="B965" s="25">
        <v>44650.32708333333</v>
      </c>
      <c r="C965" s="14">
        <v>44650</v>
      </c>
      <c r="D965" t="s">
        <v>7203</v>
      </c>
      <c r="E965" t="s">
        <v>93</v>
      </c>
      <c r="F965">
        <v>1135772</v>
      </c>
      <c r="G965" t="s">
        <v>7204</v>
      </c>
      <c r="H965" t="s">
        <v>7205</v>
      </c>
      <c r="I965" t="s">
        <v>7206</v>
      </c>
      <c r="J965" t="s">
        <v>7207</v>
      </c>
      <c r="K965" t="s">
        <v>62</v>
      </c>
      <c r="L965" t="s">
        <v>63</v>
      </c>
      <c r="M965" t="s">
        <v>7208</v>
      </c>
      <c r="N965" t="s">
        <v>7209</v>
      </c>
      <c r="R965">
        <v>1</v>
      </c>
      <c r="S965">
        <v>0</v>
      </c>
      <c r="T965" t="b">
        <v>0</v>
      </c>
      <c r="U965">
        <v>2</v>
      </c>
      <c r="V965" t="s">
        <v>7210</v>
      </c>
      <c r="W965" s="15">
        <v>0.51826746300000004</v>
      </c>
      <c r="X965" s="15">
        <v>32.626443100000003</v>
      </c>
      <c r="Y965">
        <v>20</v>
      </c>
      <c r="AC965">
        <v>20</v>
      </c>
      <c r="AF965" t="b">
        <v>0</v>
      </c>
      <c r="AG965" t="s">
        <v>350</v>
      </c>
      <c r="AH965" t="s">
        <v>350</v>
      </c>
      <c r="AI965" t="s">
        <v>71</v>
      </c>
      <c r="AJ965" t="s">
        <v>70</v>
      </c>
      <c r="AK965" t="s">
        <v>71</v>
      </c>
      <c r="AL965" t="s">
        <v>72</v>
      </c>
      <c r="AM965">
        <v>346053</v>
      </c>
      <c r="AO965" s="16" t="s">
        <v>73</v>
      </c>
      <c r="AP965" s="17" t="str">
        <f t="shared" si="67"/>
        <v>Off-nest female</v>
      </c>
      <c r="AX965" s="22" t="str">
        <f>IF(AND('[1]observations-276632'!W965&gt;'[1]Methods write-up'!$Q$16,'[1]observations-276632'!W965&lt;'[1]Methods write-up'!$R$16,'[1]observations-276632'!X965&gt;'[1]Methods write-up'!$S$16,'[1]observations-276632'!X965&lt;'[1]Methods write-up'!$T$16),"West and Central Africa","")</f>
        <v/>
      </c>
      <c r="AY965" s="22" t="str">
        <f>IF(AND('[1]observations-276632'!W965&gt;'[1]Methods write-up'!$Q$17,'[1]observations-276632'!W965&lt;'[1]Methods write-up'!$R$17,'[1]observations-276632'!X965&gt;'[1]Methods write-up'!$S$17,'[1]observations-276632'!X965&lt;'[1]Methods write-up'!$T$17),"Equatorial tropical forest","")</f>
        <v/>
      </c>
      <c r="AZ965" s="22" t="str">
        <f>IF(AND('[1]observations-276632'!W965&gt;'[1]Methods write-up'!$Q$18,'[1]observations-276632'!W965&lt;'[1]Methods write-up'!$R$18,'[1]observations-276632'!X965&gt;'[1]Methods write-up'!$S$18,'[1]observations-276632'!X965&lt;'[1]Methods write-up'!$T$18),"Somali peninsula","")</f>
        <v/>
      </c>
      <c r="BA965" s="22" t="str">
        <f>IF(AND('[1]observations-276632'!W965&gt;'[1]Methods write-up'!$Q$19,'[1]observations-276632'!W965&lt;'[1]Methods write-up'!$R$19,'[1]observations-276632'!X965&gt;'[1]Methods write-up'!$S$19,'[1]observations-276632'!X965&lt;'[1]Methods write-up'!$T$19),"East Africa","")</f>
        <v>East Africa</v>
      </c>
      <c r="BB965" s="22" t="str">
        <f>IF(AND('[1]observations-276632'!W965&gt;'[1]Methods write-up'!$Q$20,'[1]observations-276632'!W965&lt;'[1]Methods write-up'!$R$20,'[1]observations-276632'!X965&gt;'[1]Methods write-up'!$S$20,'[1]observations-276632'!X965&lt;'[1]Methods write-up'!$T$20),"Temperate seasonal","")</f>
        <v/>
      </c>
      <c r="BC965" s="22" t="str">
        <f>IF(AND('[1]observations-276632'!W965&gt;'[1]Methods write-up'!$Q$21,'[1]observations-276632'!W965&lt;'[1]Methods write-up'!$R$21,'[1]observations-276632'!X965&gt;'[1]Methods write-up'!$S$21,'[1]observations-276632'!X965&lt;'[1]Methods write-up'!$T$21),"Desert and high aridity","")</f>
        <v/>
      </c>
      <c r="BD965" s="23" t="str">
        <f t="shared" si="70"/>
        <v>East Africa</v>
      </c>
      <c r="BE965" s="24">
        <f t="shared" si="68"/>
        <v>30</v>
      </c>
      <c r="BF965" s="24">
        <f t="shared" si="69"/>
        <v>3</v>
      </c>
    </row>
    <row r="966" spans="1:58" ht="16.25" customHeight="1" x14ac:dyDescent="0.2">
      <c r="A966">
        <v>110159067</v>
      </c>
      <c r="B966" t="s">
        <v>7211</v>
      </c>
      <c r="C966" s="14">
        <v>44444</v>
      </c>
      <c r="D966" t="s">
        <v>7212</v>
      </c>
      <c r="E966" t="s">
        <v>3040</v>
      </c>
      <c r="F966">
        <v>1549528</v>
      </c>
      <c r="G966" t="s">
        <v>3041</v>
      </c>
      <c r="H966" t="s">
        <v>3042</v>
      </c>
      <c r="I966" t="s">
        <v>7213</v>
      </c>
      <c r="J966" t="s">
        <v>7214</v>
      </c>
      <c r="K966" t="s">
        <v>62</v>
      </c>
      <c r="L966" t="s">
        <v>63</v>
      </c>
      <c r="M966" t="s">
        <v>7215</v>
      </c>
      <c r="N966" t="s">
        <v>7216</v>
      </c>
      <c r="R966">
        <v>1</v>
      </c>
      <c r="S966">
        <v>0</v>
      </c>
      <c r="T966" t="b">
        <v>0</v>
      </c>
      <c r="V966" t="s">
        <v>7217</v>
      </c>
      <c r="W966" s="15">
        <v>0.23165142499999999</v>
      </c>
      <c r="X966" s="15">
        <v>32.562423989999999</v>
      </c>
      <c r="Y966">
        <v>191</v>
      </c>
      <c r="AC966">
        <v>191</v>
      </c>
      <c r="AF966" t="b">
        <v>0</v>
      </c>
      <c r="AI966" t="s">
        <v>71</v>
      </c>
      <c r="AJ966" t="s">
        <v>70</v>
      </c>
      <c r="AK966" t="s">
        <v>71</v>
      </c>
      <c r="AL966" t="s">
        <v>72</v>
      </c>
      <c r="AM966">
        <v>346053</v>
      </c>
      <c r="AO966" s="16" t="s">
        <v>73</v>
      </c>
      <c r="AP966" s="17" t="str">
        <f t="shared" si="67"/>
        <v>Off-nest female</v>
      </c>
      <c r="AX966" s="22" t="str">
        <f>IF(AND('[1]observations-276632'!W966&gt;'[1]Methods write-up'!$Q$16,'[1]observations-276632'!W966&lt;'[1]Methods write-up'!$R$16,'[1]observations-276632'!X966&gt;'[1]Methods write-up'!$S$16,'[1]observations-276632'!X966&lt;'[1]Methods write-up'!$T$16),"West and Central Africa","")</f>
        <v/>
      </c>
      <c r="AY966" s="22" t="str">
        <f>IF(AND('[1]observations-276632'!W966&gt;'[1]Methods write-up'!$Q$17,'[1]observations-276632'!W966&lt;'[1]Methods write-up'!$R$17,'[1]observations-276632'!X966&gt;'[1]Methods write-up'!$S$17,'[1]observations-276632'!X966&lt;'[1]Methods write-up'!$T$17),"Equatorial tropical forest","")</f>
        <v/>
      </c>
      <c r="AZ966" s="22" t="str">
        <f>IF(AND('[1]observations-276632'!W966&gt;'[1]Methods write-up'!$Q$18,'[1]observations-276632'!W966&lt;'[1]Methods write-up'!$R$18,'[1]observations-276632'!X966&gt;'[1]Methods write-up'!$S$18,'[1]observations-276632'!X966&lt;'[1]Methods write-up'!$T$18),"Somali peninsula","")</f>
        <v/>
      </c>
      <c r="BA966" s="22" t="str">
        <f>IF(AND('[1]observations-276632'!W966&gt;'[1]Methods write-up'!$Q$19,'[1]observations-276632'!W966&lt;'[1]Methods write-up'!$R$19,'[1]observations-276632'!X966&gt;'[1]Methods write-up'!$S$19,'[1]observations-276632'!X966&lt;'[1]Methods write-up'!$T$19),"East Africa","")</f>
        <v>East Africa</v>
      </c>
      <c r="BB966" s="22" t="str">
        <f>IF(AND('[1]observations-276632'!W966&gt;'[1]Methods write-up'!$Q$20,'[1]observations-276632'!W966&lt;'[1]Methods write-up'!$R$20,'[1]observations-276632'!X966&gt;'[1]Methods write-up'!$S$20,'[1]observations-276632'!X966&lt;'[1]Methods write-up'!$T$20),"Temperate seasonal","")</f>
        <v/>
      </c>
      <c r="BC966" s="22" t="str">
        <f>IF(AND('[1]observations-276632'!W966&gt;'[1]Methods write-up'!$Q$21,'[1]observations-276632'!W966&lt;'[1]Methods write-up'!$R$21,'[1]observations-276632'!X966&gt;'[1]Methods write-up'!$S$21,'[1]observations-276632'!X966&lt;'[1]Methods write-up'!$T$21),"Desert and high aridity","")</f>
        <v/>
      </c>
      <c r="BD966" s="23" t="str">
        <f t="shared" si="70"/>
        <v>East Africa</v>
      </c>
      <c r="BE966" s="24">
        <f t="shared" si="68"/>
        <v>5</v>
      </c>
      <c r="BF966" s="24">
        <f t="shared" si="69"/>
        <v>9</v>
      </c>
    </row>
    <row r="967" spans="1:58" ht="16.25" customHeight="1" x14ac:dyDescent="0.2">
      <c r="A967">
        <v>110261113</v>
      </c>
      <c r="B967" t="s">
        <v>7218</v>
      </c>
      <c r="C967" s="14">
        <v>44545</v>
      </c>
      <c r="D967" t="s">
        <v>7219</v>
      </c>
      <c r="E967" t="s">
        <v>3040</v>
      </c>
      <c r="F967">
        <v>1549528</v>
      </c>
      <c r="G967" t="s">
        <v>3041</v>
      </c>
      <c r="H967" t="s">
        <v>3042</v>
      </c>
      <c r="I967" t="s">
        <v>7220</v>
      </c>
      <c r="J967" t="s">
        <v>7221</v>
      </c>
      <c r="K967" t="s">
        <v>62</v>
      </c>
      <c r="L967" t="s">
        <v>63</v>
      </c>
      <c r="M967" t="s">
        <v>7222</v>
      </c>
      <c r="N967" t="s">
        <v>7223</v>
      </c>
      <c r="R967">
        <v>1</v>
      </c>
      <c r="S967">
        <v>0</v>
      </c>
      <c r="T967" t="b">
        <v>0</v>
      </c>
      <c r="V967" t="s">
        <v>7217</v>
      </c>
      <c r="W967" s="15">
        <v>0.231458307</v>
      </c>
      <c r="X967" s="15">
        <v>32.562187960000003</v>
      </c>
      <c r="Y967">
        <v>208</v>
      </c>
      <c r="AC967">
        <v>208</v>
      </c>
      <c r="AF967" t="b">
        <v>0</v>
      </c>
      <c r="AI967" t="s">
        <v>71</v>
      </c>
      <c r="AJ967" t="s">
        <v>70</v>
      </c>
      <c r="AK967" t="s">
        <v>71</v>
      </c>
      <c r="AL967" t="s">
        <v>72</v>
      </c>
      <c r="AM967">
        <v>346053</v>
      </c>
      <c r="AO967" s="16" t="s">
        <v>818</v>
      </c>
      <c r="AP967" s="17" t="str">
        <f t="shared" si="67"/>
        <v>Abandoned post-emergence nest</v>
      </c>
      <c r="AV967" s="21" t="s">
        <v>7224</v>
      </c>
      <c r="AX967" s="22" t="str">
        <f>IF(AND('[1]observations-276632'!W967&gt;'[1]Methods write-up'!$Q$16,'[1]observations-276632'!W967&lt;'[1]Methods write-up'!$R$16,'[1]observations-276632'!X967&gt;'[1]Methods write-up'!$S$16,'[1]observations-276632'!X967&lt;'[1]Methods write-up'!$T$16),"West and Central Africa","")</f>
        <v/>
      </c>
      <c r="AY967" s="22" t="str">
        <f>IF(AND('[1]observations-276632'!W967&gt;'[1]Methods write-up'!$Q$17,'[1]observations-276632'!W967&lt;'[1]Methods write-up'!$R$17,'[1]observations-276632'!X967&gt;'[1]Methods write-up'!$S$17,'[1]observations-276632'!X967&lt;'[1]Methods write-up'!$T$17),"Equatorial tropical forest","")</f>
        <v/>
      </c>
      <c r="AZ967" s="22" t="str">
        <f>IF(AND('[1]observations-276632'!W967&gt;'[1]Methods write-up'!$Q$18,'[1]observations-276632'!W967&lt;'[1]Methods write-up'!$R$18,'[1]observations-276632'!X967&gt;'[1]Methods write-up'!$S$18,'[1]observations-276632'!X967&lt;'[1]Methods write-up'!$T$18),"Somali peninsula","")</f>
        <v/>
      </c>
      <c r="BA967" s="22" t="str">
        <f>IF(AND('[1]observations-276632'!W967&gt;'[1]Methods write-up'!$Q$19,'[1]observations-276632'!W967&lt;'[1]Methods write-up'!$R$19,'[1]observations-276632'!X967&gt;'[1]Methods write-up'!$S$19,'[1]observations-276632'!X967&lt;'[1]Methods write-up'!$T$19),"East Africa","")</f>
        <v>East Africa</v>
      </c>
      <c r="BB967" s="22" t="str">
        <f>IF(AND('[1]observations-276632'!W967&gt;'[1]Methods write-up'!$Q$20,'[1]observations-276632'!W967&lt;'[1]Methods write-up'!$R$20,'[1]observations-276632'!X967&gt;'[1]Methods write-up'!$S$20,'[1]observations-276632'!X967&lt;'[1]Methods write-up'!$T$20),"Temperate seasonal","")</f>
        <v/>
      </c>
      <c r="BC967" s="22" t="str">
        <f>IF(AND('[1]observations-276632'!W967&gt;'[1]Methods write-up'!$Q$21,'[1]observations-276632'!W967&lt;'[1]Methods write-up'!$R$21,'[1]observations-276632'!X967&gt;'[1]Methods write-up'!$S$21,'[1]observations-276632'!X967&lt;'[1]Methods write-up'!$T$21),"Desert and high aridity","")</f>
        <v/>
      </c>
      <c r="BD967" s="23" t="str">
        <f t="shared" si="70"/>
        <v>East Africa</v>
      </c>
      <c r="BE967" s="24">
        <f t="shared" si="68"/>
        <v>15</v>
      </c>
      <c r="BF967" s="24">
        <f t="shared" si="69"/>
        <v>12</v>
      </c>
    </row>
    <row r="968" spans="1:58" ht="16.25" customHeight="1" x14ac:dyDescent="0.2">
      <c r="A968">
        <v>110376421</v>
      </c>
      <c r="B968" t="s">
        <v>7225</v>
      </c>
      <c r="C968" s="14">
        <v>44652</v>
      </c>
      <c r="D968" t="s">
        <v>7226</v>
      </c>
      <c r="E968" t="s">
        <v>1408</v>
      </c>
      <c r="F968">
        <v>3381298</v>
      </c>
      <c r="G968" t="s">
        <v>7227</v>
      </c>
      <c r="H968" t="s">
        <v>7228</v>
      </c>
      <c r="I968" t="s">
        <v>7229</v>
      </c>
      <c r="J968" t="s">
        <v>7230</v>
      </c>
      <c r="K968" t="s">
        <v>62</v>
      </c>
      <c r="M968" t="s">
        <v>7231</v>
      </c>
      <c r="N968" t="s">
        <v>7232</v>
      </c>
      <c r="R968">
        <v>2</v>
      </c>
      <c r="S968">
        <v>0</v>
      </c>
      <c r="T968" t="b">
        <v>0</v>
      </c>
      <c r="V968" t="s">
        <v>7233</v>
      </c>
      <c r="W968" s="15">
        <v>-26.573631200000001</v>
      </c>
      <c r="X968" s="15">
        <v>27.105008300000001</v>
      </c>
      <c r="Y968">
        <v>210</v>
      </c>
      <c r="AC968">
        <v>210</v>
      </c>
      <c r="AF968" t="b">
        <v>0</v>
      </c>
      <c r="AI968" t="s">
        <v>71</v>
      </c>
      <c r="AJ968" t="s">
        <v>70</v>
      </c>
      <c r="AK968" t="s">
        <v>71</v>
      </c>
      <c r="AL968" t="s">
        <v>72</v>
      </c>
      <c r="AM968">
        <v>346053</v>
      </c>
      <c r="AO968" s="16" t="s">
        <v>73</v>
      </c>
      <c r="AP968" s="17" t="str">
        <f t="shared" si="67"/>
        <v>Off-nest female</v>
      </c>
      <c r="AX968" s="22" t="str">
        <f>IF(AND('[1]observations-276632'!W968&gt;'[1]Methods write-up'!$Q$16,'[1]observations-276632'!W968&lt;'[1]Methods write-up'!$R$16,'[1]observations-276632'!X968&gt;'[1]Methods write-up'!$S$16,'[1]observations-276632'!X968&lt;'[1]Methods write-up'!$T$16),"West and Central Africa","")</f>
        <v/>
      </c>
      <c r="AY968" s="22" t="str">
        <f>IF(AND('[1]observations-276632'!W968&gt;'[1]Methods write-up'!$Q$17,'[1]observations-276632'!W968&lt;'[1]Methods write-up'!$R$17,'[1]observations-276632'!X968&gt;'[1]Methods write-up'!$S$17,'[1]observations-276632'!X968&lt;'[1]Methods write-up'!$T$17),"Equatorial tropical forest","")</f>
        <v/>
      </c>
      <c r="AZ968" s="22" t="str">
        <f>IF(AND('[1]observations-276632'!W968&gt;'[1]Methods write-up'!$Q$18,'[1]observations-276632'!W968&lt;'[1]Methods write-up'!$R$18,'[1]observations-276632'!X968&gt;'[1]Methods write-up'!$S$18,'[1]observations-276632'!X968&lt;'[1]Methods write-up'!$T$18),"Somali peninsula","")</f>
        <v/>
      </c>
      <c r="BA968" s="22" t="str">
        <f>IF(AND('[1]observations-276632'!W968&gt;'[1]Methods write-up'!$Q$19,'[1]observations-276632'!W968&lt;'[1]Methods write-up'!$R$19,'[1]observations-276632'!X968&gt;'[1]Methods write-up'!$S$19,'[1]observations-276632'!X968&lt;'[1]Methods write-up'!$T$19),"East Africa","")</f>
        <v/>
      </c>
      <c r="BB968" s="22" t="str">
        <f>IF(AND('[1]observations-276632'!W968&gt;'[1]Methods write-up'!$Q$20,'[1]observations-276632'!W968&lt;'[1]Methods write-up'!$R$20,'[1]observations-276632'!X968&gt;'[1]Methods write-up'!$S$20,'[1]observations-276632'!X968&lt;'[1]Methods write-up'!$T$20),"Temperate seasonal","")</f>
        <v>Temperate seasonal</v>
      </c>
      <c r="BC968" s="22" t="str">
        <f>IF(AND('[1]observations-276632'!W968&gt;'[1]Methods write-up'!$Q$21,'[1]observations-276632'!W968&lt;'[1]Methods write-up'!$R$21,'[1]observations-276632'!X968&gt;'[1]Methods write-up'!$S$21,'[1]observations-276632'!X968&lt;'[1]Methods write-up'!$T$21),"Desert and high aridity","")</f>
        <v/>
      </c>
      <c r="BD968" s="23" t="str">
        <f t="shared" si="70"/>
        <v>Temperate seasonal</v>
      </c>
      <c r="BE968" s="24">
        <f t="shared" si="68"/>
        <v>1</v>
      </c>
      <c r="BF968" s="24">
        <f t="shared" si="69"/>
        <v>4</v>
      </c>
    </row>
    <row r="969" spans="1:58" ht="16.25" customHeight="1" x14ac:dyDescent="0.2">
      <c r="A969">
        <v>110584782</v>
      </c>
      <c r="B969" t="s">
        <v>7234</v>
      </c>
      <c r="C969" s="14">
        <v>44631</v>
      </c>
      <c r="D969" t="s">
        <v>7235</v>
      </c>
      <c r="E969" t="s">
        <v>3270</v>
      </c>
      <c r="F969">
        <v>19767</v>
      </c>
      <c r="G969" t="s">
        <v>3271</v>
      </c>
      <c r="H969" t="s">
        <v>3272</v>
      </c>
      <c r="I969" t="s">
        <v>7236</v>
      </c>
      <c r="J969" t="s">
        <v>7237</v>
      </c>
      <c r="K969" t="s">
        <v>62</v>
      </c>
      <c r="L969" t="s">
        <v>63</v>
      </c>
      <c r="M969" t="s">
        <v>7238</v>
      </c>
      <c r="N969" t="s">
        <v>7239</v>
      </c>
      <c r="P969" t="s">
        <v>7240</v>
      </c>
      <c r="R969">
        <v>3</v>
      </c>
      <c r="S969">
        <v>0</v>
      </c>
      <c r="T969" t="b">
        <v>0</v>
      </c>
      <c r="V969" t="s">
        <v>7241</v>
      </c>
      <c r="W969" s="15">
        <v>-1.9499200000000001</v>
      </c>
      <c r="X969" s="15">
        <v>30.082789999999999</v>
      </c>
      <c r="Y969">
        <v>50</v>
      </c>
      <c r="AC969">
        <v>50</v>
      </c>
      <c r="AF969" t="b">
        <v>0</v>
      </c>
      <c r="AI969" t="s">
        <v>71</v>
      </c>
      <c r="AJ969" t="s">
        <v>70</v>
      </c>
      <c r="AK969" t="s">
        <v>71</v>
      </c>
      <c r="AL969" t="s">
        <v>72</v>
      </c>
      <c r="AM969">
        <v>346053</v>
      </c>
      <c r="AO969" s="16" t="s">
        <v>1356</v>
      </c>
      <c r="AP969" s="17" t="str">
        <f t="shared" si="67"/>
        <v>Nest (foundress)</v>
      </c>
      <c r="AQ969" s="18">
        <v>1</v>
      </c>
      <c r="AT969" s="19" t="s">
        <v>104</v>
      </c>
      <c r="AX969" s="22" t="str">
        <f>IF(AND('[1]observations-276632'!W969&gt;'[1]Methods write-up'!$Q$16,'[1]observations-276632'!W969&lt;'[1]Methods write-up'!$R$16,'[1]observations-276632'!X969&gt;'[1]Methods write-up'!$S$16,'[1]observations-276632'!X969&lt;'[1]Methods write-up'!$T$16),"West and Central Africa","")</f>
        <v>West and Central Africa</v>
      </c>
      <c r="AY969" s="22" t="str">
        <f>IF(AND('[1]observations-276632'!W969&gt;'[1]Methods write-up'!$Q$17,'[1]observations-276632'!W969&lt;'[1]Methods write-up'!$R$17,'[1]observations-276632'!X969&gt;'[1]Methods write-up'!$S$17,'[1]observations-276632'!X969&lt;'[1]Methods write-up'!$T$17),"Equatorial tropical forest","")</f>
        <v/>
      </c>
      <c r="AZ969" s="22" t="str">
        <f>IF(AND('[1]observations-276632'!W969&gt;'[1]Methods write-up'!$Q$18,'[1]observations-276632'!W969&lt;'[1]Methods write-up'!$R$18,'[1]observations-276632'!X969&gt;'[1]Methods write-up'!$S$18,'[1]observations-276632'!X969&lt;'[1]Methods write-up'!$T$18),"Somali peninsula","")</f>
        <v/>
      </c>
      <c r="BA969" s="22" t="str">
        <f>IF(AND('[1]observations-276632'!W969&gt;'[1]Methods write-up'!$Q$19,'[1]observations-276632'!W969&lt;'[1]Methods write-up'!$R$19,'[1]observations-276632'!X969&gt;'[1]Methods write-up'!$S$19,'[1]observations-276632'!X969&lt;'[1]Methods write-up'!$T$19),"East Africa","")</f>
        <v/>
      </c>
      <c r="BB969" s="22" t="str">
        <f>IF(AND('[1]observations-276632'!W969&gt;'[1]Methods write-up'!$Q$20,'[1]observations-276632'!W969&lt;'[1]Methods write-up'!$R$20,'[1]observations-276632'!X969&gt;'[1]Methods write-up'!$S$20,'[1]observations-276632'!X969&lt;'[1]Methods write-up'!$T$20),"Temperate seasonal","")</f>
        <v/>
      </c>
      <c r="BC969" s="22" t="str">
        <f>IF(AND('[1]observations-276632'!W969&gt;'[1]Methods write-up'!$Q$21,'[1]observations-276632'!W969&lt;'[1]Methods write-up'!$R$21,'[1]observations-276632'!X969&gt;'[1]Methods write-up'!$S$21,'[1]observations-276632'!X969&lt;'[1]Methods write-up'!$T$21),"Desert and high aridity","")</f>
        <v/>
      </c>
      <c r="BD969" s="23" t="str">
        <f t="shared" si="70"/>
        <v>West and Central Africa</v>
      </c>
      <c r="BE969" s="24">
        <f t="shared" si="68"/>
        <v>11</v>
      </c>
      <c r="BF969" s="24">
        <f t="shared" si="69"/>
        <v>3</v>
      </c>
    </row>
    <row r="970" spans="1:58" ht="16.25" customHeight="1" x14ac:dyDescent="0.2">
      <c r="A970">
        <v>110587932</v>
      </c>
      <c r="B970" t="s">
        <v>7242</v>
      </c>
      <c r="C970" s="14">
        <v>41216</v>
      </c>
      <c r="D970" t="s">
        <v>7243</v>
      </c>
      <c r="E970" t="s">
        <v>93</v>
      </c>
      <c r="F970">
        <v>706076</v>
      </c>
      <c r="G970" t="s">
        <v>7244</v>
      </c>
      <c r="H970" t="s">
        <v>7245</v>
      </c>
      <c r="I970" t="s">
        <v>7246</v>
      </c>
      <c r="J970" t="s">
        <v>7247</v>
      </c>
      <c r="K970" t="s">
        <v>62</v>
      </c>
      <c r="M970" t="s">
        <v>7248</v>
      </c>
      <c r="N970" t="s">
        <v>7249</v>
      </c>
      <c r="R970">
        <v>2</v>
      </c>
      <c r="S970">
        <v>0</v>
      </c>
      <c r="T970" t="b">
        <v>0</v>
      </c>
      <c r="V970" t="s">
        <v>7250</v>
      </c>
      <c r="W970" s="15">
        <v>9.2914480810000004</v>
      </c>
      <c r="X970" s="15">
        <v>-1.7785022939999999</v>
      </c>
      <c r="Y970">
        <v>15</v>
      </c>
      <c r="AC970">
        <v>15</v>
      </c>
      <c r="AF970" t="b">
        <v>0</v>
      </c>
      <c r="AI970" t="s">
        <v>71</v>
      </c>
      <c r="AJ970" t="s">
        <v>70</v>
      </c>
      <c r="AK970" t="s">
        <v>71</v>
      </c>
      <c r="AL970" t="s">
        <v>72</v>
      </c>
      <c r="AM970">
        <v>346053</v>
      </c>
      <c r="AO970" s="16" t="s">
        <v>140</v>
      </c>
      <c r="AP970" s="17" t="str">
        <f t="shared" si="67"/>
        <v>Post-emergence nest</v>
      </c>
      <c r="AQ970" s="18">
        <v>6</v>
      </c>
      <c r="AT970" s="19" t="s">
        <v>141</v>
      </c>
      <c r="AU970" s="20" t="s">
        <v>104</v>
      </c>
      <c r="AX970" s="22" t="str">
        <f>IF(AND('[1]observations-276632'!W970&gt;'[1]Methods write-up'!$Q$16,'[1]observations-276632'!W970&lt;'[1]Methods write-up'!$R$16,'[1]observations-276632'!X970&gt;'[1]Methods write-up'!$S$16,'[1]observations-276632'!X970&lt;'[1]Methods write-up'!$T$16),"West and Central Africa","")</f>
        <v>West and Central Africa</v>
      </c>
      <c r="AY970" s="22" t="str">
        <f>IF(AND('[1]observations-276632'!W970&gt;'[1]Methods write-up'!$Q$17,'[1]observations-276632'!W970&lt;'[1]Methods write-up'!$R$17,'[1]observations-276632'!X970&gt;'[1]Methods write-up'!$S$17,'[1]observations-276632'!X970&lt;'[1]Methods write-up'!$T$17),"Equatorial tropical forest","")</f>
        <v/>
      </c>
      <c r="AZ970" s="22" t="str">
        <f>IF(AND('[1]observations-276632'!W970&gt;'[1]Methods write-up'!$Q$18,'[1]observations-276632'!W970&lt;'[1]Methods write-up'!$R$18,'[1]observations-276632'!X970&gt;'[1]Methods write-up'!$S$18,'[1]observations-276632'!X970&lt;'[1]Methods write-up'!$T$18),"Somali peninsula","")</f>
        <v/>
      </c>
      <c r="BA970" s="22" t="str">
        <f>IF(AND('[1]observations-276632'!W970&gt;'[1]Methods write-up'!$Q$19,'[1]observations-276632'!W970&lt;'[1]Methods write-up'!$R$19,'[1]observations-276632'!X970&gt;'[1]Methods write-up'!$S$19,'[1]observations-276632'!X970&lt;'[1]Methods write-up'!$T$19),"East Africa","")</f>
        <v/>
      </c>
      <c r="BB970" s="22" t="str">
        <f>IF(AND('[1]observations-276632'!W970&gt;'[1]Methods write-up'!$Q$20,'[1]observations-276632'!W970&lt;'[1]Methods write-up'!$R$20,'[1]observations-276632'!X970&gt;'[1]Methods write-up'!$S$20,'[1]observations-276632'!X970&lt;'[1]Methods write-up'!$T$20),"Temperate seasonal","")</f>
        <v/>
      </c>
      <c r="BC970" s="22" t="str">
        <f>IF(AND('[1]observations-276632'!W970&gt;'[1]Methods write-up'!$Q$21,'[1]observations-276632'!W970&lt;'[1]Methods write-up'!$R$21,'[1]observations-276632'!X970&gt;'[1]Methods write-up'!$S$21,'[1]observations-276632'!X970&lt;'[1]Methods write-up'!$T$21),"Desert and high aridity","")</f>
        <v/>
      </c>
      <c r="BD970" s="23" t="str">
        <f t="shared" si="70"/>
        <v>West and Central Africa</v>
      </c>
      <c r="BE970" s="24">
        <f t="shared" si="68"/>
        <v>3</v>
      </c>
      <c r="BF970" s="24">
        <f t="shared" si="69"/>
        <v>11</v>
      </c>
    </row>
    <row r="971" spans="1:58" ht="16.25" customHeight="1" x14ac:dyDescent="0.2">
      <c r="A971">
        <v>110677218</v>
      </c>
      <c r="B971" t="s">
        <v>7251</v>
      </c>
      <c r="C971" s="14">
        <v>44657</v>
      </c>
      <c r="D971" t="s">
        <v>7252</v>
      </c>
      <c r="E971" t="s">
        <v>6201</v>
      </c>
      <c r="F971">
        <v>5440879</v>
      </c>
      <c r="G971" t="s">
        <v>7253</v>
      </c>
      <c r="I971" t="s">
        <v>7254</v>
      </c>
      <c r="J971" t="s">
        <v>7255</v>
      </c>
      <c r="K971" t="s">
        <v>62</v>
      </c>
      <c r="L971" t="s">
        <v>63</v>
      </c>
      <c r="M971" t="s">
        <v>7256</v>
      </c>
      <c r="N971" t="s">
        <v>7257</v>
      </c>
      <c r="R971">
        <v>0</v>
      </c>
      <c r="S971">
        <v>0</v>
      </c>
      <c r="T971" t="b">
        <v>0</v>
      </c>
      <c r="U971">
        <v>3</v>
      </c>
      <c r="V971" t="s">
        <v>7258</v>
      </c>
      <c r="W971" s="15">
        <v>-26.691046910000001</v>
      </c>
      <c r="X971" s="15">
        <v>27.104151860000002</v>
      </c>
      <c r="Y971">
        <v>41</v>
      </c>
      <c r="AC971">
        <v>41</v>
      </c>
      <c r="AF971" t="b">
        <v>0</v>
      </c>
      <c r="AI971" t="s">
        <v>71</v>
      </c>
      <c r="AJ971" t="s">
        <v>161</v>
      </c>
      <c r="AL971" t="s">
        <v>72</v>
      </c>
      <c r="AM971">
        <v>366867</v>
      </c>
      <c r="AO971" s="16" t="s">
        <v>150</v>
      </c>
      <c r="AP971" s="17" t="str">
        <f t="shared" si="67"/>
        <v>Male (off nest)</v>
      </c>
      <c r="AX971" s="22" t="str">
        <f>IF(AND('[1]observations-276632'!W971&gt;'[1]Methods write-up'!$Q$16,'[1]observations-276632'!W971&lt;'[1]Methods write-up'!$R$16,'[1]observations-276632'!X971&gt;'[1]Methods write-up'!$S$16,'[1]observations-276632'!X971&lt;'[1]Methods write-up'!$T$16),"West and Central Africa","")</f>
        <v/>
      </c>
      <c r="AY971" s="22" t="str">
        <f>IF(AND('[1]observations-276632'!W971&gt;'[1]Methods write-up'!$Q$17,'[1]observations-276632'!W971&lt;'[1]Methods write-up'!$R$17,'[1]observations-276632'!X971&gt;'[1]Methods write-up'!$S$17,'[1]observations-276632'!X971&lt;'[1]Methods write-up'!$T$17),"Equatorial tropical forest","")</f>
        <v/>
      </c>
      <c r="AZ971" s="22" t="str">
        <f>IF(AND('[1]observations-276632'!W971&gt;'[1]Methods write-up'!$Q$18,'[1]observations-276632'!W971&lt;'[1]Methods write-up'!$R$18,'[1]observations-276632'!X971&gt;'[1]Methods write-up'!$S$18,'[1]observations-276632'!X971&lt;'[1]Methods write-up'!$T$18),"Somali peninsula","")</f>
        <v/>
      </c>
      <c r="BA971" s="22" t="str">
        <f>IF(AND('[1]observations-276632'!W971&gt;'[1]Methods write-up'!$Q$19,'[1]observations-276632'!W971&lt;'[1]Methods write-up'!$R$19,'[1]observations-276632'!X971&gt;'[1]Methods write-up'!$S$19,'[1]observations-276632'!X971&lt;'[1]Methods write-up'!$T$19),"East Africa","")</f>
        <v/>
      </c>
      <c r="BB971" s="22" t="str">
        <f>IF(AND('[1]observations-276632'!W971&gt;'[1]Methods write-up'!$Q$20,'[1]observations-276632'!W971&lt;'[1]Methods write-up'!$R$20,'[1]observations-276632'!X971&gt;'[1]Methods write-up'!$S$20,'[1]observations-276632'!X971&lt;'[1]Methods write-up'!$T$20),"Temperate seasonal","")</f>
        <v>Temperate seasonal</v>
      </c>
      <c r="BC971" s="22" t="str">
        <f>IF(AND('[1]observations-276632'!W971&gt;'[1]Methods write-up'!$Q$21,'[1]observations-276632'!W971&lt;'[1]Methods write-up'!$R$21,'[1]observations-276632'!X971&gt;'[1]Methods write-up'!$S$21,'[1]observations-276632'!X971&lt;'[1]Methods write-up'!$T$21),"Desert and high aridity","")</f>
        <v/>
      </c>
      <c r="BD971" s="23" t="str">
        <f t="shared" si="70"/>
        <v>Temperate seasonal</v>
      </c>
      <c r="BE971" s="24">
        <f t="shared" si="68"/>
        <v>6</v>
      </c>
      <c r="BF971" s="24">
        <f t="shared" si="69"/>
        <v>4</v>
      </c>
    </row>
    <row r="972" spans="1:58" ht="16.25" customHeight="1" x14ac:dyDescent="0.2">
      <c r="A972">
        <v>110768578</v>
      </c>
      <c r="B972" t="s">
        <v>7259</v>
      </c>
      <c r="C972" s="14">
        <v>44654</v>
      </c>
      <c r="D972" t="s">
        <v>7260</v>
      </c>
      <c r="E972" t="s">
        <v>113</v>
      </c>
      <c r="F972">
        <v>611863</v>
      </c>
      <c r="G972" t="s">
        <v>825</v>
      </c>
      <c r="I972" t="s">
        <v>7261</v>
      </c>
      <c r="J972" t="s">
        <v>7262</v>
      </c>
      <c r="K972" t="s">
        <v>62</v>
      </c>
      <c r="L972" t="s">
        <v>98</v>
      </c>
      <c r="M972" t="s">
        <v>7263</v>
      </c>
      <c r="N972" t="s">
        <v>7264</v>
      </c>
      <c r="R972">
        <v>2</v>
      </c>
      <c r="S972">
        <v>0</v>
      </c>
      <c r="T972" t="b">
        <v>0</v>
      </c>
      <c r="U972">
        <v>3</v>
      </c>
      <c r="V972" t="s">
        <v>7265</v>
      </c>
      <c r="W972" s="15">
        <v>-29.824340329999998</v>
      </c>
      <c r="X972" s="15">
        <v>30.925882139999999</v>
      </c>
      <c r="Y972">
        <v>357</v>
      </c>
      <c r="AC972">
        <v>357</v>
      </c>
      <c r="AF972" t="b">
        <v>0</v>
      </c>
      <c r="AI972" t="s">
        <v>71</v>
      </c>
      <c r="AJ972" t="s">
        <v>70</v>
      </c>
      <c r="AK972" t="s">
        <v>71</v>
      </c>
      <c r="AL972" t="s">
        <v>72</v>
      </c>
      <c r="AM972">
        <v>346053</v>
      </c>
      <c r="AO972" s="16" t="s">
        <v>3107</v>
      </c>
      <c r="AP972" s="17" t="str">
        <f t="shared" si="67"/>
        <v>Lek</v>
      </c>
      <c r="AV972" s="21" t="s">
        <v>7266</v>
      </c>
      <c r="AX972" s="22" t="str">
        <f>IF(AND('[1]observations-276632'!W972&gt;'[1]Methods write-up'!$Q$16,'[1]observations-276632'!W972&lt;'[1]Methods write-up'!$R$16,'[1]observations-276632'!X972&gt;'[1]Methods write-up'!$S$16,'[1]observations-276632'!X972&lt;'[1]Methods write-up'!$T$16),"West and Central Africa","")</f>
        <v/>
      </c>
      <c r="AY972" s="22" t="str">
        <f>IF(AND('[1]observations-276632'!W972&gt;'[1]Methods write-up'!$Q$17,'[1]observations-276632'!W972&lt;'[1]Methods write-up'!$R$17,'[1]observations-276632'!X972&gt;'[1]Methods write-up'!$S$17,'[1]observations-276632'!X972&lt;'[1]Methods write-up'!$T$17),"Equatorial tropical forest","")</f>
        <v/>
      </c>
      <c r="AZ972" s="22" t="str">
        <f>IF(AND('[1]observations-276632'!W972&gt;'[1]Methods write-up'!$Q$18,'[1]observations-276632'!W972&lt;'[1]Methods write-up'!$R$18,'[1]observations-276632'!X972&gt;'[1]Methods write-up'!$S$18,'[1]observations-276632'!X972&lt;'[1]Methods write-up'!$T$18),"Somali peninsula","")</f>
        <v/>
      </c>
      <c r="BA972" s="22" t="str">
        <f>IF(AND('[1]observations-276632'!W972&gt;'[1]Methods write-up'!$Q$19,'[1]observations-276632'!W972&lt;'[1]Methods write-up'!$R$19,'[1]observations-276632'!X972&gt;'[1]Methods write-up'!$S$19,'[1]observations-276632'!X972&lt;'[1]Methods write-up'!$T$19),"East Africa","")</f>
        <v/>
      </c>
      <c r="BB972" s="22" t="str">
        <f>IF(AND('[1]observations-276632'!W972&gt;'[1]Methods write-up'!$Q$20,'[1]observations-276632'!W972&lt;'[1]Methods write-up'!$R$20,'[1]observations-276632'!X972&gt;'[1]Methods write-up'!$S$20,'[1]observations-276632'!X972&lt;'[1]Methods write-up'!$T$20),"Temperate seasonal","")</f>
        <v>Temperate seasonal</v>
      </c>
      <c r="BC972" s="22" t="str">
        <f>IF(AND('[1]observations-276632'!W972&gt;'[1]Methods write-up'!$Q$21,'[1]observations-276632'!W972&lt;'[1]Methods write-up'!$R$21,'[1]observations-276632'!X972&gt;'[1]Methods write-up'!$S$21,'[1]observations-276632'!X972&lt;'[1]Methods write-up'!$T$21),"Desert and high aridity","")</f>
        <v/>
      </c>
      <c r="BD972" s="23" t="str">
        <f t="shared" si="70"/>
        <v>Temperate seasonal</v>
      </c>
      <c r="BE972" s="24">
        <f t="shared" si="68"/>
        <v>3</v>
      </c>
      <c r="BF972" s="24">
        <f t="shared" si="69"/>
        <v>4</v>
      </c>
    </row>
    <row r="973" spans="1:58" ht="16.25" customHeight="1" x14ac:dyDescent="0.2">
      <c r="A973">
        <v>110841582</v>
      </c>
      <c r="B973" s="25">
        <v>44659.7</v>
      </c>
      <c r="C973" s="14">
        <v>44659</v>
      </c>
      <c r="D973" t="s">
        <v>7267</v>
      </c>
      <c r="E973" t="s">
        <v>113</v>
      </c>
      <c r="F973">
        <v>883453</v>
      </c>
      <c r="G973" t="s">
        <v>7268</v>
      </c>
      <c r="I973" t="s">
        <v>7269</v>
      </c>
      <c r="J973" t="s">
        <v>7270</v>
      </c>
      <c r="K973" t="s">
        <v>62</v>
      </c>
      <c r="L973" t="s">
        <v>63</v>
      </c>
      <c r="M973" t="s">
        <v>7271</v>
      </c>
      <c r="N973" t="s">
        <v>7272</v>
      </c>
      <c r="R973">
        <v>1</v>
      </c>
      <c r="S973">
        <v>0</v>
      </c>
      <c r="T973" t="b">
        <v>0</v>
      </c>
      <c r="U973">
        <v>2</v>
      </c>
      <c r="V973" t="s">
        <v>7273</v>
      </c>
      <c r="W973" s="15">
        <v>-27.524278630000001</v>
      </c>
      <c r="X973" s="15">
        <v>17.814786689999998</v>
      </c>
      <c r="Y973">
        <v>252</v>
      </c>
      <c r="AC973">
        <v>252</v>
      </c>
      <c r="AF973" t="b">
        <v>0</v>
      </c>
      <c r="AG973" t="s">
        <v>350</v>
      </c>
      <c r="AH973" t="s">
        <v>350</v>
      </c>
      <c r="AI973" t="s">
        <v>71</v>
      </c>
      <c r="AJ973" t="s">
        <v>756</v>
      </c>
      <c r="AL973" t="s">
        <v>72</v>
      </c>
      <c r="AM973">
        <v>652800</v>
      </c>
      <c r="AO973" s="16" t="s">
        <v>73</v>
      </c>
      <c r="AP973" s="17" t="str">
        <f t="shared" si="67"/>
        <v>Off-nest female</v>
      </c>
      <c r="AX973" s="22" t="str">
        <f>IF(AND('[1]observations-276632'!W973&gt;'[1]Methods write-up'!$Q$16,'[1]observations-276632'!W973&lt;'[1]Methods write-up'!$R$16,'[1]observations-276632'!X973&gt;'[1]Methods write-up'!$S$16,'[1]observations-276632'!X973&lt;'[1]Methods write-up'!$T$16),"West and Central Africa","")</f>
        <v/>
      </c>
      <c r="AY973" s="22" t="str">
        <f>IF(AND('[1]observations-276632'!W973&gt;'[1]Methods write-up'!$Q$17,'[1]observations-276632'!W973&lt;'[1]Methods write-up'!$R$17,'[1]observations-276632'!X973&gt;'[1]Methods write-up'!$S$17,'[1]observations-276632'!X973&lt;'[1]Methods write-up'!$T$17),"Equatorial tropical forest","")</f>
        <v/>
      </c>
      <c r="AZ973" s="22" t="str">
        <f>IF(AND('[1]observations-276632'!W973&gt;'[1]Methods write-up'!$Q$18,'[1]observations-276632'!W973&lt;'[1]Methods write-up'!$R$18,'[1]observations-276632'!X973&gt;'[1]Methods write-up'!$S$18,'[1]observations-276632'!X973&lt;'[1]Methods write-up'!$T$18),"Somali peninsula","")</f>
        <v/>
      </c>
      <c r="BA973" s="22" t="str">
        <f>IF(AND('[1]observations-276632'!W973&gt;'[1]Methods write-up'!$Q$19,'[1]observations-276632'!W973&lt;'[1]Methods write-up'!$R$19,'[1]observations-276632'!X973&gt;'[1]Methods write-up'!$S$19,'[1]observations-276632'!X973&lt;'[1]Methods write-up'!$T$19),"East Africa","")</f>
        <v/>
      </c>
      <c r="BB973" s="22" t="str">
        <f>IF(AND('[1]observations-276632'!W973&gt;'[1]Methods write-up'!$Q$20,'[1]observations-276632'!W973&lt;'[1]Methods write-up'!$R$20,'[1]observations-276632'!X973&gt;'[1]Methods write-up'!$S$20,'[1]observations-276632'!X973&lt;'[1]Methods write-up'!$T$20),"Temperate seasonal","")</f>
        <v/>
      </c>
      <c r="BC973" s="22" t="str">
        <f>IF(AND('[1]observations-276632'!W973&gt;'[1]Methods write-up'!$Q$21,'[1]observations-276632'!W973&lt;'[1]Methods write-up'!$R$21,'[1]observations-276632'!X973&gt;'[1]Methods write-up'!$S$21,'[1]observations-276632'!X973&lt;'[1]Methods write-up'!$T$21),"Desert and high aridity","")</f>
        <v>Desert and high aridity</v>
      </c>
      <c r="BD973" s="23" t="str">
        <f t="shared" si="70"/>
        <v>Desert and high aridity</v>
      </c>
      <c r="BE973" s="24">
        <f t="shared" si="68"/>
        <v>8</v>
      </c>
      <c r="BF973" s="24">
        <f t="shared" si="69"/>
        <v>4</v>
      </c>
    </row>
    <row r="974" spans="1:58" ht="16.25" customHeight="1" x14ac:dyDescent="0.2">
      <c r="A974">
        <v>110848060</v>
      </c>
      <c r="B974" t="s">
        <v>7274</v>
      </c>
      <c r="C974" s="14">
        <v>44660</v>
      </c>
      <c r="D974" t="s">
        <v>7275</v>
      </c>
      <c r="E974" t="s">
        <v>113</v>
      </c>
      <c r="F974">
        <v>1583299</v>
      </c>
      <c r="G974" t="s">
        <v>7276</v>
      </c>
      <c r="H974" t="s">
        <v>7277</v>
      </c>
      <c r="I974" t="s">
        <v>7278</v>
      </c>
      <c r="J974" t="s">
        <v>7279</v>
      </c>
      <c r="K974" t="s">
        <v>62</v>
      </c>
      <c r="L974" t="s">
        <v>63</v>
      </c>
      <c r="M974" t="s">
        <v>7280</v>
      </c>
      <c r="N974" t="s">
        <v>7281</v>
      </c>
      <c r="R974">
        <v>3</v>
      </c>
      <c r="S974">
        <v>0</v>
      </c>
      <c r="T974" t="b">
        <v>0</v>
      </c>
      <c r="V974" t="s">
        <v>5408</v>
      </c>
      <c r="W974" s="15">
        <v>-33.988864339999999</v>
      </c>
      <c r="X974" s="15">
        <v>18.429634929999999</v>
      </c>
      <c r="Y974">
        <v>4</v>
      </c>
      <c r="AC974">
        <v>4</v>
      </c>
      <c r="AF974" t="b">
        <v>0</v>
      </c>
      <c r="AI974" t="s">
        <v>71</v>
      </c>
      <c r="AJ974" t="s">
        <v>70</v>
      </c>
      <c r="AK974" t="s">
        <v>71</v>
      </c>
      <c r="AL974" t="s">
        <v>72</v>
      </c>
      <c r="AM974">
        <v>346053</v>
      </c>
      <c r="AO974" s="16" t="s">
        <v>7282</v>
      </c>
      <c r="AP974" s="17" t="str">
        <f t="shared" si="67"/>
        <v>Declining post-emergence nest (almost all males)</v>
      </c>
      <c r="AQ974" s="18">
        <v>18</v>
      </c>
      <c r="AT974" s="19" t="s">
        <v>141</v>
      </c>
      <c r="AU974" s="20" t="s">
        <v>141</v>
      </c>
      <c r="AV974" s="21" t="s">
        <v>7283</v>
      </c>
      <c r="AX974" s="22" t="str">
        <f>IF(AND('[1]observations-276632'!W974&gt;'[1]Methods write-up'!$Q$16,'[1]observations-276632'!W974&lt;'[1]Methods write-up'!$R$16,'[1]observations-276632'!X974&gt;'[1]Methods write-up'!$S$16,'[1]observations-276632'!X974&lt;'[1]Methods write-up'!$T$16),"West and Central Africa","")</f>
        <v/>
      </c>
      <c r="AY974" s="22" t="str">
        <f>IF(AND('[1]observations-276632'!W974&gt;'[1]Methods write-up'!$Q$17,'[1]observations-276632'!W974&lt;'[1]Methods write-up'!$R$17,'[1]observations-276632'!X974&gt;'[1]Methods write-up'!$S$17,'[1]observations-276632'!X974&lt;'[1]Methods write-up'!$T$17),"Equatorial tropical forest","")</f>
        <v/>
      </c>
      <c r="AZ974" s="22" t="str">
        <f>IF(AND('[1]observations-276632'!W974&gt;'[1]Methods write-up'!$Q$18,'[1]observations-276632'!W974&lt;'[1]Methods write-up'!$R$18,'[1]observations-276632'!X974&gt;'[1]Methods write-up'!$S$18,'[1]observations-276632'!X974&lt;'[1]Methods write-up'!$T$18),"Somali peninsula","")</f>
        <v/>
      </c>
      <c r="BA974" s="22" t="str">
        <f>IF(AND('[1]observations-276632'!W974&gt;'[1]Methods write-up'!$Q$19,'[1]observations-276632'!W974&lt;'[1]Methods write-up'!$R$19,'[1]observations-276632'!X974&gt;'[1]Methods write-up'!$S$19,'[1]observations-276632'!X974&lt;'[1]Methods write-up'!$T$19),"East Africa","")</f>
        <v/>
      </c>
      <c r="BB974" s="22" t="str">
        <f>IF(AND('[1]observations-276632'!W974&gt;'[1]Methods write-up'!$Q$20,'[1]observations-276632'!W974&lt;'[1]Methods write-up'!$R$20,'[1]observations-276632'!X974&gt;'[1]Methods write-up'!$S$20,'[1]observations-276632'!X974&lt;'[1]Methods write-up'!$T$20),"Temperate seasonal","")</f>
        <v/>
      </c>
      <c r="BC974" s="22" t="str">
        <f>IF(AND('[1]observations-276632'!W974&gt;'[1]Methods write-up'!$Q$21,'[1]observations-276632'!W974&lt;'[1]Methods write-up'!$R$21,'[1]observations-276632'!X974&gt;'[1]Methods write-up'!$S$21,'[1]observations-276632'!X974&lt;'[1]Methods write-up'!$T$21),"Desert and high aridity","")</f>
        <v/>
      </c>
      <c r="BD974" s="23" t="str">
        <f t="shared" si="70"/>
        <v/>
      </c>
      <c r="BE974" s="24">
        <f t="shared" si="68"/>
        <v>9</v>
      </c>
      <c r="BF974" s="24">
        <f t="shared" si="69"/>
        <v>4</v>
      </c>
    </row>
    <row r="975" spans="1:58" ht="16.25" customHeight="1" x14ac:dyDescent="0.2">
      <c r="A975">
        <v>110859936</v>
      </c>
      <c r="B975" t="s">
        <v>7284</v>
      </c>
      <c r="C975" s="14">
        <v>44660</v>
      </c>
      <c r="D975" t="s">
        <v>7285</v>
      </c>
      <c r="E975" t="s">
        <v>113</v>
      </c>
      <c r="F975">
        <v>5425653</v>
      </c>
      <c r="G975" t="s">
        <v>7286</v>
      </c>
      <c r="I975" t="s">
        <v>7287</v>
      </c>
      <c r="J975" t="s">
        <v>7288</v>
      </c>
      <c r="K975" t="s">
        <v>62</v>
      </c>
      <c r="M975" t="s">
        <v>7289</v>
      </c>
      <c r="N975" t="s">
        <v>7290</v>
      </c>
      <c r="R975">
        <v>1</v>
      </c>
      <c r="S975">
        <v>0</v>
      </c>
      <c r="T975" t="b">
        <v>0</v>
      </c>
      <c r="V975" t="s">
        <v>7291</v>
      </c>
      <c r="W975" s="15">
        <v>-25.651339799999999</v>
      </c>
      <c r="X975" s="15">
        <v>28.094710599999999</v>
      </c>
      <c r="Y975">
        <v>3254</v>
      </c>
      <c r="AC975">
        <v>3254</v>
      </c>
      <c r="AF975" t="b">
        <v>0</v>
      </c>
      <c r="AI975" t="s">
        <v>161</v>
      </c>
      <c r="AJ975" t="s">
        <v>161</v>
      </c>
      <c r="AL975" t="s">
        <v>72</v>
      </c>
      <c r="AM975">
        <v>366867</v>
      </c>
      <c r="AO975" s="16" t="s">
        <v>140</v>
      </c>
      <c r="AP975" s="17" t="str">
        <f t="shared" si="67"/>
        <v>Post-emergence nest</v>
      </c>
      <c r="AQ975" s="18">
        <v>39</v>
      </c>
      <c r="AT975" s="19" t="s">
        <v>141</v>
      </c>
      <c r="AU975" s="20" t="s">
        <v>141</v>
      </c>
      <c r="AV975" s="21" t="s">
        <v>7292</v>
      </c>
      <c r="AX975" s="22" t="str">
        <f>IF(AND('[1]observations-276632'!W975&gt;'[1]Methods write-up'!$Q$16,'[1]observations-276632'!W975&lt;'[1]Methods write-up'!$R$16,'[1]observations-276632'!X975&gt;'[1]Methods write-up'!$S$16,'[1]observations-276632'!X975&lt;'[1]Methods write-up'!$T$16),"West and Central Africa","")</f>
        <v/>
      </c>
      <c r="AY975" s="22" t="str">
        <f>IF(AND('[1]observations-276632'!W975&gt;'[1]Methods write-up'!$Q$17,'[1]observations-276632'!W975&lt;'[1]Methods write-up'!$R$17,'[1]observations-276632'!X975&gt;'[1]Methods write-up'!$S$17,'[1]observations-276632'!X975&lt;'[1]Methods write-up'!$T$17),"Equatorial tropical forest","")</f>
        <v/>
      </c>
      <c r="AZ975" s="22" t="str">
        <f>IF(AND('[1]observations-276632'!W975&gt;'[1]Methods write-up'!$Q$18,'[1]observations-276632'!W975&lt;'[1]Methods write-up'!$R$18,'[1]observations-276632'!X975&gt;'[1]Methods write-up'!$S$18,'[1]observations-276632'!X975&lt;'[1]Methods write-up'!$T$18),"Somali peninsula","")</f>
        <v/>
      </c>
      <c r="BA975" s="22" t="str">
        <f>IF(AND('[1]observations-276632'!W975&gt;'[1]Methods write-up'!$Q$19,'[1]observations-276632'!W975&lt;'[1]Methods write-up'!$R$19,'[1]observations-276632'!X975&gt;'[1]Methods write-up'!$S$19,'[1]observations-276632'!X975&lt;'[1]Methods write-up'!$T$19),"East Africa","")</f>
        <v/>
      </c>
      <c r="BB975" s="22" t="str">
        <f>IF(AND('[1]observations-276632'!W975&gt;'[1]Methods write-up'!$Q$20,'[1]observations-276632'!W975&lt;'[1]Methods write-up'!$R$20,'[1]observations-276632'!X975&gt;'[1]Methods write-up'!$S$20,'[1]observations-276632'!X975&lt;'[1]Methods write-up'!$T$20),"Temperate seasonal","")</f>
        <v>Temperate seasonal</v>
      </c>
      <c r="BC975" s="22" t="str">
        <f>IF(AND('[1]observations-276632'!W975&gt;'[1]Methods write-up'!$Q$21,'[1]observations-276632'!W975&lt;'[1]Methods write-up'!$R$21,'[1]observations-276632'!X975&gt;'[1]Methods write-up'!$S$21,'[1]observations-276632'!X975&lt;'[1]Methods write-up'!$T$21),"Desert and high aridity","")</f>
        <v/>
      </c>
      <c r="BD975" s="23" t="str">
        <f t="shared" si="70"/>
        <v>Temperate seasonal</v>
      </c>
      <c r="BE975" s="24">
        <f t="shared" si="68"/>
        <v>9</v>
      </c>
      <c r="BF975" s="24">
        <f t="shared" si="69"/>
        <v>4</v>
      </c>
    </row>
    <row r="976" spans="1:58" ht="16.25" customHeight="1" x14ac:dyDescent="0.2">
      <c r="A976">
        <v>110872568</v>
      </c>
      <c r="B976" t="s">
        <v>7293</v>
      </c>
      <c r="C976" s="14">
        <v>44659</v>
      </c>
      <c r="E976" t="s">
        <v>1408</v>
      </c>
      <c r="F976">
        <v>5482535</v>
      </c>
      <c r="G976" t="s">
        <v>7294</v>
      </c>
      <c r="H976" t="s">
        <v>7295</v>
      </c>
      <c r="I976" t="s">
        <v>7296</v>
      </c>
      <c r="J976" t="s">
        <v>7296</v>
      </c>
      <c r="K976" t="s">
        <v>62</v>
      </c>
      <c r="L976" t="s">
        <v>63</v>
      </c>
      <c r="M976" t="s">
        <v>7297</v>
      </c>
      <c r="N976" t="s">
        <v>7298</v>
      </c>
      <c r="Q976" t="s">
        <v>7299</v>
      </c>
      <c r="R976">
        <v>0</v>
      </c>
      <c r="S976">
        <v>0</v>
      </c>
      <c r="T976" t="b">
        <v>0</v>
      </c>
      <c r="Y976">
        <v>1000</v>
      </c>
      <c r="AC976">
        <v>31081</v>
      </c>
      <c r="AD976" t="s">
        <v>4705</v>
      </c>
      <c r="AF976" t="b">
        <v>1</v>
      </c>
      <c r="AI976" t="s">
        <v>71</v>
      </c>
      <c r="AJ976" t="s">
        <v>70</v>
      </c>
      <c r="AK976" t="s">
        <v>71</v>
      </c>
      <c r="AL976" t="s">
        <v>72</v>
      </c>
      <c r="AM976">
        <v>346053</v>
      </c>
      <c r="AO976" s="16" t="s">
        <v>73</v>
      </c>
      <c r="AP976" s="17" t="str">
        <f t="shared" si="67"/>
        <v>Off-nest female</v>
      </c>
      <c r="AX976" s="22" t="str">
        <f>IF(AND('[1]observations-276632'!W976&gt;'[1]Methods write-up'!$Q$16,'[1]observations-276632'!W976&lt;'[1]Methods write-up'!$R$16,'[1]observations-276632'!X976&gt;'[1]Methods write-up'!$S$16,'[1]observations-276632'!X976&lt;'[1]Methods write-up'!$T$16),"West and Central Africa","")</f>
        <v>West and Central Africa</v>
      </c>
      <c r="AY976" s="22" t="str">
        <f>IF(AND('[1]observations-276632'!W976&gt;'[1]Methods write-up'!$Q$17,'[1]observations-276632'!W976&lt;'[1]Methods write-up'!$R$17,'[1]observations-276632'!X976&gt;'[1]Methods write-up'!$S$17,'[1]observations-276632'!X976&lt;'[1]Methods write-up'!$T$17),"Equatorial tropical forest","")</f>
        <v/>
      </c>
      <c r="AZ976" s="22" t="str">
        <f>IF(AND('[1]observations-276632'!W976&gt;'[1]Methods write-up'!$Q$18,'[1]observations-276632'!W976&lt;'[1]Methods write-up'!$R$18,'[1]observations-276632'!X976&gt;'[1]Methods write-up'!$S$18,'[1]observations-276632'!X976&lt;'[1]Methods write-up'!$T$18),"Somali peninsula","")</f>
        <v/>
      </c>
      <c r="BA976" s="22" t="str">
        <f>IF(AND('[1]observations-276632'!W976&gt;'[1]Methods write-up'!$Q$19,'[1]observations-276632'!W976&lt;'[1]Methods write-up'!$R$19,'[1]observations-276632'!X976&gt;'[1]Methods write-up'!$S$19,'[1]observations-276632'!X976&lt;'[1]Methods write-up'!$T$19),"East Africa","")</f>
        <v/>
      </c>
      <c r="BB976" s="22" t="str">
        <f>IF(AND('[1]observations-276632'!W976&gt;'[1]Methods write-up'!$Q$20,'[1]observations-276632'!W976&lt;'[1]Methods write-up'!$R$20,'[1]observations-276632'!X976&gt;'[1]Methods write-up'!$S$20,'[1]observations-276632'!X976&lt;'[1]Methods write-up'!$T$20),"Temperate seasonal","")</f>
        <v/>
      </c>
      <c r="BC976" s="22" t="str">
        <f>IF(AND('[1]observations-276632'!W976&gt;'[1]Methods write-up'!$Q$21,'[1]observations-276632'!W976&lt;'[1]Methods write-up'!$R$21,'[1]observations-276632'!X976&gt;'[1]Methods write-up'!$S$21,'[1]observations-276632'!X976&lt;'[1]Methods write-up'!$T$21),"Desert and high aridity","")</f>
        <v/>
      </c>
      <c r="BD976" s="23" t="str">
        <f t="shared" si="70"/>
        <v>West and Central Africa</v>
      </c>
      <c r="BE976" s="24">
        <f t="shared" si="68"/>
        <v>8</v>
      </c>
      <c r="BF976" s="24">
        <f t="shared" si="69"/>
        <v>4</v>
      </c>
    </row>
    <row r="977" spans="1:58" ht="16.25" customHeight="1" x14ac:dyDescent="0.2">
      <c r="A977">
        <v>110981015</v>
      </c>
      <c r="B977" t="s">
        <v>7300</v>
      </c>
      <c r="C977" s="14">
        <v>44661</v>
      </c>
      <c r="D977" t="s">
        <v>7301</v>
      </c>
      <c r="E977" t="s">
        <v>1408</v>
      </c>
      <c r="F977">
        <v>3087997</v>
      </c>
      <c r="G977" t="s">
        <v>5047</v>
      </c>
      <c r="H977" t="s">
        <v>5048</v>
      </c>
      <c r="I977" t="s">
        <v>7302</v>
      </c>
      <c r="J977" t="s">
        <v>7303</v>
      </c>
      <c r="K977" t="s">
        <v>62</v>
      </c>
      <c r="L977" t="s">
        <v>63</v>
      </c>
      <c r="M977" t="s">
        <v>7304</v>
      </c>
      <c r="N977" t="s">
        <v>7305</v>
      </c>
      <c r="R977">
        <v>2</v>
      </c>
      <c r="S977">
        <v>0</v>
      </c>
      <c r="T977" t="b">
        <v>0</v>
      </c>
      <c r="V977" t="s">
        <v>7306</v>
      </c>
      <c r="W977" s="15">
        <v>-1.239021267</v>
      </c>
      <c r="X977" s="15">
        <v>36.798782070000001</v>
      </c>
      <c r="Y977">
        <v>22</v>
      </c>
      <c r="AC977">
        <v>22</v>
      </c>
      <c r="AF977" t="b">
        <v>0</v>
      </c>
      <c r="AI977" t="s">
        <v>71</v>
      </c>
      <c r="AJ977" t="s">
        <v>70</v>
      </c>
      <c r="AK977" t="s">
        <v>71</v>
      </c>
      <c r="AL977" t="s">
        <v>72</v>
      </c>
      <c r="AM977">
        <v>346053</v>
      </c>
      <c r="AO977" s="16" t="s">
        <v>73</v>
      </c>
      <c r="AP977" s="17" t="str">
        <f t="shared" si="67"/>
        <v>Off-nest female</v>
      </c>
      <c r="AX977" s="22" t="str">
        <f>IF(AND('[1]observations-276632'!W977&gt;'[1]Methods write-up'!$Q$16,'[1]observations-276632'!W977&lt;'[1]Methods write-up'!$R$16,'[1]observations-276632'!X977&gt;'[1]Methods write-up'!$S$16,'[1]observations-276632'!X977&lt;'[1]Methods write-up'!$T$16),"West and Central Africa","")</f>
        <v/>
      </c>
      <c r="AY977" s="22" t="str">
        <f>IF(AND('[1]observations-276632'!W977&gt;'[1]Methods write-up'!$Q$17,'[1]observations-276632'!W977&lt;'[1]Methods write-up'!$R$17,'[1]observations-276632'!X977&gt;'[1]Methods write-up'!$S$17,'[1]observations-276632'!X977&lt;'[1]Methods write-up'!$T$17),"Equatorial tropical forest","")</f>
        <v/>
      </c>
      <c r="AZ977" s="22" t="str">
        <f>IF(AND('[1]observations-276632'!W977&gt;'[1]Methods write-up'!$Q$18,'[1]observations-276632'!W977&lt;'[1]Methods write-up'!$R$18,'[1]observations-276632'!X977&gt;'[1]Methods write-up'!$S$18,'[1]observations-276632'!X977&lt;'[1]Methods write-up'!$T$18),"Somali peninsula","")</f>
        <v/>
      </c>
      <c r="BA977" s="22" t="str">
        <f>IF(AND('[1]observations-276632'!W977&gt;'[1]Methods write-up'!$Q$19,'[1]observations-276632'!W977&lt;'[1]Methods write-up'!$R$19,'[1]observations-276632'!X977&gt;'[1]Methods write-up'!$S$19,'[1]observations-276632'!X977&lt;'[1]Methods write-up'!$T$19),"East Africa","")</f>
        <v>East Africa</v>
      </c>
      <c r="BB977" s="22" t="str">
        <f>IF(AND('[1]observations-276632'!W977&gt;'[1]Methods write-up'!$Q$20,'[1]observations-276632'!W977&lt;'[1]Methods write-up'!$R$20,'[1]observations-276632'!X977&gt;'[1]Methods write-up'!$S$20,'[1]observations-276632'!X977&lt;'[1]Methods write-up'!$T$20),"Temperate seasonal","")</f>
        <v/>
      </c>
      <c r="BC977" s="22" t="str">
        <f>IF(AND('[1]observations-276632'!W977&gt;'[1]Methods write-up'!$Q$21,'[1]observations-276632'!W977&lt;'[1]Methods write-up'!$R$21,'[1]observations-276632'!X977&gt;'[1]Methods write-up'!$S$21,'[1]observations-276632'!X977&lt;'[1]Methods write-up'!$T$21),"Desert and high aridity","")</f>
        <v/>
      </c>
      <c r="BD977" s="23" t="str">
        <f t="shared" si="70"/>
        <v>East Africa</v>
      </c>
      <c r="BE977" s="24">
        <f t="shared" si="68"/>
        <v>10</v>
      </c>
      <c r="BF977" s="24">
        <f t="shared" si="69"/>
        <v>4</v>
      </c>
    </row>
    <row r="978" spans="1:58" ht="16.25" customHeight="1" x14ac:dyDescent="0.2">
      <c r="A978">
        <v>111296143</v>
      </c>
      <c r="B978" s="13">
        <v>44662</v>
      </c>
      <c r="C978" s="14">
        <v>44662</v>
      </c>
      <c r="E978" t="s">
        <v>7307</v>
      </c>
      <c r="F978">
        <v>5428480</v>
      </c>
      <c r="G978" t="s">
        <v>7308</v>
      </c>
      <c r="H978" t="s">
        <v>7309</v>
      </c>
      <c r="I978" t="s">
        <v>7310</v>
      </c>
      <c r="J978" t="s">
        <v>7311</v>
      </c>
      <c r="K978" t="s">
        <v>62</v>
      </c>
      <c r="L978" t="s">
        <v>63</v>
      </c>
      <c r="M978" t="s">
        <v>7312</v>
      </c>
      <c r="N978" t="s">
        <v>7313</v>
      </c>
      <c r="Q978" t="s">
        <v>7314</v>
      </c>
      <c r="R978">
        <v>1</v>
      </c>
      <c r="S978">
        <v>0</v>
      </c>
      <c r="T978" t="b">
        <v>0</v>
      </c>
      <c r="U978">
        <v>2</v>
      </c>
      <c r="V978" t="s">
        <v>7315</v>
      </c>
      <c r="W978" s="15">
        <v>6.6409804000000003E-2</v>
      </c>
      <c r="X978" s="15">
        <v>32.476288009999998</v>
      </c>
      <c r="Y978">
        <v>355</v>
      </c>
      <c r="AC978">
        <v>355</v>
      </c>
      <c r="AF978" t="b">
        <v>0</v>
      </c>
      <c r="AG978" t="s">
        <v>350</v>
      </c>
      <c r="AH978" t="s">
        <v>350</v>
      </c>
      <c r="AI978" t="s">
        <v>71</v>
      </c>
      <c r="AJ978" t="s">
        <v>70</v>
      </c>
      <c r="AK978" t="s">
        <v>71</v>
      </c>
      <c r="AL978" t="s">
        <v>72</v>
      </c>
      <c r="AM978">
        <v>346053</v>
      </c>
      <c r="AO978" s="16" t="s">
        <v>140</v>
      </c>
      <c r="AP978" s="17" t="str">
        <f t="shared" si="67"/>
        <v>Post-emergence nest</v>
      </c>
      <c r="AQ978" s="18">
        <v>4</v>
      </c>
      <c r="AT978" s="19" t="s">
        <v>141</v>
      </c>
      <c r="AU978" s="20" t="s">
        <v>104</v>
      </c>
      <c r="AX978" s="22" t="str">
        <f>IF(AND('[1]observations-276632'!W978&gt;'[1]Methods write-up'!$Q$16,'[1]observations-276632'!W978&lt;'[1]Methods write-up'!$R$16,'[1]observations-276632'!X978&gt;'[1]Methods write-up'!$S$16,'[1]observations-276632'!X978&lt;'[1]Methods write-up'!$T$16),"West and Central Africa","")</f>
        <v/>
      </c>
      <c r="AY978" s="22" t="str">
        <f>IF(AND('[1]observations-276632'!W978&gt;'[1]Methods write-up'!$Q$17,'[1]observations-276632'!W978&lt;'[1]Methods write-up'!$R$17,'[1]observations-276632'!X978&gt;'[1]Methods write-up'!$S$17,'[1]observations-276632'!X978&lt;'[1]Methods write-up'!$T$17),"Equatorial tropical forest","")</f>
        <v/>
      </c>
      <c r="AZ978" s="22" t="str">
        <f>IF(AND('[1]observations-276632'!W978&gt;'[1]Methods write-up'!$Q$18,'[1]observations-276632'!W978&lt;'[1]Methods write-up'!$R$18,'[1]observations-276632'!X978&gt;'[1]Methods write-up'!$S$18,'[1]observations-276632'!X978&lt;'[1]Methods write-up'!$T$18),"Somali peninsula","")</f>
        <v/>
      </c>
      <c r="BA978" s="22" t="str">
        <f>IF(AND('[1]observations-276632'!W978&gt;'[1]Methods write-up'!$Q$19,'[1]observations-276632'!W978&lt;'[1]Methods write-up'!$R$19,'[1]observations-276632'!X978&gt;'[1]Methods write-up'!$S$19,'[1]observations-276632'!X978&lt;'[1]Methods write-up'!$T$19),"East Africa","")</f>
        <v>East Africa</v>
      </c>
      <c r="BB978" s="22" t="str">
        <f>IF(AND('[1]observations-276632'!W978&gt;'[1]Methods write-up'!$Q$20,'[1]observations-276632'!W978&lt;'[1]Methods write-up'!$R$20,'[1]observations-276632'!X978&gt;'[1]Methods write-up'!$S$20,'[1]observations-276632'!X978&lt;'[1]Methods write-up'!$T$20),"Temperate seasonal","")</f>
        <v/>
      </c>
      <c r="BC978" s="22" t="str">
        <f>IF(AND('[1]observations-276632'!W978&gt;'[1]Methods write-up'!$Q$21,'[1]observations-276632'!W978&lt;'[1]Methods write-up'!$R$21,'[1]observations-276632'!X978&gt;'[1]Methods write-up'!$S$21,'[1]observations-276632'!X978&lt;'[1]Methods write-up'!$T$21),"Desert and high aridity","")</f>
        <v/>
      </c>
      <c r="BD978" s="23" t="str">
        <f t="shared" si="70"/>
        <v>East Africa</v>
      </c>
      <c r="BE978" s="24">
        <f t="shared" si="68"/>
        <v>11</v>
      </c>
      <c r="BF978" s="24">
        <f t="shared" si="69"/>
        <v>4</v>
      </c>
    </row>
    <row r="979" spans="1:58" ht="16.25" customHeight="1" x14ac:dyDescent="0.2">
      <c r="A979">
        <v>111398116</v>
      </c>
      <c r="B979" t="s">
        <v>7316</v>
      </c>
      <c r="C979" s="14">
        <v>44665</v>
      </c>
      <c r="D979" t="s">
        <v>7317</v>
      </c>
      <c r="E979" t="s">
        <v>113</v>
      </c>
      <c r="F979">
        <v>5459709</v>
      </c>
      <c r="G979" t="s">
        <v>7318</v>
      </c>
      <c r="H979" t="s">
        <v>7319</v>
      </c>
      <c r="I979" t="s">
        <v>7320</v>
      </c>
      <c r="J979" t="s">
        <v>7321</v>
      </c>
      <c r="K979" t="s">
        <v>157</v>
      </c>
      <c r="L979" t="s">
        <v>63</v>
      </c>
      <c r="M979" t="s">
        <v>7322</v>
      </c>
      <c r="N979" t="s">
        <v>7323</v>
      </c>
      <c r="R979">
        <v>1</v>
      </c>
      <c r="S979">
        <v>0</v>
      </c>
      <c r="T979" t="b">
        <v>0</v>
      </c>
      <c r="V979" t="s">
        <v>7324</v>
      </c>
      <c r="W979" s="15">
        <v>-25.708465499999999</v>
      </c>
      <c r="X979" s="15">
        <v>28.294205699999999</v>
      </c>
      <c r="Y979">
        <v>211</v>
      </c>
      <c r="AC979">
        <v>211</v>
      </c>
      <c r="AF979" t="b">
        <v>0</v>
      </c>
      <c r="AI979" t="s">
        <v>2004</v>
      </c>
      <c r="AJ979" t="s">
        <v>2004</v>
      </c>
      <c r="AL979" t="s">
        <v>72</v>
      </c>
      <c r="AM979">
        <v>652802</v>
      </c>
      <c r="AO979" s="16" t="s">
        <v>73</v>
      </c>
      <c r="AP979" s="17" t="str">
        <f t="shared" si="67"/>
        <v>Off-nest female</v>
      </c>
      <c r="AX979" s="22" t="str">
        <f>IF(AND('[1]observations-276632'!W979&gt;'[1]Methods write-up'!$Q$16,'[1]observations-276632'!W979&lt;'[1]Methods write-up'!$R$16,'[1]observations-276632'!X979&gt;'[1]Methods write-up'!$S$16,'[1]observations-276632'!X979&lt;'[1]Methods write-up'!$T$16),"West and Central Africa","")</f>
        <v/>
      </c>
      <c r="AY979" s="22" t="str">
        <f>IF(AND('[1]observations-276632'!W979&gt;'[1]Methods write-up'!$Q$17,'[1]observations-276632'!W979&lt;'[1]Methods write-up'!$R$17,'[1]observations-276632'!X979&gt;'[1]Methods write-up'!$S$17,'[1]observations-276632'!X979&lt;'[1]Methods write-up'!$T$17),"Equatorial tropical forest","")</f>
        <v/>
      </c>
      <c r="AZ979" s="22" t="str">
        <f>IF(AND('[1]observations-276632'!W979&gt;'[1]Methods write-up'!$Q$18,'[1]observations-276632'!W979&lt;'[1]Methods write-up'!$R$18,'[1]observations-276632'!X979&gt;'[1]Methods write-up'!$S$18,'[1]observations-276632'!X979&lt;'[1]Methods write-up'!$T$18),"Somali peninsula","")</f>
        <v/>
      </c>
      <c r="BA979" s="22" t="str">
        <f>IF(AND('[1]observations-276632'!W979&gt;'[1]Methods write-up'!$Q$19,'[1]observations-276632'!W979&lt;'[1]Methods write-up'!$R$19,'[1]observations-276632'!X979&gt;'[1]Methods write-up'!$S$19,'[1]observations-276632'!X979&lt;'[1]Methods write-up'!$T$19),"East Africa","")</f>
        <v/>
      </c>
      <c r="BB979" s="22" t="str">
        <f>IF(AND('[1]observations-276632'!W979&gt;'[1]Methods write-up'!$Q$20,'[1]observations-276632'!W979&lt;'[1]Methods write-up'!$R$20,'[1]observations-276632'!X979&gt;'[1]Methods write-up'!$S$20,'[1]observations-276632'!X979&lt;'[1]Methods write-up'!$T$20),"Temperate seasonal","")</f>
        <v>Temperate seasonal</v>
      </c>
      <c r="BC979" s="22" t="str">
        <f>IF(AND('[1]observations-276632'!W979&gt;'[1]Methods write-up'!$Q$21,'[1]observations-276632'!W979&lt;'[1]Methods write-up'!$R$21,'[1]observations-276632'!X979&gt;'[1]Methods write-up'!$S$21,'[1]observations-276632'!X979&lt;'[1]Methods write-up'!$T$21),"Desert and high aridity","")</f>
        <v/>
      </c>
      <c r="BD979" s="23" t="str">
        <f t="shared" si="70"/>
        <v>Temperate seasonal</v>
      </c>
      <c r="BE979" s="24">
        <f t="shared" si="68"/>
        <v>14</v>
      </c>
      <c r="BF979" s="24">
        <f t="shared" si="69"/>
        <v>4</v>
      </c>
    </row>
    <row r="980" spans="1:58" ht="16.25" customHeight="1" x14ac:dyDescent="0.2">
      <c r="A980">
        <v>111519453</v>
      </c>
      <c r="B980" t="s">
        <v>7325</v>
      </c>
      <c r="C980" s="14">
        <v>44666</v>
      </c>
      <c r="D980" t="s">
        <v>7326</v>
      </c>
      <c r="E980" t="s">
        <v>6201</v>
      </c>
      <c r="F980">
        <v>5180135</v>
      </c>
      <c r="G980" t="s">
        <v>7327</v>
      </c>
      <c r="H980" t="s">
        <v>7328</v>
      </c>
      <c r="I980" t="s">
        <v>7329</v>
      </c>
      <c r="J980" t="s">
        <v>7330</v>
      </c>
      <c r="K980" t="s">
        <v>62</v>
      </c>
      <c r="M980" t="s">
        <v>7331</v>
      </c>
      <c r="N980" t="s">
        <v>7332</v>
      </c>
      <c r="R980">
        <v>2</v>
      </c>
      <c r="S980">
        <v>0</v>
      </c>
      <c r="T980" t="b">
        <v>0</v>
      </c>
      <c r="U980">
        <v>3</v>
      </c>
      <c r="V980" t="s">
        <v>7333</v>
      </c>
      <c r="W980" s="15">
        <v>-32.1584699</v>
      </c>
      <c r="X980" s="15">
        <v>25.626634410000001</v>
      </c>
      <c r="Y980">
        <v>65</v>
      </c>
      <c r="AC980">
        <v>65</v>
      </c>
      <c r="AF980" t="b">
        <v>0</v>
      </c>
      <c r="AI980" t="s">
        <v>71</v>
      </c>
      <c r="AJ980" t="s">
        <v>70</v>
      </c>
      <c r="AK980" t="s">
        <v>71</v>
      </c>
      <c r="AL980" t="s">
        <v>72</v>
      </c>
      <c r="AM980">
        <v>346053</v>
      </c>
      <c r="AO980" s="16" t="s">
        <v>150</v>
      </c>
      <c r="AP980" s="17" t="str">
        <f t="shared" si="67"/>
        <v>Male (off nest)</v>
      </c>
      <c r="AX980" s="22" t="str">
        <f>IF(AND('[1]observations-276632'!W980&gt;'[1]Methods write-up'!$Q$16,'[1]observations-276632'!W980&lt;'[1]Methods write-up'!$R$16,'[1]observations-276632'!X980&gt;'[1]Methods write-up'!$S$16,'[1]observations-276632'!X980&lt;'[1]Methods write-up'!$T$16),"West and Central Africa","")</f>
        <v/>
      </c>
      <c r="AY980" s="22" t="str">
        <f>IF(AND('[1]observations-276632'!W980&gt;'[1]Methods write-up'!$Q$17,'[1]observations-276632'!W980&lt;'[1]Methods write-up'!$R$17,'[1]observations-276632'!X980&gt;'[1]Methods write-up'!$S$17,'[1]observations-276632'!X980&lt;'[1]Methods write-up'!$T$17),"Equatorial tropical forest","")</f>
        <v/>
      </c>
      <c r="AZ980" s="22" t="str">
        <f>IF(AND('[1]observations-276632'!W980&gt;'[1]Methods write-up'!$Q$18,'[1]observations-276632'!W980&lt;'[1]Methods write-up'!$R$18,'[1]observations-276632'!X980&gt;'[1]Methods write-up'!$S$18,'[1]observations-276632'!X980&lt;'[1]Methods write-up'!$T$18),"Somali peninsula","")</f>
        <v/>
      </c>
      <c r="BA980" s="22" t="str">
        <f>IF(AND('[1]observations-276632'!W980&gt;'[1]Methods write-up'!$Q$19,'[1]observations-276632'!W980&lt;'[1]Methods write-up'!$R$19,'[1]observations-276632'!X980&gt;'[1]Methods write-up'!$S$19,'[1]observations-276632'!X980&lt;'[1]Methods write-up'!$T$19),"East Africa","")</f>
        <v/>
      </c>
      <c r="BB980" s="22" t="str">
        <f>IF(AND('[1]observations-276632'!W980&gt;'[1]Methods write-up'!$Q$20,'[1]observations-276632'!W980&lt;'[1]Methods write-up'!$R$20,'[1]observations-276632'!X980&gt;'[1]Methods write-up'!$S$20,'[1]observations-276632'!X980&lt;'[1]Methods write-up'!$T$20),"Temperate seasonal","")</f>
        <v/>
      </c>
      <c r="BC980" s="22" t="str">
        <f>IF(AND('[1]observations-276632'!W980&gt;'[1]Methods write-up'!$Q$21,'[1]observations-276632'!W980&lt;'[1]Methods write-up'!$R$21,'[1]observations-276632'!X980&gt;'[1]Methods write-up'!$S$21,'[1]observations-276632'!X980&lt;'[1]Methods write-up'!$T$21),"Desert and high aridity","")</f>
        <v/>
      </c>
      <c r="BD980" s="23" t="str">
        <f t="shared" si="70"/>
        <v/>
      </c>
      <c r="BE980" s="24">
        <f t="shared" si="68"/>
        <v>15</v>
      </c>
      <c r="BF980" s="24">
        <f t="shared" si="69"/>
        <v>4</v>
      </c>
    </row>
    <row r="981" spans="1:58" ht="16.25" customHeight="1" x14ac:dyDescent="0.2">
      <c r="A981">
        <v>111621664</v>
      </c>
      <c r="B981" t="s">
        <v>7334</v>
      </c>
      <c r="C981" s="14">
        <v>42042</v>
      </c>
      <c r="D981" t="s">
        <v>7335</v>
      </c>
      <c r="E981" t="s">
        <v>1408</v>
      </c>
      <c r="F981">
        <v>3381298</v>
      </c>
      <c r="G981" t="s">
        <v>7227</v>
      </c>
      <c r="H981" t="s">
        <v>7228</v>
      </c>
      <c r="I981" t="s">
        <v>7336</v>
      </c>
      <c r="J981" t="s">
        <v>7337</v>
      </c>
      <c r="K981" t="s">
        <v>62</v>
      </c>
      <c r="M981" t="s">
        <v>7338</v>
      </c>
      <c r="N981" t="s">
        <v>7339</v>
      </c>
      <c r="R981">
        <v>2</v>
      </c>
      <c r="S981">
        <v>0</v>
      </c>
      <c r="T981" t="b">
        <v>0</v>
      </c>
      <c r="V981" t="s">
        <v>7340</v>
      </c>
      <c r="W981" s="15">
        <v>-25.455787409999999</v>
      </c>
      <c r="X981" s="15">
        <v>29.43125152</v>
      </c>
      <c r="Y981">
        <v>15</v>
      </c>
      <c r="AC981">
        <v>15</v>
      </c>
      <c r="AF981" t="b">
        <v>0</v>
      </c>
      <c r="AI981" t="s">
        <v>71</v>
      </c>
      <c r="AJ981" t="s">
        <v>70</v>
      </c>
      <c r="AK981" t="s">
        <v>71</v>
      </c>
      <c r="AL981" t="s">
        <v>72</v>
      </c>
      <c r="AM981">
        <v>346053</v>
      </c>
      <c r="AO981" s="16" t="s">
        <v>140</v>
      </c>
      <c r="AP981" s="17" t="str">
        <f t="shared" si="67"/>
        <v>Post-emergence nest</v>
      </c>
      <c r="AQ981" s="18">
        <v>6</v>
      </c>
      <c r="AT981" s="19" t="s">
        <v>141</v>
      </c>
      <c r="AU981" s="20" t="s">
        <v>141</v>
      </c>
      <c r="AX981" s="22" t="str">
        <f>IF(AND('[1]observations-276632'!W981&gt;'[1]Methods write-up'!$Q$16,'[1]observations-276632'!W981&lt;'[1]Methods write-up'!$R$16,'[1]observations-276632'!X981&gt;'[1]Methods write-up'!$S$16,'[1]observations-276632'!X981&lt;'[1]Methods write-up'!$T$16),"West and Central Africa","")</f>
        <v/>
      </c>
      <c r="AY981" s="22" t="str">
        <f>IF(AND('[1]observations-276632'!W981&gt;'[1]Methods write-up'!$Q$17,'[1]observations-276632'!W981&lt;'[1]Methods write-up'!$R$17,'[1]observations-276632'!X981&gt;'[1]Methods write-up'!$S$17,'[1]observations-276632'!X981&lt;'[1]Methods write-up'!$T$17),"Equatorial tropical forest","")</f>
        <v/>
      </c>
      <c r="AZ981" s="22" t="str">
        <f>IF(AND('[1]observations-276632'!W981&gt;'[1]Methods write-up'!$Q$18,'[1]observations-276632'!W981&lt;'[1]Methods write-up'!$R$18,'[1]observations-276632'!X981&gt;'[1]Methods write-up'!$S$18,'[1]observations-276632'!X981&lt;'[1]Methods write-up'!$T$18),"Somali peninsula","")</f>
        <v/>
      </c>
      <c r="BA981" s="22" t="str">
        <f>IF(AND('[1]observations-276632'!W981&gt;'[1]Methods write-up'!$Q$19,'[1]observations-276632'!W981&lt;'[1]Methods write-up'!$R$19,'[1]observations-276632'!X981&gt;'[1]Methods write-up'!$S$19,'[1]observations-276632'!X981&lt;'[1]Methods write-up'!$T$19),"East Africa","")</f>
        <v/>
      </c>
      <c r="BB981" s="22" t="str">
        <f>IF(AND('[1]observations-276632'!W981&gt;'[1]Methods write-up'!$Q$20,'[1]observations-276632'!W981&lt;'[1]Methods write-up'!$R$20,'[1]observations-276632'!X981&gt;'[1]Methods write-up'!$S$20,'[1]observations-276632'!X981&lt;'[1]Methods write-up'!$T$20),"Temperate seasonal","")</f>
        <v>Temperate seasonal</v>
      </c>
      <c r="BC981" s="22" t="str">
        <f>IF(AND('[1]observations-276632'!W981&gt;'[1]Methods write-up'!$Q$21,'[1]observations-276632'!W981&lt;'[1]Methods write-up'!$R$21,'[1]observations-276632'!X981&gt;'[1]Methods write-up'!$S$21,'[1]observations-276632'!X981&lt;'[1]Methods write-up'!$T$21),"Desert and high aridity","")</f>
        <v/>
      </c>
      <c r="BD981" s="23" t="str">
        <f t="shared" si="70"/>
        <v>Temperate seasonal</v>
      </c>
      <c r="BE981" s="24">
        <f t="shared" si="68"/>
        <v>7</v>
      </c>
      <c r="BF981" s="24">
        <f t="shared" si="69"/>
        <v>2</v>
      </c>
    </row>
    <row r="982" spans="1:58" ht="16.25" customHeight="1" x14ac:dyDescent="0.2">
      <c r="A982">
        <v>111746820</v>
      </c>
      <c r="B982" s="25">
        <v>44611.861111111109</v>
      </c>
      <c r="C982" s="14">
        <v>44611</v>
      </c>
      <c r="D982" t="s">
        <v>7341</v>
      </c>
      <c r="E982" t="s">
        <v>243</v>
      </c>
      <c r="F982">
        <v>1293396</v>
      </c>
      <c r="G982" t="s">
        <v>7342</v>
      </c>
      <c r="H982" t="s">
        <v>7343</v>
      </c>
      <c r="I982" t="s">
        <v>7344</v>
      </c>
      <c r="J982" t="s">
        <v>7345</v>
      </c>
      <c r="K982" t="s">
        <v>62</v>
      </c>
      <c r="L982" t="s">
        <v>98</v>
      </c>
      <c r="M982" t="s">
        <v>7346</v>
      </c>
      <c r="N982" t="s">
        <v>7347</v>
      </c>
      <c r="R982">
        <v>2</v>
      </c>
      <c r="S982">
        <v>0</v>
      </c>
      <c r="T982" t="b">
        <v>0</v>
      </c>
      <c r="U982">
        <v>2</v>
      </c>
      <c r="V982" t="s">
        <v>7348</v>
      </c>
      <c r="W982" s="15">
        <v>-12.918843000000001</v>
      </c>
      <c r="X982" s="15">
        <v>45.083652000000001</v>
      </c>
      <c r="AF982" t="b">
        <v>0</v>
      </c>
      <c r="AG982" t="s">
        <v>350</v>
      </c>
      <c r="AH982" t="s">
        <v>350</v>
      </c>
      <c r="AI982" t="s">
        <v>71</v>
      </c>
      <c r="AJ982" t="s">
        <v>70</v>
      </c>
      <c r="AK982" t="s">
        <v>71</v>
      </c>
      <c r="AL982" t="s">
        <v>72</v>
      </c>
      <c r="AM982">
        <v>346053</v>
      </c>
      <c r="AO982" s="16" t="s">
        <v>140</v>
      </c>
      <c r="AP982" s="17" t="str">
        <f t="shared" si="67"/>
        <v>Post-emergence nest</v>
      </c>
      <c r="AQ982" s="18">
        <v>7</v>
      </c>
      <c r="AT982" s="19" t="s">
        <v>141</v>
      </c>
      <c r="AU982" s="20" t="s">
        <v>104</v>
      </c>
      <c r="AX982" s="22" t="str">
        <f>IF(AND('[1]observations-276632'!W982&gt;'[1]Methods write-up'!$Q$16,'[1]observations-276632'!W982&lt;'[1]Methods write-up'!$R$16,'[1]observations-276632'!X982&gt;'[1]Methods write-up'!$S$16,'[1]observations-276632'!X982&lt;'[1]Methods write-up'!$T$16),"West and Central Africa","")</f>
        <v/>
      </c>
      <c r="AY982" s="22" t="str">
        <f>IF(AND('[1]observations-276632'!W982&gt;'[1]Methods write-up'!$Q$17,'[1]observations-276632'!W982&lt;'[1]Methods write-up'!$R$17,'[1]observations-276632'!X982&gt;'[1]Methods write-up'!$S$17,'[1]observations-276632'!X982&lt;'[1]Methods write-up'!$T$17),"Equatorial tropical forest","")</f>
        <v/>
      </c>
      <c r="AZ982" s="22" t="str">
        <f>IF(AND('[1]observations-276632'!W982&gt;'[1]Methods write-up'!$Q$18,'[1]observations-276632'!W982&lt;'[1]Methods write-up'!$R$18,'[1]observations-276632'!X982&gt;'[1]Methods write-up'!$S$18,'[1]observations-276632'!X982&lt;'[1]Methods write-up'!$T$18),"Somali peninsula","")</f>
        <v/>
      </c>
      <c r="BA982" s="22" t="str">
        <f>IF(AND('[1]observations-276632'!W982&gt;'[1]Methods write-up'!$Q$19,'[1]observations-276632'!W982&lt;'[1]Methods write-up'!$R$19,'[1]observations-276632'!X982&gt;'[1]Methods write-up'!$S$19,'[1]observations-276632'!X982&lt;'[1]Methods write-up'!$T$19),"East Africa","")</f>
        <v/>
      </c>
      <c r="BB982" s="22" t="str">
        <f>IF(AND('[1]observations-276632'!W982&gt;'[1]Methods write-up'!$Q$20,'[1]observations-276632'!W982&lt;'[1]Methods write-up'!$R$20,'[1]observations-276632'!X982&gt;'[1]Methods write-up'!$S$20,'[1]observations-276632'!X982&lt;'[1]Methods write-up'!$T$20),"Temperate seasonal","")</f>
        <v/>
      </c>
      <c r="BC982" s="22" t="str">
        <f>IF(AND('[1]observations-276632'!W982&gt;'[1]Methods write-up'!$Q$21,'[1]observations-276632'!W982&lt;'[1]Methods write-up'!$R$21,'[1]observations-276632'!X982&gt;'[1]Methods write-up'!$S$21,'[1]observations-276632'!X982&lt;'[1]Methods write-up'!$T$21),"Desert and high aridity","")</f>
        <v/>
      </c>
      <c r="BD982" s="23" t="str">
        <f t="shared" si="70"/>
        <v/>
      </c>
      <c r="BE982" s="24">
        <f t="shared" si="68"/>
        <v>19</v>
      </c>
      <c r="BF982" s="24">
        <f t="shared" si="69"/>
        <v>2</v>
      </c>
    </row>
    <row r="983" spans="1:58" ht="16.25" customHeight="1" x14ac:dyDescent="0.2">
      <c r="A983">
        <v>111755578</v>
      </c>
      <c r="B983" s="13">
        <v>44618</v>
      </c>
      <c r="C983" s="14">
        <v>44618</v>
      </c>
      <c r="E983" t="s">
        <v>3544</v>
      </c>
      <c r="F983">
        <v>15745</v>
      </c>
      <c r="G983" t="s">
        <v>4231</v>
      </c>
      <c r="H983" t="s">
        <v>4232</v>
      </c>
      <c r="I983" t="s">
        <v>7349</v>
      </c>
      <c r="J983" t="s">
        <v>7350</v>
      </c>
      <c r="K983" t="s">
        <v>62</v>
      </c>
      <c r="L983" t="s">
        <v>63</v>
      </c>
      <c r="M983" t="s">
        <v>7351</v>
      </c>
      <c r="N983" t="s">
        <v>7352</v>
      </c>
      <c r="R983">
        <v>1</v>
      </c>
      <c r="S983">
        <v>0</v>
      </c>
      <c r="T983" t="b">
        <v>0</v>
      </c>
      <c r="V983" t="s">
        <v>7353</v>
      </c>
      <c r="W983" s="15">
        <v>-19.733594</v>
      </c>
      <c r="X983" s="15">
        <v>33.337716</v>
      </c>
      <c r="Y983">
        <v>100</v>
      </c>
      <c r="AC983">
        <v>100</v>
      </c>
      <c r="AF983" t="b">
        <v>0</v>
      </c>
      <c r="AI983" t="s">
        <v>71</v>
      </c>
      <c r="AJ983" t="s">
        <v>70</v>
      </c>
      <c r="AK983" t="s">
        <v>71</v>
      </c>
      <c r="AL983" t="s">
        <v>72</v>
      </c>
      <c r="AM983">
        <v>346053</v>
      </c>
      <c r="AO983" s="16" t="s">
        <v>140</v>
      </c>
      <c r="AP983" s="17" t="str">
        <f t="shared" si="67"/>
        <v>Post-emergence nest</v>
      </c>
      <c r="AQ983" s="18">
        <v>13</v>
      </c>
      <c r="AT983" s="19" t="s">
        <v>141</v>
      </c>
      <c r="AU983" s="20" t="s">
        <v>104</v>
      </c>
      <c r="AX983" s="22" t="str">
        <f>IF(AND('[1]observations-276632'!W983&gt;'[1]Methods write-up'!$Q$16,'[1]observations-276632'!W983&lt;'[1]Methods write-up'!$R$16,'[1]observations-276632'!X983&gt;'[1]Methods write-up'!$S$16,'[1]observations-276632'!X983&lt;'[1]Methods write-up'!$T$16),"West and Central Africa","")</f>
        <v/>
      </c>
      <c r="AY983" s="22" t="str">
        <f>IF(AND('[1]observations-276632'!W983&gt;'[1]Methods write-up'!$Q$17,'[1]observations-276632'!W983&lt;'[1]Methods write-up'!$R$17,'[1]observations-276632'!X983&gt;'[1]Methods write-up'!$S$17,'[1]observations-276632'!X983&lt;'[1]Methods write-up'!$T$17),"Equatorial tropical forest","")</f>
        <v/>
      </c>
      <c r="AZ983" s="22" t="str">
        <f>IF(AND('[1]observations-276632'!W983&gt;'[1]Methods write-up'!$Q$18,'[1]observations-276632'!W983&lt;'[1]Methods write-up'!$R$18,'[1]observations-276632'!X983&gt;'[1]Methods write-up'!$S$18,'[1]observations-276632'!X983&lt;'[1]Methods write-up'!$T$18),"Somali peninsula","")</f>
        <v/>
      </c>
      <c r="BA983" s="22" t="str">
        <f>IF(AND('[1]observations-276632'!W983&gt;'[1]Methods write-up'!$Q$19,'[1]observations-276632'!W983&lt;'[1]Methods write-up'!$R$19,'[1]observations-276632'!X983&gt;'[1]Methods write-up'!$S$19,'[1]observations-276632'!X983&lt;'[1]Methods write-up'!$T$19),"East Africa","")</f>
        <v/>
      </c>
      <c r="BB983" s="22" t="str">
        <f>IF(AND('[1]observations-276632'!W983&gt;'[1]Methods write-up'!$Q$20,'[1]observations-276632'!W983&lt;'[1]Methods write-up'!$R$20,'[1]observations-276632'!X983&gt;'[1]Methods write-up'!$S$20,'[1]observations-276632'!X983&lt;'[1]Methods write-up'!$T$20),"Temperate seasonal","")</f>
        <v/>
      </c>
      <c r="BC983" s="22" t="str">
        <f>IF(AND('[1]observations-276632'!W983&gt;'[1]Methods write-up'!$Q$21,'[1]observations-276632'!W983&lt;'[1]Methods write-up'!$R$21,'[1]observations-276632'!X983&gt;'[1]Methods write-up'!$S$21,'[1]observations-276632'!X983&lt;'[1]Methods write-up'!$T$21),"Desert and high aridity","")</f>
        <v/>
      </c>
      <c r="BD983" s="23" t="str">
        <f t="shared" si="70"/>
        <v/>
      </c>
      <c r="BE983" s="24">
        <f t="shared" si="68"/>
        <v>26</v>
      </c>
      <c r="BF983" s="24">
        <f t="shared" si="69"/>
        <v>2</v>
      </c>
    </row>
    <row r="984" spans="1:58" ht="16.25" customHeight="1" x14ac:dyDescent="0.2">
      <c r="A984">
        <v>111791362</v>
      </c>
      <c r="B984" s="25">
        <v>44668.628472222219</v>
      </c>
      <c r="C984" s="14">
        <v>44668</v>
      </c>
      <c r="D984" t="s">
        <v>7354</v>
      </c>
      <c r="E984" t="s">
        <v>113</v>
      </c>
      <c r="F984">
        <v>5324466</v>
      </c>
      <c r="G984" t="s">
        <v>7355</v>
      </c>
      <c r="H984" t="s">
        <v>7356</v>
      </c>
      <c r="I984" t="s">
        <v>7357</v>
      </c>
      <c r="J984" t="s">
        <v>7358</v>
      </c>
      <c r="K984" t="s">
        <v>62</v>
      </c>
      <c r="L984" t="s">
        <v>63</v>
      </c>
      <c r="M984" t="s">
        <v>7359</v>
      </c>
      <c r="N984" t="s">
        <v>7360</v>
      </c>
      <c r="R984">
        <v>2</v>
      </c>
      <c r="S984">
        <v>0</v>
      </c>
      <c r="T984" t="b">
        <v>0</v>
      </c>
      <c r="U984">
        <v>2</v>
      </c>
      <c r="V984" t="s">
        <v>7361</v>
      </c>
      <c r="W984" s="15">
        <v>-26.132953100000002</v>
      </c>
      <c r="X984" s="15">
        <v>27.983066600000001</v>
      </c>
      <c r="AF984" t="b">
        <v>0</v>
      </c>
      <c r="AG984" t="s">
        <v>350</v>
      </c>
      <c r="AH984" t="s">
        <v>350</v>
      </c>
      <c r="AI984" t="s">
        <v>71</v>
      </c>
      <c r="AJ984" t="s">
        <v>70</v>
      </c>
      <c r="AK984" t="s">
        <v>71</v>
      </c>
      <c r="AL984" t="s">
        <v>72</v>
      </c>
      <c r="AM984">
        <v>346053</v>
      </c>
      <c r="AO984" s="16" t="s">
        <v>150</v>
      </c>
      <c r="AP984" s="17" t="str">
        <f t="shared" si="67"/>
        <v>Male (off nest)</v>
      </c>
      <c r="AX984" s="22" t="str">
        <f>IF(AND('[1]observations-276632'!W984&gt;'[1]Methods write-up'!$Q$16,'[1]observations-276632'!W984&lt;'[1]Methods write-up'!$R$16,'[1]observations-276632'!X984&gt;'[1]Methods write-up'!$S$16,'[1]observations-276632'!X984&lt;'[1]Methods write-up'!$T$16),"West and Central Africa","")</f>
        <v/>
      </c>
      <c r="AY984" s="22" t="str">
        <f>IF(AND('[1]observations-276632'!W984&gt;'[1]Methods write-up'!$Q$17,'[1]observations-276632'!W984&lt;'[1]Methods write-up'!$R$17,'[1]observations-276632'!X984&gt;'[1]Methods write-up'!$S$17,'[1]observations-276632'!X984&lt;'[1]Methods write-up'!$T$17),"Equatorial tropical forest","")</f>
        <v/>
      </c>
      <c r="AZ984" s="22" t="str">
        <f>IF(AND('[1]observations-276632'!W984&gt;'[1]Methods write-up'!$Q$18,'[1]observations-276632'!W984&lt;'[1]Methods write-up'!$R$18,'[1]observations-276632'!X984&gt;'[1]Methods write-up'!$S$18,'[1]observations-276632'!X984&lt;'[1]Methods write-up'!$T$18),"Somali peninsula","")</f>
        <v/>
      </c>
      <c r="BA984" s="22" t="str">
        <f>IF(AND('[1]observations-276632'!W984&gt;'[1]Methods write-up'!$Q$19,'[1]observations-276632'!W984&lt;'[1]Methods write-up'!$R$19,'[1]observations-276632'!X984&gt;'[1]Methods write-up'!$S$19,'[1]observations-276632'!X984&lt;'[1]Methods write-up'!$T$19),"East Africa","")</f>
        <v/>
      </c>
      <c r="BB984" s="22" t="str">
        <f>IF(AND('[1]observations-276632'!W984&gt;'[1]Methods write-up'!$Q$20,'[1]observations-276632'!W984&lt;'[1]Methods write-up'!$R$20,'[1]observations-276632'!X984&gt;'[1]Methods write-up'!$S$20,'[1]observations-276632'!X984&lt;'[1]Methods write-up'!$T$20),"Temperate seasonal","")</f>
        <v>Temperate seasonal</v>
      </c>
      <c r="BC984" s="22" t="str">
        <f>IF(AND('[1]observations-276632'!W984&gt;'[1]Methods write-up'!$Q$21,'[1]observations-276632'!W984&lt;'[1]Methods write-up'!$R$21,'[1]observations-276632'!X984&gt;'[1]Methods write-up'!$S$21,'[1]observations-276632'!X984&lt;'[1]Methods write-up'!$T$21),"Desert and high aridity","")</f>
        <v/>
      </c>
      <c r="BD984" s="23" t="str">
        <f t="shared" si="70"/>
        <v>Temperate seasonal</v>
      </c>
      <c r="BE984" s="24">
        <f t="shared" si="68"/>
        <v>17</v>
      </c>
      <c r="BF984" s="24">
        <f t="shared" si="69"/>
        <v>4</v>
      </c>
    </row>
    <row r="985" spans="1:58" ht="16.25" customHeight="1" x14ac:dyDescent="0.2">
      <c r="A985">
        <v>111976950</v>
      </c>
      <c r="B985" t="s">
        <v>7362</v>
      </c>
      <c r="C985" s="14">
        <v>44669</v>
      </c>
      <c r="D985" t="s">
        <v>7363</v>
      </c>
      <c r="E985" t="s">
        <v>113</v>
      </c>
      <c r="F985">
        <v>1826406</v>
      </c>
      <c r="G985" t="s">
        <v>6626</v>
      </c>
      <c r="H985" t="s">
        <v>6627</v>
      </c>
      <c r="I985" t="s">
        <v>7364</v>
      </c>
      <c r="J985" t="s">
        <v>7365</v>
      </c>
      <c r="K985" t="s">
        <v>62</v>
      </c>
      <c r="L985" t="s">
        <v>98</v>
      </c>
      <c r="M985" t="s">
        <v>7366</v>
      </c>
      <c r="N985" t="s">
        <v>7367</v>
      </c>
      <c r="R985">
        <v>2</v>
      </c>
      <c r="S985">
        <v>0</v>
      </c>
      <c r="T985" t="b">
        <v>0</v>
      </c>
      <c r="V985" t="s">
        <v>7368</v>
      </c>
      <c r="W985" s="15">
        <v>-25.806763889999999</v>
      </c>
      <c r="X985" s="15">
        <v>28.014111110000002</v>
      </c>
      <c r="Y985">
        <v>1</v>
      </c>
      <c r="AC985">
        <v>1</v>
      </c>
      <c r="AF985" t="b">
        <v>0</v>
      </c>
      <c r="AI985" t="s">
        <v>71</v>
      </c>
      <c r="AJ985" t="s">
        <v>70</v>
      </c>
      <c r="AK985" t="s">
        <v>71</v>
      </c>
      <c r="AL985" t="s">
        <v>72</v>
      </c>
      <c r="AM985">
        <v>346053</v>
      </c>
      <c r="AO985" s="16" t="s">
        <v>73</v>
      </c>
      <c r="AP985" s="17" t="str">
        <f t="shared" si="67"/>
        <v>Off-nest female</v>
      </c>
      <c r="AX985" s="22" t="str">
        <f>IF(AND('[1]observations-276632'!W985&gt;'[1]Methods write-up'!$Q$16,'[1]observations-276632'!W985&lt;'[1]Methods write-up'!$R$16,'[1]observations-276632'!X985&gt;'[1]Methods write-up'!$S$16,'[1]observations-276632'!X985&lt;'[1]Methods write-up'!$T$16),"West and Central Africa","")</f>
        <v/>
      </c>
      <c r="AY985" s="22" t="str">
        <f>IF(AND('[1]observations-276632'!W985&gt;'[1]Methods write-up'!$Q$17,'[1]observations-276632'!W985&lt;'[1]Methods write-up'!$R$17,'[1]observations-276632'!X985&gt;'[1]Methods write-up'!$S$17,'[1]observations-276632'!X985&lt;'[1]Methods write-up'!$T$17),"Equatorial tropical forest","")</f>
        <v/>
      </c>
      <c r="AZ985" s="22" t="str">
        <f>IF(AND('[1]observations-276632'!W985&gt;'[1]Methods write-up'!$Q$18,'[1]observations-276632'!W985&lt;'[1]Methods write-up'!$R$18,'[1]observations-276632'!X985&gt;'[1]Methods write-up'!$S$18,'[1]observations-276632'!X985&lt;'[1]Methods write-up'!$T$18),"Somali peninsula","")</f>
        <v/>
      </c>
      <c r="BA985" s="22" t="str">
        <f>IF(AND('[1]observations-276632'!W985&gt;'[1]Methods write-up'!$Q$19,'[1]observations-276632'!W985&lt;'[1]Methods write-up'!$R$19,'[1]observations-276632'!X985&gt;'[1]Methods write-up'!$S$19,'[1]observations-276632'!X985&lt;'[1]Methods write-up'!$T$19),"East Africa","")</f>
        <v/>
      </c>
      <c r="BB985" s="22" t="str">
        <f>IF(AND('[1]observations-276632'!W985&gt;'[1]Methods write-up'!$Q$20,'[1]observations-276632'!W985&lt;'[1]Methods write-up'!$R$20,'[1]observations-276632'!X985&gt;'[1]Methods write-up'!$S$20,'[1]observations-276632'!X985&lt;'[1]Methods write-up'!$T$20),"Temperate seasonal","")</f>
        <v>Temperate seasonal</v>
      </c>
      <c r="BC985" s="22" t="str">
        <f>IF(AND('[1]observations-276632'!W985&gt;'[1]Methods write-up'!$Q$21,'[1]observations-276632'!W985&lt;'[1]Methods write-up'!$R$21,'[1]observations-276632'!X985&gt;'[1]Methods write-up'!$S$21,'[1]observations-276632'!X985&lt;'[1]Methods write-up'!$T$21),"Desert and high aridity","")</f>
        <v/>
      </c>
      <c r="BD985" s="23" t="str">
        <f t="shared" si="70"/>
        <v>Temperate seasonal</v>
      </c>
      <c r="BE985" s="24">
        <f t="shared" si="68"/>
        <v>18</v>
      </c>
      <c r="BF985" s="24">
        <f t="shared" si="69"/>
        <v>4</v>
      </c>
    </row>
    <row r="986" spans="1:58" ht="16.25" customHeight="1" x14ac:dyDescent="0.2">
      <c r="A986">
        <v>112046517</v>
      </c>
      <c r="B986" t="s">
        <v>7369</v>
      </c>
      <c r="C986" s="14">
        <v>44669</v>
      </c>
      <c r="D986" t="s">
        <v>7370</v>
      </c>
      <c r="E986" t="s">
        <v>113</v>
      </c>
      <c r="F986">
        <v>849418</v>
      </c>
      <c r="G986" t="s">
        <v>7371</v>
      </c>
      <c r="H986" t="s">
        <v>7372</v>
      </c>
      <c r="I986" t="s">
        <v>7373</v>
      </c>
      <c r="J986" t="s">
        <v>7374</v>
      </c>
      <c r="K986" t="s">
        <v>62</v>
      </c>
      <c r="M986" t="s">
        <v>7375</v>
      </c>
      <c r="N986" t="s">
        <v>7376</v>
      </c>
      <c r="R986">
        <v>2</v>
      </c>
      <c r="S986">
        <v>0</v>
      </c>
      <c r="T986" t="b">
        <v>0</v>
      </c>
      <c r="V986" t="s">
        <v>7377</v>
      </c>
      <c r="W986" s="15">
        <v>-25.855401390000001</v>
      </c>
      <c r="X986" s="15">
        <v>28.16710878</v>
      </c>
      <c r="AF986" t="b">
        <v>0</v>
      </c>
      <c r="AI986" t="s">
        <v>71</v>
      </c>
      <c r="AJ986" t="s">
        <v>70</v>
      </c>
      <c r="AK986" t="s">
        <v>71</v>
      </c>
      <c r="AL986" t="s">
        <v>72</v>
      </c>
      <c r="AM986">
        <v>346053</v>
      </c>
      <c r="AO986" s="16" t="s">
        <v>140</v>
      </c>
      <c r="AP986" s="17" t="str">
        <f t="shared" si="67"/>
        <v>Post-emergence nest</v>
      </c>
      <c r="AQ986" s="18">
        <v>25</v>
      </c>
      <c r="AT986" s="19" t="s">
        <v>141</v>
      </c>
      <c r="AU986" s="20" t="s">
        <v>141</v>
      </c>
      <c r="AX986" s="22" t="str">
        <f>IF(AND('[1]observations-276632'!W986&gt;'[1]Methods write-up'!$Q$16,'[1]observations-276632'!W986&lt;'[1]Methods write-up'!$R$16,'[1]observations-276632'!X986&gt;'[1]Methods write-up'!$S$16,'[1]observations-276632'!X986&lt;'[1]Methods write-up'!$T$16),"West and Central Africa","")</f>
        <v/>
      </c>
      <c r="AY986" s="22" t="str">
        <f>IF(AND('[1]observations-276632'!W986&gt;'[1]Methods write-up'!$Q$17,'[1]observations-276632'!W986&lt;'[1]Methods write-up'!$R$17,'[1]observations-276632'!X986&gt;'[1]Methods write-up'!$S$17,'[1]observations-276632'!X986&lt;'[1]Methods write-up'!$T$17),"Equatorial tropical forest","")</f>
        <v/>
      </c>
      <c r="AZ986" s="22" t="str">
        <f>IF(AND('[1]observations-276632'!W986&gt;'[1]Methods write-up'!$Q$18,'[1]observations-276632'!W986&lt;'[1]Methods write-up'!$R$18,'[1]observations-276632'!X986&gt;'[1]Methods write-up'!$S$18,'[1]observations-276632'!X986&lt;'[1]Methods write-up'!$T$18),"Somali peninsula","")</f>
        <v/>
      </c>
      <c r="BA986" s="22" t="str">
        <f>IF(AND('[1]observations-276632'!W986&gt;'[1]Methods write-up'!$Q$19,'[1]observations-276632'!W986&lt;'[1]Methods write-up'!$R$19,'[1]observations-276632'!X986&gt;'[1]Methods write-up'!$S$19,'[1]observations-276632'!X986&lt;'[1]Methods write-up'!$T$19),"East Africa","")</f>
        <v/>
      </c>
      <c r="BB986" s="22" t="str">
        <f>IF(AND('[1]observations-276632'!W986&gt;'[1]Methods write-up'!$Q$20,'[1]observations-276632'!W986&lt;'[1]Methods write-up'!$R$20,'[1]observations-276632'!X986&gt;'[1]Methods write-up'!$S$20,'[1]observations-276632'!X986&lt;'[1]Methods write-up'!$T$20),"Temperate seasonal","")</f>
        <v>Temperate seasonal</v>
      </c>
      <c r="BC986" s="22" t="str">
        <f>IF(AND('[1]observations-276632'!W986&gt;'[1]Methods write-up'!$Q$21,'[1]observations-276632'!W986&lt;'[1]Methods write-up'!$R$21,'[1]observations-276632'!X986&gt;'[1]Methods write-up'!$S$21,'[1]observations-276632'!X986&lt;'[1]Methods write-up'!$T$21),"Desert and high aridity","")</f>
        <v/>
      </c>
      <c r="BD986" s="23" t="str">
        <f t="shared" si="70"/>
        <v>Temperate seasonal</v>
      </c>
      <c r="BE986" s="24">
        <f t="shared" si="68"/>
        <v>18</v>
      </c>
      <c r="BF986" s="24">
        <f t="shared" si="69"/>
        <v>4</v>
      </c>
    </row>
    <row r="987" spans="1:58" ht="16.25" customHeight="1" x14ac:dyDescent="0.2">
      <c r="A987">
        <v>112051355</v>
      </c>
      <c r="B987" t="s">
        <v>7378</v>
      </c>
      <c r="C987" s="14">
        <v>44670</v>
      </c>
      <c r="D987" t="s">
        <v>7379</v>
      </c>
      <c r="E987" t="s">
        <v>113</v>
      </c>
      <c r="F987">
        <v>849418</v>
      </c>
      <c r="G987" t="s">
        <v>7371</v>
      </c>
      <c r="H987" t="s">
        <v>7372</v>
      </c>
      <c r="I987" t="s">
        <v>7380</v>
      </c>
      <c r="J987" t="s">
        <v>7381</v>
      </c>
      <c r="K987" t="s">
        <v>62</v>
      </c>
      <c r="M987" t="s">
        <v>7382</v>
      </c>
      <c r="N987" t="s">
        <v>7383</v>
      </c>
      <c r="R987">
        <v>1</v>
      </c>
      <c r="S987">
        <v>0</v>
      </c>
      <c r="T987" t="b">
        <v>0</v>
      </c>
      <c r="V987" t="s">
        <v>7384</v>
      </c>
      <c r="W987" s="15">
        <v>-25.740006609999998</v>
      </c>
      <c r="X987" s="15">
        <v>28.2864325</v>
      </c>
      <c r="AF987" t="b">
        <v>0</v>
      </c>
      <c r="AI987" t="s">
        <v>161</v>
      </c>
      <c r="AJ987" t="s">
        <v>161</v>
      </c>
      <c r="AL987" t="s">
        <v>72</v>
      </c>
      <c r="AM987">
        <v>366867</v>
      </c>
      <c r="AO987" s="16" t="s">
        <v>73</v>
      </c>
      <c r="AP987" s="17" t="str">
        <f t="shared" si="67"/>
        <v>Off-nest female</v>
      </c>
      <c r="AX987" s="22" t="str">
        <f>IF(AND('[1]observations-276632'!W987&gt;'[1]Methods write-up'!$Q$16,'[1]observations-276632'!W987&lt;'[1]Methods write-up'!$R$16,'[1]observations-276632'!X987&gt;'[1]Methods write-up'!$S$16,'[1]observations-276632'!X987&lt;'[1]Methods write-up'!$T$16),"West and Central Africa","")</f>
        <v/>
      </c>
      <c r="AY987" s="22" t="str">
        <f>IF(AND('[1]observations-276632'!W987&gt;'[1]Methods write-up'!$Q$17,'[1]observations-276632'!W987&lt;'[1]Methods write-up'!$R$17,'[1]observations-276632'!X987&gt;'[1]Methods write-up'!$S$17,'[1]observations-276632'!X987&lt;'[1]Methods write-up'!$T$17),"Equatorial tropical forest","")</f>
        <v/>
      </c>
      <c r="AZ987" s="22" t="str">
        <f>IF(AND('[1]observations-276632'!W987&gt;'[1]Methods write-up'!$Q$18,'[1]observations-276632'!W987&lt;'[1]Methods write-up'!$R$18,'[1]observations-276632'!X987&gt;'[1]Methods write-up'!$S$18,'[1]observations-276632'!X987&lt;'[1]Methods write-up'!$T$18),"Somali peninsula","")</f>
        <v/>
      </c>
      <c r="BA987" s="22" t="str">
        <f>IF(AND('[1]observations-276632'!W987&gt;'[1]Methods write-up'!$Q$19,'[1]observations-276632'!W987&lt;'[1]Methods write-up'!$R$19,'[1]observations-276632'!X987&gt;'[1]Methods write-up'!$S$19,'[1]observations-276632'!X987&lt;'[1]Methods write-up'!$T$19),"East Africa","")</f>
        <v/>
      </c>
      <c r="BB987" s="22" t="str">
        <f>IF(AND('[1]observations-276632'!W987&gt;'[1]Methods write-up'!$Q$20,'[1]observations-276632'!W987&lt;'[1]Methods write-up'!$R$20,'[1]observations-276632'!X987&gt;'[1]Methods write-up'!$S$20,'[1]observations-276632'!X987&lt;'[1]Methods write-up'!$T$20),"Temperate seasonal","")</f>
        <v>Temperate seasonal</v>
      </c>
      <c r="BC987" s="22" t="str">
        <f>IF(AND('[1]observations-276632'!W987&gt;'[1]Methods write-up'!$Q$21,'[1]observations-276632'!W987&lt;'[1]Methods write-up'!$R$21,'[1]observations-276632'!X987&gt;'[1]Methods write-up'!$S$21,'[1]observations-276632'!X987&lt;'[1]Methods write-up'!$T$21),"Desert and high aridity","")</f>
        <v/>
      </c>
      <c r="BD987" s="23" t="str">
        <f t="shared" si="70"/>
        <v>Temperate seasonal</v>
      </c>
      <c r="BE987" s="24">
        <f t="shared" si="68"/>
        <v>19</v>
      </c>
      <c r="BF987" s="24">
        <f t="shared" si="69"/>
        <v>4</v>
      </c>
    </row>
    <row r="988" spans="1:58" ht="16.25" customHeight="1" x14ac:dyDescent="0.2">
      <c r="A988">
        <v>112131165</v>
      </c>
      <c r="B988" s="25">
        <v>44664.0625</v>
      </c>
      <c r="C988" s="14">
        <v>44664</v>
      </c>
      <c r="D988" t="s">
        <v>7385</v>
      </c>
      <c r="E988" t="s">
        <v>84</v>
      </c>
      <c r="F988">
        <v>168642</v>
      </c>
      <c r="G988" t="s">
        <v>7386</v>
      </c>
      <c r="H988" t="s">
        <v>7387</v>
      </c>
      <c r="I988" t="s">
        <v>7388</v>
      </c>
      <c r="J988" t="s">
        <v>7389</v>
      </c>
      <c r="K988" t="s">
        <v>62</v>
      </c>
      <c r="M988" t="s">
        <v>7390</v>
      </c>
      <c r="N988" t="s">
        <v>7391</v>
      </c>
      <c r="R988">
        <v>1</v>
      </c>
      <c r="S988">
        <v>0</v>
      </c>
      <c r="T988" t="b">
        <v>0</v>
      </c>
      <c r="V988" t="s">
        <v>7392</v>
      </c>
      <c r="W988" s="15">
        <v>-0.40750409999999998</v>
      </c>
      <c r="X988" s="15">
        <v>31.1567203</v>
      </c>
      <c r="Y988">
        <v>897</v>
      </c>
      <c r="AC988">
        <v>897</v>
      </c>
      <c r="AF988" t="b">
        <v>0</v>
      </c>
      <c r="AI988" t="s">
        <v>71</v>
      </c>
      <c r="AJ988" t="s">
        <v>70</v>
      </c>
      <c r="AK988" t="s">
        <v>71</v>
      </c>
      <c r="AL988" t="s">
        <v>72</v>
      </c>
      <c r="AM988">
        <v>346053</v>
      </c>
      <c r="AO988" s="16" t="s">
        <v>73</v>
      </c>
      <c r="AP988" s="17" t="str">
        <f t="shared" si="67"/>
        <v>Off-nest female</v>
      </c>
      <c r="AX988" s="22" t="str">
        <f>IF(AND('[1]observations-276632'!W988&gt;'[1]Methods write-up'!$Q$16,'[1]observations-276632'!W988&lt;'[1]Methods write-up'!$R$16,'[1]observations-276632'!X988&gt;'[1]Methods write-up'!$S$16,'[1]observations-276632'!X988&lt;'[1]Methods write-up'!$T$16),"West and Central Africa","")</f>
        <v/>
      </c>
      <c r="AY988" s="22" t="str">
        <f>IF(AND('[1]observations-276632'!W988&gt;'[1]Methods write-up'!$Q$17,'[1]observations-276632'!W988&lt;'[1]Methods write-up'!$R$17,'[1]observations-276632'!X988&gt;'[1]Methods write-up'!$S$17,'[1]observations-276632'!X988&lt;'[1]Methods write-up'!$T$17),"Equatorial tropical forest","")</f>
        <v/>
      </c>
      <c r="AZ988" s="22" t="str">
        <f>IF(AND('[1]observations-276632'!W988&gt;'[1]Methods write-up'!$Q$18,'[1]observations-276632'!W988&lt;'[1]Methods write-up'!$R$18,'[1]observations-276632'!X988&gt;'[1]Methods write-up'!$S$18,'[1]observations-276632'!X988&lt;'[1]Methods write-up'!$T$18),"Somali peninsula","")</f>
        <v/>
      </c>
      <c r="BA988" s="22" t="str">
        <f>IF(AND('[1]observations-276632'!W988&gt;'[1]Methods write-up'!$Q$19,'[1]observations-276632'!W988&lt;'[1]Methods write-up'!$R$19,'[1]observations-276632'!X988&gt;'[1]Methods write-up'!$S$19,'[1]observations-276632'!X988&lt;'[1]Methods write-up'!$T$19),"East Africa","")</f>
        <v/>
      </c>
      <c r="BB988" s="22" t="str">
        <f>IF(AND('[1]observations-276632'!W988&gt;'[1]Methods write-up'!$Q$20,'[1]observations-276632'!W988&lt;'[1]Methods write-up'!$R$20,'[1]observations-276632'!X988&gt;'[1]Methods write-up'!$S$20,'[1]observations-276632'!X988&lt;'[1]Methods write-up'!$T$20),"Temperate seasonal","")</f>
        <v/>
      </c>
      <c r="BC988" s="22" t="str">
        <f>IF(AND('[1]observations-276632'!W988&gt;'[1]Methods write-up'!$Q$21,'[1]observations-276632'!W988&lt;'[1]Methods write-up'!$R$21,'[1]observations-276632'!X988&gt;'[1]Methods write-up'!$S$21,'[1]observations-276632'!X988&lt;'[1]Methods write-up'!$T$21),"Desert and high aridity","")</f>
        <v/>
      </c>
      <c r="BD988" s="23" t="str">
        <f t="shared" si="70"/>
        <v/>
      </c>
      <c r="BE988" s="24">
        <f t="shared" si="68"/>
        <v>13</v>
      </c>
      <c r="BF988" s="24">
        <f t="shared" si="69"/>
        <v>4</v>
      </c>
    </row>
    <row r="989" spans="1:58" ht="16.25" customHeight="1" x14ac:dyDescent="0.2">
      <c r="A989">
        <v>112353084</v>
      </c>
      <c r="B989" t="s">
        <v>7393</v>
      </c>
      <c r="C989" s="14">
        <v>44672</v>
      </c>
      <c r="D989" t="s">
        <v>7394</v>
      </c>
      <c r="E989" t="s">
        <v>113</v>
      </c>
      <c r="F989">
        <v>778039</v>
      </c>
      <c r="G989" t="s">
        <v>3290</v>
      </c>
      <c r="H989" t="s">
        <v>3291</v>
      </c>
      <c r="I989" t="s">
        <v>7395</v>
      </c>
      <c r="J989" t="s">
        <v>7396</v>
      </c>
      <c r="K989" t="s">
        <v>62</v>
      </c>
      <c r="L989" t="s">
        <v>63</v>
      </c>
      <c r="M989" t="s">
        <v>7397</v>
      </c>
      <c r="N989" t="s">
        <v>7398</v>
      </c>
      <c r="R989">
        <v>2</v>
      </c>
      <c r="S989">
        <v>0</v>
      </c>
      <c r="T989" t="b">
        <v>0</v>
      </c>
      <c r="U989">
        <v>3</v>
      </c>
      <c r="V989" t="s">
        <v>5922</v>
      </c>
      <c r="W989" s="15">
        <v>-29.77651603</v>
      </c>
      <c r="X989" s="15">
        <v>30.835816869999999</v>
      </c>
      <c r="Y989">
        <v>205</v>
      </c>
      <c r="AC989">
        <v>205</v>
      </c>
      <c r="AF989" t="b">
        <v>0</v>
      </c>
      <c r="AI989" t="s">
        <v>71</v>
      </c>
      <c r="AJ989" t="s">
        <v>70</v>
      </c>
      <c r="AK989" t="s">
        <v>71</v>
      </c>
      <c r="AL989" t="s">
        <v>72</v>
      </c>
      <c r="AM989">
        <v>346053</v>
      </c>
      <c r="AO989" s="16" t="s">
        <v>73</v>
      </c>
      <c r="AP989" s="17" t="str">
        <f t="shared" si="67"/>
        <v>Off-nest female</v>
      </c>
      <c r="AX989" s="22" t="str">
        <f>IF(AND('[1]observations-276632'!W989&gt;'[1]Methods write-up'!$Q$16,'[1]observations-276632'!W989&lt;'[1]Methods write-up'!$R$16,'[1]observations-276632'!X989&gt;'[1]Methods write-up'!$S$16,'[1]observations-276632'!X989&lt;'[1]Methods write-up'!$T$16),"West and Central Africa","")</f>
        <v/>
      </c>
      <c r="AY989" s="22" t="str">
        <f>IF(AND('[1]observations-276632'!W989&gt;'[1]Methods write-up'!$Q$17,'[1]observations-276632'!W989&lt;'[1]Methods write-up'!$R$17,'[1]observations-276632'!X989&gt;'[1]Methods write-up'!$S$17,'[1]observations-276632'!X989&lt;'[1]Methods write-up'!$T$17),"Equatorial tropical forest","")</f>
        <v/>
      </c>
      <c r="AZ989" s="22" t="str">
        <f>IF(AND('[1]observations-276632'!W989&gt;'[1]Methods write-up'!$Q$18,'[1]observations-276632'!W989&lt;'[1]Methods write-up'!$R$18,'[1]observations-276632'!X989&gt;'[1]Methods write-up'!$S$18,'[1]observations-276632'!X989&lt;'[1]Methods write-up'!$T$18),"Somali peninsula","")</f>
        <v/>
      </c>
      <c r="BA989" s="22" t="str">
        <f>IF(AND('[1]observations-276632'!W989&gt;'[1]Methods write-up'!$Q$19,'[1]observations-276632'!W989&lt;'[1]Methods write-up'!$R$19,'[1]observations-276632'!X989&gt;'[1]Methods write-up'!$S$19,'[1]observations-276632'!X989&lt;'[1]Methods write-up'!$T$19),"East Africa","")</f>
        <v/>
      </c>
      <c r="BB989" s="22" t="str">
        <f>IF(AND('[1]observations-276632'!W989&gt;'[1]Methods write-up'!$Q$20,'[1]observations-276632'!W989&lt;'[1]Methods write-up'!$R$20,'[1]observations-276632'!X989&gt;'[1]Methods write-up'!$S$20,'[1]observations-276632'!X989&lt;'[1]Methods write-up'!$T$20),"Temperate seasonal","")</f>
        <v>Temperate seasonal</v>
      </c>
      <c r="BC989" s="22" t="str">
        <f>IF(AND('[1]observations-276632'!W989&gt;'[1]Methods write-up'!$Q$21,'[1]observations-276632'!W989&lt;'[1]Methods write-up'!$R$21,'[1]observations-276632'!X989&gt;'[1]Methods write-up'!$S$21,'[1]observations-276632'!X989&lt;'[1]Methods write-up'!$T$21),"Desert and high aridity","")</f>
        <v/>
      </c>
      <c r="BD989" s="23" t="str">
        <f t="shared" si="70"/>
        <v>Temperate seasonal</v>
      </c>
      <c r="BE989" s="24">
        <f t="shared" si="68"/>
        <v>21</v>
      </c>
      <c r="BF989" s="24">
        <f t="shared" si="69"/>
        <v>4</v>
      </c>
    </row>
    <row r="990" spans="1:58" ht="16.25" customHeight="1" x14ac:dyDescent="0.2">
      <c r="A990">
        <v>112497275</v>
      </c>
      <c r="B990" s="25">
        <v>44673.567361111112</v>
      </c>
      <c r="C990" s="14">
        <v>44673</v>
      </c>
      <c r="D990" t="s">
        <v>7399</v>
      </c>
      <c r="E990" t="s">
        <v>84</v>
      </c>
      <c r="F990">
        <v>1610962</v>
      </c>
      <c r="G990" t="s">
        <v>7400</v>
      </c>
      <c r="H990" t="s">
        <v>7401</v>
      </c>
      <c r="I990" t="s">
        <v>7402</v>
      </c>
      <c r="J990" t="s">
        <v>7403</v>
      </c>
      <c r="K990" t="s">
        <v>62</v>
      </c>
      <c r="L990" t="s">
        <v>373</v>
      </c>
      <c r="M990" t="s">
        <v>7404</v>
      </c>
      <c r="N990" t="s">
        <v>7405</v>
      </c>
      <c r="R990">
        <v>2</v>
      </c>
      <c r="S990">
        <v>0</v>
      </c>
      <c r="T990" t="b">
        <v>0</v>
      </c>
      <c r="U990">
        <v>2</v>
      </c>
      <c r="V990" t="s">
        <v>7406</v>
      </c>
      <c r="W990" s="15">
        <v>-6.8881138890000004</v>
      </c>
      <c r="X990" s="15">
        <v>37.671163890000003</v>
      </c>
      <c r="AF990" t="b">
        <v>0</v>
      </c>
      <c r="AG990" t="s">
        <v>350</v>
      </c>
      <c r="AH990" t="s">
        <v>350</v>
      </c>
      <c r="AI990" t="s">
        <v>71</v>
      </c>
      <c r="AJ990" t="s">
        <v>70</v>
      </c>
      <c r="AK990" t="s">
        <v>71</v>
      </c>
      <c r="AL990" t="s">
        <v>72</v>
      </c>
      <c r="AM990">
        <v>346053</v>
      </c>
      <c r="AO990" s="16" t="s">
        <v>140</v>
      </c>
      <c r="AP990" s="17" t="str">
        <f t="shared" si="67"/>
        <v>Post-emergence nest</v>
      </c>
      <c r="AQ990" s="18">
        <v>9</v>
      </c>
      <c r="AT990" s="19" t="s">
        <v>141</v>
      </c>
      <c r="AU990" s="20" t="s">
        <v>315</v>
      </c>
      <c r="AX990" s="22" t="str">
        <f>IF(AND('[1]observations-276632'!W990&gt;'[1]Methods write-up'!$Q$16,'[1]observations-276632'!W990&lt;'[1]Methods write-up'!$R$16,'[1]observations-276632'!X990&gt;'[1]Methods write-up'!$S$16,'[1]observations-276632'!X990&lt;'[1]Methods write-up'!$T$16),"West and Central Africa","")</f>
        <v/>
      </c>
      <c r="AY990" s="22" t="str">
        <f>IF(AND('[1]observations-276632'!W990&gt;'[1]Methods write-up'!$Q$17,'[1]observations-276632'!W990&lt;'[1]Methods write-up'!$R$17,'[1]observations-276632'!X990&gt;'[1]Methods write-up'!$S$17,'[1]observations-276632'!X990&lt;'[1]Methods write-up'!$T$17),"Equatorial tropical forest","")</f>
        <v/>
      </c>
      <c r="AZ990" s="22" t="str">
        <f>IF(AND('[1]observations-276632'!W990&gt;'[1]Methods write-up'!$Q$18,'[1]observations-276632'!W990&lt;'[1]Methods write-up'!$R$18,'[1]observations-276632'!X990&gt;'[1]Methods write-up'!$S$18,'[1]observations-276632'!X990&lt;'[1]Methods write-up'!$T$18),"Somali peninsula","")</f>
        <v/>
      </c>
      <c r="BA990" s="22" t="str">
        <f>IF(AND('[1]observations-276632'!W990&gt;'[1]Methods write-up'!$Q$19,'[1]observations-276632'!W990&lt;'[1]Methods write-up'!$R$19,'[1]observations-276632'!X990&gt;'[1]Methods write-up'!$S$19,'[1]observations-276632'!X990&lt;'[1]Methods write-up'!$T$19),"East Africa","")</f>
        <v>East Africa</v>
      </c>
      <c r="BB990" s="22" t="str">
        <f>IF(AND('[1]observations-276632'!W990&gt;'[1]Methods write-up'!$Q$20,'[1]observations-276632'!W990&lt;'[1]Methods write-up'!$R$20,'[1]observations-276632'!X990&gt;'[1]Methods write-up'!$S$20,'[1]observations-276632'!X990&lt;'[1]Methods write-up'!$T$20),"Temperate seasonal","")</f>
        <v/>
      </c>
      <c r="BC990" s="22" t="str">
        <f>IF(AND('[1]observations-276632'!W990&gt;'[1]Methods write-up'!$Q$21,'[1]observations-276632'!W990&lt;'[1]Methods write-up'!$R$21,'[1]observations-276632'!X990&gt;'[1]Methods write-up'!$S$21,'[1]observations-276632'!X990&lt;'[1]Methods write-up'!$T$21),"Desert and high aridity","")</f>
        <v/>
      </c>
      <c r="BD990" s="23" t="str">
        <f t="shared" si="70"/>
        <v>East Africa</v>
      </c>
      <c r="BE990" s="24">
        <f t="shared" si="68"/>
        <v>22</v>
      </c>
      <c r="BF990" s="24">
        <f t="shared" si="69"/>
        <v>4</v>
      </c>
    </row>
    <row r="991" spans="1:58" ht="16.25" customHeight="1" x14ac:dyDescent="0.2">
      <c r="A991">
        <v>113069824</v>
      </c>
      <c r="B991" s="25">
        <v>44674.564583333333</v>
      </c>
      <c r="C991" s="14">
        <v>44674</v>
      </c>
      <c r="D991" t="s">
        <v>7407</v>
      </c>
      <c r="E991" t="s">
        <v>113</v>
      </c>
      <c r="F991">
        <v>659922</v>
      </c>
      <c r="G991" t="s">
        <v>918</v>
      </c>
      <c r="I991" t="s">
        <v>7408</v>
      </c>
      <c r="J991" t="s">
        <v>7409</v>
      </c>
      <c r="K991" t="s">
        <v>62</v>
      </c>
      <c r="L991" t="s">
        <v>63</v>
      </c>
      <c r="M991" t="s">
        <v>7410</v>
      </c>
      <c r="N991" t="s">
        <v>7411</v>
      </c>
      <c r="R991">
        <v>2</v>
      </c>
      <c r="S991">
        <v>0</v>
      </c>
      <c r="T991" t="b">
        <v>0</v>
      </c>
      <c r="V991" t="s">
        <v>7412</v>
      </c>
      <c r="W991" s="15">
        <v>-25.904699999999998</v>
      </c>
      <c r="X991" s="15">
        <v>28.310199999999998</v>
      </c>
      <c r="Y991">
        <v>200</v>
      </c>
      <c r="AC991">
        <v>200</v>
      </c>
      <c r="AF991" t="b">
        <v>0</v>
      </c>
      <c r="AI991" t="s">
        <v>71</v>
      </c>
      <c r="AJ991" t="s">
        <v>70</v>
      </c>
      <c r="AK991" t="s">
        <v>71</v>
      </c>
      <c r="AL991" t="s">
        <v>72</v>
      </c>
      <c r="AM991">
        <v>346053</v>
      </c>
      <c r="AO991" s="16" t="s">
        <v>150</v>
      </c>
      <c r="AP991" s="17" t="str">
        <f t="shared" si="67"/>
        <v>Male (off nest)</v>
      </c>
      <c r="AX991" s="22" t="str">
        <f>IF(AND('[1]observations-276632'!W991&gt;'[1]Methods write-up'!$Q$16,'[1]observations-276632'!W991&lt;'[1]Methods write-up'!$R$16,'[1]observations-276632'!X991&gt;'[1]Methods write-up'!$S$16,'[1]observations-276632'!X991&lt;'[1]Methods write-up'!$T$16),"West and Central Africa","")</f>
        <v/>
      </c>
      <c r="AY991" s="22" t="str">
        <f>IF(AND('[1]observations-276632'!W991&gt;'[1]Methods write-up'!$Q$17,'[1]observations-276632'!W991&lt;'[1]Methods write-up'!$R$17,'[1]observations-276632'!X991&gt;'[1]Methods write-up'!$S$17,'[1]observations-276632'!X991&lt;'[1]Methods write-up'!$T$17),"Equatorial tropical forest","")</f>
        <v/>
      </c>
      <c r="AZ991" s="22" t="str">
        <f>IF(AND('[1]observations-276632'!W991&gt;'[1]Methods write-up'!$Q$18,'[1]observations-276632'!W991&lt;'[1]Methods write-up'!$R$18,'[1]observations-276632'!X991&gt;'[1]Methods write-up'!$S$18,'[1]observations-276632'!X991&lt;'[1]Methods write-up'!$T$18),"Somali peninsula","")</f>
        <v/>
      </c>
      <c r="BA991" s="22" t="str">
        <f>IF(AND('[1]observations-276632'!W991&gt;'[1]Methods write-up'!$Q$19,'[1]observations-276632'!W991&lt;'[1]Methods write-up'!$R$19,'[1]observations-276632'!X991&gt;'[1]Methods write-up'!$S$19,'[1]observations-276632'!X991&lt;'[1]Methods write-up'!$T$19),"East Africa","")</f>
        <v/>
      </c>
      <c r="BB991" s="22" t="str">
        <f>IF(AND('[1]observations-276632'!W991&gt;'[1]Methods write-up'!$Q$20,'[1]observations-276632'!W991&lt;'[1]Methods write-up'!$R$20,'[1]observations-276632'!X991&gt;'[1]Methods write-up'!$S$20,'[1]observations-276632'!X991&lt;'[1]Methods write-up'!$T$20),"Temperate seasonal","")</f>
        <v>Temperate seasonal</v>
      </c>
      <c r="BC991" s="22" t="str">
        <f>IF(AND('[1]observations-276632'!W991&gt;'[1]Methods write-up'!$Q$21,'[1]observations-276632'!W991&lt;'[1]Methods write-up'!$R$21,'[1]observations-276632'!X991&gt;'[1]Methods write-up'!$S$21,'[1]observations-276632'!X991&lt;'[1]Methods write-up'!$T$21),"Desert and high aridity","")</f>
        <v/>
      </c>
      <c r="BD991" s="23" t="str">
        <f t="shared" si="70"/>
        <v>Temperate seasonal</v>
      </c>
      <c r="BE991" s="24">
        <f t="shared" si="68"/>
        <v>23</v>
      </c>
      <c r="BF991" s="24">
        <f t="shared" si="69"/>
        <v>4</v>
      </c>
    </row>
    <row r="992" spans="1:58" ht="16.25" customHeight="1" x14ac:dyDescent="0.2">
      <c r="A992">
        <v>113095844</v>
      </c>
      <c r="B992" s="25">
        <v>44678.543055555558</v>
      </c>
      <c r="C992" s="14">
        <v>44678</v>
      </c>
      <c r="D992" t="s">
        <v>7413</v>
      </c>
      <c r="E992" t="s">
        <v>113</v>
      </c>
      <c r="F992">
        <v>3381298</v>
      </c>
      <c r="G992" t="s">
        <v>7227</v>
      </c>
      <c r="H992" t="s">
        <v>7228</v>
      </c>
      <c r="I992" t="s">
        <v>7414</v>
      </c>
      <c r="J992" t="s">
        <v>7415</v>
      </c>
      <c r="K992" t="s">
        <v>62</v>
      </c>
      <c r="M992" t="s">
        <v>7416</v>
      </c>
      <c r="N992" t="s">
        <v>7417</v>
      </c>
      <c r="R992">
        <v>2</v>
      </c>
      <c r="S992">
        <v>0</v>
      </c>
      <c r="T992" t="b">
        <v>0</v>
      </c>
      <c r="V992" t="s">
        <v>7418</v>
      </c>
      <c r="W992" s="15">
        <v>-26.682494999999999</v>
      </c>
      <c r="X992" s="15">
        <v>27.09556667</v>
      </c>
      <c r="AF992" t="b">
        <v>0</v>
      </c>
      <c r="AI992" t="s">
        <v>71</v>
      </c>
      <c r="AJ992" t="s">
        <v>70</v>
      </c>
      <c r="AK992" t="s">
        <v>71</v>
      </c>
      <c r="AL992" t="s">
        <v>72</v>
      </c>
      <c r="AM992">
        <v>346053</v>
      </c>
      <c r="AO992" s="16" t="s">
        <v>73</v>
      </c>
      <c r="AP992" s="17" t="str">
        <f t="shared" si="67"/>
        <v>Off-nest female</v>
      </c>
      <c r="AX992" s="22" t="str">
        <f>IF(AND('[1]observations-276632'!W992&gt;'[1]Methods write-up'!$Q$16,'[1]observations-276632'!W992&lt;'[1]Methods write-up'!$R$16,'[1]observations-276632'!X992&gt;'[1]Methods write-up'!$S$16,'[1]observations-276632'!X992&lt;'[1]Methods write-up'!$T$16),"West and Central Africa","")</f>
        <v/>
      </c>
      <c r="AY992" s="22" t="str">
        <f>IF(AND('[1]observations-276632'!W992&gt;'[1]Methods write-up'!$Q$17,'[1]observations-276632'!W992&lt;'[1]Methods write-up'!$R$17,'[1]observations-276632'!X992&gt;'[1]Methods write-up'!$S$17,'[1]observations-276632'!X992&lt;'[1]Methods write-up'!$T$17),"Equatorial tropical forest","")</f>
        <v/>
      </c>
      <c r="AZ992" s="22" t="str">
        <f>IF(AND('[1]observations-276632'!W992&gt;'[1]Methods write-up'!$Q$18,'[1]observations-276632'!W992&lt;'[1]Methods write-up'!$R$18,'[1]observations-276632'!X992&gt;'[1]Methods write-up'!$S$18,'[1]observations-276632'!X992&lt;'[1]Methods write-up'!$T$18),"Somali peninsula","")</f>
        <v/>
      </c>
      <c r="BA992" s="22" t="str">
        <f>IF(AND('[1]observations-276632'!W992&gt;'[1]Methods write-up'!$Q$19,'[1]observations-276632'!W992&lt;'[1]Methods write-up'!$R$19,'[1]observations-276632'!X992&gt;'[1]Methods write-up'!$S$19,'[1]observations-276632'!X992&lt;'[1]Methods write-up'!$T$19),"East Africa","")</f>
        <v/>
      </c>
      <c r="BB992" s="22" t="str">
        <f>IF(AND('[1]observations-276632'!W992&gt;'[1]Methods write-up'!$Q$20,'[1]observations-276632'!W992&lt;'[1]Methods write-up'!$R$20,'[1]observations-276632'!X992&gt;'[1]Methods write-up'!$S$20,'[1]observations-276632'!X992&lt;'[1]Methods write-up'!$T$20),"Temperate seasonal","")</f>
        <v>Temperate seasonal</v>
      </c>
      <c r="BC992" s="22" t="str">
        <f>IF(AND('[1]observations-276632'!W992&gt;'[1]Methods write-up'!$Q$21,'[1]observations-276632'!W992&lt;'[1]Methods write-up'!$R$21,'[1]observations-276632'!X992&gt;'[1]Methods write-up'!$S$21,'[1]observations-276632'!X992&lt;'[1]Methods write-up'!$T$21),"Desert and high aridity","")</f>
        <v/>
      </c>
      <c r="BD992" s="23" t="str">
        <f t="shared" si="70"/>
        <v>Temperate seasonal</v>
      </c>
      <c r="BE992" s="24">
        <f t="shared" si="68"/>
        <v>27</v>
      </c>
      <c r="BF992" s="24">
        <f t="shared" si="69"/>
        <v>4</v>
      </c>
    </row>
    <row r="993" spans="1:58" ht="16.25" customHeight="1" x14ac:dyDescent="0.2">
      <c r="A993">
        <v>113227385</v>
      </c>
      <c r="B993" s="25">
        <v>44672.47152777778</v>
      </c>
      <c r="C993" s="14">
        <v>44672</v>
      </c>
      <c r="D993" t="s">
        <v>7419</v>
      </c>
      <c r="E993" t="s">
        <v>113</v>
      </c>
      <c r="F993">
        <v>833117</v>
      </c>
      <c r="G993" t="s">
        <v>1318</v>
      </c>
      <c r="H993" t="s">
        <v>1319</v>
      </c>
      <c r="I993" t="s">
        <v>7420</v>
      </c>
      <c r="J993" t="s">
        <v>7421</v>
      </c>
      <c r="K993" t="s">
        <v>62</v>
      </c>
      <c r="L993" t="s">
        <v>63</v>
      </c>
      <c r="M993" t="s">
        <v>7422</v>
      </c>
      <c r="N993" t="s">
        <v>7423</v>
      </c>
      <c r="R993">
        <v>4</v>
      </c>
      <c r="S993">
        <v>0</v>
      </c>
      <c r="T993" t="b">
        <v>0</v>
      </c>
      <c r="V993" t="s">
        <v>7424</v>
      </c>
      <c r="W993" s="15">
        <v>-30.389541349999998</v>
      </c>
      <c r="X993" s="15">
        <v>30.681554479999999</v>
      </c>
      <c r="Y993">
        <v>4</v>
      </c>
      <c r="AC993">
        <v>4</v>
      </c>
      <c r="AF993" t="b">
        <v>0</v>
      </c>
      <c r="AI993" t="s">
        <v>71</v>
      </c>
      <c r="AJ993" t="s">
        <v>70</v>
      </c>
      <c r="AK993" t="s">
        <v>71</v>
      </c>
      <c r="AL993" t="s">
        <v>72</v>
      </c>
      <c r="AM993">
        <v>346053</v>
      </c>
      <c r="AO993" s="16" t="s">
        <v>3107</v>
      </c>
      <c r="AP993" s="17" t="str">
        <f t="shared" si="67"/>
        <v>Lek</v>
      </c>
      <c r="AV993" s="21" t="s">
        <v>7425</v>
      </c>
      <c r="AX993" s="22" t="str">
        <f>IF(AND('[1]observations-276632'!W993&gt;'[1]Methods write-up'!$Q$16,'[1]observations-276632'!W993&lt;'[1]Methods write-up'!$R$16,'[1]observations-276632'!X993&gt;'[1]Methods write-up'!$S$16,'[1]observations-276632'!X993&lt;'[1]Methods write-up'!$T$16),"West and Central Africa","")</f>
        <v/>
      </c>
      <c r="AY993" s="22" t="str">
        <f>IF(AND('[1]observations-276632'!W993&gt;'[1]Methods write-up'!$Q$17,'[1]observations-276632'!W993&lt;'[1]Methods write-up'!$R$17,'[1]observations-276632'!X993&gt;'[1]Methods write-up'!$S$17,'[1]observations-276632'!X993&lt;'[1]Methods write-up'!$T$17),"Equatorial tropical forest","")</f>
        <v/>
      </c>
      <c r="AZ993" s="22" t="str">
        <f>IF(AND('[1]observations-276632'!W993&gt;'[1]Methods write-up'!$Q$18,'[1]observations-276632'!W993&lt;'[1]Methods write-up'!$R$18,'[1]observations-276632'!X993&gt;'[1]Methods write-up'!$S$18,'[1]observations-276632'!X993&lt;'[1]Methods write-up'!$T$18),"Somali peninsula","")</f>
        <v/>
      </c>
      <c r="BA993" s="22" t="str">
        <f>IF(AND('[1]observations-276632'!W993&gt;'[1]Methods write-up'!$Q$19,'[1]observations-276632'!W993&lt;'[1]Methods write-up'!$R$19,'[1]observations-276632'!X993&gt;'[1]Methods write-up'!$S$19,'[1]observations-276632'!X993&lt;'[1]Methods write-up'!$T$19),"East Africa","")</f>
        <v/>
      </c>
      <c r="BB993" s="22" t="str">
        <f>IF(AND('[1]observations-276632'!W993&gt;'[1]Methods write-up'!$Q$20,'[1]observations-276632'!W993&lt;'[1]Methods write-up'!$R$20,'[1]observations-276632'!X993&gt;'[1]Methods write-up'!$S$20,'[1]observations-276632'!X993&lt;'[1]Methods write-up'!$T$20),"Temperate seasonal","")</f>
        <v>Temperate seasonal</v>
      </c>
      <c r="BC993" s="22" t="str">
        <f>IF(AND('[1]observations-276632'!W993&gt;'[1]Methods write-up'!$Q$21,'[1]observations-276632'!W993&lt;'[1]Methods write-up'!$R$21,'[1]observations-276632'!X993&gt;'[1]Methods write-up'!$S$21,'[1]observations-276632'!X993&lt;'[1]Methods write-up'!$T$21),"Desert and high aridity","")</f>
        <v/>
      </c>
      <c r="BD993" s="23" t="str">
        <f t="shared" si="70"/>
        <v>Temperate seasonal</v>
      </c>
      <c r="BE993" s="24">
        <f t="shared" si="68"/>
        <v>21</v>
      </c>
      <c r="BF993" s="24">
        <f t="shared" si="69"/>
        <v>4</v>
      </c>
    </row>
    <row r="994" spans="1:58" ht="16.25" customHeight="1" x14ac:dyDescent="0.2">
      <c r="A994">
        <v>113347048</v>
      </c>
      <c r="B994" s="25">
        <v>44680.469444444447</v>
      </c>
      <c r="C994" s="14">
        <v>44680</v>
      </c>
      <c r="D994" t="s">
        <v>7426</v>
      </c>
      <c r="E994" t="s">
        <v>113</v>
      </c>
      <c r="F994">
        <v>2498450</v>
      </c>
      <c r="G994" t="s">
        <v>2851</v>
      </c>
      <c r="H994" t="s">
        <v>2852</v>
      </c>
      <c r="I994" t="s">
        <v>7427</v>
      </c>
      <c r="J994" t="s">
        <v>7428</v>
      </c>
      <c r="K994" t="s">
        <v>62</v>
      </c>
      <c r="M994" t="s">
        <v>7429</v>
      </c>
      <c r="N994" t="s">
        <v>7430</v>
      </c>
      <c r="R994">
        <v>2</v>
      </c>
      <c r="S994">
        <v>0</v>
      </c>
      <c r="T994" t="b">
        <v>0</v>
      </c>
      <c r="V994" t="s">
        <v>2857</v>
      </c>
      <c r="W994" s="15">
        <v>-29.801284930000001</v>
      </c>
      <c r="X994" s="15">
        <v>30.853398250000001</v>
      </c>
      <c r="Y994">
        <v>8</v>
      </c>
      <c r="AC994">
        <v>8</v>
      </c>
      <c r="AF994" t="b">
        <v>0</v>
      </c>
      <c r="AI994" t="s">
        <v>71</v>
      </c>
      <c r="AJ994" t="s">
        <v>70</v>
      </c>
      <c r="AK994" t="s">
        <v>71</v>
      </c>
      <c r="AL994" t="s">
        <v>72</v>
      </c>
      <c r="AM994">
        <v>346053</v>
      </c>
      <c r="AO994" s="16" t="s">
        <v>140</v>
      </c>
      <c r="AP994" s="17" t="str">
        <f t="shared" si="67"/>
        <v>Post-emergence nest</v>
      </c>
      <c r="AQ994" s="18">
        <v>2</v>
      </c>
      <c r="AT994" s="19" t="s">
        <v>141</v>
      </c>
      <c r="AU994" s="20" t="s">
        <v>104</v>
      </c>
      <c r="AV994" s="21" t="s">
        <v>7292</v>
      </c>
      <c r="AX994" s="22" t="str">
        <f>IF(AND('[1]observations-276632'!W994&gt;'[1]Methods write-up'!$Q$16,'[1]observations-276632'!W994&lt;'[1]Methods write-up'!$R$16,'[1]observations-276632'!X994&gt;'[1]Methods write-up'!$S$16,'[1]observations-276632'!X994&lt;'[1]Methods write-up'!$T$16),"West and Central Africa","")</f>
        <v/>
      </c>
      <c r="AY994" s="22" t="str">
        <f>IF(AND('[1]observations-276632'!W994&gt;'[1]Methods write-up'!$Q$17,'[1]observations-276632'!W994&lt;'[1]Methods write-up'!$R$17,'[1]observations-276632'!X994&gt;'[1]Methods write-up'!$S$17,'[1]observations-276632'!X994&lt;'[1]Methods write-up'!$T$17),"Equatorial tropical forest","")</f>
        <v/>
      </c>
      <c r="AZ994" s="22" t="str">
        <f>IF(AND('[1]observations-276632'!W994&gt;'[1]Methods write-up'!$Q$18,'[1]observations-276632'!W994&lt;'[1]Methods write-up'!$R$18,'[1]observations-276632'!X994&gt;'[1]Methods write-up'!$S$18,'[1]observations-276632'!X994&lt;'[1]Methods write-up'!$T$18),"Somali peninsula","")</f>
        <v/>
      </c>
      <c r="BA994" s="22" t="str">
        <f>IF(AND('[1]observations-276632'!W994&gt;'[1]Methods write-up'!$Q$19,'[1]observations-276632'!W994&lt;'[1]Methods write-up'!$R$19,'[1]observations-276632'!X994&gt;'[1]Methods write-up'!$S$19,'[1]observations-276632'!X994&lt;'[1]Methods write-up'!$T$19),"East Africa","")</f>
        <v/>
      </c>
      <c r="BB994" s="22" t="str">
        <f>IF(AND('[1]observations-276632'!W994&gt;'[1]Methods write-up'!$Q$20,'[1]observations-276632'!W994&lt;'[1]Methods write-up'!$R$20,'[1]observations-276632'!X994&gt;'[1]Methods write-up'!$S$20,'[1]observations-276632'!X994&lt;'[1]Methods write-up'!$T$20),"Temperate seasonal","")</f>
        <v>Temperate seasonal</v>
      </c>
      <c r="BC994" s="22" t="str">
        <f>IF(AND('[1]observations-276632'!W994&gt;'[1]Methods write-up'!$Q$21,'[1]observations-276632'!W994&lt;'[1]Methods write-up'!$R$21,'[1]observations-276632'!X994&gt;'[1]Methods write-up'!$S$21,'[1]observations-276632'!X994&lt;'[1]Methods write-up'!$T$21),"Desert and high aridity","")</f>
        <v/>
      </c>
      <c r="BD994" s="23" t="str">
        <f t="shared" si="70"/>
        <v>Temperate seasonal</v>
      </c>
      <c r="BE994" s="24">
        <f t="shared" si="68"/>
        <v>29</v>
      </c>
      <c r="BF994" s="24">
        <f t="shared" si="69"/>
        <v>4</v>
      </c>
    </row>
    <row r="995" spans="1:58" ht="16.25" customHeight="1" x14ac:dyDescent="0.2">
      <c r="A995">
        <v>113377850</v>
      </c>
      <c r="B995" s="25">
        <v>44680.566666666666</v>
      </c>
      <c r="C995" s="14">
        <v>44680</v>
      </c>
      <c r="D995" t="s">
        <v>7431</v>
      </c>
      <c r="E995" t="s">
        <v>7432</v>
      </c>
      <c r="F995">
        <v>4318161</v>
      </c>
      <c r="G995" t="s">
        <v>7433</v>
      </c>
      <c r="H995" t="s">
        <v>7434</v>
      </c>
      <c r="I995" t="s">
        <v>7435</v>
      </c>
      <c r="J995" t="s">
        <v>7436</v>
      </c>
      <c r="K995" t="s">
        <v>62</v>
      </c>
      <c r="L995" t="s">
        <v>63</v>
      </c>
      <c r="M995" t="s">
        <v>7437</v>
      </c>
      <c r="N995" t="s">
        <v>7438</v>
      </c>
      <c r="R995">
        <v>1</v>
      </c>
      <c r="S995">
        <v>0</v>
      </c>
      <c r="T995" t="b">
        <v>0</v>
      </c>
      <c r="U995">
        <v>2</v>
      </c>
      <c r="V995" t="s">
        <v>7439</v>
      </c>
      <c r="W995" s="15">
        <v>4.8161067810000002</v>
      </c>
      <c r="X995" s="15">
        <v>6.9451811819999998</v>
      </c>
      <c r="Y995">
        <v>8</v>
      </c>
      <c r="AC995">
        <v>8</v>
      </c>
      <c r="AF995" t="b">
        <v>0</v>
      </c>
      <c r="AI995" t="s">
        <v>71</v>
      </c>
      <c r="AJ995" t="s">
        <v>70</v>
      </c>
      <c r="AK995" t="s">
        <v>71</v>
      </c>
      <c r="AL995" t="s">
        <v>72</v>
      </c>
      <c r="AM995">
        <v>346053</v>
      </c>
      <c r="AO995" s="16" t="s">
        <v>140</v>
      </c>
      <c r="AP995" s="17" t="str">
        <f t="shared" si="67"/>
        <v>Post-emergence nest</v>
      </c>
      <c r="AQ995" s="18">
        <v>5</v>
      </c>
      <c r="AT995" s="19" t="s">
        <v>141</v>
      </c>
      <c r="AU995" s="20" t="s">
        <v>315</v>
      </c>
      <c r="AV995" s="21" t="s">
        <v>7292</v>
      </c>
      <c r="AX995" s="22" t="str">
        <f>IF(AND('[1]observations-276632'!W995&gt;'[1]Methods write-up'!$Q$16,'[1]observations-276632'!W995&lt;'[1]Methods write-up'!$R$16,'[1]observations-276632'!X995&gt;'[1]Methods write-up'!$S$16,'[1]observations-276632'!X995&lt;'[1]Methods write-up'!$T$16),"West and Central Africa","")</f>
        <v>West and Central Africa</v>
      </c>
      <c r="AY995" s="22" t="str">
        <f>IF(AND('[1]observations-276632'!W995&gt;'[1]Methods write-up'!$Q$17,'[1]observations-276632'!W995&lt;'[1]Methods write-up'!$R$17,'[1]observations-276632'!X995&gt;'[1]Methods write-up'!$S$17,'[1]observations-276632'!X995&lt;'[1]Methods write-up'!$T$17),"Equatorial tropical forest","")</f>
        <v/>
      </c>
      <c r="AZ995" s="22" t="str">
        <f>IF(AND('[1]observations-276632'!W995&gt;'[1]Methods write-up'!$Q$18,'[1]observations-276632'!W995&lt;'[1]Methods write-up'!$R$18,'[1]observations-276632'!X995&gt;'[1]Methods write-up'!$S$18,'[1]observations-276632'!X995&lt;'[1]Methods write-up'!$T$18),"Somali peninsula","")</f>
        <v/>
      </c>
      <c r="BA995" s="22" t="str">
        <f>IF(AND('[1]observations-276632'!W995&gt;'[1]Methods write-up'!$Q$19,'[1]observations-276632'!W995&lt;'[1]Methods write-up'!$R$19,'[1]observations-276632'!X995&gt;'[1]Methods write-up'!$S$19,'[1]observations-276632'!X995&lt;'[1]Methods write-up'!$T$19),"East Africa","")</f>
        <v/>
      </c>
      <c r="BB995" s="22" t="str">
        <f>IF(AND('[1]observations-276632'!W995&gt;'[1]Methods write-up'!$Q$20,'[1]observations-276632'!W995&lt;'[1]Methods write-up'!$R$20,'[1]observations-276632'!X995&gt;'[1]Methods write-up'!$S$20,'[1]observations-276632'!X995&lt;'[1]Methods write-up'!$T$20),"Temperate seasonal","")</f>
        <v/>
      </c>
      <c r="BC995" s="22" t="str">
        <f>IF(AND('[1]observations-276632'!W995&gt;'[1]Methods write-up'!$Q$21,'[1]observations-276632'!W995&lt;'[1]Methods write-up'!$R$21,'[1]observations-276632'!X995&gt;'[1]Methods write-up'!$S$21,'[1]observations-276632'!X995&lt;'[1]Methods write-up'!$T$21),"Desert and high aridity","")</f>
        <v/>
      </c>
      <c r="BD995" s="23" t="str">
        <f t="shared" si="70"/>
        <v>West and Central Africa</v>
      </c>
      <c r="BE995" s="24">
        <f t="shared" si="68"/>
        <v>29</v>
      </c>
      <c r="BF995" s="24">
        <f t="shared" si="69"/>
        <v>4</v>
      </c>
    </row>
    <row r="996" spans="1:58" ht="16.25" customHeight="1" x14ac:dyDescent="0.2">
      <c r="A996">
        <v>113413812</v>
      </c>
      <c r="B996" t="s">
        <v>7440</v>
      </c>
      <c r="C996" s="14">
        <v>44680</v>
      </c>
      <c r="D996" t="s">
        <v>7441</v>
      </c>
      <c r="E996" t="s">
        <v>113</v>
      </c>
      <c r="F996">
        <v>4337093</v>
      </c>
      <c r="G996" t="s">
        <v>7442</v>
      </c>
      <c r="I996" t="s">
        <v>7443</v>
      </c>
      <c r="J996" t="s">
        <v>7444</v>
      </c>
      <c r="K996" t="s">
        <v>62</v>
      </c>
      <c r="L996" t="s">
        <v>63</v>
      </c>
      <c r="M996" t="s">
        <v>7445</v>
      </c>
      <c r="N996" t="s">
        <v>7446</v>
      </c>
      <c r="R996">
        <v>3</v>
      </c>
      <c r="S996">
        <v>0</v>
      </c>
      <c r="T996" t="b">
        <v>0</v>
      </c>
      <c r="U996">
        <v>3</v>
      </c>
      <c r="V996" t="s">
        <v>7447</v>
      </c>
      <c r="W996" s="15">
        <v>-29.84356369</v>
      </c>
      <c r="X996" s="15">
        <v>30.995394730000001</v>
      </c>
      <c r="Y996">
        <v>5</v>
      </c>
      <c r="AC996">
        <v>5</v>
      </c>
      <c r="AF996" t="b">
        <v>0</v>
      </c>
      <c r="AI996" t="s">
        <v>71</v>
      </c>
      <c r="AJ996" t="s">
        <v>70</v>
      </c>
      <c r="AK996" t="s">
        <v>71</v>
      </c>
      <c r="AL996" t="s">
        <v>72</v>
      </c>
      <c r="AM996">
        <v>346053</v>
      </c>
      <c r="AO996" s="16" t="s">
        <v>5601</v>
      </c>
      <c r="AP996" s="16"/>
      <c r="AX996" s="22" t="str">
        <f>IF(AND('[1]observations-276632'!W996&gt;'[1]Methods write-up'!$Q$16,'[1]observations-276632'!W996&lt;'[1]Methods write-up'!$R$16,'[1]observations-276632'!X996&gt;'[1]Methods write-up'!$S$16,'[1]observations-276632'!X996&lt;'[1]Methods write-up'!$T$16),"West Africa","")</f>
        <v/>
      </c>
      <c r="AY996" s="22" t="str">
        <f>IF(AND('[1]observations-276632'!W996&gt;'[1]Methods write-up'!$Q$17,'[1]observations-276632'!W996&lt;'[1]Methods write-up'!$R$17,'[1]observations-276632'!X996&gt;'[1]Methods write-up'!$S$17,'[1]observations-276632'!X996&lt;'[1]Methods write-up'!$T$17),"Equatorial tropical forest","")</f>
        <v/>
      </c>
      <c r="AZ996" s="22" t="str">
        <f>IF(AND('[1]observations-276632'!W996&gt;'[1]Methods write-up'!$Q$18,'[1]observations-276632'!W996&lt;'[1]Methods write-up'!$R$18,'[1]observations-276632'!X996&gt;'[1]Methods write-up'!$S$18,'[1]observations-276632'!X996&lt;'[1]Methods write-up'!$T$18),"Somali peninsula","")</f>
        <v/>
      </c>
      <c r="BA996" s="22" t="str">
        <f>IF(AND('[1]observations-276632'!W996&gt;'[1]Methods write-up'!$Q$19,'[1]observations-276632'!W996&lt;'[1]Methods write-up'!$R$19,'[1]observations-276632'!X996&gt;'[1]Methods write-up'!$S$19,'[1]observations-276632'!X996&lt;'[1]Methods write-up'!$T$19),"East Africa","")</f>
        <v/>
      </c>
      <c r="BB996" s="22" t="str">
        <f>IF(AND('[1]observations-276632'!W996&gt;'[1]Methods write-up'!$Q$20,'[1]observations-276632'!W996&lt;'[1]Methods write-up'!$R$20,'[1]observations-276632'!X996&gt;'[1]Methods write-up'!$S$20,'[1]observations-276632'!X996&lt;'[1]Methods write-up'!$T$20),"Temperate seasonal","")</f>
        <v>Temperate seasonal</v>
      </c>
      <c r="BC996" s="22" t="str">
        <f>IF(AND('[1]observations-276632'!W996&gt;'[1]Methods write-up'!$Q$21,'[1]observations-276632'!W996&lt;'[1]Methods write-up'!$R$21,'[1]observations-276632'!X996&gt;'[1]Methods write-up'!$S$21,'[1]observations-276632'!X996&lt;'[1]Methods write-up'!$T$21),"Desert and high aridity","")</f>
        <v/>
      </c>
      <c r="BD996" s="23" t="str">
        <f t="shared" si="70"/>
        <v>Temperate seasonal</v>
      </c>
      <c r="BE996" s="24">
        <f t="shared" si="68"/>
        <v>29</v>
      </c>
      <c r="BF996" s="24">
        <f t="shared" si="69"/>
        <v>4</v>
      </c>
    </row>
    <row r="997" spans="1:58" ht="16.25" customHeight="1" x14ac:dyDescent="0.2">
      <c r="A997">
        <v>113466327</v>
      </c>
      <c r="B997" t="s">
        <v>7448</v>
      </c>
      <c r="C997" s="14">
        <v>44680</v>
      </c>
      <c r="D997" t="s">
        <v>7449</v>
      </c>
      <c r="E997" t="s">
        <v>7450</v>
      </c>
      <c r="F997">
        <v>3857722</v>
      </c>
      <c r="G997" t="s">
        <v>4422</v>
      </c>
      <c r="H997" t="s">
        <v>4423</v>
      </c>
      <c r="I997" t="s">
        <v>7451</v>
      </c>
      <c r="J997" t="s">
        <v>7452</v>
      </c>
      <c r="K997" t="s">
        <v>62</v>
      </c>
      <c r="L997" t="s">
        <v>63</v>
      </c>
      <c r="M997" t="s">
        <v>7453</v>
      </c>
      <c r="N997" t="s">
        <v>7454</v>
      </c>
      <c r="R997">
        <v>1</v>
      </c>
      <c r="S997">
        <v>0</v>
      </c>
      <c r="T997" t="b">
        <v>0</v>
      </c>
      <c r="U997">
        <v>3</v>
      </c>
      <c r="V997" t="s">
        <v>7455</v>
      </c>
      <c r="W997" s="15">
        <v>3.4000533329999998</v>
      </c>
      <c r="X997" s="15">
        <v>11.467955</v>
      </c>
      <c r="Y997">
        <v>4</v>
      </c>
      <c r="AC997">
        <v>4</v>
      </c>
      <c r="AF997" t="b">
        <v>0</v>
      </c>
      <c r="AI997" t="s">
        <v>71</v>
      </c>
      <c r="AJ997" t="s">
        <v>70</v>
      </c>
      <c r="AK997" t="s">
        <v>71</v>
      </c>
      <c r="AL997" t="s">
        <v>72</v>
      </c>
      <c r="AM997">
        <v>346053</v>
      </c>
      <c r="AO997" s="16" t="s">
        <v>73</v>
      </c>
      <c r="AP997" s="17" t="str">
        <f t="shared" ref="AP997:AP1001" si="71">IF(COUNTIF(AO997,"*foundress*"),"Nest (foundress)",AO997)</f>
        <v>Off-nest female</v>
      </c>
      <c r="AX997" s="22" t="str">
        <f>IF(AND('[1]observations-276632'!W997&gt;'[1]Methods write-up'!$Q$16,'[1]observations-276632'!W997&lt;'[1]Methods write-up'!$R$16,'[1]observations-276632'!X997&gt;'[1]Methods write-up'!$S$16,'[1]observations-276632'!X997&lt;'[1]Methods write-up'!$T$16),"West and Central Africa","")</f>
        <v>West and Central Africa</v>
      </c>
      <c r="AY997" s="22" t="str">
        <f>IF(AND('[1]observations-276632'!W997&gt;'[1]Methods write-up'!$Q$17,'[1]observations-276632'!W997&lt;'[1]Methods write-up'!$R$17,'[1]observations-276632'!X997&gt;'[1]Methods write-up'!$S$17,'[1]observations-276632'!X997&lt;'[1]Methods write-up'!$T$17),"Equatorial tropical forest","")</f>
        <v/>
      </c>
      <c r="AZ997" s="22" t="str">
        <f>IF(AND('[1]observations-276632'!W997&gt;'[1]Methods write-up'!$Q$18,'[1]observations-276632'!W997&lt;'[1]Methods write-up'!$R$18,'[1]observations-276632'!X997&gt;'[1]Methods write-up'!$S$18,'[1]observations-276632'!X997&lt;'[1]Methods write-up'!$T$18),"Somali peninsula","")</f>
        <v/>
      </c>
      <c r="BA997" s="22" t="str">
        <f>IF(AND('[1]observations-276632'!W997&gt;'[1]Methods write-up'!$Q$19,'[1]observations-276632'!W997&lt;'[1]Methods write-up'!$R$19,'[1]observations-276632'!X997&gt;'[1]Methods write-up'!$S$19,'[1]observations-276632'!X997&lt;'[1]Methods write-up'!$T$19),"East Africa","")</f>
        <v/>
      </c>
      <c r="BB997" s="22" t="str">
        <f>IF(AND('[1]observations-276632'!W997&gt;'[1]Methods write-up'!$Q$20,'[1]observations-276632'!W997&lt;'[1]Methods write-up'!$R$20,'[1]observations-276632'!X997&gt;'[1]Methods write-up'!$S$20,'[1]observations-276632'!X997&lt;'[1]Methods write-up'!$T$20),"Temperate seasonal","")</f>
        <v/>
      </c>
      <c r="BC997" s="22" t="str">
        <f>IF(AND('[1]observations-276632'!W997&gt;'[1]Methods write-up'!$Q$21,'[1]observations-276632'!W997&lt;'[1]Methods write-up'!$R$21,'[1]observations-276632'!X997&gt;'[1]Methods write-up'!$S$21,'[1]observations-276632'!X997&lt;'[1]Methods write-up'!$T$21),"Desert and high aridity","")</f>
        <v/>
      </c>
      <c r="BD997" s="23" t="str">
        <f t="shared" si="70"/>
        <v>West and Central Africa</v>
      </c>
      <c r="BE997" s="24">
        <f t="shared" si="68"/>
        <v>29</v>
      </c>
      <c r="BF997" s="24">
        <f t="shared" si="69"/>
        <v>4</v>
      </c>
    </row>
    <row r="998" spans="1:58" ht="16.25" customHeight="1" x14ac:dyDescent="0.2">
      <c r="A998">
        <v>113467236</v>
      </c>
      <c r="B998" s="25">
        <v>44680.347222222219</v>
      </c>
      <c r="C998" s="14">
        <v>44680</v>
      </c>
      <c r="D998" t="s">
        <v>7456</v>
      </c>
      <c r="E998" t="s">
        <v>113</v>
      </c>
      <c r="F998">
        <v>5515695</v>
      </c>
      <c r="G998" t="s">
        <v>7457</v>
      </c>
      <c r="H998" t="s">
        <v>7458</v>
      </c>
      <c r="I998" t="s">
        <v>7459</v>
      </c>
      <c r="J998" t="s">
        <v>7460</v>
      </c>
      <c r="K998" t="s">
        <v>62</v>
      </c>
      <c r="M998" t="s">
        <v>7461</v>
      </c>
      <c r="N998" t="s">
        <v>7462</v>
      </c>
      <c r="Q998" t="s">
        <v>7463</v>
      </c>
      <c r="R998">
        <v>2</v>
      </c>
      <c r="S998">
        <v>0</v>
      </c>
      <c r="T998" t="b">
        <v>0</v>
      </c>
      <c r="U998">
        <v>2</v>
      </c>
      <c r="V998" t="s">
        <v>7464</v>
      </c>
      <c r="W998" s="15">
        <v>-30.238650249999999</v>
      </c>
      <c r="X998" s="15">
        <v>30.764119999999998</v>
      </c>
      <c r="Y998">
        <v>198</v>
      </c>
      <c r="AC998">
        <v>198</v>
      </c>
      <c r="AF998" t="b">
        <v>0</v>
      </c>
      <c r="AI998" t="s">
        <v>71</v>
      </c>
      <c r="AJ998" t="s">
        <v>70</v>
      </c>
      <c r="AK998" t="s">
        <v>71</v>
      </c>
      <c r="AL998" t="s">
        <v>72</v>
      </c>
      <c r="AM998">
        <v>346053</v>
      </c>
      <c r="AO998" s="16" t="s">
        <v>150</v>
      </c>
      <c r="AP998" s="17" t="str">
        <f t="shared" si="71"/>
        <v>Male (off nest)</v>
      </c>
      <c r="AX998" s="22" t="str">
        <f>IF(AND('[1]observations-276632'!W998&gt;'[1]Methods write-up'!$Q$16,'[1]observations-276632'!W998&lt;'[1]Methods write-up'!$R$16,'[1]observations-276632'!X998&gt;'[1]Methods write-up'!$S$16,'[1]observations-276632'!X998&lt;'[1]Methods write-up'!$T$16),"West and Central Africa","")</f>
        <v/>
      </c>
      <c r="AY998" s="22" t="str">
        <f>IF(AND('[1]observations-276632'!W998&gt;'[1]Methods write-up'!$Q$17,'[1]observations-276632'!W998&lt;'[1]Methods write-up'!$R$17,'[1]observations-276632'!X998&gt;'[1]Methods write-up'!$S$17,'[1]observations-276632'!X998&lt;'[1]Methods write-up'!$T$17),"Equatorial tropical forest","")</f>
        <v/>
      </c>
      <c r="AZ998" s="22" t="str">
        <f>IF(AND('[1]observations-276632'!W998&gt;'[1]Methods write-up'!$Q$18,'[1]observations-276632'!W998&lt;'[1]Methods write-up'!$R$18,'[1]observations-276632'!X998&gt;'[1]Methods write-up'!$S$18,'[1]observations-276632'!X998&lt;'[1]Methods write-up'!$T$18),"Somali peninsula","")</f>
        <v/>
      </c>
      <c r="BA998" s="22" t="str">
        <f>IF(AND('[1]observations-276632'!W998&gt;'[1]Methods write-up'!$Q$19,'[1]observations-276632'!W998&lt;'[1]Methods write-up'!$R$19,'[1]observations-276632'!X998&gt;'[1]Methods write-up'!$S$19,'[1]observations-276632'!X998&lt;'[1]Methods write-up'!$T$19),"East Africa","")</f>
        <v/>
      </c>
      <c r="BB998" s="22" t="str">
        <f>IF(AND('[1]observations-276632'!W998&gt;'[1]Methods write-up'!$Q$20,'[1]observations-276632'!W998&lt;'[1]Methods write-up'!$R$20,'[1]observations-276632'!X998&gt;'[1]Methods write-up'!$S$20,'[1]observations-276632'!X998&lt;'[1]Methods write-up'!$T$20),"Temperate seasonal","")</f>
        <v>Temperate seasonal</v>
      </c>
      <c r="BC998" s="22" t="str">
        <f>IF(AND('[1]observations-276632'!W998&gt;'[1]Methods write-up'!$Q$21,'[1]observations-276632'!W998&lt;'[1]Methods write-up'!$R$21,'[1]observations-276632'!X998&gt;'[1]Methods write-up'!$S$21,'[1]observations-276632'!X998&lt;'[1]Methods write-up'!$T$21),"Desert and high aridity","")</f>
        <v/>
      </c>
      <c r="BD998" s="23" t="str">
        <f t="shared" si="70"/>
        <v>Temperate seasonal</v>
      </c>
      <c r="BE998" s="24">
        <f t="shared" si="68"/>
        <v>29</v>
      </c>
      <c r="BF998" s="24">
        <f t="shared" si="69"/>
        <v>4</v>
      </c>
    </row>
    <row r="999" spans="1:58" ht="16.25" customHeight="1" x14ac:dyDescent="0.2">
      <c r="A999">
        <v>113473330</v>
      </c>
      <c r="B999" s="25">
        <v>44674.519444444442</v>
      </c>
      <c r="C999" s="14">
        <v>44674</v>
      </c>
      <c r="D999" t="s">
        <v>7465</v>
      </c>
      <c r="E999" t="s">
        <v>74</v>
      </c>
      <c r="F999">
        <v>3683633</v>
      </c>
      <c r="G999" t="s">
        <v>4988</v>
      </c>
      <c r="H999" t="s">
        <v>4989</v>
      </c>
      <c r="I999" t="s">
        <v>7466</v>
      </c>
      <c r="J999" t="s">
        <v>7467</v>
      </c>
      <c r="K999" t="s">
        <v>62</v>
      </c>
      <c r="L999" t="s">
        <v>63</v>
      </c>
      <c r="M999" t="s">
        <v>7468</v>
      </c>
      <c r="N999" t="s">
        <v>7469</v>
      </c>
      <c r="R999">
        <v>2</v>
      </c>
      <c r="S999">
        <v>0</v>
      </c>
      <c r="T999" t="b">
        <v>0</v>
      </c>
      <c r="V999" t="s">
        <v>7470</v>
      </c>
      <c r="W999" s="15">
        <v>-20.58487701</v>
      </c>
      <c r="X999" s="15">
        <v>28.600761859999999</v>
      </c>
      <c r="Y999">
        <v>4</v>
      </c>
      <c r="AC999">
        <v>4</v>
      </c>
      <c r="AF999" t="b">
        <v>0</v>
      </c>
      <c r="AI999" t="s">
        <v>71</v>
      </c>
      <c r="AJ999" t="s">
        <v>70</v>
      </c>
      <c r="AK999" t="s">
        <v>71</v>
      </c>
      <c r="AL999" t="s">
        <v>72</v>
      </c>
      <c r="AM999">
        <v>346053</v>
      </c>
      <c r="AO999" s="16" t="s">
        <v>1356</v>
      </c>
      <c r="AP999" s="17" t="str">
        <f t="shared" si="71"/>
        <v>Nest (foundress)</v>
      </c>
      <c r="AQ999" s="18">
        <v>1</v>
      </c>
      <c r="AT999" s="19" t="s">
        <v>104</v>
      </c>
      <c r="AX999" s="22" t="str">
        <f>IF(AND('[1]observations-276632'!W999&gt;'[1]Methods write-up'!$Q$16,'[1]observations-276632'!W999&lt;'[1]Methods write-up'!$R$16,'[1]observations-276632'!X999&gt;'[1]Methods write-up'!$S$16,'[1]observations-276632'!X999&lt;'[1]Methods write-up'!$T$16),"West and Central Africa","")</f>
        <v/>
      </c>
      <c r="AY999" s="22" t="str">
        <f>IF(AND('[1]observations-276632'!W999&gt;'[1]Methods write-up'!$Q$17,'[1]observations-276632'!W999&lt;'[1]Methods write-up'!$R$17,'[1]observations-276632'!X999&gt;'[1]Methods write-up'!$S$17,'[1]observations-276632'!X999&lt;'[1]Methods write-up'!$T$17),"Equatorial tropical forest","")</f>
        <v/>
      </c>
      <c r="AZ999" s="22" t="str">
        <f>IF(AND('[1]observations-276632'!W999&gt;'[1]Methods write-up'!$Q$18,'[1]observations-276632'!W999&lt;'[1]Methods write-up'!$R$18,'[1]observations-276632'!X999&gt;'[1]Methods write-up'!$S$18,'[1]observations-276632'!X999&lt;'[1]Methods write-up'!$T$18),"Somali peninsula","")</f>
        <v/>
      </c>
      <c r="BA999" s="22" t="str">
        <f>IF(AND('[1]observations-276632'!W999&gt;'[1]Methods write-up'!$Q$19,'[1]observations-276632'!W999&lt;'[1]Methods write-up'!$R$19,'[1]observations-276632'!X999&gt;'[1]Methods write-up'!$S$19,'[1]observations-276632'!X999&lt;'[1]Methods write-up'!$T$19),"East Africa","")</f>
        <v/>
      </c>
      <c r="BB999" s="22" t="str">
        <f>IF(AND('[1]observations-276632'!W999&gt;'[1]Methods write-up'!$Q$20,'[1]observations-276632'!W999&lt;'[1]Methods write-up'!$R$20,'[1]observations-276632'!X999&gt;'[1]Methods write-up'!$S$20,'[1]observations-276632'!X999&lt;'[1]Methods write-up'!$T$20),"Temperate seasonal","")</f>
        <v/>
      </c>
      <c r="BC999" s="22" t="str">
        <f>IF(AND('[1]observations-276632'!W999&gt;'[1]Methods write-up'!$Q$21,'[1]observations-276632'!W999&lt;'[1]Methods write-up'!$R$21,'[1]observations-276632'!X999&gt;'[1]Methods write-up'!$S$21,'[1]observations-276632'!X999&lt;'[1]Methods write-up'!$T$21),"Desert and high aridity","")</f>
        <v/>
      </c>
      <c r="BD999" s="23" t="str">
        <f t="shared" si="70"/>
        <v/>
      </c>
      <c r="BE999" s="24">
        <f t="shared" si="68"/>
        <v>23</v>
      </c>
      <c r="BF999" s="24">
        <f t="shared" si="69"/>
        <v>4</v>
      </c>
    </row>
    <row r="1000" spans="1:58" ht="16.25" customHeight="1" x14ac:dyDescent="0.2">
      <c r="A1000">
        <v>113688943</v>
      </c>
      <c r="B1000" s="25">
        <v>44681.305555555555</v>
      </c>
      <c r="C1000" s="14">
        <v>44681</v>
      </c>
      <c r="D1000" t="s">
        <v>7471</v>
      </c>
      <c r="E1000" t="s">
        <v>113</v>
      </c>
      <c r="F1000">
        <v>32429</v>
      </c>
      <c r="G1000" t="s">
        <v>7472</v>
      </c>
      <c r="H1000" t="s">
        <v>7473</v>
      </c>
      <c r="I1000" t="s">
        <v>7474</v>
      </c>
      <c r="J1000" t="s">
        <v>7475</v>
      </c>
      <c r="K1000" t="s">
        <v>62</v>
      </c>
      <c r="L1000" t="s">
        <v>63</v>
      </c>
      <c r="M1000" t="s">
        <v>7476</v>
      </c>
      <c r="N1000" t="s">
        <v>7477</v>
      </c>
      <c r="R1000">
        <v>2</v>
      </c>
      <c r="S1000">
        <v>0</v>
      </c>
      <c r="T1000" t="b">
        <v>0</v>
      </c>
      <c r="U1000">
        <v>2</v>
      </c>
      <c r="V1000" t="s">
        <v>7478</v>
      </c>
      <c r="W1000" s="15">
        <v>-29.757011670000001</v>
      </c>
      <c r="X1000" s="15">
        <v>31.061379169999999</v>
      </c>
      <c r="AF1000" t="b">
        <v>0</v>
      </c>
      <c r="AG1000" t="s">
        <v>350</v>
      </c>
      <c r="AH1000" t="s">
        <v>350</v>
      </c>
      <c r="AI1000" t="s">
        <v>71</v>
      </c>
      <c r="AJ1000" t="s">
        <v>70</v>
      </c>
      <c r="AK1000" t="s">
        <v>71</v>
      </c>
      <c r="AL1000" t="s">
        <v>72</v>
      </c>
      <c r="AM1000">
        <v>346053</v>
      </c>
      <c r="AO1000" s="16" t="s">
        <v>73</v>
      </c>
      <c r="AP1000" s="17" t="str">
        <f t="shared" si="71"/>
        <v>Off-nest female</v>
      </c>
      <c r="AX1000" s="22" t="str">
        <f>IF(AND('[1]observations-276632'!W1000&gt;'[1]Methods write-up'!$Q$16,'[1]observations-276632'!W1000&lt;'[1]Methods write-up'!$R$16,'[1]observations-276632'!X1000&gt;'[1]Methods write-up'!$S$16,'[1]observations-276632'!X1000&lt;'[1]Methods write-up'!$T$16),"West and Central Africa","")</f>
        <v/>
      </c>
      <c r="AY1000" s="22" t="str">
        <f>IF(AND('[1]observations-276632'!W1000&gt;'[1]Methods write-up'!$Q$17,'[1]observations-276632'!W1000&lt;'[1]Methods write-up'!$R$17,'[1]observations-276632'!X1000&gt;'[1]Methods write-up'!$S$17,'[1]observations-276632'!X1000&lt;'[1]Methods write-up'!$T$17),"Equatorial tropical forest","")</f>
        <v/>
      </c>
      <c r="AZ1000" s="22" t="str">
        <f>IF(AND('[1]observations-276632'!W1000&gt;'[1]Methods write-up'!$Q$18,'[1]observations-276632'!W1000&lt;'[1]Methods write-up'!$R$18,'[1]observations-276632'!X1000&gt;'[1]Methods write-up'!$S$18,'[1]observations-276632'!X1000&lt;'[1]Methods write-up'!$T$18),"Somali peninsula","")</f>
        <v/>
      </c>
      <c r="BA1000" s="22" t="str">
        <f>IF(AND('[1]observations-276632'!W1000&gt;'[1]Methods write-up'!$Q$19,'[1]observations-276632'!W1000&lt;'[1]Methods write-up'!$R$19,'[1]observations-276632'!X1000&gt;'[1]Methods write-up'!$S$19,'[1]observations-276632'!X1000&lt;'[1]Methods write-up'!$T$19),"East Africa","")</f>
        <v/>
      </c>
      <c r="BB1000" s="22" t="str">
        <f>IF(AND('[1]observations-276632'!W1000&gt;'[1]Methods write-up'!$Q$20,'[1]observations-276632'!W1000&lt;'[1]Methods write-up'!$R$20,'[1]observations-276632'!X1000&gt;'[1]Methods write-up'!$S$20,'[1]observations-276632'!X1000&lt;'[1]Methods write-up'!$T$20),"Temperate seasonal","")</f>
        <v>Temperate seasonal</v>
      </c>
      <c r="BC1000" s="22" t="str">
        <f>IF(AND('[1]observations-276632'!W1000&gt;'[1]Methods write-up'!$Q$21,'[1]observations-276632'!W1000&lt;'[1]Methods write-up'!$R$21,'[1]observations-276632'!X1000&gt;'[1]Methods write-up'!$S$21,'[1]observations-276632'!X1000&lt;'[1]Methods write-up'!$T$21),"Desert and high aridity","")</f>
        <v/>
      </c>
      <c r="BD1000" s="23" t="str">
        <f t="shared" si="70"/>
        <v>Temperate seasonal</v>
      </c>
      <c r="BE1000" s="24">
        <f t="shared" si="68"/>
        <v>30</v>
      </c>
      <c r="BF1000" s="24">
        <f t="shared" si="69"/>
        <v>4</v>
      </c>
    </row>
    <row r="1001" spans="1:58" ht="16.25" customHeight="1" x14ac:dyDescent="0.2">
      <c r="A1001">
        <v>113691878</v>
      </c>
      <c r="B1001" s="25">
        <v>44680.388888888891</v>
      </c>
      <c r="C1001" s="14">
        <v>44680</v>
      </c>
      <c r="D1001" t="s">
        <v>7479</v>
      </c>
      <c r="E1001" t="s">
        <v>113</v>
      </c>
      <c r="F1001">
        <v>5579053</v>
      </c>
      <c r="G1001" t="s">
        <v>7480</v>
      </c>
      <c r="H1001" t="s">
        <v>7481</v>
      </c>
      <c r="I1001" t="s">
        <v>7482</v>
      </c>
      <c r="J1001" t="s">
        <v>7483</v>
      </c>
      <c r="K1001" t="s">
        <v>62</v>
      </c>
      <c r="M1001" t="s">
        <v>7484</v>
      </c>
      <c r="N1001" t="s">
        <v>7485</v>
      </c>
      <c r="R1001">
        <v>2</v>
      </c>
      <c r="S1001">
        <v>0</v>
      </c>
      <c r="T1001" t="b">
        <v>0</v>
      </c>
      <c r="U1001">
        <v>2</v>
      </c>
      <c r="V1001" t="s">
        <v>7486</v>
      </c>
      <c r="W1001" s="15">
        <v>-30.227664109999999</v>
      </c>
      <c r="X1001" s="15">
        <v>30.76947603</v>
      </c>
      <c r="Y1001">
        <v>8059</v>
      </c>
      <c r="AC1001">
        <v>8059</v>
      </c>
      <c r="AF1001" t="b">
        <v>0</v>
      </c>
      <c r="AI1001" t="s">
        <v>71</v>
      </c>
      <c r="AJ1001" t="s">
        <v>70</v>
      </c>
      <c r="AK1001" t="s">
        <v>71</v>
      </c>
      <c r="AL1001" t="s">
        <v>72</v>
      </c>
      <c r="AM1001">
        <v>346053</v>
      </c>
      <c r="AO1001" s="16" t="s">
        <v>73</v>
      </c>
      <c r="AP1001" s="17" t="str">
        <f t="shared" si="71"/>
        <v>Off-nest female</v>
      </c>
      <c r="AX1001" s="22" t="str">
        <f>IF(AND('[1]observations-276632'!W1001&gt;'[1]Methods write-up'!$Q$16,'[1]observations-276632'!W1001&lt;'[1]Methods write-up'!$R$16,'[1]observations-276632'!X1001&gt;'[1]Methods write-up'!$S$16,'[1]observations-276632'!X1001&lt;'[1]Methods write-up'!$T$16),"West and Central Africa","")</f>
        <v/>
      </c>
      <c r="AY1001" s="22" t="str">
        <f>IF(AND('[1]observations-276632'!W1001&gt;'[1]Methods write-up'!$Q$17,'[1]observations-276632'!W1001&lt;'[1]Methods write-up'!$R$17,'[1]observations-276632'!X1001&gt;'[1]Methods write-up'!$S$17,'[1]observations-276632'!X1001&lt;'[1]Methods write-up'!$T$17),"Equatorial tropical forest","")</f>
        <v/>
      </c>
      <c r="AZ1001" s="22" t="str">
        <f>IF(AND('[1]observations-276632'!W1001&gt;'[1]Methods write-up'!$Q$18,'[1]observations-276632'!W1001&lt;'[1]Methods write-up'!$R$18,'[1]observations-276632'!X1001&gt;'[1]Methods write-up'!$S$18,'[1]observations-276632'!X1001&lt;'[1]Methods write-up'!$T$18),"Somali peninsula","")</f>
        <v/>
      </c>
      <c r="BA1001" s="22" t="str">
        <f>IF(AND('[1]observations-276632'!W1001&gt;'[1]Methods write-up'!$Q$19,'[1]observations-276632'!W1001&lt;'[1]Methods write-up'!$R$19,'[1]observations-276632'!X1001&gt;'[1]Methods write-up'!$S$19,'[1]observations-276632'!X1001&lt;'[1]Methods write-up'!$T$19),"East Africa","")</f>
        <v/>
      </c>
      <c r="BB1001" s="22" t="str">
        <f>IF(AND('[1]observations-276632'!W1001&gt;'[1]Methods write-up'!$Q$20,'[1]observations-276632'!W1001&lt;'[1]Methods write-up'!$R$20,'[1]observations-276632'!X1001&gt;'[1]Methods write-up'!$S$20,'[1]observations-276632'!X1001&lt;'[1]Methods write-up'!$T$20),"Temperate seasonal","")</f>
        <v>Temperate seasonal</v>
      </c>
      <c r="BC1001" s="22" t="str">
        <f>IF(AND('[1]observations-276632'!W1001&gt;'[1]Methods write-up'!$Q$21,'[1]observations-276632'!W1001&lt;'[1]Methods write-up'!$R$21,'[1]observations-276632'!X1001&gt;'[1]Methods write-up'!$S$21,'[1]observations-276632'!X1001&lt;'[1]Methods write-up'!$T$21),"Desert and high aridity","")</f>
        <v/>
      </c>
      <c r="BD1001" s="23" t="str">
        <f t="shared" si="70"/>
        <v>Temperate seasonal</v>
      </c>
      <c r="BE1001" s="24">
        <f t="shared" si="68"/>
        <v>29</v>
      </c>
      <c r="BF1001" s="24">
        <f t="shared" si="69"/>
        <v>4</v>
      </c>
    </row>
    <row r="1002" spans="1:58" ht="16.25" customHeight="1" x14ac:dyDescent="0.2">
      <c r="A1002">
        <v>113702076</v>
      </c>
      <c r="B1002" s="25">
        <v>44680.388888888891</v>
      </c>
      <c r="C1002" s="14">
        <v>44680</v>
      </c>
      <c r="D1002" t="s">
        <v>7479</v>
      </c>
      <c r="E1002" t="s">
        <v>113</v>
      </c>
      <c r="F1002">
        <v>5579053</v>
      </c>
      <c r="G1002" t="s">
        <v>7480</v>
      </c>
      <c r="H1002" t="s">
        <v>7481</v>
      </c>
      <c r="I1002" t="s">
        <v>7487</v>
      </c>
      <c r="J1002" t="s">
        <v>7488</v>
      </c>
      <c r="K1002" t="s">
        <v>62</v>
      </c>
      <c r="M1002" t="s">
        <v>7489</v>
      </c>
      <c r="N1002" t="s">
        <v>7490</v>
      </c>
      <c r="R1002">
        <v>2</v>
      </c>
      <c r="S1002">
        <v>0</v>
      </c>
      <c r="T1002" t="b">
        <v>0</v>
      </c>
      <c r="U1002">
        <v>2</v>
      </c>
      <c r="V1002" t="s">
        <v>7486</v>
      </c>
      <c r="W1002" s="15">
        <v>-30.227664109999999</v>
      </c>
      <c r="X1002" s="15">
        <v>30.76947603</v>
      </c>
      <c r="Y1002">
        <v>8059</v>
      </c>
      <c r="AC1002">
        <v>8059</v>
      </c>
      <c r="AF1002" t="b">
        <v>0</v>
      </c>
      <c r="AG1002" t="s">
        <v>350</v>
      </c>
      <c r="AH1002" t="s">
        <v>350</v>
      </c>
      <c r="AI1002" t="s">
        <v>71</v>
      </c>
      <c r="AJ1002" t="s">
        <v>70</v>
      </c>
      <c r="AK1002" t="s">
        <v>71</v>
      </c>
      <c r="AL1002" t="s">
        <v>72</v>
      </c>
      <c r="AM1002">
        <v>346053</v>
      </c>
      <c r="AO1002" s="16" t="s">
        <v>5601</v>
      </c>
      <c r="AP1002" s="16"/>
      <c r="AX1002" s="22" t="str">
        <f>IF(AND('[1]observations-276632'!W1002&gt;'[1]Methods write-up'!$Q$16,'[1]observations-276632'!W1002&lt;'[1]Methods write-up'!$R$16,'[1]observations-276632'!X1002&gt;'[1]Methods write-up'!$S$16,'[1]observations-276632'!X1002&lt;'[1]Methods write-up'!$T$16),"West Africa","")</f>
        <v/>
      </c>
      <c r="AY1002" s="22" t="str">
        <f>IF(AND('[1]observations-276632'!W1002&gt;'[1]Methods write-up'!$Q$17,'[1]observations-276632'!W1002&lt;'[1]Methods write-up'!$R$17,'[1]observations-276632'!X1002&gt;'[1]Methods write-up'!$S$17,'[1]observations-276632'!X1002&lt;'[1]Methods write-up'!$T$17),"Equatorial tropical forest","")</f>
        <v/>
      </c>
      <c r="AZ1002" s="22" t="str">
        <f>IF(AND('[1]observations-276632'!W1002&gt;'[1]Methods write-up'!$Q$18,'[1]observations-276632'!W1002&lt;'[1]Methods write-up'!$R$18,'[1]observations-276632'!X1002&gt;'[1]Methods write-up'!$S$18,'[1]observations-276632'!X1002&lt;'[1]Methods write-up'!$T$18),"Somali peninsula","")</f>
        <v/>
      </c>
      <c r="BA1002" s="22" t="str">
        <f>IF(AND('[1]observations-276632'!W1002&gt;'[1]Methods write-up'!$Q$19,'[1]observations-276632'!W1002&lt;'[1]Methods write-up'!$R$19,'[1]observations-276632'!X1002&gt;'[1]Methods write-up'!$S$19,'[1]observations-276632'!X1002&lt;'[1]Methods write-up'!$T$19),"East Africa","")</f>
        <v/>
      </c>
      <c r="BB1002" s="22" t="str">
        <f>IF(AND('[1]observations-276632'!W1002&gt;'[1]Methods write-up'!$Q$20,'[1]observations-276632'!W1002&lt;'[1]Methods write-up'!$R$20,'[1]observations-276632'!X1002&gt;'[1]Methods write-up'!$S$20,'[1]observations-276632'!X1002&lt;'[1]Methods write-up'!$T$20),"Temperate seasonal","")</f>
        <v>Temperate seasonal</v>
      </c>
      <c r="BC1002" s="22" t="str">
        <f>IF(AND('[1]observations-276632'!W1002&gt;'[1]Methods write-up'!$Q$21,'[1]observations-276632'!W1002&lt;'[1]Methods write-up'!$R$21,'[1]observations-276632'!X1002&gt;'[1]Methods write-up'!$S$21,'[1]observations-276632'!X1002&lt;'[1]Methods write-up'!$T$21),"Desert and high aridity","")</f>
        <v/>
      </c>
      <c r="BD1002" s="23" t="str">
        <f t="shared" si="70"/>
        <v>Temperate seasonal</v>
      </c>
      <c r="BE1002" s="24">
        <f t="shared" si="68"/>
        <v>29</v>
      </c>
      <c r="BF1002" s="24">
        <f t="shared" si="69"/>
        <v>4</v>
      </c>
    </row>
    <row r="1003" spans="1:58" ht="16.25" customHeight="1" x14ac:dyDescent="0.2">
      <c r="A1003">
        <v>113734783</v>
      </c>
      <c r="B1003" s="13">
        <v>44681</v>
      </c>
      <c r="C1003" s="14">
        <v>44681</v>
      </c>
      <c r="E1003" t="s">
        <v>113</v>
      </c>
      <c r="F1003">
        <v>5581840</v>
      </c>
      <c r="G1003" t="s">
        <v>7491</v>
      </c>
      <c r="H1003" t="s">
        <v>7492</v>
      </c>
      <c r="I1003" t="s">
        <v>7493</v>
      </c>
      <c r="J1003" t="s">
        <v>7494</v>
      </c>
      <c r="K1003" t="s">
        <v>62</v>
      </c>
      <c r="M1003" t="s">
        <v>7495</v>
      </c>
      <c r="N1003" t="s">
        <v>7496</v>
      </c>
      <c r="R1003">
        <v>3</v>
      </c>
      <c r="S1003">
        <v>0</v>
      </c>
      <c r="T1003" t="b">
        <v>0</v>
      </c>
      <c r="U1003">
        <v>2</v>
      </c>
      <c r="V1003" t="s">
        <v>7497</v>
      </c>
      <c r="W1003" s="15">
        <v>-29.92676616</v>
      </c>
      <c r="X1003" s="15">
        <v>31.01135429</v>
      </c>
      <c r="Y1003">
        <v>269</v>
      </c>
      <c r="AC1003">
        <v>269</v>
      </c>
      <c r="AF1003" t="b">
        <v>0</v>
      </c>
      <c r="AI1003" t="s">
        <v>71</v>
      </c>
      <c r="AJ1003" t="s">
        <v>70</v>
      </c>
      <c r="AK1003" t="s">
        <v>71</v>
      </c>
      <c r="AL1003" t="s">
        <v>72</v>
      </c>
      <c r="AM1003">
        <v>346053</v>
      </c>
      <c r="AO1003" s="16" t="s">
        <v>140</v>
      </c>
      <c r="AP1003" s="17" t="str">
        <f t="shared" ref="AP1003:AP1007" si="72">IF(COUNTIF(AO1003,"*foundress*"),"Nest (foundress)",AO1003)</f>
        <v>Post-emergence nest</v>
      </c>
      <c r="AQ1003" s="18">
        <v>3</v>
      </c>
      <c r="AT1003" s="19" t="s">
        <v>141</v>
      </c>
      <c r="AU1003" s="20" t="s">
        <v>104</v>
      </c>
      <c r="AV1003" s="21" t="s">
        <v>7498</v>
      </c>
      <c r="AX1003" s="22" t="str">
        <f>IF(AND('[1]observations-276632'!W1003&gt;'[1]Methods write-up'!$Q$16,'[1]observations-276632'!W1003&lt;'[1]Methods write-up'!$R$16,'[1]observations-276632'!X1003&gt;'[1]Methods write-up'!$S$16,'[1]observations-276632'!X1003&lt;'[1]Methods write-up'!$T$16),"West and Central Africa","")</f>
        <v/>
      </c>
      <c r="AY1003" s="22" t="str">
        <f>IF(AND('[1]observations-276632'!W1003&gt;'[1]Methods write-up'!$Q$17,'[1]observations-276632'!W1003&lt;'[1]Methods write-up'!$R$17,'[1]observations-276632'!X1003&gt;'[1]Methods write-up'!$S$17,'[1]observations-276632'!X1003&lt;'[1]Methods write-up'!$T$17),"Equatorial tropical forest","")</f>
        <v/>
      </c>
      <c r="AZ1003" s="22" t="str">
        <f>IF(AND('[1]observations-276632'!W1003&gt;'[1]Methods write-up'!$Q$18,'[1]observations-276632'!W1003&lt;'[1]Methods write-up'!$R$18,'[1]observations-276632'!X1003&gt;'[1]Methods write-up'!$S$18,'[1]observations-276632'!X1003&lt;'[1]Methods write-up'!$T$18),"Somali peninsula","")</f>
        <v/>
      </c>
      <c r="BA1003" s="22" t="str">
        <f>IF(AND('[1]observations-276632'!W1003&gt;'[1]Methods write-up'!$Q$19,'[1]observations-276632'!W1003&lt;'[1]Methods write-up'!$R$19,'[1]observations-276632'!X1003&gt;'[1]Methods write-up'!$S$19,'[1]observations-276632'!X1003&lt;'[1]Methods write-up'!$T$19),"East Africa","")</f>
        <v/>
      </c>
      <c r="BB1003" s="22" t="str">
        <f>IF(AND('[1]observations-276632'!W1003&gt;'[1]Methods write-up'!$Q$20,'[1]observations-276632'!W1003&lt;'[1]Methods write-up'!$R$20,'[1]observations-276632'!X1003&gt;'[1]Methods write-up'!$S$20,'[1]observations-276632'!X1003&lt;'[1]Methods write-up'!$T$20),"Temperate seasonal","")</f>
        <v>Temperate seasonal</v>
      </c>
      <c r="BC1003" s="22" t="str">
        <f>IF(AND('[1]observations-276632'!W1003&gt;'[1]Methods write-up'!$Q$21,'[1]observations-276632'!W1003&lt;'[1]Methods write-up'!$R$21,'[1]observations-276632'!X1003&gt;'[1]Methods write-up'!$S$21,'[1]observations-276632'!X1003&lt;'[1]Methods write-up'!$T$21),"Desert and high aridity","")</f>
        <v/>
      </c>
      <c r="BD1003" s="23" t="str">
        <f t="shared" si="70"/>
        <v>Temperate seasonal</v>
      </c>
      <c r="BE1003" s="24">
        <f t="shared" si="68"/>
        <v>30</v>
      </c>
      <c r="BF1003" s="24">
        <f t="shared" si="69"/>
        <v>4</v>
      </c>
    </row>
    <row r="1004" spans="1:58" ht="16.25" customHeight="1" x14ac:dyDescent="0.2">
      <c r="A1004">
        <v>113746464</v>
      </c>
      <c r="B1004" s="25">
        <v>44681.477083333331</v>
      </c>
      <c r="C1004" s="14">
        <v>44681</v>
      </c>
      <c r="D1004" t="s">
        <v>7499</v>
      </c>
      <c r="E1004" t="s">
        <v>113</v>
      </c>
      <c r="F1004">
        <v>4249426</v>
      </c>
      <c r="G1004" t="s">
        <v>5343</v>
      </c>
      <c r="H1004" t="s">
        <v>5344</v>
      </c>
      <c r="I1004" t="s">
        <v>7500</v>
      </c>
      <c r="J1004" t="s">
        <v>7501</v>
      </c>
      <c r="K1004" t="s">
        <v>62</v>
      </c>
      <c r="L1004" t="s">
        <v>63</v>
      </c>
      <c r="M1004" t="s">
        <v>7502</v>
      </c>
      <c r="N1004" t="s">
        <v>7503</v>
      </c>
      <c r="R1004">
        <v>3</v>
      </c>
      <c r="S1004">
        <v>0</v>
      </c>
      <c r="T1004" t="b">
        <v>0</v>
      </c>
      <c r="U1004">
        <v>2</v>
      </c>
      <c r="V1004" t="s">
        <v>5349</v>
      </c>
      <c r="W1004" s="15">
        <v>-29.658217199999999</v>
      </c>
      <c r="X1004" s="15">
        <v>31.046948199999999</v>
      </c>
      <c r="AF1004" t="b">
        <v>0</v>
      </c>
      <c r="AG1004" t="s">
        <v>350</v>
      </c>
      <c r="AH1004" t="s">
        <v>350</v>
      </c>
      <c r="AI1004" t="s">
        <v>71</v>
      </c>
      <c r="AJ1004" t="s">
        <v>70</v>
      </c>
      <c r="AK1004" t="s">
        <v>71</v>
      </c>
      <c r="AL1004" t="s">
        <v>72</v>
      </c>
      <c r="AM1004">
        <v>346053</v>
      </c>
      <c r="AO1004" s="16" t="s">
        <v>73</v>
      </c>
      <c r="AP1004" s="17" t="str">
        <f t="shared" si="72"/>
        <v>Off-nest female</v>
      </c>
      <c r="AX1004" s="22" t="str">
        <f>IF(AND('[1]observations-276632'!W1004&gt;'[1]Methods write-up'!$Q$16,'[1]observations-276632'!W1004&lt;'[1]Methods write-up'!$R$16,'[1]observations-276632'!X1004&gt;'[1]Methods write-up'!$S$16,'[1]observations-276632'!X1004&lt;'[1]Methods write-up'!$T$16),"West and Central Africa","")</f>
        <v/>
      </c>
      <c r="AY1004" s="22" t="str">
        <f>IF(AND('[1]observations-276632'!W1004&gt;'[1]Methods write-up'!$Q$17,'[1]observations-276632'!W1004&lt;'[1]Methods write-up'!$R$17,'[1]observations-276632'!X1004&gt;'[1]Methods write-up'!$S$17,'[1]observations-276632'!X1004&lt;'[1]Methods write-up'!$T$17),"Equatorial tropical forest","")</f>
        <v/>
      </c>
      <c r="AZ1004" s="22" t="str">
        <f>IF(AND('[1]observations-276632'!W1004&gt;'[1]Methods write-up'!$Q$18,'[1]observations-276632'!W1004&lt;'[1]Methods write-up'!$R$18,'[1]observations-276632'!X1004&gt;'[1]Methods write-up'!$S$18,'[1]observations-276632'!X1004&lt;'[1]Methods write-up'!$T$18),"Somali peninsula","")</f>
        <v/>
      </c>
      <c r="BA1004" s="22" t="str">
        <f>IF(AND('[1]observations-276632'!W1004&gt;'[1]Methods write-up'!$Q$19,'[1]observations-276632'!W1004&lt;'[1]Methods write-up'!$R$19,'[1]observations-276632'!X1004&gt;'[1]Methods write-up'!$S$19,'[1]observations-276632'!X1004&lt;'[1]Methods write-up'!$T$19),"East Africa","")</f>
        <v/>
      </c>
      <c r="BB1004" s="22" t="str">
        <f>IF(AND('[1]observations-276632'!W1004&gt;'[1]Methods write-up'!$Q$20,'[1]observations-276632'!W1004&lt;'[1]Methods write-up'!$R$20,'[1]observations-276632'!X1004&gt;'[1]Methods write-up'!$S$20,'[1]observations-276632'!X1004&lt;'[1]Methods write-up'!$T$20),"Temperate seasonal","")</f>
        <v>Temperate seasonal</v>
      </c>
      <c r="BC1004" s="22" t="str">
        <f>IF(AND('[1]observations-276632'!W1004&gt;'[1]Methods write-up'!$Q$21,'[1]observations-276632'!W1004&lt;'[1]Methods write-up'!$R$21,'[1]observations-276632'!X1004&gt;'[1]Methods write-up'!$S$21,'[1]observations-276632'!X1004&lt;'[1]Methods write-up'!$T$21),"Desert and high aridity","")</f>
        <v/>
      </c>
      <c r="BD1004" s="23" t="str">
        <f t="shared" si="70"/>
        <v>Temperate seasonal</v>
      </c>
      <c r="BE1004" s="24">
        <f t="shared" si="68"/>
        <v>30</v>
      </c>
      <c r="BF1004" s="24">
        <f t="shared" si="69"/>
        <v>4</v>
      </c>
    </row>
    <row r="1005" spans="1:58" ht="16.25" customHeight="1" x14ac:dyDescent="0.2">
      <c r="A1005">
        <v>113747631</v>
      </c>
      <c r="B1005" t="s">
        <v>7504</v>
      </c>
      <c r="C1005" s="14">
        <v>40238</v>
      </c>
      <c r="D1005" t="s">
        <v>7505</v>
      </c>
      <c r="E1005" t="s">
        <v>113</v>
      </c>
      <c r="F1005">
        <v>41937</v>
      </c>
      <c r="G1005" t="s">
        <v>7506</v>
      </c>
      <c r="H1005" t="s">
        <v>7507</v>
      </c>
      <c r="I1005" t="s">
        <v>7508</v>
      </c>
      <c r="J1005" t="s">
        <v>7509</v>
      </c>
      <c r="K1005" t="s">
        <v>62</v>
      </c>
      <c r="L1005" t="s">
        <v>98</v>
      </c>
      <c r="M1005" t="s">
        <v>7510</v>
      </c>
      <c r="N1005" t="s">
        <v>7511</v>
      </c>
      <c r="P1005" t="s">
        <v>7512</v>
      </c>
      <c r="Q1005" t="s">
        <v>7513</v>
      </c>
      <c r="R1005">
        <v>0</v>
      </c>
      <c r="S1005">
        <v>0</v>
      </c>
      <c r="T1005" t="b">
        <v>0</v>
      </c>
      <c r="V1005" t="s">
        <v>7514</v>
      </c>
      <c r="W1005" s="15">
        <v>-29.012441859999999</v>
      </c>
      <c r="X1005" s="15">
        <v>30.41326175</v>
      </c>
      <c r="Y1005">
        <v>4</v>
      </c>
      <c r="AC1005">
        <v>4</v>
      </c>
      <c r="AF1005" t="b">
        <v>0</v>
      </c>
      <c r="AI1005" t="s">
        <v>161</v>
      </c>
      <c r="AJ1005" t="s">
        <v>161</v>
      </c>
      <c r="AL1005" t="s">
        <v>72</v>
      </c>
      <c r="AM1005">
        <v>366867</v>
      </c>
      <c r="AO1005" s="16" t="s">
        <v>140</v>
      </c>
      <c r="AP1005" s="17" t="str">
        <f t="shared" si="72"/>
        <v>Post-emergence nest</v>
      </c>
      <c r="AQ1005" s="18">
        <v>11</v>
      </c>
      <c r="AT1005" s="19" t="s">
        <v>141</v>
      </c>
      <c r="AU1005" s="20" t="s">
        <v>141</v>
      </c>
      <c r="AX1005" s="22" t="str">
        <f>IF(AND('[1]observations-276632'!W1005&gt;'[1]Methods write-up'!$Q$16,'[1]observations-276632'!W1005&lt;'[1]Methods write-up'!$R$16,'[1]observations-276632'!X1005&gt;'[1]Methods write-up'!$S$16,'[1]observations-276632'!X1005&lt;'[1]Methods write-up'!$T$16),"West and Central Africa","")</f>
        <v/>
      </c>
      <c r="AY1005" s="22" t="str">
        <f>IF(AND('[1]observations-276632'!W1005&gt;'[1]Methods write-up'!$Q$17,'[1]observations-276632'!W1005&lt;'[1]Methods write-up'!$R$17,'[1]observations-276632'!X1005&gt;'[1]Methods write-up'!$S$17,'[1]observations-276632'!X1005&lt;'[1]Methods write-up'!$T$17),"Equatorial tropical forest","")</f>
        <v/>
      </c>
      <c r="AZ1005" s="22" t="str">
        <f>IF(AND('[1]observations-276632'!W1005&gt;'[1]Methods write-up'!$Q$18,'[1]observations-276632'!W1005&lt;'[1]Methods write-up'!$R$18,'[1]observations-276632'!X1005&gt;'[1]Methods write-up'!$S$18,'[1]observations-276632'!X1005&lt;'[1]Methods write-up'!$T$18),"Somali peninsula","")</f>
        <v/>
      </c>
      <c r="BA1005" s="22" t="str">
        <f>IF(AND('[1]observations-276632'!W1005&gt;'[1]Methods write-up'!$Q$19,'[1]observations-276632'!W1005&lt;'[1]Methods write-up'!$R$19,'[1]observations-276632'!X1005&gt;'[1]Methods write-up'!$S$19,'[1]observations-276632'!X1005&lt;'[1]Methods write-up'!$T$19),"East Africa","")</f>
        <v/>
      </c>
      <c r="BB1005" s="22" t="str">
        <f>IF(AND('[1]observations-276632'!W1005&gt;'[1]Methods write-up'!$Q$20,'[1]observations-276632'!W1005&lt;'[1]Methods write-up'!$R$20,'[1]observations-276632'!X1005&gt;'[1]Methods write-up'!$S$20,'[1]observations-276632'!X1005&lt;'[1]Methods write-up'!$T$20),"Temperate seasonal","")</f>
        <v>Temperate seasonal</v>
      </c>
      <c r="BC1005" s="22" t="str">
        <f>IF(AND('[1]observations-276632'!W1005&gt;'[1]Methods write-up'!$Q$21,'[1]observations-276632'!W1005&lt;'[1]Methods write-up'!$R$21,'[1]observations-276632'!X1005&gt;'[1]Methods write-up'!$S$21,'[1]observations-276632'!X1005&lt;'[1]Methods write-up'!$T$21),"Desert and high aridity","")</f>
        <v/>
      </c>
      <c r="BD1005" s="23" t="str">
        <f t="shared" si="70"/>
        <v>Temperate seasonal</v>
      </c>
      <c r="BE1005" s="24">
        <f t="shared" si="68"/>
        <v>1</v>
      </c>
      <c r="BF1005" s="24">
        <f t="shared" si="69"/>
        <v>3</v>
      </c>
    </row>
    <row r="1006" spans="1:58" ht="16.25" customHeight="1" x14ac:dyDescent="0.2">
      <c r="A1006">
        <v>113805252</v>
      </c>
      <c r="B1006" s="25">
        <v>44680.384027777778</v>
      </c>
      <c r="C1006" s="14">
        <v>44680</v>
      </c>
      <c r="D1006" t="s">
        <v>7515</v>
      </c>
      <c r="E1006" t="s">
        <v>113</v>
      </c>
      <c r="F1006">
        <v>5564943</v>
      </c>
      <c r="G1006" t="s">
        <v>7516</v>
      </c>
      <c r="H1006" t="s">
        <v>7517</v>
      </c>
      <c r="I1006" t="s">
        <v>7518</v>
      </c>
      <c r="J1006" t="s">
        <v>7519</v>
      </c>
      <c r="K1006" t="s">
        <v>62</v>
      </c>
      <c r="M1006" t="s">
        <v>7520</v>
      </c>
      <c r="N1006" t="s">
        <v>7521</v>
      </c>
      <c r="Q1006" t="s">
        <v>7522</v>
      </c>
      <c r="R1006">
        <v>2</v>
      </c>
      <c r="S1006">
        <v>0</v>
      </c>
      <c r="T1006" t="b">
        <v>0</v>
      </c>
      <c r="V1006" t="s">
        <v>7523</v>
      </c>
      <c r="W1006" s="15">
        <v>-30.242266669999999</v>
      </c>
      <c r="X1006" s="15">
        <v>30.770454999999998</v>
      </c>
      <c r="AF1006" t="b">
        <v>0</v>
      </c>
      <c r="AI1006" t="s">
        <v>71</v>
      </c>
      <c r="AJ1006" t="s">
        <v>70</v>
      </c>
      <c r="AK1006" t="s">
        <v>71</v>
      </c>
      <c r="AL1006" t="s">
        <v>72</v>
      </c>
      <c r="AM1006">
        <v>346053</v>
      </c>
      <c r="AO1006" s="16" t="s">
        <v>150</v>
      </c>
      <c r="AP1006" s="17" t="str">
        <f t="shared" si="72"/>
        <v>Male (off nest)</v>
      </c>
      <c r="AX1006" s="22" t="str">
        <f>IF(AND('[1]observations-276632'!W1006&gt;'[1]Methods write-up'!$Q$16,'[1]observations-276632'!W1006&lt;'[1]Methods write-up'!$R$16,'[1]observations-276632'!X1006&gt;'[1]Methods write-up'!$S$16,'[1]observations-276632'!X1006&lt;'[1]Methods write-up'!$T$16),"West and Central Africa","")</f>
        <v/>
      </c>
      <c r="AY1006" s="22" t="str">
        <f>IF(AND('[1]observations-276632'!W1006&gt;'[1]Methods write-up'!$Q$17,'[1]observations-276632'!W1006&lt;'[1]Methods write-up'!$R$17,'[1]observations-276632'!X1006&gt;'[1]Methods write-up'!$S$17,'[1]observations-276632'!X1006&lt;'[1]Methods write-up'!$T$17),"Equatorial tropical forest","")</f>
        <v/>
      </c>
      <c r="AZ1006" s="22" t="str">
        <f>IF(AND('[1]observations-276632'!W1006&gt;'[1]Methods write-up'!$Q$18,'[1]observations-276632'!W1006&lt;'[1]Methods write-up'!$R$18,'[1]observations-276632'!X1006&gt;'[1]Methods write-up'!$S$18,'[1]observations-276632'!X1006&lt;'[1]Methods write-up'!$T$18),"Somali peninsula","")</f>
        <v/>
      </c>
      <c r="BA1006" s="22" t="str">
        <f>IF(AND('[1]observations-276632'!W1006&gt;'[1]Methods write-up'!$Q$19,'[1]observations-276632'!W1006&lt;'[1]Methods write-up'!$R$19,'[1]observations-276632'!X1006&gt;'[1]Methods write-up'!$S$19,'[1]observations-276632'!X1006&lt;'[1]Methods write-up'!$T$19),"East Africa","")</f>
        <v/>
      </c>
      <c r="BB1006" s="22" t="str">
        <f>IF(AND('[1]observations-276632'!W1006&gt;'[1]Methods write-up'!$Q$20,'[1]observations-276632'!W1006&lt;'[1]Methods write-up'!$R$20,'[1]observations-276632'!X1006&gt;'[1]Methods write-up'!$S$20,'[1]observations-276632'!X1006&lt;'[1]Methods write-up'!$T$20),"Temperate seasonal","")</f>
        <v>Temperate seasonal</v>
      </c>
      <c r="BC1006" s="22" t="str">
        <f>IF(AND('[1]observations-276632'!W1006&gt;'[1]Methods write-up'!$Q$21,'[1]observations-276632'!W1006&lt;'[1]Methods write-up'!$R$21,'[1]observations-276632'!X1006&gt;'[1]Methods write-up'!$S$21,'[1]observations-276632'!X1006&lt;'[1]Methods write-up'!$T$21),"Desert and high aridity","")</f>
        <v/>
      </c>
      <c r="BD1006" s="23" t="str">
        <f t="shared" si="70"/>
        <v>Temperate seasonal</v>
      </c>
      <c r="BE1006" s="24">
        <f t="shared" si="68"/>
        <v>29</v>
      </c>
      <c r="BF1006" s="24">
        <f t="shared" si="69"/>
        <v>4</v>
      </c>
    </row>
    <row r="1007" spans="1:58" ht="16.25" customHeight="1" x14ac:dyDescent="0.2">
      <c r="A1007">
        <v>113923372</v>
      </c>
      <c r="B1007" s="25">
        <v>44675.413194444445</v>
      </c>
      <c r="C1007" s="14">
        <v>44675</v>
      </c>
      <c r="D1007" t="s">
        <v>7524</v>
      </c>
      <c r="E1007" t="s">
        <v>74</v>
      </c>
      <c r="F1007">
        <v>3683633</v>
      </c>
      <c r="G1007" t="s">
        <v>4988</v>
      </c>
      <c r="H1007" t="s">
        <v>4989</v>
      </c>
      <c r="I1007" t="s">
        <v>7525</v>
      </c>
      <c r="J1007" t="s">
        <v>7526</v>
      </c>
      <c r="K1007" t="s">
        <v>62</v>
      </c>
      <c r="L1007" t="s">
        <v>63</v>
      </c>
      <c r="M1007" t="s">
        <v>7527</v>
      </c>
      <c r="N1007" t="s">
        <v>7528</v>
      </c>
      <c r="R1007">
        <v>3</v>
      </c>
      <c r="S1007">
        <v>0</v>
      </c>
      <c r="T1007" t="b">
        <v>0</v>
      </c>
      <c r="V1007" t="s">
        <v>7529</v>
      </c>
      <c r="W1007" s="15">
        <v>-20.535348599999999</v>
      </c>
      <c r="X1007" s="15">
        <v>28.474802969999999</v>
      </c>
      <c r="Y1007">
        <v>8</v>
      </c>
      <c r="AC1007">
        <v>8</v>
      </c>
      <c r="AF1007" t="b">
        <v>0</v>
      </c>
      <c r="AI1007" t="s">
        <v>71</v>
      </c>
      <c r="AJ1007" t="s">
        <v>70</v>
      </c>
      <c r="AK1007" t="s">
        <v>71</v>
      </c>
      <c r="AL1007" t="s">
        <v>72</v>
      </c>
      <c r="AM1007">
        <v>346053</v>
      </c>
      <c r="AO1007" s="16" t="s">
        <v>140</v>
      </c>
      <c r="AP1007" s="17" t="str">
        <f t="shared" si="72"/>
        <v>Post-emergence nest</v>
      </c>
      <c r="AQ1007" s="18">
        <v>13</v>
      </c>
      <c r="AT1007" s="19" t="s">
        <v>141</v>
      </c>
      <c r="AU1007" s="20" t="s">
        <v>141</v>
      </c>
      <c r="AX1007" s="22" t="str">
        <f>IF(AND('[1]observations-276632'!W1007&gt;'[1]Methods write-up'!$Q$16,'[1]observations-276632'!W1007&lt;'[1]Methods write-up'!$R$16,'[1]observations-276632'!X1007&gt;'[1]Methods write-up'!$S$16,'[1]observations-276632'!X1007&lt;'[1]Methods write-up'!$T$16),"West and Central Africa","")</f>
        <v/>
      </c>
      <c r="AY1007" s="22" t="str">
        <f>IF(AND('[1]observations-276632'!W1007&gt;'[1]Methods write-up'!$Q$17,'[1]observations-276632'!W1007&lt;'[1]Methods write-up'!$R$17,'[1]observations-276632'!X1007&gt;'[1]Methods write-up'!$S$17,'[1]observations-276632'!X1007&lt;'[1]Methods write-up'!$T$17),"Equatorial tropical forest","")</f>
        <v/>
      </c>
      <c r="AZ1007" s="22" t="str">
        <f>IF(AND('[1]observations-276632'!W1007&gt;'[1]Methods write-up'!$Q$18,'[1]observations-276632'!W1007&lt;'[1]Methods write-up'!$R$18,'[1]observations-276632'!X1007&gt;'[1]Methods write-up'!$S$18,'[1]observations-276632'!X1007&lt;'[1]Methods write-up'!$T$18),"Somali peninsula","")</f>
        <v/>
      </c>
      <c r="BA1007" s="22" t="str">
        <f>IF(AND('[1]observations-276632'!W1007&gt;'[1]Methods write-up'!$Q$19,'[1]observations-276632'!W1007&lt;'[1]Methods write-up'!$R$19,'[1]observations-276632'!X1007&gt;'[1]Methods write-up'!$S$19,'[1]observations-276632'!X1007&lt;'[1]Methods write-up'!$T$19),"East Africa","")</f>
        <v/>
      </c>
      <c r="BB1007" s="22" t="str">
        <f>IF(AND('[1]observations-276632'!W1007&gt;'[1]Methods write-up'!$Q$20,'[1]observations-276632'!W1007&lt;'[1]Methods write-up'!$R$20,'[1]observations-276632'!X1007&gt;'[1]Methods write-up'!$S$20,'[1]observations-276632'!X1007&lt;'[1]Methods write-up'!$T$20),"Temperate seasonal","")</f>
        <v/>
      </c>
      <c r="BC1007" s="22" t="str">
        <f>IF(AND('[1]observations-276632'!W1007&gt;'[1]Methods write-up'!$Q$21,'[1]observations-276632'!W1007&lt;'[1]Methods write-up'!$R$21,'[1]observations-276632'!X1007&gt;'[1]Methods write-up'!$S$21,'[1]observations-276632'!X1007&lt;'[1]Methods write-up'!$T$21),"Desert and high aridity","")</f>
        <v/>
      </c>
      <c r="BD1007" s="23" t="str">
        <f t="shared" si="70"/>
        <v/>
      </c>
      <c r="BE1007" s="24">
        <f t="shared" si="68"/>
        <v>24</v>
      </c>
      <c r="BF1007" s="24">
        <f t="shared" si="69"/>
        <v>4</v>
      </c>
    </row>
    <row r="1008" spans="1:58" ht="16.25" customHeight="1" x14ac:dyDescent="0.2">
      <c r="A1008">
        <v>113942291</v>
      </c>
      <c r="B1008" s="25">
        <v>44681.61041666667</v>
      </c>
      <c r="C1008" s="14">
        <v>44681</v>
      </c>
      <c r="D1008" t="s">
        <v>7530</v>
      </c>
      <c r="E1008" t="s">
        <v>113</v>
      </c>
      <c r="F1008">
        <v>852523</v>
      </c>
      <c r="G1008" t="s">
        <v>7531</v>
      </c>
      <c r="H1008" t="s">
        <v>7532</v>
      </c>
      <c r="I1008" t="s">
        <v>7533</v>
      </c>
      <c r="J1008" t="s">
        <v>7533</v>
      </c>
      <c r="K1008" t="s">
        <v>62</v>
      </c>
      <c r="L1008" t="s">
        <v>63</v>
      </c>
      <c r="M1008" t="s">
        <v>7534</v>
      </c>
      <c r="N1008" t="s">
        <v>7535</v>
      </c>
      <c r="R1008">
        <v>0</v>
      </c>
      <c r="S1008">
        <v>0</v>
      </c>
      <c r="T1008" t="b">
        <v>0</v>
      </c>
      <c r="V1008" t="s">
        <v>7536</v>
      </c>
      <c r="W1008" s="15">
        <v>-34.000488820000001</v>
      </c>
      <c r="X1008" s="15">
        <v>18.433640839999999</v>
      </c>
      <c r="Y1008">
        <v>514</v>
      </c>
      <c r="AC1008">
        <v>514</v>
      </c>
      <c r="AF1008" t="b">
        <v>0</v>
      </c>
      <c r="AI1008" t="s">
        <v>71</v>
      </c>
      <c r="AJ1008" t="s">
        <v>70</v>
      </c>
      <c r="AK1008" t="s">
        <v>71</v>
      </c>
      <c r="AL1008" t="s">
        <v>72</v>
      </c>
      <c r="AM1008">
        <v>346053</v>
      </c>
      <c r="AO1008" s="16" t="s">
        <v>2421</v>
      </c>
      <c r="AP1008" s="16"/>
      <c r="AX1008" s="22" t="str">
        <f>IF(AND('[1]observations-276632'!W1008&gt;'[1]Methods write-up'!$Q$16,'[1]observations-276632'!W1008&lt;'[1]Methods write-up'!$R$16,'[1]observations-276632'!X1008&gt;'[1]Methods write-up'!$S$16,'[1]observations-276632'!X1008&lt;'[1]Methods write-up'!$T$16),"West Africa","")</f>
        <v/>
      </c>
      <c r="AY1008" s="22" t="str">
        <f>IF(AND('[1]observations-276632'!W1008&gt;'[1]Methods write-up'!$Q$17,'[1]observations-276632'!W1008&lt;'[1]Methods write-up'!$R$17,'[1]observations-276632'!X1008&gt;'[1]Methods write-up'!$S$17,'[1]observations-276632'!X1008&lt;'[1]Methods write-up'!$T$17),"Equatorial tropical forest","")</f>
        <v/>
      </c>
      <c r="AZ1008" s="22" t="str">
        <f>IF(AND('[1]observations-276632'!W1008&gt;'[1]Methods write-up'!$Q$18,'[1]observations-276632'!W1008&lt;'[1]Methods write-up'!$R$18,'[1]observations-276632'!X1008&gt;'[1]Methods write-up'!$S$18,'[1]observations-276632'!X1008&lt;'[1]Methods write-up'!$T$18),"Somali peninsula","")</f>
        <v/>
      </c>
      <c r="BA1008" s="22" t="str">
        <f>IF(AND('[1]observations-276632'!W1008&gt;'[1]Methods write-up'!$Q$19,'[1]observations-276632'!W1008&lt;'[1]Methods write-up'!$R$19,'[1]observations-276632'!X1008&gt;'[1]Methods write-up'!$S$19,'[1]observations-276632'!X1008&lt;'[1]Methods write-up'!$T$19),"East Africa","")</f>
        <v/>
      </c>
      <c r="BB1008" s="22" t="str">
        <f>IF(AND('[1]observations-276632'!W1008&gt;'[1]Methods write-up'!$Q$20,'[1]observations-276632'!W1008&lt;'[1]Methods write-up'!$R$20,'[1]observations-276632'!X1008&gt;'[1]Methods write-up'!$S$20,'[1]observations-276632'!X1008&lt;'[1]Methods write-up'!$T$20),"Temperate seasonal","")</f>
        <v/>
      </c>
      <c r="BC1008" s="22" t="str">
        <f>IF(AND('[1]observations-276632'!W1008&gt;'[1]Methods write-up'!$Q$21,'[1]observations-276632'!W1008&lt;'[1]Methods write-up'!$R$21,'[1]observations-276632'!X1008&gt;'[1]Methods write-up'!$S$21,'[1]observations-276632'!X1008&lt;'[1]Methods write-up'!$T$21),"Desert and high aridity","")</f>
        <v/>
      </c>
      <c r="BD1008" s="23" t="str">
        <f t="shared" si="70"/>
        <v/>
      </c>
      <c r="BE1008" s="24">
        <f t="shared" si="68"/>
        <v>30</v>
      </c>
      <c r="BF1008" s="24">
        <f t="shared" si="69"/>
        <v>4</v>
      </c>
    </row>
    <row r="1009" spans="1:58" ht="16.25" customHeight="1" x14ac:dyDescent="0.2">
      <c r="A1009">
        <v>114137051</v>
      </c>
      <c r="B1009" t="s">
        <v>7537</v>
      </c>
      <c r="C1009" s="14">
        <v>44682</v>
      </c>
      <c r="D1009" t="s">
        <v>7538</v>
      </c>
      <c r="E1009" t="s">
        <v>7539</v>
      </c>
      <c r="F1009">
        <v>305994</v>
      </c>
      <c r="G1009" t="s">
        <v>6513</v>
      </c>
      <c r="H1009" t="s">
        <v>6514</v>
      </c>
      <c r="I1009" t="s">
        <v>7540</v>
      </c>
      <c r="J1009" t="s">
        <v>7541</v>
      </c>
      <c r="K1009" t="s">
        <v>62</v>
      </c>
      <c r="L1009" t="s">
        <v>98</v>
      </c>
      <c r="M1009" t="s">
        <v>7542</v>
      </c>
      <c r="N1009" t="s">
        <v>7543</v>
      </c>
      <c r="R1009">
        <v>2</v>
      </c>
      <c r="S1009">
        <v>0</v>
      </c>
      <c r="T1009" t="b">
        <v>0</v>
      </c>
      <c r="U1009">
        <v>3</v>
      </c>
      <c r="V1009" t="s">
        <v>7544</v>
      </c>
      <c r="W1009" s="15">
        <v>-19.944154999999999</v>
      </c>
      <c r="X1009" s="15">
        <v>23.490580000000001</v>
      </c>
      <c r="Y1009">
        <v>4</v>
      </c>
      <c r="AC1009">
        <v>4</v>
      </c>
      <c r="AF1009" t="b">
        <v>0</v>
      </c>
      <c r="AI1009" t="s">
        <v>71</v>
      </c>
      <c r="AJ1009" t="s">
        <v>70</v>
      </c>
      <c r="AK1009" t="s">
        <v>71</v>
      </c>
      <c r="AL1009" t="s">
        <v>72</v>
      </c>
      <c r="AM1009">
        <v>346053</v>
      </c>
      <c r="AO1009" s="16" t="s">
        <v>150</v>
      </c>
      <c r="AP1009" s="17" t="str">
        <f t="shared" ref="AP1009:AP1036" si="73">IF(COUNTIF(AO1009,"*foundress*"),"Nest (foundress)",AO1009)</f>
        <v>Male (off nest)</v>
      </c>
      <c r="AX1009" s="22" t="str">
        <f>IF(AND('[1]observations-276632'!W1009&gt;'[1]Methods write-up'!$Q$16,'[1]observations-276632'!W1009&lt;'[1]Methods write-up'!$R$16,'[1]observations-276632'!X1009&gt;'[1]Methods write-up'!$S$16,'[1]observations-276632'!X1009&lt;'[1]Methods write-up'!$T$16),"West and Central Africa","")</f>
        <v>West and Central Africa</v>
      </c>
      <c r="AY1009" s="22" t="str">
        <f>IF(AND('[1]observations-276632'!W1009&gt;'[1]Methods write-up'!$Q$17,'[1]observations-276632'!W1009&lt;'[1]Methods write-up'!$R$17,'[1]observations-276632'!X1009&gt;'[1]Methods write-up'!$S$17,'[1]observations-276632'!X1009&lt;'[1]Methods write-up'!$T$17),"Equatorial tropical forest","")</f>
        <v/>
      </c>
      <c r="AZ1009" s="22" t="str">
        <f>IF(AND('[1]observations-276632'!W1009&gt;'[1]Methods write-up'!$Q$18,'[1]observations-276632'!W1009&lt;'[1]Methods write-up'!$R$18,'[1]observations-276632'!X1009&gt;'[1]Methods write-up'!$S$18,'[1]observations-276632'!X1009&lt;'[1]Methods write-up'!$T$18),"Somali peninsula","")</f>
        <v/>
      </c>
      <c r="BA1009" s="22" t="str">
        <f>IF(AND('[1]observations-276632'!W1009&gt;'[1]Methods write-up'!$Q$19,'[1]observations-276632'!W1009&lt;'[1]Methods write-up'!$R$19,'[1]observations-276632'!X1009&gt;'[1]Methods write-up'!$S$19,'[1]observations-276632'!X1009&lt;'[1]Methods write-up'!$T$19),"East Africa","")</f>
        <v/>
      </c>
      <c r="BB1009" s="22" t="str">
        <f>IF(AND('[1]observations-276632'!W1009&gt;'[1]Methods write-up'!$Q$20,'[1]observations-276632'!W1009&lt;'[1]Methods write-up'!$R$20,'[1]observations-276632'!X1009&gt;'[1]Methods write-up'!$S$20,'[1]observations-276632'!X1009&lt;'[1]Methods write-up'!$T$20),"Temperate seasonal","")</f>
        <v/>
      </c>
      <c r="BC1009" s="22" t="str">
        <f>IF(AND('[1]observations-276632'!W1009&gt;'[1]Methods write-up'!$Q$21,'[1]observations-276632'!W1009&lt;'[1]Methods write-up'!$R$21,'[1]observations-276632'!X1009&gt;'[1]Methods write-up'!$S$21,'[1]observations-276632'!X1009&lt;'[1]Methods write-up'!$T$21),"Desert and high aridity","")</f>
        <v/>
      </c>
      <c r="BD1009" s="23" t="str">
        <f t="shared" si="70"/>
        <v>West and Central Africa</v>
      </c>
      <c r="BE1009" s="24">
        <f t="shared" si="68"/>
        <v>1</v>
      </c>
      <c r="BF1009" s="24">
        <f t="shared" si="69"/>
        <v>5</v>
      </c>
    </row>
    <row r="1010" spans="1:58" ht="16.25" customHeight="1" x14ac:dyDescent="0.2">
      <c r="A1010">
        <v>114197892</v>
      </c>
      <c r="B1010" s="25">
        <v>44682.627083333333</v>
      </c>
      <c r="C1010" s="14">
        <v>44682</v>
      </c>
      <c r="D1010" t="s">
        <v>7545</v>
      </c>
      <c r="E1010" t="s">
        <v>113</v>
      </c>
      <c r="F1010">
        <v>5482929</v>
      </c>
      <c r="G1010" t="s">
        <v>7546</v>
      </c>
      <c r="I1010" t="s">
        <v>7547</v>
      </c>
      <c r="J1010" t="s">
        <v>7548</v>
      </c>
      <c r="K1010" t="s">
        <v>62</v>
      </c>
      <c r="L1010" t="s">
        <v>63</v>
      </c>
      <c r="M1010" t="s">
        <v>7549</v>
      </c>
      <c r="N1010" t="s">
        <v>7550</v>
      </c>
      <c r="R1010">
        <v>3</v>
      </c>
      <c r="S1010">
        <v>0</v>
      </c>
      <c r="T1010" t="b">
        <v>0</v>
      </c>
      <c r="U1010">
        <v>2</v>
      </c>
      <c r="V1010" t="s">
        <v>7551</v>
      </c>
      <c r="W1010" s="15">
        <v>-25.091630179999999</v>
      </c>
      <c r="X1010" s="15">
        <v>30.773986839999999</v>
      </c>
      <c r="Y1010">
        <v>110</v>
      </c>
      <c r="AC1010">
        <v>110</v>
      </c>
      <c r="AF1010" t="b">
        <v>0</v>
      </c>
      <c r="AG1010" t="s">
        <v>350</v>
      </c>
      <c r="AH1010" t="s">
        <v>350</v>
      </c>
      <c r="AI1010" t="s">
        <v>71</v>
      </c>
      <c r="AJ1010" t="s">
        <v>70</v>
      </c>
      <c r="AK1010" t="s">
        <v>71</v>
      </c>
      <c r="AL1010" t="s">
        <v>72</v>
      </c>
      <c r="AM1010">
        <v>346053</v>
      </c>
      <c r="AO1010" s="16" t="s">
        <v>140</v>
      </c>
      <c r="AP1010" s="17" t="str">
        <f t="shared" si="73"/>
        <v>Post-emergence nest</v>
      </c>
      <c r="AQ1010" s="18">
        <v>6</v>
      </c>
      <c r="AT1010" s="19" t="s">
        <v>141</v>
      </c>
      <c r="AU1010" s="20" t="s">
        <v>315</v>
      </c>
      <c r="AV1010" s="21" t="s">
        <v>7292</v>
      </c>
      <c r="AX1010" s="22" t="str">
        <f>IF(AND('[1]observations-276632'!W1010&gt;'[1]Methods write-up'!$Q$16,'[1]observations-276632'!W1010&lt;'[1]Methods write-up'!$R$16,'[1]observations-276632'!X1010&gt;'[1]Methods write-up'!$S$16,'[1]observations-276632'!X1010&lt;'[1]Methods write-up'!$T$16),"West and Central Africa","")</f>
        <v/>
      </c>
      <c r="AY1010" s="22" t="str">
        <f>IF(AND('[1]observations-276632'!W1010&gt;'[1]Methods write-up'!$Q$17,'[1]observations-276632'!W1010&lt;'[1]Methods write-up'!$R$17,'[1]observations-276632'!X1010&gt;'[1]Methods write-up'!$S$17,'[1]observations-276632'!X1010&lt;'[1]Methods write-up'!$T$17),"Equatorial tropical forest","")</f>
        <v/>
      </c>
      <c r="AZ1010" s="22" t="str">
        <f>IF(AND('[1]observations-276632'!W1010&gt;'[1]Methods write-up'!$Q$18,'[1]observations-276632'!W1010&lt;'[1]Methods write-up'!$R$18,'[1]observations-276632'!X1010&gt;'[1]Methods write-up'!$S$18,'[1]observations-276632'!X1010&lt;'[1]Methods write-up'!$T$18),"Somali peninsula","")</f>
        <v/>
      </c>
      <c r="BA1010" s="22" t="str">
        <f>IF(AND('[1]observations-276632'!W1010&gt;'[1]Methods write-up'!$Q$19,'[1]observations-276632'!W1010&lt;'[1]Methods write-up'!$R$19,'[1]observations-276632'!X1010&gt;'[1]Methods write-up'!$S$19,'[1]observations-276632'!X1010&lt;'[1]Methods write-up'!$T$19),"East Africa","")</f>
        <v/>
      </c>
      <c r="BB1010" s="22" t="str">
        <f>IF(AND('[1]observations-276632'!W1010&gt;'[1]Methods write-up'!$Q$20,'[1]observations-276632'!W1010&lt;'[1]Methods write-up'!$R$20,'[1]observations-276632'!X1010&gt;'[1]Methods write-up'!$S$20,'[1]observations-276632'!X1010&lt;'[1]Methods write-up'!$T$20),"Temperate seasonal","")</f>
        <v>Temperate seasonal</v>
      </c>
      <c r="BC1010" s="22" t="str">
        <f>IF(AND('[1]observations-276632'!W1010&gt;'[1]Methods write-up'!$Q$21,'[1]observations-276632'!W1010&lt;'[1]Methods write-up'!$R$21,'[1]observations-276632'!X1010&gt;'[1]Methods write-up'!$S$21,'[1]observations-276632'!X1010&lt;'[1]Methods write-up'!$T$21),"Desert and high aridity","")</f>
        <v/>
      </c>
      <c r="BD1010" s="23" t="str">
        <f t="shared" si="70"/>
        <v>Temperate seasonal</v>
      </c>
      <c r="BE1010" s="24">
        <f t="shared" si="68"/>
        <v>1</v>
      </c>
      <c r="BF1010" s="24">
        <f t="shared" si="69"/>
        <v>5</v>
      </c>
    </row>
    <row r="1011" spans="1:58" ht="16.25" customHeight="1" x14ac:dyDescent="0.2">
      <c r="A1011">
        <v>114252853</v>
      </c>
      <c r="B1011" t="s">
        <v>7552</v>
      </c>
      <c r="C1011" s="14">
        <v>44681</v>
      </c>
      <c r="D1011" t="s">
        <v>7553</v>
      </c>
      <c r="E1011" t="s">
        <v>113</v>
      </c>
      <c r="F1011">
        <v>4103489</v>
      </c>
      <c r="G1011" t="s">
        <v>7554</v>
      </c>
      <c r="H1011" t="s">
        <v>7555</v>
      </c>
      <c r="I1011" t="s">
        <v>7556</v>
      </c>
      <c r="J1011" t="s">
        <v>7557</v>
      </c>
      <c r="K1011" t="s">
        <v>62</v>
      </c>
      <c r="L1011" t="s">
        <v>63</v>
      </c>
      <c r="M1011" t="s">
        <v>7558</v>
      </c>
      <c r="N1011" t="s">
        <v>7559</v>
      </c>
      <c r="R1011">
        <v>2</v>
      </c>
      <c r="S1011">
        <v>0</v>
      </c>
      <c r="T1011" t="b">
        <v>0</v>
      </c>
      <c r="U1011">
        <v>3</v>
      </c>
      <c r="V1011" t="s">
        <v>5303</v>
      </c>
      <c r="W1011" s="15">
        <v>-25.910705</v>
      </c>
      <c r="X1011" s="15">
        <v>28.447900000000001</v>
      </c>
      <c r="Y1011">
        <v>5</v>
      </c>
      <c r="AC1011">
        <v>5</v>
      </c>
      <c r="AF1011" t="b">
        <v>0</v>
      </c>
      <c r="AI1011" t="s">
        <v>71</v>
      </c>
      <c r="AJ1011" t="s">
        <v>70</v>
      </c>
      <c r="AK1011" t="s">
        <v>71</v>
      </c>
      <c r="AL1011" t="s">
        <v>72</v>
      </c>
      <c r="AM1011">
        <v>346053</v>
      </c>
      <c r="AO1011" s="16" t="s">
        <v>73</v>
      </c>
      <c r="AP1011" s="17" t="str">
        <f t="shared" si="73"/>
        <v>Off-nest female</v>
      </c>
      <c r="AV1011" s="21" t="s">
        <v>7560</v>
      </c>
      <c r="AX1011" s="22" t="str">
        <f>IF(AND('[1]observations-276632'!W1011&gt;'[1]Methods write-up'!$Q$16,'[1]observations-276632'!W1011&lt;'[1]Methods write-up'!$R$16,'[1]observations-276632'!X1011&gt;'[1]Methods write-up'!$S$16,'[1]observations-276632'!X1011&lt;'[1]Methods write-up'!$T$16),"West and Central Africa","")</f>
        <v/>
      </c>
      <c r="AY1011" s="22" t="str">
        <f>IF(AND('[1]observations-276632'!W1011&gt;'[1]Methods write-up'!$Q$17,'[1]observations-276632'!W1011&lt;'[1]Methods write-up'!$R$17,'[1]observations-276632'!X1011&gt;'[1]Methods write-up'!$S$17,'[1]observations-276632'!X1011&lt;'[1]Methods write-up'!$T$17),"Equatorial tropical forest","")</f>
        <v/>
      </c>
      <c r="AZ1011" s="22" t="str">
        <f>IF(AND('[1]observations-276632'!W1011&gt;'[1]Methods write-up'!$Q$18,'[1]observations-276632'!W1011&lt;'[1]Methods write-up'!$R$18,'[1]observations-276632'!X1011&gt;'[1]Methods write-up'!$S$18,'[1]observations-276632'!X1011&lt;'[1]Methods write-up'!$T$18),"Somali peninsula","")</f>
        <v/>
      </c>
      <c r="BA1011" s="22" t="str">
        <f>IF(AND('[1]observations-276632'!W1011&gt;'[1]Methods write-up'!$Q$19,'[1]observations-276632'!W1011&lt;'[1]Methods write-up'!$R$19,'[1]observations-276632'!X1011&gt;'[1]Methods write-up'!$S$19,'[1]observations-276632'!X1011&lt;'[1]Methods write-up'!$T$19),"East Africa","")</f>
        <v/>
      </c>
      <c r="BB1011" s="22" t="str">
        <f>IF(AND('[1]observations-276632'!W1011&gt;'[1]Methods write-up'!$Q$20,'[1]observations-276632'!W1011&lt;'[1]Methods write-up'!$R$20,'[1]observations-276632'!X1011&gt;'[1]Methods write-up'!$S$20,'[1]observations-276632'!X1011&lt;'[1]Methods write-up'!$T$20),"Temperate seasonal","")</f>
        <v>Temperate seasonal</v>
      </c>
      <c r="BC1011" s="22" t="str">
        <f>IF(AND('[1]observations-276632'!W1011&gt;'[1]Methods write-up'!$Q$21,'[1]observations-276632'!W1011&lt;'[1]Methods write-up'!$R$21,'[1]observations-276632'!X1011&gt;'[1]Methods write-up'!$S$21,'[1]observations-276632'!X1011&lt;'[1]Methods write-up'!$T$21),"Desert and high aridity","")</f>
        <v/>
      </c>
      <c r="BD1011" s="23" t="str">
        <f t="shared" si="70"/>
        <v>Temperate seasonal</v>
      </c>
      <c r="BE1011" s="24">
        <f t="shared" si="68"/>
        <v>30</v>
      </c>
      <c r="BF1011" s="24">
        <f t="shared" si="69"/>
        <v>4</v>
      </c>
    </row>
    <row r="1012" spans="1:58" ht="16.25" customHeight="1" x14ac:dyDescent="0.2">
      <c r="A1012">
        <v>114542873</v>
      </c>
      <c r="B1012" s="25">
        <v>44683.206944444442</v>
      </c>
      <c r="C1012" s="14">
        <v>44683</v>
      </c>
      <c r="D1012" t="s">
        <v>7561</v>
      </c>
      <c r="E1012" t="s">
        <v>74</v>
      </c>
      <c r="F1012">
        <v>3929073</v>
      </c>
      <c r="G1012" t="s">
        <v>7562</v>
      </c>
      <c r="H1012" t="s">
        <v>7563</v>
      </c>
      <c r="I1012" t="s">
        <v>7564</v>
      </c>
      <c r="J1012" t="s">
        <v>7565</v>
      </c>
      <c r="K1012" t="s">
        <v>62</v>
      </c>
      <c r="M1012" t="s">
        <v>7566</v>
      </c>
      <c r="N1012" t="s">
        <v>7567</v>
      </c>
      <c r="R1012">
        <v>3</v>
      </c>
      <c r="S1012">
        <v>0</v>
      </c>
      <c r="T1012" t="b">
        <v>0</v>
      </c>
      <c r="U1012">
        <v>2</v>
      </c>
      <c r="V1012" t="s">
        <v>7568</v>
      </c>
      <c r="W1012" s="15">
        <v>-20.149874000000001</v>
      </c>
      <c r="X1012" s="15">
        <v>28.623838240000001</v>
      </c>
      <c r="Y1012">
        <v>93</v>
      </c>
      <c r="AC1012">
        <v>93</v>
      </c>
      <c r="AF1012" t="b">
        <v>0</v>
      </c>
      <c r="AG1012" t="s">
        <v>350</v>
      </c>
      <c r="AH1012" t="s">
        <v>350</v>
      </c>
      <c r="AI1012" t="s">
        <v>71</v>
      </c>
      <c r="AJ1012" t="s">
        <v>70</v>
      </c>
      <c r="AK1012" t="s">
        <v>71</v>
      </c>
      <c r="AL1012" t="s">
        <v>72</v>
      </c>
      <c r="AM1012">
        <v>346053</v>
      </c>
      <c r="AO1012" s="16" t="s">
        <v>150</v>
      </c>
      <c r="AP1012" s="17" t="str">
        <f t="shared" si="73"/>
        <v>Male (off nest)</v>
      </c>
      <c r="AX1012" s="22" t="str">
        <f>IF(AND('[1]observations-276632'!W1012&gt;'[1]Methods write-up'!$Q$16,'[1]observations-276632'!W1012&lt;'[1]Methods write-up'!$R$16,'[1]observations-276632'!X1012&gt;'[1]Methods write-up'!$S$16,'[1]observations-276632'!X1012&lt;'[1]Methods write-up'!$T$16),"West and Central Africa","")</f>
        <v/>
      </c>
      <c r="AY1012" s="22" t="str">
        <f>IF(AND('[1]observations-276632'!W1012&gt;'[1]Methods write-up'!$Q$17,'[1]observations-276632'!W1012&lt;'[1]Methods write-up'!$R$17,'[1]observations-276632'!X1012&gt;'[1]Methods write-up'!$S$17,'[1]observations-276632'!X1012&lt;'[1]Methods write-up'!$T$17),"Equatorial tropical forest","")</f>
        <v/>
      </c>
      <c r="AZ1012" s="22" t="str">
        <f>IF(AND('[1]observations-276632'!W1012&gt;'[1]Methods write-up'!$Q$18,'[1]observations-276632'!W1012&lt;'[1]Methods write-up'!$R$18,'[1]observations-276632'!X1012&gt;'[1]Methods write-up'!$S$18,'[1]observations-276632'!X1012&lt;'[1]Methods write-up'!$T$18),"Somali peninsula","")</f>
        <v/>
      </c>
      <c r="BA1012" s="22" t="str">
        <f>IF(AND('[1]observations-276632'!W1012&gt;'[1]Methods write-up'!$Q$19,'[1]observations-276632'!W1012&lt;'[1]Methods write-up'!$R$19,'[1]observations-276632'!X1012&gt;'[1]Methods write-up'!$S$19,'[1]observations-276632'!X1012&lt;'[1]Methods write-up'!$T$19),"East Africa","")</f>
        <v/>
      </c>
      <c r="BB1012" s="22" t="str">
        <f>IF(AND('[1]observations-276632'!W1012&gt;'[1]Methods write-up'!$Q$20,'[1]observations-276632'!W1012&lt;'[1]Methods write-up'!$R$20,'[1]observations-276632'!X1012&gt;'[1]Methods write-up'!$S$20,'[1]observations-276632'!X1012&lt;'[1]Methods write-up'!$T$20),"Temperate seasonal","")</f>
        <v/>
      </c>
      <c r="BC1012" s="22" t="str">
        <f>IF(AND('[1]observations-276632'!W1012&gt;'[1]Methods write-up'!$Q$21,'[1]observations-276632'!W1012&lt;'[1]Methods write-up'!$R$21,'[1]observations-276632'!X1012&gt;'[1]Methods write-up'!$S$21,'[1]observations-276632'!X1012&lt;'[1]Methods write-up'!$T$21),"Desert and high aridity","")</f>
        <v/>
      </c>
      <c r="BD1012" s="23" t="str">
        <f t="shared" si="70"/>
        <v/>
      </c>
      <c r="BE1012" s="24">
        <f t="shared" si="68"/>
        <v>2</v>
      </c>
      <c r="BF1012" s="24">
        <f t="shared" si="69"/>
        <v>5</v>
      </c>
    </row>
    <row r="1013" spans="1:58" ht="16.25" customHeight="1" x14ac:dyDescent="0.2">
      <c r="A1013">
        <v>114642975</v>
      </c>
      <c r="B1013" s="25">
        <v>44683.449305555558</v>
      </c>
      <c r="C1013" s="14">
        <v>44683</v>
      </c>
      <c r="D1013" t="s">
        <v>7569</v>
      </c>
      <c r="E1013" t="s">
        <v>113</v>
      </c>
      <c r="F1013">
        <v>2572233</v>
      </c>
      <c r="G1013" t="s">
        <v>7570</v>
      </c>
      <c r="H1013" t="s">
        <v>7571</v>
      </c>
      <c r="I1013" t="s">
        <v>7572</v>
      </c>
      <c r="J1013" t="s">
        <v>7573</v>
      </c>
      <c r="K1013" t="s">
        <v>62</v>
      </c>
      <c r="L1013" t="s">
        <v>98</v>
      </c>
      <c r="M1013" t="s">
        <v>7574</v>
      </c>
      <c r="N1013" t="s">
        <v>7575</v>
      </c>
      <c r="R1013">
        <v>2</v>
      </c>
      <c r="S1013">
        <v>0</v>
      </c>
      <c r="T1013" t="b">
        <v>0</v>
      </c>
      <c r="V1013" t="s">
        <v>7576</v>
      </c>
      <c r="W1013" s="15">
        <v>-29.864944560000001</v>
      </c>
      <c r="X1013" s="15">
        <v>30.987780600000001</v>
      </c>
      <c r="Y1013">
        <v>4</v>
      </c>
      <c r="AC1013">
        <v>4</v>
      </c>
      <c r="AF1013" t="b">
        <v>0</v>
      </c>
      <c r="AI1013" t="s">
        <v>71</v>
      </c>
      <c r="AJ1013" t="s">
        <v>70</v>
      </c>
      <c r="AK1013" t="s">
        <v>71</v>
      </c>
      <c r="AL1013" t="s">
        <v>72</v>
      </c>
      <c r="AM1013">
        <v>346053</v>
      </c>
      <c r="AO1013" s="16" t="s">
        <v>73</v>
      </c>
      <c r="AP1013" s="17" t="str">
        <f t="shared" si="73"/>
        <v>Off-nest female</v>
      </c>
      <c r="AX1013" s="22" t="str">
        <f>IF(AND('[1]observations-276632'!W1013&gt;'[1]Methods write-up'!$Q$16,'[1]observations-276632'!W1013&lt;'[1]Methods write-up'!$R$16,'[1]observations-276632'!X1013&gt;'[1]Methods write-up'!$S$16,'[1]observations-276632'!X1013&lt;'[1]Methods write-up'!$T$16),"West and Central Africa","")</f>
        <v/>
      </c>
      <c r="AY1013" s="22" t="str">
        <f>IF(AND('[1]observations-276632'!W1013&gt;'[1]Methods write-up'!$Q$17,'[1]observations-276632'!W1013&lt;'[1]Methods write-up'!$R$17,'[1]observations-276632'!X1013&gt;'[1]Methods write-up'!$S$17,'[1]observations-276632'!X1013&lt;'[1]Methods write-up'!$T$17),"Equatorial tropical forest","")</f>
        <v/>
      </c>
      <c r="AZ1013" s="22" t="str">
        <f>IF(AND('[1]observations-276632'!W1013&gt;'[1]Methods write-up'!$Q$18,'[1]observations-276632'!W1013&lt;'[1]Methods write-up'!$R$18,'[1]observations-276632'!X1013&gt;'[1]Methods write-up'!$S$18,'[1]observations-276632'!X1013&lt;'[1]Methods write-up'!$T$18),"Somali peninsula","")</f>
        <v/>
      </c>
      <c r="BA1013" s="22" t="str">
        <f>IF(AND('[1]observations-276632'!W1013&gt;'[1]Methods write-up'!$Q$19,'[1]observations-276632'!W1013&lt;'[1]Methods write-up'!$R$19,'[1]observations-276632'!X1013&gt;'[1]Methods write-up'!$S$19,'[1]observations-276632'!X1013&lt;'[1]Methods write-up'!$T$19),"East Africa","")</f>
        <v/>
      </c>
      <c r="BB1013" s="22" t="str">
        <f>IF(AND('[1]observations-276632'!W1013&gt;'[1]Methods write-up'!$Q$20,'[1]observations-276632'!W1013&lt;'[1]Methods write-up'!$R$20,'[1]observations-276632'!X1013&gt;'[1]Methods write-up'!$S$20,'[1]observations-276632'!X1013&lt;'[1]Methods write-up'!$T$20),"Temperate seasonal","")</f>
        <v>Temperate seasonal</v>
      </c>
      <c r="BC1013" s="22" t="str">
        <f>IF(AND('[1]observations-276632'!W1013&gt;'[1]Methods write-up'!$Q$21,'[1]observations-276632'!W1013&lt;'[1]Methods write-up'!$R$21,'[1]observations-276632'!X1013&gt;'[1]Methods write-up'!$S$21,'[1]observations-276632'!X1013&lt;'[1]Methods write-up'!$T$21),"Desert and high aridity","")</f>
        <v/>
      </c>
      <c r="BD1013" s="23" t="str">
        <f t="shared" si="70"/>
        <v>Temperate seasonal</v>
      </c>
      <c r="BE1013" s="24">
        <f t="shared" si="68"/>
        <v>2</v>
      </c>
      <c r="BF1013" s="24">
        <f t="shared" si="69"/>
        <v>5</v>
      </c>
    </row>
    <row r="1014" spans="1:58" ht="16.25" customHeight="1" x14ac:dyDescent="0.2">
      <c r="A1014">
        <v>114650423</v>
      </c>
      <c r="B1014" s="13">
        <v>44682</v>
      </c>
      <c r="C1014" s="14">
        <v>44682</v>
      </c>
      <c r="E1014" t="s">
        <v>113</v>
      </c>
      <c r="F1014">
        <v>5492755</v>
      </c>
      <c r="G1014" t="s">
        <v>7577</v>
      </c>
      <c r="H1014" t="s">
        <v>7578</v>
      </c>
      <c r="I1014" t="s">
        <v>7579</v>
      </c>
      <c r="J1014" t="s">
        <v>7580</v>
      </c>
      <c r="K1014" t="s">
        <v>62</v>
      </c>
      <c r="L1014" t="s">
        <v>63</v>
      </c>
      <c r="M1014" t="s">
        <v>7581</v>
      </c>
      <c r="N1014" t="s">
        <v>7582</v>
      </c>
      <c r="R1014">
        <v>2</v>
      </c>
      <c r="S1014">
        <v>0</v>
      </c>
      <c r="T1014" t="b">
        <v>0</v>
      </c>
      <c r="U1014">
        <v>2</v>
      </c>
      <c r="V1014" t="s">
        <v>7583</v>
      </c>
      <c r="W1014" s="15">
        <v>-29.913632</v>
      </c>
      <c r="X1014" s="15">
        <v>30.938427000000001</v>
      </c>
      <c r="AF1014" t="b">
        <v>0</v>
      </c>
      <c r="AG1014" t="s">
        <v>350</v>
      </c>
      <c r="AH1014" t="s">
        <v>350</v>
      </c>
      <c r="AI1014" t="s">
        <v>71</v>
      </c>
      <c r="AJ1014" t="s">
        <v>70</v>
      </c>
      <c r="AK1014" t="s">
        <v>71</v>
      </c>
      <c r="AL1014" t="s">
        <v>72</v>
      </c>
      <c r="AM1014">
        <v>346053</v>
      </c>
      <c r="AO1014" s="16" t="s">
        <v>150</v>
      </c>
      <c r="AP1014" s="17" t="str">
        <f t="shared" si="73"/>
        <v>Male (off nest)</v>
      </c>
      <c r="AX1014" s="22" t="str">
        <f>IF(AND('[1]observations-276632'!W1014&gt;'[1]Methods write-up'!$Q$16,'[1]observations-276632'!W1014&lt;'[1]Methods write-up'!$R$16,'[1]observations-276632'!X1014&gt;'[1]Methods write-up'!$S$16,'[1]observations-276632'!X1014&lt;'[1]Methods write-up'!$T$16),"West and Central Africa","")</f>
        <v/>
      </c>
      <c r="AY1014" s="22" t="str">
        <f>IF(AND('[1]observations-276632'!W1014&gt;'[1]Methods write-up'!$Q$17,'[1]observations-276632'!W1014&lt;'[1]Methods write-up'!$R$17,'[1]observations-276632'!X1014&gt;'[1]Methods write-up'!$S$17,'[1]observations-276632'!X1014&lt;'[1]Methods write-up'!$T$17),"Equatorial tropical forest","")</f>
        <v/>
      </c>
      <c r="AZ1014" s="22" t="str">
        <f>IF(AND('[1]observations-276632'!W1014&gt;'[1]Methods write-up'!$Q$18,'[1]observations-276632'!W1014&lt;'[1]Methods write-up'!$R$18,'[1]observations-276632'!X1014&gt;'[1]Methods write-up'!$S$18,'[1]observations-276632'!X1014&lt;'[1]Methods write-up'!$T$18),"Somali peninsula","")</f>
        <v/>
      </c>
      <c r="BA1014" s="22" t="str">
        <f>IF(AND('[1]observations-276632'!W1014&gt;'[1]Methods write-up'!$Q$19,'[1]observations-276632'!W1014&lt;'[1]Methods write-up'!$R$19,'[1]observations-276632'!X1014&gt;'[1]Methods write-up'!$S$19,'[1]observations-276632'!X1014&lt;'[1]Methods write-up'!$T$19),"East Africa","")</f>
        <v/>
      </c>
      <c r="BB1014" s="22" t="str">
        <f>IF(AND('[1]observations-276632'!W1014&gt;'[1]Methods write-up'!$Q$20,'[1]observations-276632'!W1014&lt;'[1]Methods write-up'!$R$20,'[1]observations-276632'!X1014&gt;'[1]Methods write-up'!$S$20,'[1]observations-276632'!X1014&lt;'[1]Methods write-up'!$T$20),"Temperate seasonal","")</f>
        <v>Temperate seasonal</v>
      </c>
      <c r="BC1014" s="22" t="str">
        <f>IF(AND('[1]observations-276632'!W1014&gt;'[1]Methods write-up'!$Q$21,'[1]observations-276632'!W1014&lt;'[1]Methods write-up'!$R$21,'[1]observations-276632'!X1014&gt;'[1]Methods write-up'!$S$21,'[1]observations-276632'!X1014&lt;'[1]Methods write-up'!$T$21),"Desert and high aridity","")</f>
        <v/>
      </c>
      <c r="BD1014" s="23" t="str">
        <f t="shared" si="70"/>
        <v>Temperate seasonal</v>
      </c>
      <c r="BE1014" s="24">
        <f t="shared" si="68"/>
        <v>1</v>
      </c>
      <c r="BF1014" s="24">
        <f t="shared" si="69"/>
        <v>5</v>
      </c>
    </row>
    <row r="1015" spans="1:58" ht="16.25" customHeight="1" x14ac:dyDescent="0.2">
      <c r="A1015">
        <v>114673385</v>
      </c>
      <c r="B1015" t="s">
        <v>7584</v>
      </c>
      <c r="C1015" s="14">
        <v>44683</v>
      </c>
      <c r="D1015" t="s">
        <v>7585</v>
      </c>
      <c r="E1015" t="s">
        <v>113</v>
      </c>
      <c r="F1015">
        <v>5529638</v>
      </c>
      <c r="G1015" t="s">
        <v>7586</v>
      </c>
      <c r="H1015" t="s">
        <v>7587</v>
      </c>
      <c r="I1015" t="s">
        <v>7588</v>
      </c>
      <c r="J1015" t="s">
        <v>7589</v>
      </c>
      <c r="K1015" t="s">
        <v>62</v>
      </c>
      <c r="M1015" t="s">
        <v>7590</v>
      </c>
      <c r="N1015" t="s">
        <v>7591</v>
      </c>
      <c r="R1015">
        <v>2</v>
      </c>
      <c r="S1015">
        <v>0</v>
      </c>
      <c r="T1015" t="b">
        <v>0</v>
      </c>
      <c r="U1015">
        <v>3</v>
      </c>
      <c r="V1015" t="s">
        <v>7592</v>
      </c>
      <c r="W1015" s="15">
        <v>-25.83023</v>
      </c>
      <c r="X1015" s="15">
        <v>28.25023667</v>
      </c>
      <c r="Y1015">
        <v>7</v>
      </c>
      <c r="AC1015">
        <v>7</v>
      </c>
      <c r="AF1015" t="b">
        <v>0</v>
      </c>
      <c r="AI1015" t="s">
        <v>71</v>
      </c>
      <c r="AJ1015" t="s">
        <v>70</v>
      </c>
      <c r="AK1015" t="s">
        <v>71</v>
      </c>
      <c r="AL1015" t="s">
        <v>72</v>
      </c>
      <c r="AM1015">
        <v>346053</v>
      </c>
      <c r="AO1015" s="16" t="s">
        <v>73</v>
      </c>
      <c r="AP1015" s="17" t="str">
        <f t="shared" si="73"/>
        <v>Off-nest female</v>
      </c>
      <c r="AX1015" s="22" t="str">
        <f>IF(AND('[1]observations-276632'!W1015&gt;'[1]Methods write-up'!$Q$16,'[1]observations-276632'!W1015&lt;'[1]Methods write-up'!$R$16,'[1]observations-276632'!X1015&gt;'[1]Methods write-up'!$S$16,'[1]observations-276632'!X1015&lt;'[1]Methods write-up'!$T$16),"West and Central Africa","")</f>
        <v/>
      </c>
      <c r="AY1015" s="22" t="str">
        <f>IF(AND('[1]observations-276632'!W1015&gt;'[1]Methods write-up'!$Q$17,'[1]observations-276632'!W1015&lt;'[1]Methods write-up'!$R$17,'[1]observations-276632'!X1015&gt;'[1]Methods write-up'!$S$17,'[1]observations-276632'!X1015&lt;'[1]Methods write-up'!$T$17),"Equatorial tropical forest","")</f>
        <v/>
      </c>
      <c r="AZ1015" s="22" t="str">
        <f>IF(AND('[1]observations-276632'!W1015&gt;'[1]Methods write-up'!$Q$18,'[1]observations-276632'!W1015&lt;'[1]Methods write-up'!$R$18,'[1]observations-276632'!X1015&gt;'[1]Methods write-up'!$S$18,'[1]observations-276632'!X1015&lt;'[1]Methods write-up'!$T$18),"Somali peninsula","")</f>
        <v/>
      </c>
      <c r="BA1015" s="22" t="str">
        <f>IF(AND('[1]observations-276632'!W1015&gt;'[1]Methods write-up'!$Q$19,'[1]observations-276632'!W1015&lt;'[1]Methods write-up'!$R$19,'[1]observations-276632'!X1015&gt;'[1]Methods write-up'!$S$19,'[1]observations-276632'!X1015&lt;'[1]Methods write-up'!$T$19),"East Africa","")</f>
        <v/>
      </c>
      <c r="BB1015" s="22" t="str">
        <f>IF(AND('[1]observations-276632'!W1015&gt;'[1]Methods write-up'!$Q$20,'[1]observations-276632'!W1015&lt;'[1]Methods write-up'!$R$20,'[1]observations-276632'!X1015&gt;'[1]Methods write-up'!$S$20,'[1]observations-276632'!X1015&lt;'[1]Methods write-up'!$T$20),"Temperate seasonal","")</f>
        <v>Temperate seasonal</v>
      </c>
      <c r="BC1015" s="22" t="str">
        <f>IF(AND('[1]observations-276632'!W1015&gt;'[1]Methods write-up'!$Q$21,'[1]observations-276632'!W1015&lt;'[1]Methods write-up'!$R$21,'[1]observations-276632'!X1015&gt;'[1]Methods write-up'!$S$21,'[1]observations-276632'!X1015&lt;'[1]Methods write-up'!$T$21),"Desert and high aridity","")</f>
        <v/>
      </c>
      <c r="BD1015" s="23" t="str">
        <f t="shared" si="70"/>
        <v>Temperate seasonal</v>
      </c>
      <c r="BE1015" s="24">
        <f t="shared" si="68"/>
        <v>2</v>
      </c>
      <c r="BF1015" s="24">
        <f t="shared" si="69"/>
        <v>5</v>
      </c>
    </row>
    <row r="1016" spans="1:58" ht="16.25" customHeight="1" x14ac:dyDescent="0.2">
      <c r="A1016">
        <v>114728442</v>
      </c>
      <c r="B1016" s="25">
        <v>44683.736805555556</v>
      </c>
      <c r="C1016" s="14">
        <v>44683</v>
      </c>
      <c r="D1016" t="s">
        <v>7593</v>
      </c>
      <c r="E1016" t="s">
        <v>113</v>
      </c>
      <c r="F1016">
        <v>4249426</v>
      </c>
      <c r="G1016" t="s">
        <v>5343</v>
      </c>
      <c r="H1016" t="s">
        <v>5344</v>
      </c>
      <c r="I1016" t="s">
        <v>7594</v>
      </c>
      <c r="J1016" t="s">
        <v>7595</v>
      </c>
      <c r="K1016" t="s">
        <v>62</v>
      </c>
      <c r="L1016" t="s">
        <v>63</v>
      </c>
      <c r="M1016" t="s">
        <v>7596</v>
      </c>
      <c r="N1016" t="s">
        <v>7597</v>
      </c>
      <c r="R1016">
        <v>3</v>
      </c>
      <c r="S1016">
        <v>0</v>
      </c>
      <c r="T1016" t="b">
        <v>0</v>
      </c>
      <c r="U1016">
        <v>2</v>
      </c>
      <c r="V1016" t="s">
        <v>5349</v>
      </c>
      <c r="W1016" s="15">
        <v>-29.658190999999999</v>
      </c>
      <c r="X1016" s="15">
        <v>31.0471124</v>
      </c>
      <c r="AF1016" t="b">
        <v>0</v>
      </c>
      <c r="AG1016" t="s">
        <v>350</v>
      </c>
      <c r="AH1016" t="s">
        <v>350</v>
      </c>
      <c r="AI1016" t="s">
        <v>71</v>
      </c>
      <c r="AJ1016" t="s">
        <v>70</v>
      </c>
      <c r="AK1016" t="s">
        <v>71</v>
      </c>
      <c r="AL1016" t="s">
        <v>72</v>
      </c>
      <c r="AM1016">
        <v>346053</v>
      </c>
      <c r="AO1016" s="16" t="s">
        <v>442</v>
      </c>
      <c r="AP1016" s="17" t="str">
        <f t="shared" si="73"/>
        <v>Dead female</v>
      </c>
      <c r="AX1016" s="22" t="str">
        <f>IF(AND('[1]observations-276632'!W1016&gt;'[1]Methods write-up'!$Q$16,'[1]observations-276632'!W1016&lt;'[1]Methods write-up'!$R$16,'[1]observations-276632'!X1016&gt;'[1]Methods write-up'!$S$16,'[1]observations-276632'!X1016&lt;'[1]Methods write-up'!$T$16),"West and Central Africa","")</f>
        <v/>
      </c>
      <c r="AY1016" s="22" t="str">
        <f>IF(AND('[1]observations-276632'!W1016&gt;'[1]Methods write-up'!$Q$17,'[1]observations-276632'!W1016&lt;'[1]Methods write-up'!$R$17,'[1]observations-276632'!X1016&gt;'[1]Methods write-up'!$S$17,'[1]observations-276632'!X1016&lt;'[1]Methods write-up'!$T$17),"Equatorial tropical forest","")</f>
        <v/>
      </c>
      <c r="AZ1016" s="22" t="str">
        <f>IF(AND('[1]observations-276632'!W1016&gt;'[1]Methods write-up'!$Q$18,'[1]observations-276632'!W1016&lt;'[1]Methods write-up'!$R$18,'[1]observations-276632'!X1016&gt;'[1]Methods write-up'!$S$18,'[1]observations-276632'!X1016&lt;'[1]Methods write-up'!$T$18),"Somali peninsula","")</f>
        <v/>
      </c>
      <c r="BA1016" s="22" t="str">
        <f>IF(AND('[1]observations-276632'!W1016&gt;'[1]Methods write-up'!$Q$19,'[1]observations-276632'!W1016&lt;'[1]Methods write-up'!$R$19,'[1]observations-276632'!X1016&gt;'[1]Methods write-up'!$S$19,'[1]observations-276632'!X1016&lt;'[1]Methods write-up'!$T$19),"East Africa","")</f>
        <v/>
      </c>
      <c r="BB1016" s="22" t="str">
        <f>IF(AND('[1]observations-276632'!W1016&gt;'[1]Methods write-up'!$Q$20,'[1]observations-276632'!W1016&lt;'[1]Methods write-up'!$R$20,'[1]observations-276632'!X1016&gt;'[1]Methods write-up'!$S$20,'[1]observations-276632'!X1016&lt;'[1]Methods write-up'!$T$20),"Temperate seasonal","")</f>
        <v>Temperate seasonal</v>
      </c>
      <c r="BC1016" s="22" t="str">
        <f>IF(AND('[1]observations-276632'!W1016&gt;'[1]Methods write-up'!$Q$21,'[1]observations-276632'!W1016&lt;'[1]Methods write-up'!$R$21,'[1]observations-276632'!X1016&gt;'[1]Methods write-up'!$S$21,'[1]observations-276632'!X1016&lt;'[1]Methods write-up'!$T$21),"Desert and high aridity","")</f>
        <v/>
      </c>
      <c r="BD1016" s="23" t="str">
        <f t="shared" si="70"/>
        <v>Temperate seasonal</v>
      </c>
      <c r="BE1016" s="24">
        <f t="shared" si="68"/>
        <v>2</v>
      </c>
      <c r="BF1016" s="24">
        <f t="shared" si="69"/>
        <v>5</v>
      </c>
    </row>
    <row r="1017" spans="1:58" ht="16.25" customHeight="1" x14ac:dyDescent="0.2">
      <c r="A1017">
        <v>114891047</v>
      </c>
      <c r="B1017" t="s">
        <v>7598</v>
      </c>
      <c r="C1017" s="14">
        <v>44683</v>
      </c>
      <c r="D1017" t="s">
        <v>7599</v>
      </c>
      <c r="E1017" t="s">
        <v>84</v>
      </c>
      <c r="F1017">
        <v>818087</v>
      </c>
      <c r="G1017" t="s">
        <v>1553</v>
      </c>
      <c r="H1017" t="s">
        <v>1554</v>
      </c>
      <c r="I1017" t="s">
        <v>7600</v>
      </c>
      <c r="J1017" t="s">
        <v>7601</v>
      </c>
      <c r="K1017" t="s">
        <v>62</v>
      </c>
      <c r="M1017" t="s">
        <v>7602</v>
      </c>
      <c r="N1017" t="s">
        <v>7603</v>
      </c>
      <c r="R1017">
        <v>1</v>
      </c>
      <c r="S1017">
        <v>0</v>
      </c>
      <c r="T1017" t="b">
        <v>0</v>
      </c>
      <c r="U1017">
        <v>3</v>
      </c>
      <c r="V1017" t="s">
        <v>7604</v>
      </c>
      <c r="W1017" s="15">
        <v>-11.39653188</v>
      </c>
      <c r="X1017" s="15">
        <v>34.006716300000001</v>
      </c>
      <c r="Y1017">
        <v>65</v>
      </c>
      <c r="AC1017">
        <v>65</v>
      </c>
      <c r="AF1017" t="b">
        <v>0</v>
      </c>
      <c r="AI1017" t="s">
        <v>71</v>
      </c>
      <c r="AJ1017" t="s">
        <v>70</v>
      </c>
      <c r="AK1017" t="s">
        <v>71</v>
      </c>
      <c r="AL1017" t="s">
        <v>72</v>
      </c>
      <c r="AM1017">
        <v>346053</v>
      </c>
      <c r="AO1017" s="16" t="s">
        <v>1574</v>
      </c>
      <c r="AP1017" s="17" t="str">
        <f t="shared" si="73"/>
        <v>Nest (foundress)</v>
      </c>
      <c r="AQ1017" s="18">
        <v>2</v>
      </c>
      <c r="AT1017" s="19" t="s">
        <v>141</v>
      </c>
      <c r="AV1017" s="21" t="s">
        <v>7605</v>
      </c>
      <c r="AX1017" s="22" t="str">
        <f>IF(AND('[1]observations-276632'!W1017&gt;'[1]Methods write-up'!$Q$16,'[1]observations-276632'!W1017&lt;'[1]Methods write-up'!$R$16,'[1]observations-276632'!X1017&gt;'[1]Methods write-up'!$S$16,'[1]observations-276632'!X1017&lt;'[1]Methods write-up'!$T$16),"West and Central Africa","")</f>
        <v/>
      </c>
      <c r="AY1017" s="22" t="str">
        <f>IF(AND('[1]observations-276632'!W1017&gt;'[1]Methods write-up'!$Q$17,'[1]observations-276632'!W1017&lt;'[1]Methods write-up'!$R$17,'[1]observations-276632'!X1017&gt;'[1]Methods write-up'!$S$17,'[1]observations-276632'!X1017&lt;'[1]Methods write-up'!$T$17),"Equatorial tropical forest","")</f>
        <v/>
      </c>
      <c r="AZ1017" s="22" t="str">
        <f>IF(AND('[1]observations-276632'!W1017&gt;'[1]Methods write-up'!$Q$18,'[1]observations-276632'!W1017&lt;'[1]Methods write-up'!$R$18,'[1]observations-276632'!X1017&gt;'[1]Methods write-up'!$S$18,'[1]observations-276632'!X1017&lt;'[1]Methods write-up'!$T$18),"Somali peninsula","")</f>
        <v/>
      </c>
      <c r="BA1017" s="22" t="str">
        <f>IF(AND('[1]observations-276632'!W1017&gt;'[1]Methods write-up'!$Q$19,'[1]observations-276632'!W1017&lt;'[1]Methods write-up'!$R$19,'[1]observations-276632'!X1017&gt;'[1]Methods write-up'!$S$19,'[1]observations-276632'!X1017&lt;'[1]Methods write-up'!$T$19),"East Africa","")</f>
        <v/>
      </c>
      <c r="BB1017" s="22" t="str">
        <f>IF(AND('[1]observations-276632'!W1017&gt;'[1]Methods write-up'!$Q$20,'[1]observations-276632'!W1017&lt;'[1]Methods write-up'!$R$20,'[1]observations-276632'!X1017&gt;'[1]Methods write-up'!$S$20,'[1]observations-276632'!X1017&lt;'[1]Methods write-up'!$T$20),"Temperate seasonal","")</f>
        <v/>
      </c>
      <c r="BC1017" s="22" t="str">
        <f>IF(AND('[1]observations-276632'!W1017&gt;'[1]Methods write-up'!$Q$21,'[1]observations-276632'!W1017&lt;'[1]Methods write-up'!$R$21,'[1]observations-276632'!X1017&gt;'[1]Methods write-up'!$S$21,'[1]observations-276632'!X1017&lt;'[1]Methods write-up'!$T$21),"Desert and high aridity","")</f>
        <v/>
      </c>
      <c r="BD1017" s="23" t="str">
        <f t="shared" si="70"/>
        <v/>
      </c>
      <c r="BE1017" s="24">
        <f t="shared" si="68"/>
        <v>2</v>
      </c>
      <c r="BF1017" s="24">
        <f t="shared" si="69"/>
        <v>5</v>
      </c>
    </row>
    <row r="1018" spans="1:58" ht="16.25" customHeight="1" x14ac:dyDescent="0.2">
      <c r="A1018">
        <v>115044685</v>
      </c>
      <c r="B1018" s="25">
        <v>44682.618750000001</v>
      </c>
      <c r="C1018" s="14">
        <v>44682</v>
      </c>
      <c r="D1018" t="s">
        <v>7606</v>
      </c>
      <c r="E1018" t="s">
        <v>113</v>
      </c>
      <c r="F1018">
        <v>662724</v>
      </c>
      <c r="G1018" t="s">
        <v>903</v>
      </c>
      <c r="H1018" t="s">
        <v>904</v>
      </c>
      <c r="I1018" t="s">
        <v>7607</v>
      </c>
      <c r="J1018" t="s">
        <v>7608</v>
      </c>
      <c r="K1018" t="s">
        <v>62</v>
      </c>
      <c r="L1018" t="s">
        <v>63</v>
      </c>
      <c r="M1018" t="s">
        <v>7609</v>
      </c>
      <c r="N1018" t="s">
        <v>7610</v>
      </c>
      <c r="Q1018" s="26" t="s">
        <v>7611</v>
      </c>
      <c r="R1018">
        <v>2</v>
      </c>
      <c r="S1018">
        <v>0</v>
      </c>
      <c r="T1018" t="b">
        <v>0</v>
      </c>
      <c r="V1018" t="s">
        <v>7612</v>
      </c>
      <c r="W1018" s="15">
        <v>-30.63914587</v>
      </c>
      <c r="X1018" s="15">
        <v>30.529820319999999</v>
      </c>
      <c r="Y1018">
        <v>4</v>
      </c>
      <c r="AC1018">
        <v>4</v>
      </c>
      <c r="AF1018" t="b">
        <v>0</v>
      </c>
      <c r="AI1018" t="s">
        <v>71</v>
      </c>
      <c r="AJ1018" t="s">
        <v>70</v>
      </c>
      <c r="AK1018" t="s">
        <v>71</v>
      </c>
      <c r="AL1018" t="s">
        <v>72</v>
      </c>
      <c r="AM1018">
        <v>346053</v>
      </c>
      <c r="AO1018" s="16" t="s">
        <v>73</v>
      </c>
      <c r="AP1018" s="17" t="str">
        <f t="shared" si="73"/>
        <v>Off-nest female</v>
      </c>
      <c r="AX1018" s="22" t="str">
        <f>IF(AND('[1]observations-276632'!W1018&gt;'[1]Methods write-up'!$Q$16,'[1]observations-276632'!W1018&lt;'[1]Methods write-up'!$R$16,'[1]observations-276632'!X1018&gt;'[1]Methods write-up'!$S$16,'[1]observations-276632'!X1018&lt;'[1]Methods write-up'!$T$16),"West and Central Africa","")</f>
        <v/>
      </c>
      <c r="AY1018" s="22" t="str">
        <f>IF(AND('[1]observations-276632'!W1018&gt;'[1]Methods write-up'!$Q$17,'[1]observations-276632'!W1018&lt;'[1]Methods write-up'!$R$17,'[1]observations-276632'!X1018&gt;'[1]Methods write-up'!$S$17,'[1]observations-276632'!X1018&lt;'[1]Methods write-up'!$T$17),"Equatorial tropical forest","")</f>
        <v/>
      </c>
      <c r="AZ1018" s="22" t="str">
        <f>IF(AND('[1]observations-276632'!W1018&gt;'[1]Methods write-up'!$Q$18,'[1]observations-276632'!W1018&lt;'[1]Methods write-up'!$R$18,'[1]observations-276632'!X1018&gt;'[1]Methods write-up'!$S$18,'[1]observations-276632'!X1018&lt;'[1]Methods write-up'!$T$18),"Somali peninsula","")</f>
        <v/>
      </c>
      <c r="BA1018" s="22" t="str">
        <f>IF(AND('[1]observations-276632'!W1018&gt;'[1]Methods write-up'!$Q$19,'[1]observations-276632'!W1018&lt;'[1]Methods write-up'!$R$19,'[1]observations-276632'!X1018&gt;'[1]Methods write-up'!$S$19,'[1]observations-276632'!X1018&lt;'[1]Methods write-up'!$T$19),"East Africa","")</f>
        <v/>
      </c>
      <c r="BB1018" s="22" t="str">
        <f>IF(AND('[1]observations-276632'!W1018&gt;'[1]Methods write-up'!$Q$20,'[1]observations-276632'!W1018&lt;'[1]Methods write-up'!$R$20,'[1]observations-276632'!X1018&gt;'[1]Methods write-up'!$S$20,'[1]observations-276632'!X1018&lt;'[1]Methods write-up'!$T$20),"Temperate seasonal","")</f>
        <v>Temperate seasonal</v>
      </c>
      <c r="BC1018" s="22" t="str">
        <f>IF(AND('[1]observations-276632'!W1018&gt;'[1]Methods write-up'!$Q$21,'[1]observations-276632'!W1018&lt;'[1]Methods write-up'!$R$21,'[1]observations-276632'!X1018&gt;'[1]Methods write-up'!$S$21,'[1]observations-276632'!X1018&lt;'[1]Methods write-up'!$T$21),"Desert and high aridity","")</f>
        <v/>
      </c>
      <c r="BD1018" s="23" t="str">
        <f t="shared" si="70"/>
        <v>Temperate seasonal</v>
      </c>
      <c r="BE1018" s="24">
        <f t="shared" si="68"/>
        <v>1</v>
      </c>
      <c r="BF1018" s="24">
        <f t="shared" si="69"/>
        <v>5</v>
      </c>
    </row>
    <row r="1019" spans="1:58" ht="16.25" customHeight="1" x14ac:dyDescent="0.2">
      <c r="A1019">
        <v>115077666</v>
      </c>
      <c r="B1019" s="25">
        <v>44683.879166666666</v>
      </c>
      <c r="C1019" s="14">
        <v>44683</v>
      </c>
      <c r="D1019" t="s">
        <v>7613</v>
      </c>
      <c r="E1019" t="s">
        <v>84</v>
      </c>
      <c r="F1019">
        <v>1610962</v>
      </c>
      <c r="G1019" t="s">
        <v>7400</v>
      </c>
      <c r="H1019" t="s">
        <v>7401</v>
      </c>
      <c r="I1019" t="s">
        <v>7614</v>
      </c>
      <c r="J1019" t="s">
        <v>7615</v>
      </c>
      <c r="K1019" t="s">
        <v>62</v>
      </c>
      <c r="L1019" t="s">
        <v>373</v>
      </c>
      <c r="M1019" t="s">
        <v>7616</v>
      </c>
      <c r="N1019" t="s">
        <v>7617</v>
      </c>
      <c r="R1019">
        <v>2</v>
      </c>
      <c r="S1019">
        <v>0</v>
      </c>
      <c r="T1019" t="b">
        <v>0</v>
      </c>
      <c r="U1019">
        <v>2</v>
      </c>
      <c r="V1019" t="s">
        <v>7618</v>
      </c>
      <c r="W1019" s="15">
        <v>-7.8345435119999998</v>
      </c>
      <c r="X1019" s="15">
        <v>36.889018380000003</v>
      </c>
      <c r="Y1019">
        <v>8</v>
      </c>
      <c r="AC1019">
        <v>8</v>
      </c>
      <c r="AF1019" t="b">
        <v>0</v>
      </c>
      <c r="AG1019" t="s">
        <v>350</v>
      </c>
      <c r="AH1019" t="s">
        <v>350</v>
      </c>
      <c r="AI1019" t="s">
        <v>71</v>
      </c>
      <c r="AJ1019" t="s">
        <v>70</v>
      </c>
      <c r="AK1019" t="s">
        <v>71</v>
      </c>
      <c r="AL1019" t="s">
        <v>72</v>
      </c>
      <c r="AM1019">
        <v>346053</v>
      </c>
      <c r="AO1019" s="16" t="s">
        <v>110</v>
      </c>
      <c r="AP1019" s="17" t="str">
        <f t="shared" si="73"/>
        <v>Nest (foundress)</v>
      </c>
      <c r="AQ1019" s="18">
        <v>1</v>
      </c>
      <c r="AT1019" s="19" t="s">
        <v>104</v>
      </c>
      <c r="AX1019" s="22" t="str">
        <f>IF(AND('[1]observations-276632'!W1019&gt;'[1]Methods write-up'!$Q$16,'[1]observations-276632'!W1019&lt;'[1]Methods write-up'!$R$16,'[1]observations-276632'!X1019&gt;'[1]Methods write-up'!$S$16,'[1]observations-276632'!X1019&lt;'[1]Methods write-up'!$T$16),"West and Central Africa","")</f>
        <v/>
      </c>
      <c r="AY1019" s="22" t="str">
        <f>IF(AND('[1]observations-276632'!W1019&gt;'[1]Methods write-up'!$Q$17,'[1]observations-276632'!W1019&lt;'[1]Methods write-up'!$R$17,'[1]observations-276632'!X1019&gt;'[1]Methods write-up'!$S$17,'[1]observations-276632'!X1019&lt;'[1]Methods write-up'!$T$17),"Equatorial tropical forest","")</f>
        <v/>
      </c>
      <c r="AZ1019" s="22" t="str">
        <f>IF(AND('[1]observations-276632'!W1019&gt;'[1]Methods write-up'!$Q$18,'[1]observations-276632'!W1019&lt;'[1]Methods write-up'!$R$18,'[1]observations-276632'!X1019&gt;'[1]Methods write-up'!$S$18,'[1]observations-276632'!X1019&lt;'[1]Methods write-up'!$T$18),"Somali peninsula","")</f>
        <v/>
      </c>
      <c r="BA1019" s="22" t="str">
        <f>IF(AND('[1]observations-276632'!W1019&gt;'[1]Methods write-up'!$Q$19,'[1]observations-276632'!W1019&lt;'[1]Methods write-up'!$R$19,'[1]observations-276632'!X1019&gt;'[1]Methods write-up'!$S$19,'[1]observations-276632'!X1019&lt;'[1]Methods write-up'!$T$19),"East Africa","")</f>
        <v>East Africa</v>
      </c>
      <c r="BB1019" s="22" t="str">
        <f>IF(AND('[1]observations-276632'!W1019&gt;'[1]Methods write-up'!$Q$20,'[1]observations-276632'!W1019&lt;'[1]Methods write-up'!$R$20,'[1]observations-276632'!X1019&gt;'[1]Methods write-up'!$S$20,'[1]observations-276632'!X1019&lt;'[1]Methods write-up'!$T$20),"Temperate seasonal","")</f>
        <v/>
      </c>
      <c r="BC1019" s="22" t="str">
        <f>IF(AND('[1]observations-276632'!W1019&gt;'[1]Methods write-up'!$Q$21,'[1]observations-276632'!W1019&lt;'[1]Methods write-up'!$R$21,'[1]observations-276632'!X1019&gt;'[1]Methods write-up'!$S$21,'[1]observations-276632'!X1019&lt;'[1]Methods write-up'!$T$21),"Desert and high aridity","")</f>
        <v/>
      </c>
      <c r="BD1019" s="23" t="str">
        <f t="shared" si="70"/>
        <v>East Africa</v>
      </c>
      <c r="BE1019" s="24">
        <f t="shared" si="68"/>
        <v>2</v>
      </c>
      <c r="BF1019" s="24">
        <f t="shared" si="69"/>
        <v>5</v>
      </c>
    </row>
    <row r="1020" spans="1:58" ht="16.25" customHeight="1" x14ac:dyDescent="0.2">
      <c r="A1020">
        <v>115143316</v>
      </c>
      <c r="B1020" s="25">
        <v>44628.28402777778</v>
      </c>
      <c r="C1020" s="14">
        <v>44628</v>
      </c>
      <c r="D1020" t="s">
        <v>7619</v>
      </c>
      <c r="E1020" t="s">
        <v>113</v>
      </c>
      <c r="F1020">
        <v>5622985</v>
      </c>
      <c r="G1020" t="s">
        <v>7620</v>
      </c>
      <c r="I1020" t="s">
        <v>7621</v>
      </c>
      <c r="J1020" t="s">
        <v>7622</v>
      </c>
      <c r="K1020" t="s">
        <v>62</v>
      </c>
      <c r="L1020" t="s">
        <v>63</v>
      </c>
      <c r="M1020" t="s">
        <v>7623</v>
      </c>
      <c r="N1020" t="s">
        <v>7624</v>
      </c>
      <c r="R1020">
        <v>3</v>
      </c>
      <c r="S1020">
        <v>0</v>
      </c>
      <c r="T1020" t="b">
        <v>0</v>
      </c>
      <c r="V1020" t="s">
        <v>1522</v>
      </c>
      <c r="W1020" s="15">
        <v>-27.771012079999998</v>
      </c>
      <c r="X1020" s="15">
        <v>32.053467820000002</v>
      </c>
      <c r="Y1020">
        <v>15</v>
      </c>
      <c r="AC1020">
        <v>15</v>
      </c>
      <c r="AF1020" t="b">
        <v>0</v>
      </c>
      <c r="AI1020" t="s">
        <v>71</v>
      </c>
      <c r="AJ1020" t="s">
        <v>70</v>
      </c>
      <c r="AK1020" t="s">
        <v>71</v>
      </c>
      <c r="AL1020" t="s">
        <v>72</v>
      </c>
      <c r="AM1020">
        <v>346053</v>
      </c>
      <c r="AO1020" s="16" t="s">
        <v>73</v>
      </c>
      <c r="AP1020" s="17" t="str">
        <f t="shared" si="73"/>
        <v>Off-nest female</v>
      </c>
      <c r="AX1020" s="22" t="str">
        <f>IF(AND('[1]observations-276632'!W1020&gt;'[1]Methods write-up'!$Q$16,'[1]observations-276632'!W1020&lt;'[1]Methods write-up'!$R$16,'[1]observations-276632'!X1020&gt;'[1]Methods write-up'!$S$16,'[1]observations-276632'!X1020&lt;'[1]Methods write-up'!$T$16),"West and Central Africa","")</f>
        <v/>
      </c>
      <c r="AY1020" s="22" t="str">
        <f>IF(AND('[1]observations-276632'!W1020&gt;'[1]Methods write-up'!$Q$17,'[1]observations-276632'!W1020&lt;'[1]Methods write-up'!$R$17,'[1]observations-276632'!X1020&gt;'[1]Methods write-up'!$S$17,'[1]observations-276632'!X1020&lt;'[1]Methods write-up'!$T$17),"Equatorial tropical forest","")</f>
        <v/>
      </c>
      <c r="AZ1020" s="22" t="str">
        <f>IF(AND('[1]observations-276632'!W1020&gt;'[1]Methods write-up'!$Q$18,'[1]observations-276632'!W1020&lt;'[1]Methods write-up'!$R$18,'[1]observations-276632'!X1020&gt;'[1]Methods write-up'!$S$18,'[1]observations-276632'!X1020&lt;'[1]Methods write-up'!$T$18),"Somali peninsula","")</f>
        <v/>
      </c>
      <c r="BA1020" s="22" t="str">
        <f>IF(AND('[1]observations-276632'!W1020&gt;'[1]Methods write-up'!$Q$19,'[1]observations-276632'!W1020&lt;'[1]Methods write-up'!$R$19,'[1]observations-276632'!X1020&gt;'[1]Methods write-up'!$S$19,'[1]observations-276632'!X1020&lt;'[1]Methods write-up'!$T$19),"East Africa","")</f>
        <v/>
      </c>
      <c r="BB1020" s="22" t="str">
        <f>IF(AND('[1]observations-276632'!W1020&gt;'[1]Methods write-up'!$Q$20,'[1]observations-276632'!W1020&lt;'[1]Methods write-up'!$R$20,'[1]observations-276632'!X1020&gt;'[1]Methods write-up'!$S$20,'[1]observations-276632'!X1020&lt;'[1]Methods write-up'!$T$20),"Temperate seasonal","")</f>
        <v>Temperate seasonal</v>
      </c>
      <c r="BC1020" s="22" t="str">
        <f>IF(AND('[1]observations-276632'!W1020&gt;'[1]Methods write-up'!$Q$21,'[1]observations-276632'!W1020&lt;'[1]Methods write-up'!$R$21,'[1]observations-276632'!X1020&gt;'[1]Methods write-up'!$S$21,'[1]observations-276632'!X1020&lt;'[1]Methods write-up'!$T$21),"Desert and high aridity","")</f>
        <v/>
      </c>
      <c r="BD1020" s="23" t="str">
        <f t="shared" si="70"/>
        <v>Temperate seasonal</v>
      </c>
      <c r="BE1020" s="24">
        <f t="shared" si="68"/>
        <v>8</v>
      </c>
      <c r="BF1020" s="24">
        <f t="shared" si="69"/>
        <v>3</v>
      </c>
    </row>
    <row r="1021" spans="1:58" ht="16.25" customHeight="1" x14ac:dyDescent="0.2">
      <c r="A1021">
        <v>115155502</v>
      </c>
      <c r="B1021" s="25">
        <v>44681.631944444445</v>
      </c>
      <c r="C1021" s="14">
        <v>44681</v>
      </c>
      <c r="D1021" t="s">
        <v>7625</v>
      </c>
      <c r="E1021" t="s">
        <v>113</v>
      </c>
      <c r="F1021">
        <v>5154162</v>
      </c>
      <c r="G1021" t="s">
        <v>7626</v>
      </c>
      <c r="I1021" t="s">
        <v>7627</v>
      </c>
      <c r="J1021" t="s">
        <v>7628</v>
      </c>
      <c r="K1021" t="s">
        <v>62</v>
      </c>
      <c r="L1021" t="s">
        <v>63</v>
      </c>
      <c r="M1021" t="s">
        <v>7629</v>
      </c>
      <c r="N1021" t="s">
        <v>7630</v>
      </c>
      <c r="R1021">
        <v>3</v>
      </c>
      <c r="S1021">
        <v>0</v>
      </c>
      <c r="T1021" t="b">
        <v>0</v>
      </c>
      <c r="V1021" t="s">
        <v>7631</v>
      </c>
      <c r="W1021" s="15">
        <v>-29.911392509999999</v>
      </c>
      <c r="X1021" s="15">
        <v>30.931807620000001</v>
      </c>
      <c r="Y1021">
        <v>8</v>
      </c>
      <c r="AC1021">
        <v>8</v>
      </c>
      <c r="AF1021" t="b">
        <v>0</v>
      </c>
      <c r="AI1021" t="s">
        <v>71</v>
      </c>
      <c r="AJ1021" t="s">
        <v>70</v>
      </c>
      <c r="AK1021" t="s">
        <v>71</v>
      </c>
      <c r="AL1021" t="s">
        <v>72</v>
      </c>
      <c r="AM1021">
        <v>346053</v>
      </c>
      <c r="AO1021" s="16" t="s">
        <v>140</v>
      </c>
      <c r="AP1021" s="17" t="str">
        <f t="shared" si="73"/>
        <v>Post-emergence nest</v>
      </c>
      <c r="AQ1021" s="18">
        <v>13</v>
      </c>
      <c r="AT1021" s="19" t="s">
        <v>141</v>
      </c>
      <c r="AU1021" s="20" t="s">
        <v>141</v>
      </c>
      <c r="AX1021" s="22" t="str">
        <f>IF(AND('[1]observations-276632'!W1021&gt;'[1]Methods write-up'!$Q$16,'[1]observations-276632'!W1021&lt;'[1]Methods write-up'!$R$16,'[1]observations-276632'!X1021&gt;'[1]Methods write-up'!$S$16,'[1]observations-276632'!X1021&lt;'[1]Methods write-up'!$T$16),"West and Central Africa","")</f>
        <v/>
      </c>
      <c r="AY1021" s="22" t="str">
        <f>IF(AND('[1]observations-276632'!W1021&gt;'[1]Methods write-up'!$Q$17,'[1]observations-276632'!W1021&lt;'[1]Methods write-up'!$R$17,'[1]observations-276632'!X1021&gt;'[1]Methods write-up'!$S$17,'[1]observations-276632'!X1021&lt;'[1]Methods write-up'!$T$17),"Equatorial tropical forest","")</f>
        <v/>
      </c>
      <c r="AZ1021" s="22" t="str">
        <f>IF(AND('[1]observations-276632'!W1021&gt;'[1]Methods write-up'!$Q$18,'[1]observations-276632'!W1021&lt;'[1]Methods write-up'!$R$18,'[1]observations-276632'!X1021&gt;'[1]Methods write-up'!$S$18,'[1]observations-276632'!X1021&lt;'[1]Methods write-up'!$T$18),"Somali peninsula","")</f>
        <v/>
      </c>
      <c r="BA1021" s="22" t="str">
        <f>IF(AND('[1]observations-276632'!W1021&gt;'[1]Methods write-up'!$Q$19,'[1]observations-276632'!W1021&lt;'[1]Methods write-up'!$R$19,'[1]observations-276632'!X1021&gt;'[1]Methods write-up'!$S$19,'[1]observations-276632'!X1021&lt;'[1]Methods write-up'!$T$19),"East Africa","")</f>
        <v/>
      </c>
      <c r="BB1021" s="22" t="str">
        <f>IF(AND('[1]observations-276632'!W1021&gt;'[1]Methods write-up'!$Q$20,'[1]observations-276632'!W1021&lt;'[1]Methods write-up'!$R$20,'[1]observations-276632'!X1021&gt;'[1]Methods write-up'!$S$20,'[1]observations-276632'!X1021&lt;'[1]Methods write-up'!$T$20),"Temperate seasonal","")</f>
        <v>Temperate seasonal</v>
      </c>
      <c r="BC1021" s="22" t="str">
        <f>IF(AND('[1]observations-276632'!W1021&gt;'[1]Methods write-up'!$Q$21,'[1]observations-276632'!W1021&lt;'[1]Methods write-up'!$R$21,'[1]observations-276632'!X1021&gt;'[1]Methods write-up'!$S$21,'[1]observations-276632'!X1021&lt;'[1]Methods write-up'!$T$21),"Desert and high aridity","")</f>
        <v/>
      </c>
      <c r="BD1021" s="23" t="str">
        <f t="shared" si="70"/>
        <v>Temperate seasonal</v>
      </c>
      <c r="BE1021" s="24">
        <f t="shared" si="68"/>
        <v>30</v>
      </c>
      <c r="BF1021" s="24">
        <f t="shared" si="69"/>
        <v>4</v>
      </c>
    </row>
    <row r="1022" spans="1:58" ht="16.25" customHeight="1" x14ac:dyDescent="0.2">
      <c r="A1022">
        <v>115229164</v>
      </c>
      <c r="B1022" s="25">
        <v>44680.375</v>
      </c>
      <c r="C1022" s="14">
        <v>44680</v>
      </c>
      <c r="D1022" t="s">
        <v>7632</v>
      </c>
      <c r="E1022" t="s">
        <v>113</v>
      </c>
      <c r="F1022">
        <v>1071724</v>
      </c>
      <c r="G1022" t="s">
        <v>7633</v>
      </c>
      <c r="H1022" t="s">
        <v>7634</v>
      </c>
      <c r="I1022" t="s">
        <v>7635</v>
      </c>
      <c r="J1022" t="s">
        <v>7636</v>
      </c>
      <c r="K1022" t="s">
        <v>62</v>
      </c>
      <c r="L1022" t="s">
        <v>63</v>
      </c>
      <c r="M1022" t="s">
        <v>7637</v>
      </c>
      <c r="N1022" t="s">
        <v>7638</v>
      </c>
      <c r="R1022">
        <v>3</v>
      </c>
      <c r="S1022">
        <v>0</v>
      </c>
      <c r="T1022" t="b">
        <v>0</v>
      </c>
      <c r="V1022" t="s">
        <v>7639</v>
      </c>
      <c r="W1022" s="15">
        <v>-29.900635000000001</v>
      </c>
      <c r="X1022" s="15">
        <v>30.971868000000001</v>
      </c>
      <c r="Y1022">
        <v>208</v>
      </c>
      <c r="AC1022">
        <v>208</v>
      </c>
      <c r="AF1022" t="b">
        <v>0</v>
      </c>
      <c r="AI1022" t="s">
        <v>71</v>
      </c>
      <c r="AJ1022" t="s">
        <v>70</v>
      </c>
      <c r="AK1022" t="s">
        <v>71</v>
      </c>
      <c r="AL1022" t="s">
        <v>72</v>
      </c>
      <c r="AM1022">
        <v>346053</v>
      </c>
      <c r="AO1022" s="16" t="s">
        <v>73</v>
      </c>
      <c r="AP1022" s="17" t="str">
        <f t="shared" si="73"/>
        <v>Off-nest female</v>
      </c>
      <c r="AX1022" s="22" t="str">
        <f>IF(AND('[1]observations-276632'!W1022&gt;'[1]Methods write-up'!$Q$16,'[1]observations-276632'!W1022&lt;'[1]Methods write-up'!$R$16,'[1]observations-276632'!X1022&gt;'[1]Methods write-up'!$S$16,'[1]observations-276632'!X1022&lt;'[1]Methods write-up'!$T$16),"West and Central Africa","")</f>
        <v/>
      </c>
      <c r="AY1022" s="22" t="str">
        <f>IF(AND('[1]observations-276632'!W1022&gt;'[1]Methods write-up'!$Q$17,'[1]observations-276632'!W1022&lt;'[1]Methods write-up'!$R$17,'[1]observations-276632'!X1022&gt;'[1]Methods write-up'!$S$17,'[1]observations-276632'!X1022&lt;'[1]Methods write-up'!$T$17),"Equatorial tropical forest","")</f>
        <v/>
      </c>
      <c r="AZ1022" s="22" t="str">
        <f>IF(AND('[1]observations-276632'!W1022&gt;'[1]Methods write-up'!$Q$18,'[1]observations-276632'!W1022&lt;'[1]Methods write-up'!$R$18,'[1]observations-276632'!X1022&gt;'[1]Methods write-up'!$S$18,'[1]observations-276632'!X1022&lt;'[1]Methods write-up'!$T$18),"Somali peninsula","")</f>
        <v/>
      </c>
      <c r="BA1022" s="22" t="str">
        <f>IF(AND('[1]observations-276632'!W1022&gt;'[1]Methods write-up'!$Q$19,'[1]observations-276632'!W1022&lt;'[1]Methods write-up'!$R$19,'[1]observations-276632'!X1022&gt;'[1]Methods write-up'!$S$19,'[1]observations-276632'!X1022&lt;'[1]Methods write-up'!$T$19),"East Africa","")</f>
        <v/>
      </c>
      <c r="BB1022" s="22" t="str">
        <f>IF(AND('[1]observations-276632'!W1022&gt;'[1]Methods write-up'!$Q$20,'[1]observations-276632'!W1022&lt;'[1]Methods write-up'!$R$20,'[1]observations-276632'!X1022&gt;'[1]Methods write-up'!$S$20,'[1]observations-276632'!X1022&lt;'[1]Methods write-up'!$T$20),"Temperate seasonal","")</f>
        <v>Temperate seasonal</v>
      </c>
      <c r="BC1022" s="22" t="str">
        <f>IF(AND('[1]observations-276632'!W1022&gt;'[1]Methods write-up'!$Q$21,'[1]observations-276632'!W1022&lt;'[1]Methods write-up'!$R$21,'[1]observations-276632'!X1022&gt;'[1]Methods write-up'!$S$21,'[1]observations-276632'!X1022&lt;'[1]Methods write-up'!$T$21),"Desert and high aridity","")</f>
        <v/>
      </c>
      <c r="BD1022" s="23" t="str">
        <f t="shared" si="70"/>
        <v>Temperate seasonal</v>
      </c>
      <c r="BE1022" s="24">
        <f t="shared" si="68"/>
        <v>29</v>
      </c>
      <c r="BF1022" s="24">
        <f t="shared" si="69"/>
        <v>4</v>
      </c>
    </row>
    <row r="1023" spans="1:58" ht="16.25" customHeight="1" x14ac:dyDescent="0.2">
      <c r="A1023">
        <v>115301835</v>
      </c>
      <c r="B1023" s="25">
        <v>44680.541666666664</v>
      </c>
      <c r="C1023" s="14">
        <v>44680</v>
      </c>
      <c r="D1023" t="s">
        <v>7640</v>
      </c>
      <c r="E1023" t="s">
        <v>113</v>
      </c>
      <c r="F1023">
        <v>1088524</v>
      </c>
      <c r="G1023" t="s">
        <v>7641</v>
      </c>
      <c r="H1023" t="s">
        <v>7642</v>
      </c>
      <c r="I1023" t="s">
        <v>7643</v>
      </c>
      <c r="J1023" t="s">
        <v>7644</v>
      </c>
      <c r="K1023" t="s">
        <v>62</v>
      </c>
      <c r="L1023" t="s">
        <v>118</v>
      </c>
      <c r="M1023" t="s">
        <v>7645</v>
      </c>
      <c r="N1023" t="s">
        <v>7646</v>
      </c>
      <c r="R1023">
        <v>2</v>
      </c>
      <c r="S1023">
        <v>0</v>
      </c>
      <c r="T1023" t="b">
        <v>0</v>
      </c>
      <c r="V1023" t="s">
        <v>7647</v>
      </c>
      <c r="W1023" s="15">
        <v>-29.770862080000001</v>
      </c>
      <c r="X1023" s="15">
        <v>30.851424890000001</v>
      </c>
      <c r="Y1023">
        <v>4</v>
      </c>
      <c r="AC1023">
        <v>4</v>
      </c>
      <c r="AF1023" t="b">
        <v>0</v>
      </c>
      <c r="AI1023" t="s">
        <v>71</v>
      </c>
      <c r="AJ1023" t="s">
        <v>70</v>
      </c>
      <c r="AK1023" t="s">
        <v>71</v>
      </c>
      <c r="AL1023" t="s">
        <v>72</v>
      </c>
      <c r="AM1023">
        <v>346053</v>
      </c>
      <c r="AO1023" s="16" t="s">
        <v>73</v>
      </c>
      <c r="AP1023" s="17" t="str">
        <f t="shared" si="73"/>
        <v>Off-nest female</v>
      </c>
      <c r="AX1023" s="22" t="str">
        <f>IF(AND('[1]observations-276632'!W1023&gt;'[1]Methods write-up'!$Q$16,'[1]observations-276632'!W1023&lt;'[1]Methods write-up'!$R$16,'[1]observations-276632'!X1023&gt;'[1]Methods write-up'!$S$16,'[1]observations-276632'!X1023&lt;'[1]Methods write-up'!$T$16),"West and Central Africa","")</f>
        <v/>
      </c>
      <c r="AY1023" s="22" t="str">
        <f>IF(AND('[1]observations-276632'!W1023&gt;'[1]Methods write-up'!$Q$17,'[1]observations-276632'!W1023&lt;'[1]Methods write-up'!$R$17,'[1]observations-276632'!X1023&gt;'[1]Methods write-up'!$S$17,'[1]observations-276632'!X1023&lt;'[1]Methods write-up'!$T$17),"Equatorial tropical forest","")</f>
        <v/>
      </c>
      <c r="AZ1023" s="22" t="str">
        <f>IF(AND('[1]observations-276632'!W1023&gt;'[1]Methods write-up'!$Q$18,'[1]observations-276632'!W1023&lt;'[1]Methods write-up'!$R$18,'[1]observations-276632'!X1023&gt;'[1]Methods write-up'!$S$18,'[1]observations-276632'!X1023&lt;'[1]Methods write-up'!$T$18),"Somali peninsula","")</f>
        <v/>
      </c>
      <c r="BA1023" s="22" t="str">
        <f>IF(AND('[1]observations-276632'!W1023&gt;'[1]Methods write-up'!$Q$19,'[1]observations-276632'!W1023&lt;'[1]Methods write-up'!$R$19,'[1]observations-276632'!X1023&gt;'[1]Methods write-up'!$S$19,'[1]observations-276632'!X1023&lt;'[1]Methods write-up'!$T$19),"East Africa","")</f>
        <v/>
      </c>
      <c r="BB1023" s="22" t="str">
        <f>IF(AND('[1]observations-276632'!W1023&gt;'[1]Methods write-up'!$Q$20,'[1]observations-276632'!W1023&lt;'[1]Methods write-up'!$R$20,'[1]observations-276632'!X1023&gt;'[1]Methods write-up'!$S$20,'[1]observations-276632'!X1023&lt;'[1]Methods write-up'!$T$20),"Temperate seasonal","")</f>
        <v>Temperate seasonal</v>
      </c>
      <c r="BC1023" s="22" t="str">
        <f>IF(AND('[1]observations-276632'!W1023&gt;'[1]Methods write-up'!$Q$21,'[1]observations-276632'!W1023&lt;'[1]Methods write-up'!$R$21,'[1]observations-276632'!X1023&gt;'[1]Methods write-up'!$S$21,'[1]observations-276632'!X1023&lt;'[1]Methods write-up'!$T$21),"Desert and high aridity","")</f>
        <v/>
      </c>
      <c r="BD1023" s="23" t="str">
        <f t="shared" si="70"/>
        <v>Temperate seasonal</v>
      </c>
      <c r="BE1023" s="24">
        <f t="shared" si="68"/>
        <v>29</v>
      </c>
      <c r="BF1023" s="24">
        <f t="shared" si="69"/>
        <v>4</v>
      </c>
    </row>
    <row r="1024" spans="1:58" ht="16.25" customHeight="1" x14ac:dyDescent="0.2">
      <c r="A1024">
        <v>115537430</v>
      </c>
      <c r="B1024" s="25">
        <v>44680.406944444447</v>
      </c>
      <c r="C1024" s="14">
        <v>44680</v>
      </c>
      <c r="D1024" t="s">
        <v>7648</v>
      </c>
      <c r="E1024" t="s">
        <v>113</v>
      </c>
      <c r="F1024">
        <v>4309278</v>
      </c>
      <c r="G1024" t="s">
        <v>7649</v>
      </c>
      <c r="H1024" t="s">
        <v>7650</v>
      </c>
      <c r="I1024" t="s">
        <v>7651</v>
      </c>
      <c r="J1024" t="s">
        <v>7652</v>
      </c>
      <c r="K1024" t="s">
        <v>62</v>
      </c>
      <c r="M1024" t="s">
        <v>7653</v>
      </c>
      <c r="N1024" t="s">
        <v>7654</v>
      </c>
      <c r="R1024">
        <v>3</v>
      </c>
      <c r="S1024">
        <v>0</v>
      </c>
      <c r="T1024" t="b">
        <v>0</v>
      </c>
      <c r="V1024" t="s">
        <v>7655</v>
      </c>
      <c r="W1024" s="15">
        <v>-29.769834889999998</v>
      </c>
      <c r="X1024" s="15">
        <v>31.04669809</v>
      </c>
      <c r="Y1024">
        <v>31</v>
      </c>
      <c r="AC1024">
        <v>31</v>
      </c>
      <c r="AF1024" t="b">
        <v>0</v>
      </c>
      <c r="AI1024" t="s">
        <v>71</v>
      </c>
      <c r="AJ1024" t="s">
        <v>70</v>
      </c>
      <c r="AK1024" t="s">
        <v>71</v>
      </c>
      <c r="AL1024" t="s">
        <v>72</v>
      </c>
      <c r="AM1024">
        <v>346053</v>
      </c>
      <c r="AO1024" s="16" t="s">
        <v>150</v>
      </c>
      <c r="AP1024" s="17" t="str">
        <f t="shared" si="73"/>
        <v>Male (off nest)</v>
      </c>
      <c r="AX1024" s="22" t="str">
        <f>IF(AND('[1]observations-276632'!W1024&gt;'[1]Methods write-up'!$Q$16,'[1]observations-276632'!W1024&lt;'[1]Methods write-up'!$R$16,'[1]observations-276632'!X1024&gt;'[1]Methods write-up'!$S$16,'[1]observations-276632'!X1024&lt;'[1]Methods write-up'!$T$16),"West and Central Africa","")</f>
        <v/>
      </c>
      <c r="AY1024" s="22" t="str">
        <f>IF(AND('[1]observations-276632'!W1024&gt;'[1]Methods write-up'!$Q$17,'[1]observations-276632'!W1024&lt;'[1]Methods write-up'!$R$17,'[1]observations-276632'!X1024&gt;'[1]Methods write-up'!$S$17,'[1]observations-276632'!X1024&lt;'[1]Methods write-up'!$T$17),"Equatorial tropical forest","")</f>
        <v/>
      </c>
      <c r="AZ1024" s="22" t="str">
        <f>IF(AND('[1]observations-276632'!W1024&gt;'[1]Methods write-up'!$Q$18,'[1]observations-276632'!W1024&lt;'[1]Methods write-up'!$R$18,'[1]observations-276632'!X1024&gt;'[1]Methods write-up'!$S$18,'[1]observations-276632'!X1024&lt;'[1]Methods write-up'!$T$18),"Somali peninsula","")</f>
        <v/>
      </c>
      <c r="BA1024" s="22" t="str">
        <f>IF(AND('[1]observations-276632'!W1024&gt;'[1]Methods write-up'!$Q$19,'[1]observations-276632'!W1024&lt;'[1]Methods write-up'!$R$19,'[1]observations-276632'!X1024&gt;'[1]Methods write-up'!$S$19,'[1]observations-276632'!X1024&lt;'[1]Methods write-up'!$T$19),"East Africa","")</f>
        <v/>
      </c>
      <c r="BB1024" s="22" t="str">
        <f>IF(AND('[1]observations-276632'!W1024&gt;'[1]Methods write-up'!$Q$20,'[1]observations-276632'!W1024&lt;'[1]Methods write-up'!$R$20,'[1]observations-276632'!X1024&gt;'[1]Methods write-up'!$S$20,'[1]observations-276632'!X1024&lt;'[1]Methods write-up'!$T$20),"Temperate seasonal","")</f>
        <v>Temperate seasonal</v>
      </c>
      <c r="BC1024" s="22" t="str">
        <f>IF(AND('[1]observations-276632'!W1024&gt;'[1]Methods write-up'!$Q$21,'[1]observations-276632'!W1024&lt;'[1]Methods write-up'!$R$21,'[1]observations-276632'!X1024&gt;'[1]Methods write-up'!$S$21,'[1]observations-276632'!X1024&lt;'[1]Methods write-up'!$T$21),"Desert and high aridity","")</f>
        <v/>
      </c>
      <c r="BD1024" s="23" t="str">
        <f t="shared" si="70"/>
        <v>Temperate seasonal</v>
      </c>
      <c r="BE1024" s="24">
        <f t="shared" si="68"/>
        <v>29</v>
      </c>
      <c r="BF1024" s="24">
        <f t="shared" si="69"/>
        <v>4</v>
      </c>
    </row>
    <row r="1025" spans="1:58" ht="16.25" customHeight="1" x14ac:dyDescent="0.2">
      <c r="A1025">
        <v>115556101</v>
      </c>
      <c r="B1025" s="25">
        <v>44682.401388888888</v>
      </c>
      <c r="C1025" s="14">
        <v>44682</v>
      </c>
      <c r="D1025" t="s">
        <v>7656</v>
      </c>
      <c r="E1025" t="s">
        <v>113</v>
      </c>
      <c r="F1025">
        <v>1474346</v>
      </c>
      <c r="G1025" t="s">
        <v>6469</v>
      </c>
      <c r="H1025" t="s">
        <v>6470</v>
      </c>
      <c r="I1025" t="s">
        <v>7657</v>
      </c>
      <c r="J1025" t="s">
        <v>7658</v>
      </c>
      <c r="K1025" t="s">
        <v>62</v>
      </c>
      <c r="L1025" t="s">
        <v>63</v>
      </c>
      <c r="M1025" t="s">
        <v>7659</v>
      </c>
      <c r="N1025" t="s">
        <v>7660</v>
      </c>
      <c r="R1025">
        <v>4</v>
      </c>
      <c r="S1025">
        <v>0</v>
      </c>
      <c r="T1025" t="b">
        <v>0</v>
      </c>
      <c r="V1025" t="s">
        <v>7661</v>
      </c>
      <c r="W1025" s="15">
        <v>-33.988831580000003</v>
      </c>
      <c r="X1025" s="15">
        <v>18.429645820000001</v>
      </c>
      <c r="Y1025">
        <v>4</v>
      </c>
      <c r="AC1025">
        <v>4</v>
      </c>
      <c r="AF1025" t="b">
        <v>0</v>
      </c>
      <c r="AI1025" t="s">
        <v>71</v>
      </c>
      <c r="AJ1025" t="s">
        <v>70</v>
      </c>
      <c r="AK1025" t="s">
        <v>71</v>
      </c>
      <c r="AL1025" t="s">
        <v>72</v>
      </c>
      <c r="AM1025">
        <v>346053</v>
      </c>
      <c r="AO1025" s="16" t="s">
        <v>140</v>
      </c>
      <c r="AP1025" s="17" t="str">
        <f t="shared" si="73"/>
        <v>Post-emergence nest</v>
      </c>
      <c r="AQ1025" s="18">
        <v>14</v>
      </c>
      <c r="AT1025" s="19" t="s">
        <v>141</v>
      </c>
      <c r="AU1025" s="20" t="s">
        <v>141</v>
      </c>
      <c r="AX1025" s="22" t="str">
        <f>IF(AND('[1]observations-276632'!W1025&gt;'[1]Methods write-up'!$Q$16,'[1]observations-276632'!W1025&lt;'[1]Methods write-up'!$R$16,'[1]observations-276632'!X1025&gt;'[1]Methods write-up'!$S$16,'[1]observations-276632'!X1025&lt;'[1]Methods write-up'!$T$16),"West and Central Africa","")</f>
        <v/>
      </c>
      <c r="AY1025" s="22" t="str">
        <f>IF(AND('[1]observations-276632'!W1025&gt;'[1]Methods write-up'!$Q$17,'[1]observations-276632'!W1025&lt;'[1]Methods write-up'!$R$17,'[1]observations-276632'!X1025&gt;'[1]Methods write-up'!$S$17,'[1]observations-276632'!X1025&lt;'[1]Methods write-up'!$T$17),"Equatorial tropical forest","")</f>
        <v/>
      </c>
      <c r="AZ1025" s="22" t="str">
        <f>IF(AND('[1]observations-276632'!W1025&gt;'[1]Methods write-up'!$Q$18,'[1]observations-276632'!W1025&lt;'[1]Methods write-up'!$R$18,'[1]observations-276632'!X1025&gt;'[1]Methods write-up'!$S$18,'[1]observations-276632'!X1025&lt;'[1]Methods write-up'!$T$18),"Somali peninsula","")</f>
        <v/>
      </c>
      <c r="BA1025" s="22" t="str">
        <f>IF(AND('[1]observations-276632'!W1025&gt;'[1]Methods write-up'!$Q$19,'[1]observations-276632'!W1025&lt;'[1]Methods write-up'!$R$19,'[1]observations-276632'!X1025&gt;'[1]Methods write-up'!$S$19,'[1]observations-276632'!X1025&lt;'[1]Methods write-up'!$T$19),"East Africa","")</f>
        <v/>
      </c>
      <c r="BB1025" s="22" t="str">
        <f>IF(AND('[1]observations-276632'!W1025&gt;'[1]Methods write-up'!$Q$20,'[1]observations-276632'!W1025&lt;'[1]Methods write-up'!$R$20,'[1]observations-276632'!X1025&gt;'[1]Methods write-up'!$S$20,'[1]observations-276632'!X1025&lt;'[1]Methods write-up'!$T$20),"Temperate seasonal","")</f>
        <v/>
      </c>
      <c r="BC1025" s="22" t="str">
        <f>IF(AND('[1]observations-276632'!W1025&gt;'[1]Methods write-up'!$Q$21,'[1]observations-276632'!W1025&lt;'[1]Methods write-up'!$R$21,'[1]observations-276632'!X1025&gt;'[1]Methods write-up'!$S$21,'[1]observations-276632'!X1025&lt;'[1]Methods write-up'!$T$21),"Desert and high aridity","")</f>
        <v/>
      </c>
      <c r="BD1025" s="23" t="str">
        <f t="shared" si="70"/>
        <v/>
      </c>
      <c r="BE1025" s="24">
        <f t="shared" si="68"/>
        <v>1</v>
      </c>
      <c r="BF1025" s="24">
        <f t="shared" si="69"/>
        <v>5</v>
      </c>
    </row>
    <row r="1026" spans="1:58" ht="16.25" customHeight="1" x14ac:dyDescent="0.2">
      <c r="A1026">
        <v>115611176</v>
      </c>
      <c r="B1026" s="25">
        <v>44629.45416666667</v>
      </c>
      <c r="C1026" s="14">
        <v>44629</v>
      </c>
      <c r="D1026" t="s">
        <v>7662</v>
      </c>
      <c r="E1026" t="s">
        <v>113</v>
      </c>
      <c r="F1026">
        <v>703114</v>
      </c>
      <c r="G1026" t="s">
        <v>2136</v>
      </c>
      <c r="H1026" t="s">
        <v>2137</v>
      </c>
      <c r="I1026" t="s">
        <v>7663</v>
      </c>
      <c r="J1026" t="s">
        <v>7664</v>
      </c>
      <c r="K1026" t="s">
        <v>62</v>
      </c>
      <c r="L1026" t="s">
        <v>98</v>
      </c>
      <c r="M1026" t="s">
        <v>7665</v>
      </c>
      <c r="N1026" t="s">
        <v>7666</v>
      </c>
      <c r="R1026">
        <v>2</v>
      </c>
      <c r="S1026">
        <v>0</v>
      </c>
      <c r="T1026" t="b">
        <v>0</v>
      </c>
      <c r="V1026" t="s">
        <v>7667</v>
      </c>
      <c r="W1026" s="15">
        <v>-30.611225000000001</v>
      </c>
      <c r="X1026" s="15">
        <v>22.47118</v>
      </c>
      <c r="AF1026" t="b">
        <v>0</v>
      </c>
      <c r="AI1026" t="s">
        <v>71</v>
      </c>
      <c r="AJ1026" t="s">
        <v>70</v>
      </c>
      <c r="AK1026" t="s">
        <v>71</v>
      </c>
      <c r="AL1026" t="s">
        <v>72</v>
      </c>
      <c r="AM1026">
        <v>346053</v>
      </c>
      <c r="AO1026" s="16" t="s">
        <v>1574</v>
      </c>
      <c r="AP1026" s="17" t="str">
        <f t="shared" si="73"/>
        <v>Nest (foundress)</v>
      </c>
      <c r="AQ1026" s="18">
        <v>1</v>
      </c>
      <c r="AT1026" s="19" t="s">
        <v>141</v>
      </c>
      <c r="AX1026" s="22" t="str">
        <f>IF(AND('[1]observations-276632'!W1026&gt;'[1]Methods write-up'!$Q$16,'[1]observations-276632'!W1026&lt;'[1]Methods write-up'!$R$16,'[1]observations-276632'!X1026&gt;'[1]Methods write-up'!$S$16,'[1]observations-276632'!X1026&lt;'[1]Methods write-up'!$T$16),"West and Central Africa","")</f>
        <v/>
      </c>
      <c r="AY1026" s="22" t="str">
        <f>IF(AND('[1]observations-276632'!W1026&gt;'[1]Methods write-up'!$Q$17,'[1]observations-276632'!W1026&lt;'[1]Methods write-up'!$R$17,'[1]observations-276632'!X1026&gt;'[1]Methods write-up'!$S$17,'[1]observations-276632'!X1026&lt;'[1]Methods write-up'!$T$17),"Equatorial tropical forest","")</f>
        <v/>
      </c>
      <c r="AZ1026" s="22" t="str">
        <f>IF(AND('[1]observations-276632'!W1026&gt;'[1]Methods write-up'!$Q$18,'[1]observations-276632'!W1026&lt;'[1]Methods write-up'!$R$18,'[1]observations-276632'!X1026&gt;'[1]Methods write-up'!$S$18,'[1]observations-276632'!X1026&lt;'[1]Methods write-up'!$T$18),"Somali peninsula","")</f>
        <v/>
      </c>
      <c r="BA1026" s="22" t="str">
        <f>IF(AND('[1]observations-276632'!W1026&gt;'[1]Methods write-up'!$Q$19,'[1]observations-276632'!W1026&lt;'[1]Methods write-up'!$R$19,'[1]observations-276632'!X1026&gt;'[1]Methods write-up'!$S$19,'[1]observations-276632'!X1026&lt;'[1]Methods write-up'!$T$19),"East Africa","")</f>
        <v/>
      </c>
      <c r="BB1026" s="22" t="str">
        <f>IF(AND('[1]observations-276632'!W1026&gt;'[1]Methods write-up'!$Q$20,'[1]observations-276632'!W1026&lt;'[1]Methods write-up'!$R$20,'[1]observations-276632'!X1026&gt;'[1]Methods write-up'!$S$20,'[1]observations-276632'!X1026&lt;'[1]Methods write-up'!$T$20),"Temperate seasonal","")</f>
        <v/>
      </c>
      <c r="BC1026" s="22" t="str">
        <f>IF(AND('[1]observations-276632'!W1026&gt;'[1]Methods write-up'!$Q$21,'[1]observations-276632'!W1026&lt;'[1]Methods write-up'!$R$21,'[1]observations-276632'!X1026&gt;'[1]Methods write-up'!$S$21,'[1]observations-276632'!X1026&lt;'[1]Methods write-up'!$T$21),"Desert and high aridity","")</f>
        <v/>
      </c>
      <c r="BD1026" s="23" t="str">
        <f t="shared" si="70"/>
        <v/>
      </c>
      <c r="BE1026" s="24">
        <f t="shared" ref="BE1026:BE1089" si="74">DAY(C1026)</f>
        <v>9</v>
      </c>
      <c r="BF1026" s="24">
        <f t="shared" ref="BF1026:BF1089" si="75">MONTH(C1026)</f>
        <v>3</v>
      </c>
    </row>
    <row r="1027" spans="1:58" ht="16.25" customHeight="1" x14ac:dyDescent="0.2">
      <c r="A1027">
        <v>115782079</v>
      </c>
      <c r="B1027" s="25">
        <v>44681.463194444441</v>
      </c>
      <c r="C1027" s="14">
        <v>44681</v>
      </c>
      <c r="D1027" t="s">
        <v>7668</v>
      </c>
      <c r="E1027" t="s">
        <v>113</v>
      </c>
      <c r="F1027">
        <v>1733683</v>
      </c>
      <c r="G1027" t="s">
        <v>5474</v>
      </c>
      <c r="H1027" t="s">
        <v>5475</v>
      </c>
      <c r="I1027" t="s">
        <v>7669</v>
      </c>
      <c r="J1027" t="s">
        <v>7670</v>
      </c>
      <c r="K1027" t="s">
        <v>62</v>
      </c>
      <c r="L1027" t="s">
        <v>63</v>
      </c>
      <c r="M1027" t="s">
        <v>7671</v>
      </c>
      <c r="N1027" t="s">
        <v>7672</v>
      </c>
      <c r="R1027">
        <v>3</v>
      </c>
      <c r="S1027">
        <v>0</v>
      </c>
      <c r="T1027" t="b">
        <v>0</v>
      </c>
      <c r="V1027" t="s">
        <v>7673</v>
      </c>
      <c r="W1027" s="15">
        <v>-29.807846900000001</v>
      </c>
      <c r="X1027" s="15">
        <v>31.038375599999998</v>
      </c>
      <c r="Y1027">
        <v>198</v>
      </c>
      <c r="AC1027">
        <v>198</v>
      </c>
      <c r="AF1027" t="b">
        <v>0</v>
      </c>
      <c r="AI1027" t="s">
        <v>71</v>
      </c>
      <c r="AJ1027" t="s">
        <v>70</v>
      </c>
      <c r="AK1027" t="s">
        <v>71</v>
      </c>
      <c r="AL1027" t="s">
        <v>72</v>
      </c>
      <c r="AM1027">
        <v>346053</v>
      </c>
      <c r="AO1027" s="16" t="s">
        <v>73</v>
      </c>
      <c r="AP1027" s="17" t="str">
        <f t="shared" si="73"/>
        <v>Off-nest female</v>
      </c>
      <c r="AX1027" s="22" t="str">
        <f>IF(AND('[1]observations-276632'!W1027&gt;'[1]Methods write-up'!$Q$16,'[1]observations-276632'!W1027&lt;'[1]Methods write-up'!$R$16,'[1]observations-276632'!X1027&gt;'[1]Methods write-up'!$S$16,'[1]observations-276632'!X1027&lt;'[1]Methods write-up'!$T$16),"West and Central Africa","")</f>
        <v/>
      </c>
      <c r="AY1027" s="22" t="str">
        <f>IF(AND('[1]observations-276632'!W1027&gt;'[1]Methods write-up'!$Q$17,'[1]observations-276632'!W1027&lt;'[1]Methods write-up'!$R$17,'[1]observations-276632'!X1027&gt;'[1]Methods write-up'!$S$17,'[1]observations-276632'!X1027&lt;'[1]Methods write-up'!$T$17),"Equatorial tropical forest","")</f>
        <v/>
      </c>
      <c r="AZ1027" s="22" t="str">
        <f>IF(AND('[1]observations-276632'!W1027&gt;'[1]Methods write-up'!$Q$18,'[1]observations-276632'!W1027&lt;'[1]Methods write-up'!$R$18,'[1]observations-276632'!X1027&gt;'[1]Methods write-up'!$S$18,'[1]observations-276632'!X1027&lt;'[1]Methods write-up'!$T$18),"Somali peninsula","")</f>
        <v/>
      </c>
      <c r="BA1027" s="22" t="str">
        <f>IF(AND('[1]observations-276632'!W1027&gt;'[1]Methods write-up'!$Q$19,'[1]observations-276632'!W1027&lt;'[1]Methods write-up'!$R$19,'[1]observations-276632'!X1027&gt;'[1]Methods write-up'!$S$19,'[1]observations-276632'!X1027&lt;'[1]Methods write-up'!$T$19),"East Africa","")</f>
        <v/>
      </c>
      <c r="BB1027" s="22" t="str">
        <f>IF(AND('[1]observations-276632'!W1027&gt;'[1]Methods write-up'!$Q$20,'[1]observations-276632'!W1027&lt;'[1]Methods write-up'!$R$20,'[1]observations-276632'!X1027&gt;'[1]Methods write-up'!$S$20,'[1]observations-276632'!X1027&lt;'[1]Methods write-up'!$T$20),"Temperate seasonal","")</f>
        <v>Temperate seasonal</v>
      </c>
      <c r="BC1027" s="22" t="str">
        <f>IF(AND('[1]observations-276632'!W1027&gt;'[1]Methods write-up'!$Q$21,'[1]observations-276632'!W1027&lt;'[1]Methods write-up'!$R$21,'[1]observations-276632'!X1027&gt;'[1]Methods write-up'!$S$21,'[1]observations-276632'!X1027&lt;'[1]Methods write-up'!$T$21),"Desert and high aridity","")</f>
        <v/>
      </c>
      <c r="BD1027" s="23" t="str">
        <f t="shared" ref="BD1027:BD1090" si="76">AX1027&amp;AY1027&amp;AZ1027&amp;BA1027&amp;BB1027&amp;BC1027</f>
        <v>Temperate seasonal</v>
      </c>
      <c r="BE1027" s="24">
        <f t="shared" si="74"/>
        <v>30</v>
      </c>
      <c r="BF1027" s="24">
        <f t="shared" si="75"/>
        <v>4</v>
      </c>
    </row>
    <row r="1028" spans="1:58" ht="16.25" customHeight="1" x14ac:dyDescent="0.2">
      <c r="A1028">
        <v>115886426</v>
      </c>
      <c r="B1028" s="25">
        <v>44685.699305555558</v>
      </c>
      <c r="C1028" s="14">
        <v>44685</v>
      </c>
      <c r="D1028" t="s">
        <v>7674</v>
      </c>
      <c r="E1028" t="s">
        <v>113</v>
      </c>
      <c r="F1028">
        <v>100845</v>
      </c>
      <c r="G1028" t="s">
        <v>1775</v>
      </c>
      <c r="H1028" t="s">
        <v>1776</v>
      </c>
      <c r="I1028" t="s">
        <v>7675</v>
      </c>
      <c r="J1028" t="s">
        <v>7676</v>
      </c>
      <c r="K1028" t="s">
        <v>62</v>
      </c>
      <c r="L1028" t="s">
        <v>98</v>
      </c>
      <c r="M1028" t="s">
        <v>7677</v>
      </c>
      <c r="N1028" t="s">
        <v>7678</v>
      </c>
      <c r="R1028">
        <v>3</v>
      </c>
      <c r="S1028">
        <v>0</v>
      </c>
      <c r="T1028" t="b">
        <v>0</v>
      </c>
      <c r="V1028" t="s">
        <v>4029</v>
      </c>
      <c r="W1028" s="15">
        <v>-25.661957019999999</v>
      </c>
      <c r="X1028" s="15">
        <v>27.945741640000001</v>
      </c>
      <c r="Y1028">
        <v>61</v>
      </c>
      <c r="AC1028">
        <v>61</v>
      </c>
      <c r="AF1028" t="b">
        <v>0</v>
      </c>
      <c r="AI1028" t="s">
        <v>71</v>
      </c>
      <c r="AJ1028" t="s">
        <v>70</v>
      </c>
      <c r="AK1028" t="s">
        <v>71</v>
      </c>
      <c r="AL1028" t="s">
        <v>72</v>
      </c>
      <c r="AM1028">
        <v>346053</v>
      </c>
      <c r="AO1028" s="16" t="s">
        <v>150</v>
      </c>
      <c r="AP1028" s="17" t="str">
        <f t="shared" si="73"/>
        <v>Male (off nest)</v>
      </c>
      <c r="AX1028" s="22" t="str">
        <f>IF(AND('[1]observations-276632'!W1028&gt;'[1]Methods write-up'!$Q$16,'[1]observations-276632'!W1028&lt;'[1]Methods write-up'!$R$16,'[1]observations-276632'!X1028&gt;'[1]Methods write-up'!$S$16,'[1]observations-276632'!X1028&lt;'[1]Methods write-up'!$T$16),"West and Central Africa","")</f>
        <v/>
      </c>
      <c r="AY1028" s="22" t="str">
        <f>IF(AND('[1]observations-276632'!W1028&gt;'[1]Methods write-up'!$Q$17,'[1]observations-276632'!W1028&lt;'[1]Methods write-up'!$R$17,'[1]observations-276632'!X1028&gt;'[1]Methods write-up'!$S$17,'[1]observations-276632'!X1028&lt;'[1]Methods write-up'!$T$17),"Equatorial tropical forest","")</f>
        <v/>
      </c>
      <c r="AZ1028" s="22" t="str">
        <f>IF(AND('[1]observations-276632'!W1028&gt;'[1]Methods write-up'!$Q$18,'[1]observations-276632'!W1028&lt;'[1]Methods write-up'!$R$18,'[1]observations-276632'!X1028&gt;'[1]Methods write-up'!$S$18,'[1]observations-276632'!X1028&lt;'[1]Methods write-up'!$T$18),"Somali peninsula","")</f>
        <v/>
      </c>
      <c r="BA1028" s="22" t="str">
        <f>IF(AND('[1]observations-276632'!W1028&gt;'[1]Methods write-up'!$Q$19,'[1]observations-276632'!W1028&lt;'[1]Methods write-up'!$R$19,'[1]observations-276632'!X1028&gt;'[1]Methods write-up'!$S$19,'[1]observations-276632'!X1028&lt;'[1]Methods write-up'!$T$19),"East Africa","")</f>
        <v/>
      </c>
      <c r="BB1028" s="22" t="str">
        <f>IF(AND('[1]observations-276632'!W1028&gt;'[1]Methods write-up'!$Q$20,'[1]observations-276632'!W1028&lt;'[1]Methods write-up'!$R$20,'[1]observations-276632'!X1028&gt;'[1]Methods write-up'!$S$20,'[1]observations-276632'!X1028&lt;'[1]Methods write-up'!$T$20),"Temperate seasonal","")</f>
        <v>Temperate seasonal</v>
      </c>
      <c r="BC1028" s="22" t="str">
        <f>IF(AND('[1]observations-276632'!W1028&gt;'[1]Methods write-up'!$Q$21,'[1]observations-276632'!W1028&lt;'[1]Methods write-up'!$R$21,'[1]observations-276632'!X1028&gt;'[1]Methods write-up'!$S$21,'[1]observations-276632'!X1028&lt;'[1]Methods write-up'!$T$21),"Desert and high aridity","")</f>
        <v/>
      </c>
      <c r="BD1028" s="23" t="str">
        <f t="shared" si="76"/>
        <v>Temperate seasonal</v>
      </c>
      <c r="BE1028" s="24">
        <f t="shared" si="74"/>
        <v>4</v>
      </c>
      <c r="BF1028" s="24">
        <f t="shared" si="75"/>
        <v>5</v>
      </c>
    </row>
    <row r="1029" spans="1:58" ht="16.25" customHeight="1" x14ac:dyDescent="0.2">
      <c r="A1029">
        <v>116477632</v>
      </c>
      <c r="B1029" s="25">
        <v>44656.446527777778</v>
      </c>
      <c r="C1029" s="14">
        <v>44656</v>
      </c>
      <c r="D1029" t="s">
        <v>7679</v>
      </c>
      <c r="E1029" t="s">
        <v>84</v>
      </c>
      <c r="F1029">
        <v>2370294</v>
      </c>
      <c r="G1029" t="s">
        <v>5411</v>
      </c>
      <c r="H1029" t="s">
        <v>5412</v>
      </c>
      <c r="I1029" t="s">
        <v>7680</v>
      </c>
      <c r="J1029" t="s">
        <v>7681</v>
      </c>
      <c r="K1029" t="s">
        <v>157</v>
      </c>
      <c r="L1029" t="s">
        <v>63</v>
      </c>
      <c r="M1029" t="s">
        <v>7682</v>
      </c>
      <c r="N1029" t="s">
        <v>7683</v>
      </c>
      <c r="R1029">
        <v>2</v>
      </c>
      <c r="S1029">
        <v>0</v>
      </c>
      <c r="T1029" t="b">
        <v>0</v>
      </c>
      <c r="V1029" t="s">
        <v>7684</v>
      </c>
      <c r="W1029" s="15">
        <v>-18.11757222</v>
      </c>
      <c r="X1029" s="15">
        <v>47.194511110000001</v>
      </c>
      <c r="Y1029">
        <v>7</v>
      </c>
      <c r="AC1029">
        <v>7</v>
      </c>
      <c r="AF1029" t="b">
        <v>0</v>
      </c>
      <c r="AI1029" t="s">
        <v>1474</v>
      </c>
      <c r="AJ1029" t="s">
        <v>1474</v>
      </c>
      <c r="AL1029" t="s">
        <v>72</v>
      </c>
      <c r="AM1029">
        <v>1391068</v>
      </c>
      <c r="AO1029" s="16" t="s">
        <v>73</v>
      </c>
      <c r="AP1029" s="17" t="str">
        <f t="shared" si="73"/>
        <v>Off-nest female</v>
      </c>
      <c r="AX1029" s="22" t="str">
        <f>IF(AND('[1]observations-276632'!W1029&gt;'[1]Methods write-up'!$Q$16,'[1]observations-276632'!W1029&lt;'[1]Methods write-up'!$R$16,'[1]observations-276632'!X1029&gt;'[1]Methods write-up'!$S$16,'[1]observations-276632'!X1029&lt;'[1]Methods write-up'!$T$16),"West and Central Africa","")</f>
        <v/>
      </c>
      <c r="AY1029" s="22" t="str">
        <f>IF(AND('[1]observations-276632'!W1029&gt;'[1]Methods write-up'!$Q$17,'[1]observations-276632'!W1029&lt;'[1]Methods write-up'!$R$17,'[1]observations-276632'!X1029&gt;'[1]Methods write-up'!$S$17,'[1]observations-276632'!X1029&lt;'[1]Methods write-up'!$T$17),"Equatorial tropical forest","")</f>
        <v/>
      </c>
      <c r="AZ1029" s="22" t="str">
        <f>IF(AND('[1]observations-276632'!W1029&gt;'[1]Methods write-up'!$Q$18,'[1]observations-276632'!W1029&lt;'[1]Methods write-up'!$R$18,'[1]observations-276632'!X1029&gt;'[1]Methods write-up'!$S$18,'[1]observations-276632'!X1029&lt;'[1]Methods write-up'!$T$18),"Somali peninsula","")</f>
        <v/>
      </c>
      <c r="BA1029" s="22" t="str">
        <f>IF(AND('[1]observations-276632'!W1029&gt;'[1]Methods write-up'!$Q$19,'[1]observations-276632'!W1029&lt;'[1]Methods write-up'!$R$19,'[1]observations-276632'!X1029&gt;'[1]Methods write-up'!$S$19,'[1]observations-276632'!X1029&lt;'[1]Methods write-up'!$T$19),"East Africa","")</f>
        <v/>
      </c>
      <c r="BB1029" s="22" t="str">
        <f>IF(AND('[1]observations-276632'!W1029&gt;'[1]Methods write-up'!$Q$20,'[1]observations-276632'!W1029&lt;'[1]Methods write-up'!$R$20,'[1]observations-276632'!X1029&gt;'[1]Methods write-up'!$S$20,'[1]observations-276632'!X1029&lt;'[1]Methods write-up'!$T$20),"Temperate seasonal","")</f>
        <v/>
      </c>
      <c r="BC1029" s="22" t="str">
        <f>IF(AND('[1]observations-276632'!W1029&gt;'[1]Methods write-up'!$Q$21,'[1]observations-276632'!W1029&lt;'[1]Methods write-up'!$R$21,'[1]observations-276632'!X1029&gt;'[1]Methods write-up'!$S$21,'[1]observations-276632'!X1029&lt;'[1]Methods write-up'!$T$21),"Desert and high aridity","")</f>
        <v/>
      </c>
      <c r="BD1029" s="23" t="str">
        <f t="shared" si="76"/>
        <v/>
      </c>
      <c r="BE1029" s="24">
        <f t="shared" si="74"/>
        <v>5</v>
      </c>
      <c r="BF1029" s="24">
        <f t="shared" si="75"/>
        <v>4</v>
      </c>
    </row>
    <row r="1030" spans="1:58" ht="16.25" customHeight="1" x14ac:dyDescent="0.2">
      <c r="A1030">
        <v>116566281</v>
      </c>
      <c r="B1030" t="s">
        <v>7685</v>
      </c>
      <c r="C1030" s="14">
        <v>44686</v>
      </c>
      <c r="D1030" t="s">
        <v>7686</v>
      </c>
      <c r="E1030" t="s">
        <v>113</v>
      </c>
      <c r="F1030">
        <v>1733683</v>
      </c>
      <c r="G1030" t="s">
        <v>5474</v>
      </c>
      <c r="H1030" t="s">
        <v>5475</v>
      </c>
      <c r="I1030" t="s">
        <v>7687</v>
      </c>
      <c r="J1030" t="s">
        <v>7688</v>
      </c>
      <c r="K1030" t="s">
        <v>62</v>
      </c>
      <c r="L1030" t="s">
        <v>63</v>
      </c>
      <c r="M1030" t="s">
        <v>7689</v>
      </c>
      <c r="N1030" t="s">
        <v>7690</v>
      </c>
      <c r="R1030">
        <v>3</v>
      </c>
      <c r="S1030">
        <v>0</v>
      </c>
      <c r="T1030" t="b">
        <v>0</v>
      </c>
      <c r="U1030">
        <v>3</v>
      </c>
      <c r="V1030" t="s">
        <v>5480</v>
      </c>
      <c r="W1030" s="15">
        <v>-29.783200000000001</v>
      </c>
      <c r="X1030" s="15">
        <v>30.722678330000001</v>
      </c>
      <c r="Y1030">
        <v>4</v>
      </c>
      <c r="AC1030">
        <v>4</v>
      </c>
      <c r="AF1030" t="b">
        <v>0</v>
      </c>
      <c r="AI1030" t="s">
        <v>71</v>
      </c>
      <c r="AJ1030" t="s">
        <v>70</v>
      </c>
      <c r="AK1030" t="s">
        <v>71</v>
      </c>
      <c r="AL1030" t="s">
        <v>72</v>
      </c>
      <c r="AM1030">
        <v>346053</v>
      </c>
      <c r="AO1030" s="16" t="s">
        <v>1067</v>
      </c>
      <c r="AP1030" s="17" t="str">
        <f t="shared" si="73"/>
        <v>Hibernation cluster</v>
      </c>
      <c r="AQ1030" s="18">
        <v>7</v>
      </c>
      <c r="AV1030" s="21" t="s">
        <v>7691</v>
      </c>
      <c r="AX1030" s="22" t="str">
        <f>IF(AND('[1]observations-276632'!W1030&gt;'[1]Methods write-up'!$Q$16,'[1]observations-276632'!W1030&lt;'[1]Methods write-up'!$R$16,'[1]observations-276632'!X1030&gt;'[1]Methods write-up'!$S$16,'[1]observations-276632'!X1030&lt;'[1]Methods write-up'!$T$16),"West and Central Africa","")</f>
        <v/>
      </c>
      <c r="AY1030" s="22" t="str">
        <f>IF(AND('[1]observations-276632'!W1030&gt;'[1]Methods write-up'!$Q$17,'[1]observations-276632'!W1030&lt;'[1]Methods write-up'!$R$17,'[1]observations-276632'!X1030&gt;'[1]Methods write-up'!$S$17,'[1]observations-276632'!X1030&lt;'[1]Methods write-up'!$T$17),"Equatorial tropical forest","")</f>
        <v/>
      </c>
      <c r="AZ1030" s="22" t="str">
        <f>IF(AND('[1]observations-276632'!W1030&gt;'[1]Methods write-up'!$Q$18,'[1]observations-276632'!W1030&lt;'[1]Methods write-up'!$R$18,'[1]observations-276632'!X1030&gt;'[1]Methods write-up'!$S$18,'[1]observations-276632'!X1030&lt;'[1]Methods write-up'!$T$18),"Somali peninsula","")</f>
        <v/>
      </c>
      <c r="BA1030" s="22" t="str">
        <f>IF(AND('[1]observations-276632'!W1030&gt;'[1]Methods write-up'!$Q$19,'[1]observations-276632'!W1030&lt;'[1]Methods write-up'!$R$19,'[1]observations-276632'!X1030&gt;'[1]Methods write-up'!$S$19,'[1]observations-276632'!X1030&lt;'[1]Methods write-up'!$T$19),"East Africa","")</f>
        <v/>
      </c>
      <c r="BB1030" s="22" t="str">
        <f>IF(AND('[1]observations-276632'!W1030&gt;'[1]Methods write-up'!$Q$20,'[1]observations-276632'!W1030&lt;'[1]Methods write-up'!$R$20,'[1]observations-276632'!X1030&gt;'[1]Methods write-up'!$S$20,'[1]observations-276632'!X1030&lt;'[1]Methods write-up'!$T$20),"Temperate seasonal","")</f>
        <v>Temperate seasonal</v>
      </c>
      <c r="BC1030" s="22" t="str">
        <f>IF(AND('[1]observations-276632'!W1030&gt;'[1]Methods write-up'!$Q$21,'[1]observations-276632'!W1030&lt;'[1]Methods write-up'!$R$21,'[1]observations-276632'!X1030&gt;'[1]Methods write-up'!$S$21,'[1]observations-276632'!X1030&lt;'[1]Methods write-up'!$T$21),"Desert and high aridity","")</f>
        <v/>
      </c>
      <c r="BD1030" s="23" t="str">
        <f t="shared" si="76"/>
        <v>Temperate seasonal</v>
      </c>
      <c r="BE1030" s="24">
        <f t="shared" si="74"/>
        <v>5</v>
      </c>
      <c r="BF1030" s="24">
        <f t="shared" si="75"/>
        <v>5</v>
      </c>
    </row>
    <row r="1031" spans="1:58" ht="16.25" customHeight="1" x14ac:dyDescent="0.2">
      <c r="A1031">
        <v>116576293</v>
      </c>
      <c r="B1031" s="25">
        <v>44690.477777777778</v>
      </c>
      <c r="C1031" s="14">
        <v>44690</v>
      </c>
      <c r="D1031" t="s">
        <v>7692</v>
      </c>
      <c r="E1031" t="s">
        <v>74</v>
      </c>
      <c r="F1031">
        <v>5338363</v>
      </c>
      <c r="G1031" t="s">
        <v>7693</v>
      </c>
      <c r="H1031" t="s">
        <v>7694</v>
      </c>
      <c r="I1031" t="s">
        <v>7695</v>
      </c>
      <c r="J1031" t="s">
        <v>7696</v>
      </c>
      <c r="K1031" t="s">
        <v>62</v>
      </c>
      <c r="M1031" t="s">
        <v>7697</v>
      </c>
      <c r="N1031" t="s">
        <v>7698</v>
      </c>
      <c r="R1031">
        <v>2</v>
      </c>
      <c r="S1031">
        <v>0</v>
      </c>
      <c r="T1031" t="b">
        <v>0</v>
      </c>
      <c r="U1031">
        <v>2</v>
      </c>
      <c r="V1031" t="s">
        <v>7699</v>
      </c>
      <c r="W1031" s="15">
        <v>-19.709193750000001</v>
      </c>
      <c r="X1031" s="15">
        <v>29.32129364</v>
      </c>
      <c r="Y1031">
        <v>8</v>
      </c>
      <c r="AC1031">
        <v>8</v>
      </c>
      <c r="AF1031" t="b">
        <v>0</v>
      </c>
      <c r="AI1031" t="s">
        <v>71</v>
      </c>
      <c r="AJ1031" t="s">
        <v>70</v>
      </c>
      <c r="AK1031" t="s">
        <v>71</v>
      </c>
      <c r="AL1031" t="s">
        <v>72</v>
      </c>
      <c r="AM1031">
        <v>346053</v>
      </c>
      <c r="AO1031" s="16" t="s">
        <v>73</v>
      </c>
      <c r="AP1031" s="17" t="str">
        <f t="shared" si="73"/>
        <v>Off-nest female</v>
      </c>
      <c r="AX1031" s="22" t="str">
        <f>IF(AND('[1]observations-276632'!W1031&gt;'[1]Methods write-up'!$Q$16,'[1]observations-276632'!W1031&lt;'[1]Methods write-up'!$R$16,'[1]observations-276632'!X1031&gt;'[1]Methods write-up'!$S$16,'[1]observations-276632'!X1031&lt;'[1]Methods write-up'!$T$16),"West and Central Africa","")</f>
        <v>West and Central Africa</v>
      </c>
      <c r="AY1031" s="22" t="str">
        <f>IF(AND('[1]observations-276632'!W1031&gt;'[1]Methods write-up'!$Q$17,'[1]observations-276632'!W1031&lt;'[1]Methods write-up'!$R$17,'[1]observations-276632'!X1031&gt;'[1]Methods write-up'!$S$17,'[1]observations-276632'!X1031&lt;'[1]Methods write-up'!$T$17),"Equatorial tropical forest","")</f>
        <v/>
      </c>
      <c r="AZ1031" s="22" t="str">
        <f>IF(AND('[1]observations-276632'!W1031&gt;'[1]Methods write-up'!$Q$18,'[1]observations-276632'!W1031&lt;'[1]Methods write-up'!$R$18,'[1]observations-276632'!X1031&gt;'[1]Methods write-up'!$S$18,'[1]observations-276632'!X1031&lt;'[1]Methods write-up'!$T$18),"Somali peninsula","")</f>
        <v/>
      </c>
      <c r="BA1031" s="22" t="str">
        <f>IF(AND('[1]observations-276632'!W1031&gt;'[1]Methods write-up'!$Q$19,'[1]observations-276632'!W1031&lt;'[1]Methods write-up'!$R$19,'[1]observations-276632'!X1031&gt;'[1]Methods write-up'!$S$19,'[1]observations-276632'!X1031&lt;'[1]Methods write-up'!$T$19),"East Africa","")</f>
        <v/>
      </c>
      <c r="BB1031" s="22" t="str">
        <f>IF(AND('[1]observations-276632'!W1031&gt;'[1]Methods write-up'!$Q$20,'[1]observations-276632'!W1031&lt;'[1]Methods write-up'!$R$20,'[1]observations-276632'!X1031&gt;'[1]Methods write-up'!$S$20,'[1]observations-276632'!X1031&lt;'[1]Methods write-up'!$T$20),"Temperate seasonal","")</f>
        <v/>
      </c>
      <c r="BC1031" s="22" t="str">
        <f>IF(AND('[1]observations-276632'!W1031&gt;'[1]Methods write-up'!$Q$21,'[1]observations-276632'!W1031&lt;'[1]Methods write-up'!$R$21,'[1]observations-276632'!X1031&gt;'[1]Methods write-up'!$S$21,'[1]observations-276632'!X1031&lt;'[1]Methods write-up'!$T$21),"Desert and high aridity","")</f>
        <v/>
      </c>
      <c r="BD1031" s="23" t="str">
        <f t="shared" si="76"/>
        <v>West and Central Africa</v>
      </c>
      <c r="BE1031" s="24">
        <f t="shared" si="74"/>
        <v>9</v>
      </c>
      <c r="BF1031" s="24">
        <f t="shared" si="75"/>
        <v>5</v>
      </c>
    </row>
    <row r="1032" spans="1:58" ht="16.25" customHeight="1" x14ac:dyDescent="0.2">
      <c r="A1032">
        <v>116589858</v>
      </c>
      <c r="B1032" s="25">
        <v>44692.730555555558</v>
      </c>
      <c r="C1032" s="14">
        <v>44692</v>
      </c>
      <c r="D1032" t="s">
        <v>7700</v>
      </c>
      <c r="E1032" t="s">
        <v>84</v>
      </c>
      <c r="F1032">
        <v>97044</v>
      </c>
      <c r="G1032" t="s">
        <v>1609</v>
      </c>
      <c r="H1032" t="s">
        <v>1610</v>
      </c>
      <c r="I1032" t="s">
        <v>7701</v>
      </c>
      <c r="J1032" t="s">
        <v>7702</v>
      </c>
      <c r="K1032" t="s">
        <v>62</v>
      </c>
      <c r="M1032" t="s">
        <v>7703</v>
      </c>
      <c r="N1032" t="s">
        <v>7704</v>
      </c>
      <c r="R1032">
        <v>1</v>
      </c>
      <c r="S1032">
        <v>0</v>
      </c>
      <c r="T1032" t="b">
        <v>0</v>
      </c>
      <c r="U1032">
        <v>2</v>
      </c>
      <c r="V1032" t="s">
        <v>1615</v>
      </c>
      <c r="W1032" s="15">
        <v>-1.093321972</v>
      </c>
      <c r="X1032" s="15">
        <v>35.857056</v>
      </c>
      <c r="AF1032" t="b">
        <v>0</v>
      </c>
      <c r="AG1032" t="s">
        <v>350</v>
      </c>
      <c r="AH1032" t="s">
        <v>350</v>
      </c>
      <c r="AI1032" t="s">
        <v>71</v>
      </c>
      <c r="AJ1032" t="s">
        <v>70</v>
      </c>
      <c r="AK1032" t="s">
        <v>71</v>
      </c>
      <c r="AL1032" t="s">
        <v>72</v>
      </c>
      <c r="AM1032">
        <v>346053</v>
      </c>
      <c r="AO1032" s="16" t="s">
        <v>73</v>
      </c>
      <c r="AP1032" s="17" t="str">
        <f t="shared" si="73"/>
        <v>Off-nest female</v>
      </c>
      <c r="AX1032" s="22" t="str">
        <f>IF(AND('[1]observations-276632'!W1032&gt;'[1]Methods write-up'!$Q$16,'[1]observations-276632'!W1032&lt;'[1]Methods write-up'!$R$16,'[1]observations-276632'!X1032&gt;'[1]Methods write-up'!$S$16,'[1]observations-276632'!X1032&lt;'[1]Methods write-up'!$T$16),"West and Central Africa","")</f>
        <v/>
      </c>
      <c r="AY1032" s="22" t="str">
        <f>IF(AND('[1]observations-276632'!W1032&gt;'[1]Methods write-up'!$Q$17,'[1]observations-276632'!W1032&lt;'[1]Methods write-up'!$R$17,'[1]observations-276632'!X1032&gt;'[1]Methods write-up'!$S$17,'[1]observations-276632'!X1032&lt;'[1]Methods write-up'!$T$17),"Equatorial tropical forest","")</f>
        <v/>
      </c>
      <c r="AZ1032" s="22" t="str">
        <f>IF(AND('[1]observations-276632'!W1032&gt;'[1]Methods write-up'!$Q$18,'[1]observations-276632'!W1032&lt;'[1]Methods write-up'!$R$18,'[1]observations-276632'!X1032&gt;'[1]Methods write-up'!$S$18,'[1]observations-276632'!X1032&lt;'[1]Methods write-up'!$T$18),"Somali peninsula","")</f>
        <v/>
      </c>
      <c r="BA1032" s="22" t="str">
        <f>IF(AND('[1]observations-276632'!W1032&gt;'[1]Methods write-up'!$Q$19,'[1]observations-276632'!W1032&lt;'[1]Methods write-up'!$R$19,'[1]observations-276632'!X1032&gt;'[1]Methods write-up'!$S$19,'[1]observations-276632'!X1032&lt;'[1]Methods write-up'!$T$19),"East Africa","")</f>
        <v>East Africa</v>
      </c>
      <c r="BB1032" s="22" t="str">
        <f>IF(AND('[1]observations-276632'!W1032&gt;'[1]Methods write-up'!$Q$20,'[1]observations-276632'!W1032&lt;'[1]Methods write-up'!$R$20,'[1]observations-276632'!X1032&gt;'[1]Methods write-up'!$S$20,'[1]observations-276632'!X1032&lt;'[1]Methods write-up'!$T$20),"Temperate seasonal","")</f>
        <v/>
      </c>
      <c r="BC1032" s="22" t="str">
        <f>IF(AND('[1]observations-276632'!W1032&gt;'[1]Methods write-up'!$Q$21,'[1]observations-276632'!W1032&lt;'[1]Methods write-up'!$R$21,'[1]observations-276632'!X1032&gt;'[1]Methods write-up'!$S$21,'[1]observations-276632'!X1032&lt;'[1]Methods write-up'!$T$21),"Desert and high aridity","")</f>
        <v/>
      </c>
      <c r="BD1032" s="23" t="str">
        <f t="shared" si="76"/>
        <v>East Africa</v>
      </c>
      <c r="BE1032" s="24">
        <f t="shared" si="74"/>
        <v>11</v>
      </c>
      <c r="BF1032" s="24">
        <f t="shared" si="75"/>
        <v>5</v>
      </c>
    </row>
    <row r="1033" spans="1:58" ht="16.25" customHeight="1" x14ac:dyDescent="0.2">
      <c r="A1033">
        <v>116802783</v>
      </c>
      <c r="B1033" s="25">
        <v>44693.454861111109</v>
      </c>
      <c r="C1033" s="14">
        <v>44693</v>
      </c>
      <c r="D1033" t="s">
        <v>7705</v>
      </c>
      <c r="E1033" t="s">
        <v>113</v>
      </c>
      <c r="F1033">
        <v>676977</v>
      </c>
      <c r="G1033" t="s">
        <v>4820</v>
      </c>
      <c r="H1033" t="s">
        <v>4821</v>
      </c>
      <c r="I1033" t="s">
        <v>7706</v>
      </c>
      <c r="J1033" t="s">
        <v>7707</v>
      </c>
      <c r="K1033" t="s">
        <v>62</v>
      </c>
      <c r="L1033" t="s">
        <v>261</v>
      </c>
      <c r="M1033" t="s">
        <v>7708</v>
      </c>
      <c r="N1033" t="s">
        <v>7709</v>
      </c>
      <c r="Q1033" t="s">
        <v>7710</v>
      </c>
      <c r="R1033">
        <v>0</v>
      </c>
      <c r="S1033">
        <v>0</v>
      </c>
      <c r="T1033" t="b">
        <v>0</v>
      </c>
      <c r="V1033" t="s">
        <v>4826</v>
      </c>
      <c r="W1033" s="15">
        <v>-24.7031934</v>
      </c>
      <c r="X1033" s="15">
        <v>28.3870778</v>
      </c>
      <c r="Y1033">
        <v>1106</v>
      </c>
      <c r="AC1033">
        <v>1106</v>
      </c>
      <c r="AF1033" t="b">
        <v>0</v>
      </c>
      <c r="AI1033" t="s">
        <v>2004</v>
      </c>
      <c r="AJ1033" t="s">
        <v>2004</v>
      </c>
      <c r="AL1033" t="s">
        <v>72</v>
      </c>
      <c r="AM1033">
        <v>652802</v>
      </c>
      <c r="AO1033" s="16" t="s">
        <v>73</v>
      </c>
      <c r="AP1033" s="17" t="str">
        <f t="shared" si="73"/>
        <v>Off-nest female</v>
      </c>
      <c r="AX1033" s="22" t="str">
        <f>IF(AND('[1]observations-276632'!W1033&gt;'[1]Methods write-up'!$Q$16,'[1]observations-276632'!W1033&lt;'[1]Methods write-up'!$R$16,'[1]observations-276632'!X1033&gt;'[1]Methods write-up'!$S$16,'[1]observations-276632'!X1033&lt;'[1]Methods write-up'!$T$16),"West and Central Africa","")</f>
        <v/>
      </c>
      <c r="AY1033" s="22" t="str">
        <f>IF(AND('[1]observations-276632'!W1033&gt;'[1]Methods write-up'!$Q$17,'[1]observations-276632'!W1033&lt;'[1]Methods write-up'!$R$17,'[1]observations-276632'!X1033&gt;'[1]Methods write-up'!$S$17,'[1]observations-276632'!X1033&lt;'[1]Methods write-up'!$T$17),"Equatorial tropical forest","")</f>
        <v/>
      </c>
      <c r="AZ1033" s="22" t="str">
        <f>IF(AND('[1]observations-276632'!W1033&gt;'[1]Methods write-up'!$Q$18,'[1]observations-276632'!W1033&lt;'[1]Methods write-up'!$R$18,'[1]observations-276632'!X1033&gt;'[1]Methods write-up'!$S$18,'[1]observations-276632'!X1033&lt;'[1]Methods write-up'!$T$18),"Somali peninsula","")</f>
        <v/>
      </c>
      <c r="BA1033" s="22" t="str">
        <f>IF(AND('[1]observations-276632'!W1033&gt;'[1]Methods write-up'!$Q$19,'[1]observations-276632'!W1033&lt;'[1]Methods write-up'!$R$19,'[1]observations-276632'!X1033&gt;'[1]Methods write-up'!$S$19,'[1]observations-276632'!X1033&lt;'[1]Methods write-up'!$T$19),"East Africa","")</f>
        <v/>
      </c>
      <c r="BB1033" s="22" t="str">
        <f>IF(AND('[1]observations-276632'!W1033&gt;'[1]Methods write-up'!$Q$20,'[1]observations-276632'!W1033&lt;'[1]Methods write-up'!$R$20,'[1]observations-276632'!X1033&gt;'[1]Methods write-up'!$S$20,'[1]observations-276632'!X1033&lt;'[1]Methods write-up'!$T$20),"Temperate seasonal","")</f>
        <v/>
      </c>
      <c r="BC1033" s="22" t="str">
        <f>IF(AND('[1]observations-276632'!W1033&gt;'[1]Methods write-up'!$Q$21,'[1]observations-276632'!W1033&lt;'[1]Methods write-up'!$R$21,'[1]observations-276632'!X1033&gt;'[1]Methods write-up'!$S$21,'[1]observations-276632'!X1033&lt;'[1]Methods write-up'!$T$21),"Desert and high aridity","")</f>
        <v/>
      </c>
      <c r="BD1033" s="23" t="str">
        <f t="shared" si="76"/>
        <v/>
      </c>
      <c r="BE1033" s="24">
        <f t="shared" si="74"/>
        <v>12</v>
      </c>
      <c r="BF1033" s="24">
        <f t="shared" si="75"/>
        <v>5</v>
      </c>
    </row>
    <row r="1034" spans="1:58" ht="16.25" customHeight="1" x14ac:dyDescent="0.2">
      <c r="A1034">
        <v>116878273</v>
      </c>
      <c r="B1034" t="s">
        <v>7711</v>
      </c>
      <c r="C1034" s="14">
        <v>44694</v>
      </c>
      <c r="D1034" t="s">
        <v>7712</v>
      </c>
      <c r="E1034" t="s">
        <v>74</v>
      </c>
      <c r="F1034">
        <v>97364</v>
      </c>
      <c r="G1034" t="s">
        <v>7713</v>
      </c>
      <c r="I1034" t="s">
        <v>7714</v>
      </c>
      <c r="J1034" t="s">
        <v>7715</v>
      </c>
      <c r="K1034" t="s">
        <v>62</v>
      </c>
      <c r="L1034" t="s">
        <v>63</v>
      </c>
      <c r="M1034" t="s">
        <v>7716</v>
      </c>
      <c r="N1034" t="s">
        <v>7717</v>
      </c>
      <c r="R1034">
        <v>1</v>
      </c>
      <c r="S1034">
        <v>0</v>
      </c>
      <c r="T1034" t="b">
        <v>0</v>
      </c>
      <c r="U1034">
        <v>333</v>
      </c>
      <c r="V1034" t="s">
        <v>7718</v>
      </c>
      <c r="W1034" s="15">
        <v>-17.930305480000001</v>
      </c>
      <c r="X1034" s="15">
        <v>25.842185969999999</v>
      </c>
      <c r="AF1034" t="b">
        <v>0</v>
      </c>
      <c r="AI1034" t="s">
        <v>71</v>
      </c>
      <c r="AJ1034" t="s">
        <v>70</v>
      </c>
      <c r="AK1034" t="s">
        <v>71</v>
      </c>
      <c r="AL1034" t="s">
        <v>72</v>
      </c>
      <c r="AM1034">
        <v>346053</v>
      </c>
      <c r="AO1034" s="16" t="s">
        <v>73</v>
      </c>
      <c r="AP1034" s="17" t="str">
        <f t="shared" si="73"/>
        <v>Off-nest female</v>
      </c>
      <c r="AX1034" s="22" t="str">
        <f>IF(AND('[1]observations-276632'!W1034&gt;'[1]Methods write-up'!$Q$16,'[1]observations-276632'!W1034&lt;'[1]Methods write-up'!$R$16,'[1]observations-276632'!X1034&gt;'[1]Methods write-up'!$S$16,'[1]observations-276632'!X1034&lt;'[1]Methods write-up'!$T$16),"West and Central Africa","")</f>
        <v>West and Central Africa</v>
      </c>
      <c r="AY1034" s="22" t="str">
        <f>IF(AND('[1]observations-276632'!W1034&gt;'[1]Methods write-up'!$Q$17,'[1]observations-276632'!W1034&lt;'[1]Methods write-up'!$R$17,'[1]observations-276632'!X1034&gt;'[1]Methods write-up'!$S$17,'[1]observations-276632'!X1034&lt;'[1]Methods write-up'!$T$17),"Equatorial tropical forest","")</f>
        <v/>
      </c>
      <c r="AZ1034" s="22" t="str">
        <f>IF(AND('[1]observations-276632'!W1034&gt;'[1]Methods write-up'!$Q$18,'[1]observations-276632'!W1034&lt;'[1]Methods write-up'!$R$18,'[1]observations-276632'!X1034&gt;'[1]Methods write-up'!$S$18,'[1]observations-276632'!X1034&lt;'[1]Methods write-up'!$T$18),"Somali peninsula","")</f>
        <v/>
      </c>
      <c r="BA1034" s="22" t="str">
        <f>IF(AND('[1]observations-276632'!W1034&gt;'[1]Methods write-up'!$Q$19,'[1]observations-276632'!W1034&lt;'[1]Methods write-up'!$R$19,'[1]observations-276632'!X1034&gt;'[1]Methods write-up'!$S$19,'[1]observations-276632'!X1034&lt;'[1]Methods write-up'!$T$19),"East Africa","")</f>
        <v/>
      </c>
      <c r="BB1034" s="22" t="str">
        <f>IF(AND('[1]observations-276632'!W1034&gt;'[1]Methods write-up'!$Q$20,'[1]observations-276632'!W1034&lt;'[1]Methods write-up'!$R$20,'[1]observations-276632'!X1034&gt;'[1]Methods write-up'!$S$20,'[1]observations-276632'!X1034&lt;'[1]Methods write-up'!$T$20),"Temperate seasonal","")</f>
        <v/>
      </c>
      <c r="BC1034" s="22" t="str">
        <f>IF(AND('[1]observations-276632'!W1034&gt;'[1]Methods write-up'!$Q$21,'[1]observations-276632'!W1034&lt;'[1]Methods write-up'!$R$21,'[1]observations-276632'!X1034&gt;'[1]Methods write-up'!$S$21,'[1]observations-276632'!X1034&lt;'[1]Methods write-up'!$T$21),"Desert and high aridity","")</f>
        <v/>
      </c>
      <c r="BD1034" s="23" t="str">
        <f t="shared" si="76"/>
        <v>West and Central Africa</v>
      </c>
      <c r="BE1034" s="24">
        <f t="shared" si="74"/>
        <v>13</v>
      </c>
      <c r="BF1034" s="24">
        <f t="shared" si="75"/>
        <v>5</v>
      </c>
    </row>
    <row r="1035" spans="1:58" ht="16.25" customHeight="1" x14ac:dyDescent="0.2">
      <c r="A1035">
        <v>117145645</v>
      </c>
      <c r="B1035" s="25">
        <v>44695.802083333336</v>
      </c>
      <c r="C1035" s="14">
        <v>44695</v>
      </c>
      <c r="D1035" t="s">
        <v>7719</v>
      </c>
      <c r="E1035" t="s">
        <v>84</v>
      </c>
      <c r="F1035">
        <v>3444</v>
      </c>
      <c r="G1035" t="s">
        <v>7720</v>
      </c>
      <c r="H1035" t="s">
        <v>7721</v>
      </c>
      <c r="I1035" t="s">
        <v>7722</v>
      </c>
      <c r="J1035" t="s">
        <v>7723</v>
      </c>
      <c r="K1035" t="s">
        <v>62</v>
      </c>
      <c r="M1035" t="s">
        <v>7724</v>
      </c>
      <c r="N1035" t="s">
        <v>7725</v>
      </c>
      <c r="R1035">
        <v>2</v>
      </c>
      <c r="S1035">
        <v>0</v>
      </c>
      <c r="T1035" t="b">
        <v>0</v>
      </c>
      <c r="V1035" t="s">
        <v>7726</v>
      </c>
      <c r="W1035" s="15">
        <v>-16.31159894</v>
      </c>
      <c r="X1035" s="15">
        <v>46.814673800000001</v>
      </c>
      <c r="Y1035">
        <v>8</v>
      </c>
      <c r="AC1035">
        <v>8</v>
      </c>
      <c r="AF1035" t="b">
        <v>0</v>
      </c>
      <c r="AI1035" t="s">
        <v>71</v>
      </c>
      <c r="AJ1035" t="s">
        <v>70</v>
      </c>
      <c r="AK1035" t="s">
        <v>71</v>
      </c>
      <c r="AL1035" t="s">
        <v>72</v>
      </c>
      <c r="AM1035">
        <v>346053</v>
      </c>
      <c r="AO1035" s="16" t="s">
        <v>1574</v>
      </c>
      <c r="AP1035" s="17" t="str">
        <f t="shared" si="73"/>
        <v>Nest (foundress)</v>
      </c>
      <c r="AQ1035" s="18">
        <v>1</v>
      </c>
      <c r="AT1035" s="19" t="s">
        <v>141</v>
      </c>
      <c r="AV1035" s="21" t="s">
        <v>7727</v>
      </c>
      <c r="AX1035" s="22" t="str">
        <f>IF(AND('[1]observations-276632'!W1035&gt;'[1]Methods write-up'!$Q$16,'[1]observations-276632'!W1035&lt;'[1]Methods write-up'!$R$16,'[1]observations-276632'!X1035&gt;'[1]Methods write-up'!$S$16,'[1]observations-276632'!X1035&lt;'[1]Methods write-up'!$T$16),"West and Central Africa","")</f>
        <v/>
      </c>
      <c r="AY1035" s="22" t="str">
        <f>IF(AND('[1]observations-276632'!W1035&gt;'[1]Methods write-up'!$Q$17,'[1]observations-276632'!W1035&lt;'[1]Methods write-up'!$R$17,'[1]observations-276632'!X1035&gt;'[1]Methods write-up'!$S$17,'[1]observations-276632'!X1035&lt;'[1]Methods write-up'!$T$17),"Equatorial tropical forest","")</f>
        <v/>
      </c>
      <c r="AZ1035" s="22" t="str">
        <f>IF(AND('[1]observations-276632'!W1035&gt;'[1]Methods write-up'!$Q$18,'[1]observations-276632'!W1035&lt;'[1]Methods write-up'!$R$18,'[1]observations-276632'!X1035&gt;'[1]Methods write-up'!$S$18,'[1]observations-276632'!X1035&lt;'[1]Methods write-up'!$T$18),"Somali peninsula","")</f>
        <v/>
      </c>
      <c r="BA1035" s="22" t="str">
        <f>IF(AND('[1]observations-276632'!W1035&gt;'[1]Methods write-up'!$Q$19,'[1]observations-276632'!W1035&lt;'[1]Methods write-up'!$R$19,'[1]observations-276632'!X1035&gt;'[1]Methods write-up'!$S$19,'[1]observations-276632'!X1035&lt;'[1]Methods write-up'!$T$19),"East Africa","")</f>
        <v/>
      </c>
      <c r="BB1035" s="22" t="str">
        <f>IF(AND('[1]observations-276632'!W1035&gt;'[1]Methods write-up'!$Q$20,'[1]observations-276632'!W1035&lt;'[1]Methods write-up'!$R$20,'[1]observations-276632'!X1035&gt;'[1]Methods write-up'!$S$20,'[1]observations-276632'!X1035&lt;'[1]Methods write-up'!$T$20),"Temperate seasonal","")</f>
        <v/>
      </c>
      <c r="BC1035" s="22" t="str">
        <f>IF(AND('[1]observations-276632'!W1035&gt;'[1]Methods write-up'!$Q$21,'[1]observations-276632'!W1035&lt;'[1]Methods write-up'!$R$21,'[1]observations-276632'!X1035&gt;'[1]Methods write-up'!$S$21,'[1]observations-276632'!X1035&lt;'[1]Methods write-up'!$T$21),"Desert and high aridity","")</f>
        <v/>
      </c>
      <c r="BD1035" s="23" t="str">
        <f t="shared" si="76"/>
        <v/>
      </c>
      <c r="BE1035" s="24">
        <f t="shared" si="74"/>
        <v>14</v>
      </c>
      <c r="BF1035" s="24">
        <f t="shared" si="75"/>
        <v>5</v>
      </c>
    </row>
    <row r="1036" spans="1:58" ht="16.25" customHeight="1" x14ac:dyDescent="0.2">
      <c r="A1036">
        <v>117149292</v>
      </c>
      <c r="B1036" s="25">
        <v>44695.813888888886</v>
      </c>
      <c r="C1036" s="14">
        <v>44695</v>
      </c>
      <c r="D1036" t="s">
        <v>7728</v>
      </c>
      <c r="E1036" t="s">
        <v>84</v>
      </c>
      <c r="F1036">
        <v>3444</v>
      </c>
      <c r="G1036" t="s">
        <v>7720</v>
      </c>
      <c r="H1036" t="s">
        <v>7721</v>
      </c>
      <c r="I1036" t="s">
        <v>7729</v>
      </c>
      <c r="J1036" t="s">
        <v>7730</v>
      </c>
      <c r="K1036" t="s">
        <v>62</v>
      </c>
      <c r="M1036" t="s">
        <v>7731</v>
      </c>
      <c r="N1036" t="s">
        <v>7732</v>
      </c>
      <c r="R1036">
        <v>2</v>
      </c>
      <c r="S1036">
        <v>0</v>
      </c>
      <c r="T1036" t="b">
        <v>0</v>
      </c>
      <c r="V1036" t="s">
        <v>7726</v>
      </c>
      <c r="W1036" s="15">
        <v>-16.311826020000002</v>
      </c>
      <c r="X1036" s="15">
        <v>46.8134218</v>
      </c>
      <c r="Y1036">
        <v>31</v>
      </c>
      <c r="AC1036">
        <v>31</v>
      </c>
      <c r="AF1036" t="b">
        <v>0</v>
      </c>
      <c r="AI1036" t="s">
        <v>71</v>
      </c>
      <c r="AJ1036" t="s">
        <v>70</v>
      </c>
      <c r="AK1036" t="s">
        <v>71</v>
      </c>
      <c r="AL1036" t="s">
        <v>72</v>
      </c>
      <c r="AM1036">
        <v>346053</v>
      </c>
      <c r="AO1036" s="16" t="s">
        <v>140</v>
      </c>
      <c r="AP1036" s="17" t="str">
        <f t="shared" si="73"/>
        <v>Post-emergence nest</v>
      </c>
      <c r="AQ1036" s="18">
        <v>11</v>
      </c>
      <c r="AT1036" s="19" t="s">
        <v>141</v>
      </c>
      <c r="AU1036" s="20" t="s">
        <v>104</v>
      </c>
      <c r="AX1036" s="22" t="str">
        <f>IF(AND('[1]observations-276632'!W1036&gt;'[1]Methods write-up'!$Q$16,'[1]observations-276632'!W1036&lt;'[1]Methods write-up'!$R$16,'[1]observations-276632'!X1036&gt;'[1]Methods write-up'!$S$16,'[1]observations-276632'!X1036&lt;'[1]Methods write-up'!$T$16),"West and Central Africa","")</f>
        <v/>
      </c>
      <c r="AY1036" s="22" t="str">
        <f>IF(AND('[1]observations-276632'!W1036&gt;'[1]Methods write-up'!$Q$17,'[1]observations-276632'!W1036&lt;'[1]Methods write-up'!$R$17,'[1]observations-276632'!X1036&gt;'[1]Methods write-up'!$S$17,'[1]observations-276632'!X1036&lt;'[1]Methods write-up'!$T$17),"Equatorial tropical forest","")</f>
        <v/>
      </c>
      <c r="AZ1036" s="22" t="str">
        <f>IF(AND('[1]observations-276632'!W1036&gt;'[1]Methods write-up'!$Q$18,'[1]observations-276632'!W1036&lt;'[1]Methods write-up'!$R$18,'[1]observations-276632'!X1036&gt;'[1]Methods write-up'!$S$18,'[1]observations-276632'!X1036&lt;'[1]Methods write-up'!$T$18),"Somali peninsula","")</f>
        <v/>
      </c>
      <c r="BA1036" s="22" t="str">
        <f>IF(AND('[1]observations-276632'!W1036&gt;'[1]Methods write-up'!$Q$19,'[1]observations-276632'!W1036&lt;'[1]Methods write-up'!$R$19,'[1]observations-276632'!X1036&gt;'[1]Methods write-up'!$S$19,'[1]observations-276632'!X1036&lt;'[1]Methods write-up'!$T$19),"East Africa","")</f>
        <v/>
      </c>
      <c r="BB1036" s="22" t="str">
        <f>IF(AND('[1]observations-276632'!W1036&gt;'[1]Methods write-up'!$Q$20,'[1]observations-276632'!W1036&lt;'[1]Methods write-up'!$R$20,'[1]observations-276632'!X1036&gt;'[1]Methods write-up'!$S$20,'[1]observations-276632'!X1036&lt;'[1]Methods write-up'!$T$20),"Temperate seasonal","")</f>
        <v/>
      </c>
      <c r="BC1036" s="22" t="str">
        <f>IF(AND('[1]observations-276632'!W1036&gt;'[1]Methods write-up'!$Q$21,'[1]observations-276632'!W1036&lt;'[1]Methods write-up'!$R$21,'[1]observations-276632'!X1036&gt;'[1]Methods write-up'!$S$21,'[1]observations-276632'!X1036&lt;'[1]Methods write-up'!$T$21),"Desert and high aridity","")</f>
        <v/>
      </c>
      <c r="BD1036" s="23" t="str">
        <f t="shared" si="76"/>
        <v/>
      </c>
      <c r="BE1036" s="24">
        <f t="shared" si="74"/>
        <v>14</v>
      </c>
      <c r="BF1036" s="24">
        <f t="shared" si="75"/>
        <v>5</v>
      </c>
    </row>
    <row r="1037" spans="1:58" ht="16.25" customHeight="1" x14ac:dyDescent="0.2">
      <c r="A1037">
        <v>117269693</v>
      </c>
      <c r="B1037" s="25">
        <v>44693.507638888892</v>
      </c>
      <c r="C1037" s="14">
        <v>44693</v>
      </c>
      <c r="D1037" t="s">
        <v>7733</v>
      </c>
      <c r="E1037" t="s">
        <v>84</v>
      </c>
      <c r="F1037">
        <v>5393069</v>
      </c>
      <c r="G1037" t="s">
        <v>7734</v>
      </c>
      <c r="H1037" t="s">
        <v>7735</v>
      </c>
      <c r="I1037" t="s">
        <v>7736</v>
      </c>
      <c r="J1037" t="s">
        <v>7737</v>
      </c>
      <c r="K1037" t="s">
        <v>62</v>
      </c>
      <c r="M1037" t="s">
        <v>7738</v>
      </c>
      <c r="N1037" t="s">
        <v>7739</v>
      </c>
      <c r="R1037">
        <v>0</v>
      </c>
      <c r="S1037">
        <v>0</v>
      </c>
      <c r="T1037" t="b">
        <v>0</v>
      </c>
      <c r="U1037">
        <v>2</v>
      </c>
      <c r="V1037" t="s">
        <v>7740</v>
      </c>
      <c r="W1037" s="15">
        <v>-6.1303890000000001</v>
      </c>
      <c r="X1037" s="15">
        <v>35.954771000000001</v>
      </c>
      <c r="AF1037" t="b">
        <v>0</v>
      </c>
      <c r="AG1037" t="s">
        <v>350</v>
      </c>
      <c r="AH1037" t="s">
        <v>350</v>
      </c>
      <c r="AI1037" t="s">
        <v>71</v>
      </c>
      <c r="AJ1037" t="s">
        <v>70</v>
      </c>
      <c r="AK1037" t="s">
        <v>71</v>
      </c>
      <c r="AL1037" t="s">
        <v>72</v>
      </c>
      <c r="AM1037">
        <v>346053</v>
      </c>
      <c r="AO1037" s="16" t="s">
        <v>2421</v>
      </c>
      <c r="AP1037" s="16"/>
      <c r="AX1037" s="22" t="str">
        <f>IF(AND('[1]observations-276632'!W1037&gt;'[1]Methods write-up'!$Q$16,'[1]observations-276632'!W1037&lt;'[1]Methods write-up'!$R$16,'[1]observations-276632'!X1037&gt;'[1]Methods write-up'!$S$16,'[1]observations-276632'!X1037&lt;'[1]Methods write-up'!$T$16),"West Africa","")</f>
        <v/>
      </c>
      <c r="AY1037" s="22" t="str">
        <f>IF(AND('[1]observations-276632'!W1037&gt;'[1]Methods write-up'!$Q$17,'[1]observations-276632'!W1037&lt;'[1]Methods write-up'!$R$17,'[1]observations-276632'!X1037&gt;'[1]Methods write-up'!$S$17,'[1]observations-276632'!X1037&lt;'[1]Methods write-up'!$T$17),"Equatorial tropical forest","")</f>
        <v/>
      </c>
      <c r="AZ1037" s="22" t="str">
        <f>IF(AND('[1]observations-276632'!W1037&gt;'[1]Methods write-up'!$Q$18,'[1]observations-276632'!W1037&lt;'[1]Methods write-up'!$R$18,'[1]observations-276632'!X1037&gt;'[1]Methods write-up'!$S$18,'[1]observations-276632'!X1037&lt;'[1]Methods write-up'!$T$18),"Somali peninsula","")</f>
        <v/>
      </c>
      <c r="BA1037" s="22" t="str">
        <f>IF(AND('[1]observations-276632'!W1037&gt;'[1]Methods write-up'!$Q$19,'[1]observations-276632'!W1037&lt;'[1]Methods write-up'!$R$19,'[1]observations-276632'!X1037&gt;'[1]Methods write-up'!$S$19,'[1]observations-276632'!X1037&lt;'[1]Methods write-up'!$T$19),"East Africa","")</f>
        <v>East Africa</v>
      </c>
      <c r="BB1037" s="22" t="str">
        <f>IF(AND('[1]observations-276632'!W1037&gt;'[1]Methods write-up'!$Q$20,'[1]observations-276632'!W1037&lt;'[1]Methods write-up'!$R$20,'[1]observations-276632'!X1037&gt;'[1]Methods write-up'!$S$20,'[1]observations-276632'!X1037&lt;'[1]Methods write-up'!$T$20),"Temperate seasonal","")</f>
        <v/>
      </c>
      <c r="BC1037" s="22" t="str">
        <f>IF(AND('[1]observations-276632'!W1037&gt;'[1]Methods write-up'!$Q$21,'[1]observations-276632'!W1037&lt;'[1]Methods write-up'!$R$21,'[1]observations-276632'!X1037&gt;'[1]Methods write-up'!$S$21,'[1]observations-276632'!X1037&lt;'[1]Methods write-up'!$T$21),"Desert and high aridity","")</f>
        <v/>
      </c>
      <c r="BD1037" s="23" t="str">
        <f t="shared" si="76"/>
        <v>East Africa</v>
      </c>
      <c r="BE1037" s="24">
        <f t="shared" si="74"/>
        <v>12</v>
      </c>
      <c r="BF1037" s="24">
        <f t="shared" si="75"/>
        <v>5</v>
      </c>
    </row>
    <row r="1038" spans="1:58" ht="16.25" customHeight="1" x14ac:dyDescent="0.2">
      <c r="A1038">
        <v>117307462</v>
      </c>
      <c r="B1038" s="25">
        <v>44697.427083333336</v>
      </c>
      <c r="C1038" s="14">
        <v>44697</v>
      </c>
      <c r="D1038" t="s">
        <v>7741</v>
      </c>
      <c r="E1038" t="s">
        <v>84</v>
      </c>
      <c r="F1038">
        <v>1590036</v>
      </c>
      <c r="G1038" t="s">
        <v>2228</v>
      </c>
      <c r="I1038" t="s">
        <v>7742</v>
      </c>
      <c r="J1038" t="s">
        <v>7743</v>
      </c>
      <c r="K1038" t="s">
        <v>62</v>
      </c>
      <c r="L1038" t="s">
        <v>63</v>
      </c>
      <c r="M1038" t="s">
        <v>7744</v>
      </c>
      <c r="N1038" t="s">
        <v>7745</v>
      </c>
      <c r="R1038">
        <v>1</v>
      </c>
      <c r="S1038">
        <v>0</v>
      </c>
      <c r="T1038" t="b">
        <v>0</v>
      </c>
      <c r="V1038" t="s">
        <v>1831</v>
      </c>
      <c r="W1038" s="15">
        <v>-15.71865919</v>
      </c>
      <c r="X1038" s="15">
        <v>34.985025829999998</v>
      </c>
      <c r="Y1038">
        <v>1521</v>
      </c>
      <c r="AC1038">
        <v>1521</v>
      </c>
      <c r="AF1038" t="b">
        <v>0</v>
      </c>
      <c r="AI1038" t="s">
        <v>71</v>
      </c>
      <c r="AJ1038" t="s">
        <v>70</v>
      </c>
      <c r="AK1038" t="s">
        <v>71</v>
      </c>
      <c r="AL1038" t="s">
        <v>72</v>
      </c>
      <c r="AM1038">
        <v>346053</v>
      </c>
      <c r="AO1038" s="16" t="s">
        <v>2421</v>
      </c>
      <c r="AP1038" s="16"/>
      <c r="AX1038" s="22" t="str">
        <f>IF(AND('[1]observations-276632'!W1038&gt;'[1]Methods write-up'!$Q$16,'[1]observations-276632'!W1038&lt;'[1]Methods write-up'!$R$16,'[1]observations-276632'!X1038&gt;'[1]Methods write-up'!$S$16,'[1]observations-276632'!X1038&lt;'[1]Methods write-up'!$T$16),"West Africa","")</f>
        <v/>
      </c>
      <c r="AY1038" s="22" t="str">
        <f>IF(AND('[1]observations-276632'!W1038&gt;'[1]Methods write-up'!$Q$17,'[1]observations-276632'!W1038&lt;'[1]Methods write-up'!$R$17,'[1]observations-276632'!X1038&gt;'[1]Methods write-up'!$S$17,'[1]observations-276632'!X1038&lt;'[1]Methods write-up'!$T$17),"Equatorial tropical forest","")</f>
        <v/>
      </c>
      <c r="AZ1038" s="22" t="str">
        <f>IF(AND('[1]observations-276632'!W1038&gt;'[1]Methods write-up'!$Q$18,'[1]observations-276632'!W1038&lt;'[1]Methods write-up'!$R$18,'[1]observations-276632'!X1038&gt;'[1]Methods write-up'!$S$18,'[1]observations-276632'!X1038&lt;'[1]Methods write-up'!$T$18),"Somali peninsula","")</f>
        <v/>
      </c>
      <c r="BA1038" s="22" t="str">
        <f>IF(AND('[1]observations-276632'!W1038&gt;'[1]Methods write-up'!$Q$19,'[1]observations-276632'!W1038&lt;'[1]Methods write-up'!$R$19,'[1]observations-276632'!X1038&gt;'[1]Methods write-up'!$S$19,'[1]observations-276632'!X1038&lt;'[1]Methods write-up'!$T$19),"East Africa","")</f>
        <v/>
      </c>
      <c r="BB1038" s="22" t="str">
        <f>IF(AND('[1]observations-276632'!W1038&gt;'[1]Methods write-up'!$Q$20,'[1]observations-276632'!W1038&lt;'[1]Methods write-up'!$R$20,'[1]observations-276632'!X1038&gt;'[1]Methods write-up'!$S$20,'[1]observations-276632'!X1038&lt;'[1]Methods write-up'!$T$20),"Temperate seasonal","")</f>
        <v/>
      </c>
      <c r="BC1038" s="22" t="str">
        <f>IF(AND('[1]observations-276632'!W1038&gt;'[1]Methods write-up'!$Q$21,'[1]observations-276632'!W1038&lt;'[1]Methods write-up'!$R$21,'[1]observations-276632'!X1038&gt;'[1]Methods write-up'!$S$21,'[1]observations-276632'!X1038&lt;'[1]Methods write-up'!$T$21),"Desert and high aridity","")</f>
        <v/>
      </c>
      <c r="BD1038" s="23" t="str">
        <f t="shared" si="76"/>
        <v/>
      </c>
      <c r="BE1038" s="24">
        <f t="shared" si="74"/>
        <v>16</v>
      </c>
      <c r="BF1038" s="24">
        <f t="shared" si="75"/>
        <v>5</v>
      </c>
    </row>
    <row r="1039" spans="1:58" ht="16.25" customHeight="1" x14ac:dyDescent="0.2">
      <c r="A1039">
        <v>117324364</v>
      </c>
      <c r="B1039" t="s">
        <v>7746</v>
      </c>
      <c r="C1039" s="14">
        <v>44682</v>
      </c>
      <c r="D1039" t="s">
        <v>7747</v>
      </c>
      <c r="E1039" t="s">
        <v>113</v>
      </c>
      <c r="F1039">
        <v>3550339</v>
      </c>
      <c r="G1039" t="s">
        <v>4733</v>
      </c>
      <c r="H1039" t="s">
        <v>4734</v>
      </c>
      <c r="I1039" t="s">
        <v>7748</v>
      </c>
      <c r="J1039" t="s">
        <v>7749</v>
      </c>
      <c r="K1039" t="s">
        <v>62</v>
      </c>
      <c r="L1039" t="s">
        <v>373</v>
      </c>
      <c r="M1039" t="s">
        <v>7750</v>
      </c>
      <c r="N1039" t="s">
        <v>7751</v>
      </c>
      <c r="R1039">
        <v>3</v>
      </c>
      <c r="S1039">
        <v>0</v>
      </c>
      <c r="T1039" t="b">
        <v>0</v>
      </c>
      <c r="U1039">
        <v>3</v>
      </c>
      <c r="V1039" t="s">
        <v>7752</v>
      </c>
      <c r="W1039" s="15">
        <v>-28.28471059</v>
      </c>
      <c r="X1039" s="15">
        <v>31.982556540000001</v>
      </c>
      <c r="Y1039">
        <v>90</v>
      </c>
      <c r="AC1039">
        <v>90</v>
      </c>
      <c r="AF1039" t="b">
        <v>0</v>
      </c>
      <c r="AI1039" t="s">
        <v>71</v>
      </c>
      <c r="AJ1039" t="s">
        <v>70</v>
      </c>
      <c r="AK1039" t="s">
        <v>71</v>
      </c>
      <c r="AL1039" t="s">
        <v>72</v>
      </c>
      <c r="AM1039">
        <v>346053</v>
      </c>
      <c r="AO1039" s="16" t="s">
        <v>1356</v>
      </c>
      <c r="AP1039" s="17" t="str">
        <f t="shared" ref="AP1039:AP1048" si="77">IF(COUNTIF(AO1039,"*foundress*"),"Nest (foundress)",AO1039)</f>
        <v>Nest (foundress)</v>
      </c>
      <c r="AQ1039" s="18">
        <v>3</v>
      </c>
      <c r="AT1039" s="19" t="s">
        <v>104</v>
      </c>
      <c r="AX1039" s="22" t="str">
        <f>IF(AND('[1]observations-276632'!W1039&gt;'[1]Methods write-up'!$Q$16,'[1]observations-276632'!W1039&lt;'[1]Methods write-up'!$R$16,'[1]observations-276632'!X1039&gt;'[1]Methods write-up'!$S$16,'[1]observations-276632'!X1039&lt;'[1]Methods write-up'!$T$16),"West and Central Africa","")</f>
        <v/>
      </c>
      <c r="AY1039" s="22" t="str">
        <f>IF(AND('[1]observations-276632'!W1039&gt;'[1]Methods write-up'!$Q$17,'[1]observations-276632'!W1039&lt;'[1]Methods write-up'!$R$17,'[1]observations-276632'!X1039&gt;'[1]Methods write-up'!$S$17,'[1]observations-276632'!X1039&lt;'[1]Methods write-up'!$T$17),"Equatorial tropical forest","")</f>
        <v/>
      </c>
      <c r="AZ1039" s="22" t="str">
        <f>IF(AND('[1]observations-276632'!W1039&gt;'[1]Methods write-up'!$Q$18,'[1]observations-276632'!W1039&lt;'[1]Methods write-up'!$R$18,'[1]observations-276632'!X1039&gt;'[1]Methods write-up'!$S$18,'[1]observations-276632'!X1039&lt;'[1]Methods write-up'!$T$18),"Somali peninsula","")</f>
        <v/>
      </c>
      <c r="BA1039" s="22" t="str">
        <f>IF(AND('[1]observations-276632'!W1039&gt;'[1]Methods write-up'!$Q$19,'[1]observations-276632'!W1039&lt;'[1]Methods write-up'!$R$19,'[1]observations-276632'!X1039&gt;'[1]Methods write-up'!$S$19,'[1]observations-276632'!X1039&lt;'[1]Methods write-up'!$T$19),"East Africa","")</f>
        <v/>
      </c>
      <c r="BB1039" s="22" t="str">
        <f>IF(AND('[1]observations-276632'!W1039&gt;'[1]Methods write-up'!$Q$20,'[1]observations-276632'!W1039&lt;'[1]Methods write-up'!$R$20,'[1]observations-276632'!X1039&gt;'[1]Methods write-up'!$S$20,'[1]observations-276632'!X1039&lt;'[1]Methods write-up'!$T$20),"Temperate seasonal","")</f>
        <v>Temperate seasonal</v>
      </c>
      <c r="BC1039" s="22" t="str">
        <f>IF(AND('[1]observations-276632'!W1039&gt;'[1]Methods write-up'!$Q$21,'[1]observations-276632'!W1039&lt;'[1]Methods write-up'!$R$21,'[1]observations-276632'!X1039&gt;'[1]Methods write-up'!$S$21,'[1]observations-276632'!X1039&lt;'[1]Methods write-up'!$T$21),"Desert and high aridity","")</f>
        <v/>
      </c>
      <c r="BD1039" s="23" t="str">
        <f t="shared" si="76"/>
        <v>Temperate seasonal</v>
      </c>
      <c r="BE1039" s="24">
        <f t="shared" si="74"/>
        <v>1</v>
      </c>
      <c r="BF1039" s="24">
        <f t="shared" si="75"/>
        <v>5</v>
      </c>
    </row>
    <row r="1040" spans="1:58" ht="16.25" customHeight="1" x14ac:dyDescent="0.2">
      <c r="A1040">
        <v>117338267</v>
      </c>
      <c r="B1040" s="25">
        <v>42172.440972222219</v>
      </c>
      <c r="C1040" s="14">
        <v>42172</v>
      </c>
      <c r="D1040" t="s">
        <v>7753</v>
      </c>
      <c r="E1040" t="s">
        <v>113</v>
      </c>
      <c r="F1040">
        <v>668373</v>
      </c>
      <c r="G1040" t="s">
        <v>7754</v>
      </c>
      <c r="H1040" t="s">
        <v>7755</v>
      </c>
      <c r="I1040" t="s">
        <v>7756</v>
      </c>
      <c r="J1040" t="s">
        <v>7757</v>
      </c>
      <c r="K1040" t="s">
        <v>62</v>
      </c>
      <c r="L1040" t="s">
        <v>63</v>
      </c>
      <c r="M1040" t="s">
        <v>7758</v>
      </c>
      <c r="N1040" t="s">
        <v>7759</v>
      </c>
      <c r="P1040" t="s">
        <v>7760</v>
      </c>
      <c r="R1040">
        <v>3</v>
      </c>
      <c r="S1040">
        <v>0</v>
      </c>
      <c r="T1040" t="b">
        <v>0</v>
      </c>
      <c r="V1040" t="s">
        <v>7761</v>
      </c>
      <c r="W1040" s="15">
        <v>-29.091069999999998</v>
      </c>
      <c r="X1040" s="15">
        <v>31.631482999999999</v>
      </c>
      <c r="Y1040">
        <v>10</v>
      </c>
      <c r="AC1040">
        <v>10</v>
      </c>
      <c r="AF1040" t="b">
        <v>0</v>
      </c>
      <c r="AI1040" t="s">
        <v>71</v>
      </c>
      <c r="AJ1040" t="s">
        <v>70</v>
      </c>
      <c r="AK1040" t="s">
        <v>71</v>
      </c>
      <c r="AL1040" t="s">
        <v>72</v>
      </c>
      <c r="AM1040">
        <v>346053</v>
      </c>
      <c r="AO1040" s="16" t="s">
        <v>1067</v>
      </c>
      <c r="AP1040" s="17" t="str">
        <f t="shared" si="77"/>
        <v>Hibernation cluster</v>
      </c>
      <c r="AQ1040" s="18">
        <v>29</v>
      </c>
      <c r="AV1040" s="21" t="s">
        <v>7762</v>
      </c>
      <c r="AX1040" s="22" t="str">
        <f>IF(AND('[1]observations-276632'!W1040&gt;'[1]Methods write-up'!$Q$16,'[1]observations-276632'!W1040&lt;'[1]Methods write-up'!$R$16,'[1]observations-276632'!X1040&gt;'[1]Methods write-up'!$S$16,'[1]observations-276632'!X1040&lt;'[1]Methods write-up'!$T$16),"West and Central Africa","")</f>
        <v/>
      </c>
      <c r="AY1040" s="22" t="str">
        <f>IF(AND('[1]observations-276632'!W1040&gt;'[1]Methods write-up'!$Q$17,'[1]observations-276632'!W1040&lt;'[1]Methods write-up'!$R$17,'[1]observations-276632'!X1040&gt;'[1]Methods write-up'!$S$17,'[1]observations-276632'!X1040&lt;'[1]Methods write-up'!$T$17),"Equatorial tropical forest","")</f>
        <v/>
      </c>
      <c r="AZ1040" s="22" t="str">
        <f>IF(AND('[1]observations-276632'!W1040&gt;'[1]Methods write-up'!$Q$18,'[1]observations-276632'!W1040&lt;'[1]Methods write-up'!$R$18,'[1]observations-276632'!X1040&gt;'[1]Methods write-up'!$S$18,'[1]observations-276632'!X1040&lt;'[1]Methods write-up'!$T$18),"Somali peninsula","")</f>
        <v/>
      </c>
      <c r="BA1040" s="22" t="str">
        <f>IF(AND('[1]observations-276632'!W1040&gt;'[1]Methods write-up'!$Q$19,'[1]observations-276632'!W1040&lt;'[1]Methods write-up'!$R$19,'[1]observations-276632'!X1040&gt;'[1]Methods write-up'!$S$19,'[1]observations-276632'!X1040&lt;'[1]Methods write-up'!$T$19),"East Africa","")</f>
        <v/>
      </c>
      <c r="BB1040" s="22" t="str">
        <f>IF(AND('[1]observations-276632'!W1040&gt;'[1]Methods write-up'!$Q$20,'[1]observations-276632'!W1040&lt;'[1]Methods write-up'!$R$20,'[1]observations-276632'!X1040&gt;'[1]Methods write-up'!$S$20,'[1]observations-276632'!X1040&lt;'[1]Methods write-up'!$T$20),"Temperate seasonal","")</f>
        <v>Temperate seasonal</v>
      </c>
      <c r="BC1040" s="22" t="str">
        <f>IF(AND('[1]observations-276632'!W1040&gt;'[1]Methods write-up'!$Q$21,'[1]observations-276632'!W1040&lt;'[1]Methods write-up'!$R$21,'[1]observations-276632'!X1040&gt;'[1]Methods write-up'!$S$21,'[1]observations-276632'!X1040&lt;'[1]Methods write-up'!$T$21),"Desert and high aridity","")</f>
        <v/>
      </c>
      <c r="BD1040" s="23" t="str">
        <f t="shared" si="76"/>
        <v>Temperate seasonal</v>
      </c>
      <c r="BE1040" s="24">
        <f t="shared" si="74"/>
        <v>17</v>
      </c>
      <c r="BF1040" s="24">
        <f t="shared" si="75"/>
        <v>6</v>
      </c>
    </row>
    <row r="1041" spans="1:58" ht="16.25" customHeight="1" x14ac:dyDescent="0.2">
      <c r="A1041">
        <v>117451845</v>
      </c>
      <c r="B1041" s="25">
        <v>44698.494444444441</v>
      </c>
      <c r="C1041" s="14">
        <v>44698</v>
      </c>
      <c r="D1041" t="s">
        <v>7763</v>
      </c>
      <c r="E1041" t="s">
        <v>113</v>
      </c>
      <c r="F1041">
        <v>748380</v>
      </c>
      <c r="G1041" t="s">
        <v>7764</v>
      </c>
      <c r="I1041" t="s">
        <v>7765</v>
      </c>
      <c r="J1041" t="s">
        <v>7766</v>
      </c>
      <c r="K1041" t="s">
        <v>62</v>
      </c>
      <c r="L1041" t="s">
        <v>63</v>
      </c>
      <c r="M1041" t="s">
        <v>7767</v>
      </c>
      <c r="N1041" t="s">
        <v>7768</v>
      </c>
      <c r="R1041">
        <v>3</v>
      </c>
      <c r="S1041">
        <v>0</v>
      </c>
      <c r="T1041" t="b">
        <v>0</v>
      </c>
      <c r="V1041" t="s">
        <v>7769</v>
      </c>
      <c r="W1041" s="15">
        <v>-30.274979559999998</v>
      </c>
      <c r="X1041" s="15">
        <v>30.737250329999998</v>
      </c>
      <c r="Y1041">
        <v>21</v>
      </c>
      <c r="AC1041">
        <v>21</v>
      </c>
      <c r="AF1041" t="b">
        <v>0</v>
      </c>
      <c r="AI1041" t="s">
        <v>71</v>
      </c>
      <c r="AJ1041" t="s">
        <v>70</v>
      </c>
      <c r="AK1041" t="s">
        <v>71</v>
      </c>
      <c r="AL1041" t="s">
        <v>72</v>
      </c>
      <c r="AM1041">
        <v>346053</v>
      </c>
      <c r="AO1041" s="16" t="s">
        <v>73</v>
      </c>
      <c r="AP1041" s="17" t="str">
        <f t="shared" si="77"/>
        <v>Off-nest female</v>
      </c>
      <c r="AX1041" s="22" t="str">
        <f>IF(AND('[1]observations-276632'!W1041&gt;'[1]Methods write-up'!$Q$16,'[1]observations-276632'!W1041&lt;'[1]Methods write-up'!$R$16,'[1]observations-276632'!X1041&gt;'[1]Methods write-up'!$S$16,'[1]observations-276632'!X1041&lt;'[1]Methods write-up'!$T$16),"West and Central Africa","")</f>
        <v/>
      </c>
      <c r="AY1041" s="22" t="str">
        <f>IF(AND('[1]observations-276632'!W1041&gt;'[1]Methods write-up'!$Q$17,'[1]observations-276632'!W1041&lt;'[1]Methods write-up'!$R$17,'[1]observations-276632'!X1041&gt;'[1]Methods write-up'!$S$17,'[1]observations-276632'!X1041&lt;'[1]Methods write-up'!$T$17),"Equatorial tropical forest","")</f>
        <v/>
      </c>
      <c r="AZ1041" s="22" t="str">
        <f>IF(AND('[1]observations-276632'!W1041&gt;'[1]Methods write-up'!$Q$18,'[1]observations-276632'!W1041&lt;'[1]Methods write-up'!$R$18,'[1]observations-276632'!X1041&gt;'[1]Methods write-up'!$S$18,'[1]observations-276632'!X1041&lt;'[1]Methods write-up'!$T$18),"Somali peninsula","")</f>
        <v/>
      </c>
      <c r="BA1041" s="22" t="str">
        <f>IF(AND('[1]observations-276632'!W1041&gt;'[1]Methods write-up'!$Q$19,'[1]observations-276632'!W1041&lt;'[1]Methods write-up'!$R$19,'[1]observations-276632'!X1041&gt;'[1]Methods write-up'!$S$19,'[1]observations-276632'!X1041&lt;'[1]Methods write-up'!$T$19),"East Africa","")</f>
        <v/>
      </c>
      <c r="BB1041" s="22" t="str">
        <f>IF(AND('[1]observations-276632'!W1041&gt;'[1]Methods write-up'!$Q$20,'[1]observations-276632'!W1041&lt;'[1]Methods write-up'!$R$20,'[1]observations-276632'!X1041&gt;'[1]Methods write-up'!$S$20,'[1]observations-276632'!X1041&lt;'[1]Methods write-up'!$T$20),"Temperate seasonal","")</f>
        <v>Temperate seasonal</v>
      </c>
      <c r="BC1041" s="22" t="str">
        <f>IF(AND('[1]observations-276632'!W1041&gt;'[1]Methods write-up'!$Q$21,'[1]observations-276632'!W1041&lt;'[1]Methods write-up'!$R$21,'[1]observations-276632'!X1041&gt;'[1]Methods write-up'!$S$21,'[1]observations-276632'!X1041&lt;'[1]Methods write-up'!$T$21),"Desert and high aridity","")</f>
        <v/>
      </c>
      <c r="BD1041" s="23" t="str">
        <f t="shared" si="76"/>
        <v>Temperate seasonal</v>
      </c>
      <c r="BE1041" s="24">
        <f t="shared" si="74"/>
        <v>17</v>
      </c>
      <c r="BF1041" s="24">
        <f t="shared" si="75"/>
        <v>5</v>
      </c>
    </row>
    <row r="1042" spans="1:58" ht="16.25" customHeight="1" x14ac:dyDescent="0.2">
      <c r="A1042">
        <v>117581319</v>
      </c>
      <c r="B1042" s="25">
        <v>44699.425000000003</v>
      </c>
      <c r="C1042" s="14">
        <v>44699</v>
      </c>
      <c r="D1042" t="s">
        <v>7770</v>
      </c>
      <c r="E1042" t="s">
        <v>113</v>
      </c>
      <c r="F1042">
        <v>528390</v>
      </c>
      <c r="G1042" t="s">
        <v>843</v>
      </c>
      <c r="H1042" t="s">
        <v>844</v>
      </c>
      <c r="I1042" t="s">
        <v>7771</v>
      </c>
      <c r="J1042" t="s">
        <v>7772</v>
      </c>
      <c r="K1042" t="s">
        <v>62</v>
      </c>
      <c r="L1042" t="s">
        <v>63</v>
      </c>
      <c r="M1042" t="s">
        <v>7773</v>
      </c>
      <c r="N1042" t="s">
        <v>7774</v>
      </c>
      <c r="R1042">
        <v>3</v>
      </c>
      <c r="S1042">
        <v>0</v>
      </c>
      <c r="T1042" t="b">
        <v>0</v>
      </c>
      <c r="V1042" t="s">
        <v>7775</v>
      </c>
      <c r="W1042" s="15">
        <v>-33.946018619999997</v>
      </c>
      <c r="X1042" s="15">
        <v>22.064809029999999</v>
      </c>
      <c r="Y1042">
        <v>15</v>
      </c>
      <c r="AC1042">
        <v>15</v>
      </c>
      <c r="AF1042" t="b">
        <v>0</v>
      </c>
      <c r="AI1042" t="s">
        <v>71</v>
      </c>
      <c r="AJ1042" t="s">
        <v>70</v>
      </c>
      <c r="AK1042" t="s">
        <v>71</v>
      </c>
      <c r="AL1042" t="s">
        <v>72</v>
      </c>
      <c r="AM1042">
        <v>346053</v>
      </c>
      <c r="AO1042" s="16" t="s">
        <v>73</v>
      </c>
      <c r="AP1042" s="17" t="str">
        <f t="shared" si="77"/>
        <v>Off-nest female</v>
      </c>
      <c r="AX1042" s="22" t="str">
        <f>IF(AND('[1]observations-276632'!W1042&gt;'[1]Methods write-up'!$Q$16,'[1]observations-276632'!W1042&lt;'[1]Methods write-up'!$R$16,'[1]observations-276632'!X1042&gt;'[1]Methods write-up'!$S$16,'[1]observations-276632'!X1042&lt;'[1]Methods write-up'!$T$16),"West and Central Africa","")</f>
        <v/>
      </c>
      <c r="AY1042" s="22" t="str">
        <f>IF(AND('[1]observations-276632'!W1042&gt;'[1]Methods write-up'!$Q$17,'[1]observations-276632'!W1042&lt;'[1]Methods write-up'!$R$17,'[1]observations-276632'!X1042&gt;'[1]Methods write-up'!$S$17,'[1]observations-276632'!X1042&lt;'[1]Methods write-up'!$T$17),"Equatorial tropical forest","")</f>
        <v/>
      </c>
      <c r="AZ1042" s="22" t="str">
        <f>IF(AND('[1]observations-276632'!W1042&gt;'[1]Methods write-up'!$Q$18,'[1]observations-276632'!W1042&lt;'[1]Methods write-up'!$R$18,'[1]observations-276632'!X1042&gt;'[1]Methods write-up'!$S$18,'[1]observations-276632'!X1042&lt;'[1]Methods write-up'!$T$18),"Somali peninsula","")</f>
        <v/>
      </c>
      <c r="BA1042" s="22" t="str">
        <f>IF(AND('[1]observations-276632'!W1042&gt;'[1]Methods write-up'!$Q$19,'[1]observations-276632'!W1042&lt;'[1]Methods write-up'!$R$19,'[1]observations-276632'!X1042&gt;'[1]Methods write-up'!$S$19,'[1]observations-276632'!X1042&lt;'[1]Methods write-up'!$T$19),"East Africa","")</f>
        <v/>
      </c>
      <c r="BB1042" s="22" t="str">
        <f>IF(AND('[1]observations-276632'!W1042&gt;'[1]Methods write-up'!$Q$20,'[1]observations-276632'!W1042&lt;'[1]Methods write-up'!$R$20,'[1]observations-276632'!X1042&gt;'[1]Methods write-up'!$S$20,'[1]observations-276632'!X1042&lt;'[1]Methods write-up'!$T$20),"Temperate seasonal","")</f>
        <v/>
      </c>
      <c r="BC1042" s="22" t="str">
        <f>IF(AND('[1]observations-276632'!W1042&gt;'[1]Methods write-up'!$Q$21,'[1]observations-276632'!W1042&lt;'[1]Methods write-up'!$R$21,'[1]observations-276632'!X1042&gt;'[1]Methods write-up'!$S$21,'[1]observations-276632'!X1042&lt;'[1]Methods write-up'!$T$21),"Desert and high aridity","")</f>
        <v/>
      </c>
      <c r="BD1042" s="23" t="str">
        <f t="shared" si="76"/>
        <v/>
      </c>
      <c r="BE1042" s="24">
        <f t="shared" si="74"/>
        <v>18</v>
      </c>
      <c r="BF1042" s="24">
        <f t="shared" si="75"/>
        <v>5</v>
      </c>
    </row>
    <row r="1043" spans="1:58" ht="16.25" customHeight="1" x14ac:dyDescent="0.2">
      <c r="A1043">
        <v>117699010</v>
      </c>
      <c r="B1043" s="25">
        <v>44700.364583333336</v>
      </c>
      <c r="C1043" s="14">
        <v>44700</v>
      </c>
      <c r="D1043" t="s">
        <v>7776</v>
      </c>
      <c r="E1043" t="s">
        <v>113</v>
      </c>
      <c r="F1043">
        <v>748380</v>
      </c>
      <c r="G1043" t="s">
        <v>7764</v>
      </c>
      <c r="I1043" t="s">
        <v>7777</v>
      </c>
      <c r="J1043" t="s">
        <v>7778</v>
      </c>
      <c r="K1043" t="s">
        <v>62</v>
      </c>
      <c r="L1043" t="s">
        <v>63</v>
      </c>
      <c r="M1043" t="s">
        <v>7779</v>
      </c>
      <c r="N1043" t="s">
        <v>7780</v>
      </c>
      <c r="R1043">
        <v>4</v>
      </c>
      <c r="S1043">
        <v>0</v>
      </c>
      <c r="T1043" t="b">
        <v>0</v>
      </c>
      <c r="V1043" t="s">
        <v>7769</v>
      </c>
      <c r="W1043" s="15">
        <v>-30.274979559999998</v>
      </c>
      <c r="X1043" s="15">
        <v>30.737250329999998</v>
      </c>
      <c r="Y1043">
        <v>12</v>
      </c>
      <c r="AC1043">
        <v>12</v>
      </c>
      <c r="AF1043" t="b">
        <v>0</v>
      </c>
      <c r="AI1043" t="s">
        <v>71</v>
      </c>
      <c r="AJ1043" t="s">
        <v>70</v>
      </c>
      <c r="AK1043" t="s">
        <v>71</v>
      </c>
      <c r="AL1043" t="s">
        <v>72</v>
      </c>
      <c r="AM1043">
        <v>346053</v>
      </c>
      <c r="AO1043" s="16" t="s">
        <v>73</v>
      </c>
      <c r="AP1043" s="17" t="str">
        <f t="shared" si="77"/>
        <v>Off-nest female</v>
      </c>
      <c r="AX1043" s="22" t="str">
        <f>IF(AND('[1]observations-276632'!W1043&gt;'[1]Methods write-up'!$Q$16,'[1]observations-276632'!W1043&lt;'[1]Methods write-up'!$R$16,'[1]observations-276632'!X1043&gt;'[1]Methods write-up'!$S$16,'[1]observations-276632'!X1043&lt;'[1]Methods write-up'!$T$16),"West and Central Africa","")</f>
        <v/>
      </c>
      <c r="AY1043" s="22" t="str">
        <f>IF(AND('[1]observations-276632'!W1043&gt;'[1]Methods write-up'!$Q$17,'[1]observations-276632'!W1043&lt;'[1]Methods write-up'!$R$17,'[1]observations-276632'!X1043&gt;'[1]Methods write-up'!$S$17,'[1]observations-276632'!X1043&lt;'[1]Methods write-up'!$T$17),"Equatorial tropical forest","")</f>
        <v/>
      </c>
      <c r="AZ1043" s="22" t="str">
        <f>IF(AND('[1]observations-276632'!W1043&gt;'[1]Methods write-up'!$Q$18,'[1]observations-276632'!W1043&lt;'[1]Methods write-up'!$R$18,'[1]observations-276632'!X1043&gt;'[1]Methods write-up'!$S$18,'[1]observations-276632'!X1043&lt;'[1]Methods write-up'!$T$18),"Somali peninsula","")</f>
        <v/>
      </c>
      <c r="BA1043" s="22" t="str">
        <f>IF(AND('[1]observations-276632'!W1043&gt;'[1]Methods write-up'!$Q$19,'[1]observations-276632'!W1043&lt;'[1]Methods write-up'!$R$19,'[1]observations-276632'!X1043&gt;'[1]Methods write-up'!$S$19,'[1]observations-276632'!X1043&lt;'[1]Methods write-up'!$T$19),"East Africa","")</f>
        <v/>
      </c>
      <c r="BB1043" s="22" t="str">
        <f>IF(AND('[1]observations-276632'!W1043&gt;'[1]Methods write-up'!$Q$20,'[1]observations-276632'!W1043&lt;'[1]Methods write-up'!$R$20,'[1]observations-276632'!X1043&gt;'[1]Methods write-up'!$S$20,'[1]observations-276632'!X1043&lt;'[1]Methods write-up'!$T$20),"Temperate seasonal","")</f>
        <v>Temperate seasonal</v>
      </c>
      <c r="BC1043" s="22" t="str">
        <f>IF(AND('[1]observations-276632'!W1043&gt;'[1]Methods write-up'!$Q$21,'[1]observations-276632'!W1043&lt;'[1]Methods write-up'!$R$21,'[1]observations-276632'!X1043&gt;'[1]Methods write-up'!$S$21,'[1]observations-276632'!X1043&lt;'[1]Methods write-up'!$T$21),"Desert and high aridity","")</f>
        <v/>
      </c>
      <c r="BD1043" s="23" t="str">
        <f t="shared" si="76"/>
        <v>Temperate seasonal</v>
      </c>
      <c r="BE1043" s="24">
        <f t="shared" si="74"/>
        <v>19</v>
      </c>
      <c r="BF1043" s="24">
        <f t="shared" si="75"/>
        <v>5</v>
      </c>
    </row>
    <row r="1044" spans="1:58" ht="16.25" customHeight="1" x14ac:dyDescent="0.2">
      <c r="A1044">
        <v>117844457</v>
      </c>
      <c r="B1044" t="s">
        <v>7781</v>
      </c>
      <c r="C1044" s="14">
        <v>44701</v>
      </c>
      <c r="D1044" t="s">
        <v>7782</v>
      </c>
      <c r="E1044" t="s">
        <v>84</v>
      </c>
      <c r="F1044">
        <v>292489</v>
      </c>
      <c r="G1044" t="s">
        <v>1450</v>
      </c>
      <c r="H1044" t="s">
        <v>1451</v>
      </c>
      <c r="I1044" t="s">
        <v>7783</v>
      </c>
      <c r="J1044" t="s">
        <v>7784</v>
      </c>
      <c r="K1044" t="s">
        <v>62</v>
      </c>
      <c r="L1044" t="s">
        <v>98</v>
      </c>
      <c r="M1044" t="s">
        <v>7785</v>
      </c>
      <c r="N1044" t="s">
        <v>7786</v>
      </c>
      <c r="R1044">
        <v>1</v>
      </c>
      <c r="S1044">
        <v>0</v>
      </c>
      <c r="T1044" t="b">
        <v>0</v>
      </c>
      <c r="U1044">
        <v>3</v>
      </c>
      <c r="V1044" t="s">
        <v>4419</v>
      </c>
      <c r="W1044" s="15">
        <v>-1.2744018109999999</v>
      </c>
      <c r="X1044" s="15">
        <v>36.81454523</v>
      </c>
      <c r="Y1044">
        <v>36</v>
      </c>
      <c r="AC1044">
        <v>36</v>
      </c>
      <c r="AF1044" t="b">
        <v>0</v>
      </c>
      <c r="AI1044" t="s">
        <v>71</v>
      </c>
      <c r="AJ1044" t="s">
        <v>70</v>
      </c>
      <c r="AK1044" t="s">
        <v>71</v>
      </c>
      <c r="AL1044" t="s">
        <v>72</v>
      </c>
      <c r="AM1044">
        <v>346053</v>
      </c>
      <c r="AO1044" s="16" t="s">
        <v>73</v>
      </c>
      <c r="AP1044" s="17" t="str">
        <f t="shared" si="77"/>
        <v>Off-nest female</v>
      </c>
      <c r="AX1044" s="22" t="str">
        <f>IF(AND('[1]observations-276632'!W1044&gt;'[1]Methods write-up'!$Q$16,'[1]observations-276632'!W1044&lt;'[1]Methods write-up'!$R$16,'[1]observations-276632'!X1044&gt;'[1]Methods write-up'!$S$16,'[1]observations-276632'!X1044&lt;'[1]Methods write-up'!$T$16),"West and Central Africa","")</f>
        <v/>
      </c>
      <c r="AY1044" s="22" t="str">
        <f>IF(AND('[1]observations-276632'!W1044&gt;'[1]Methods write-up'!$Q$17,'[1]observations-276632'!W1044&lt;'[1]Methods write-up'!$R$17,'[1]observations-276632'!X1044&gt;'[1]Methods write-up'!$S$17,'[1]observations-276632'!X1044&lt;'[1]Methods write-up'!$T$17),"Equatorial tropical forest","")</f>
        <v/>
      </c>
      <c r="AZ1044" s="22" t="str">
        <f>IF(AND('[1]observations-276632'!W1044&gt;'[1]Methods write-up'!$Q$18,'[1]observations-276632'!W1044&lt;'[1]Methods write-up'!$R$18,'[1]observations-276632'!X1044&gt;'[1]Methods write-up'!$S$18,'[1]observations-276632'!X1044&lt;'[1]Methods write-up'!$T$18),"Somali peninsula","")</f>
        <v/>
      </c>
      <c r="BA1044" s="22" t="str">
        <f>IF(AND('[1]observations-276632'!W1044&gt;'[1]Methods write-up'!$Q$19,'[1]observations-276632'!W1044&lt;'[1]Methods write-up'!$R$19,'[1]observations-276632'!X1044&gt;'[1]Methods write-up'!$S$19,'[1]observations-276632'!X1044&lt;'[1]Methods write-up'!$T$19),"East Africa","")</f>
        <v>East Africa</v>
      </c>
      <c r="BB1044" s="22" t="str">
        <f>IF(AND('[1]observations-276632'!W1044&gt;'[1]Methods write-up'!$Q$20,'[1]observations-276632'!W1044&lt;'[1]Methods write-up'!$R$20,'[1]observations-276632'!X1044&gt;'[1]Methods write-up'!$S$20,'[1]observations-276632'!X1044&lt;'[1]Methods write-up'!$T$20),"Temperate seasonal","")</f>
        <v/>
      </c>
      <c r="BC1044" s="22" t="str">
        <f>IF(AND('[1]observations-276632'!W1044&gt;'[1]Methods write-up'!$Q$21,'[1]observations-276632'!W1044&lt;'[1]Methods write-up'!$R$21,'[1]observations-276632'!X1044&gt;'[1]Methods write-up'!$S$21,'[1]observations-276632'!X1044&lt;'[1]Methods write-up'!$T$21),"Desert and high aridity","")</f>
        <v/>
      </c>
      <c r="BD1044" s="23" t="str">
        <f t="shared" si="76"/>
        <v>East Africa</v>
      </c>
      <c r="BE1044" s="24">
        <f t="shared" si="74"/>
        <v>20</v>
      </c>
      <c r="BF1044" s="24">
        <f t="shared" si="75"/>
        <v>5</v>
      </c>
    </row>
    <row r="1045" spans="1:58" ht="16.25" customHeight="1" x14ac:dyDescent="0.2">
      <c r="A1045">
        <v>117850907</v>
      </c>
      <c r="B1045" t="s">
        <v>7787</v>
      </c>
      <c r="C1045" s="14">
        <v>44684</v>
      </c>
      <c r="D1045" t="s">
        <v>7788</v>
      </c>
      <c r="E1045" t="s">
        <v>113</v>
      </c>
      <c r="F1045">
        <v>3550339</v>
      </c>
      <c r="G1045" t="s">
        <v>4733</v>
      </c>
      <c r="H1045" t="s">
        <v>4734</v>
      </c>
      <c r="I1045" t="s">
        <v>7789</v>
      </c>
      <c r="J1045" t="s">
        <v>7790</v>
      </c>
      <c r="K1045" t="s">
        <v>62</v>
      </c>
      <c r="L1045" t="s">
        <v>373</v>
      </c>
      <c r="M1045" t="s">
        <v>7791</v>
      </c>
      <c r="N1045" t="s">
        <v>7792</v>
      </c>
      <c r="R1045">
        <v>4</v>
      </c>
      <c r="S1045">
        <v>0</v>
      </c>
      <c r="T1045" t="b">
        <v>0</v>
      </c>
      <c r="U1045">
        <v>3</v>
      </c>
      <c r="V1045" t="s">
        <v>7793</v>
      </c>
      <c r="W1045" s="15">
        <v>-28.23001695</v>
      </c>
      <c r="X1045" s="15">
        <v>31.845050350000001</v>
      </c>
      <c r="Y1045">
        <v>41</v>
      </c>
      <c r="AC1045">
        <v>41</v>
      </c>
      <c r="AF1045" t="b">
        <v>0</v>
      </c>
      <c r="AI1045" t="s">
        <v>71</v>
      </c>
      <c r="AJ1045" t="s">
        <v>70</v>
      </c>
      <c r="AK1045" t="s">
        <v>71</v>
      </c>
      <c r="AL1045" t="s">
        <v>72</v>
      </c>
      <c r="AM1045">
        <v>346053</v>
      </c>
      <c r="AO1045" s="16" t="s">
        <v>73</v>
      </c>
      <c r="AP1045" s="17" t="str">
        <f t="shared" si="77"/>
        <v>Off-nest female</v>
      </c>
      <c r="AV1045" s="21" t="s">
        <v>7794</v>
      </c>
      <c r="AX1045" s="22" t="str">
        <f>IF(AND('[1]observations-276632'!W1045&gt;'[1]Methods write-up'!$Q$16,'[1]observations-276632'!W1045&lt;'[1]Methods write-up'!$R$16,'[1]observations-276632'!X1045&gt;'[1]Methods write-up'!$S$16,'[1]observations-276632'!X1045&lt;'[1]Methods write-up'!$T$16),"West and Central Africa","")</f>
        <v/>
      </c>
      <c r="AY1045" s="22" t="str">
        <f>IF(AND('[1]observations-276632'!W1045&gt;'[1]Methods write-up'!$Q$17,'[1]observations-276632'!W1045&lt;'[1]Methods write-up'!$R$17,'[1]observations-276632'!X1045&gt;'[1]Methods write-up'!$S$17,'[1]observations-276632'!X1045&lt;'[1]Methods write-up'!$T$17),"Equatorial tropical forest","")</f>
        <v/>
      </c>
      <c r="AZ1045" s="22" t="str">
        <f>IF(AND('[1]observations-276632'!W1045&gt;'[1]Methods write-up'!$Q$18,'[1]observations-276632'!W1045&lt;'[1]Methods write-up'!$R$18,'[1]observations-276632'!X1045&gt;'[1]Methods write-up'!$S$18,'[1]observations-276632'!X1045&lt;'[1]Methods write-up'!$T$18),"Somali peninsula","")</f>
        <v/>
      </c>
      <c r="BA1045" s="22" t="str">
        <f>IF(AND('[1]observations-276632'!W1045&gt;'[1]Methods write-up'!$Q$19,'[1]observations-276632'!W1045&lt;'[1]Methods write-up'!$R$19,'[1]observations-276632'!X1045&gt;'[1]Methods write-up'!$S$19,'[1]observations-276632'!X1045&lt;'[1]Methods write-up'!$T$19),"East Africa","")</f>
        <v/>
      </c>
      <c r="BB1045" s="22" t="str">
        <f>IF(AND('[1]observations-276632'!W1045&gt;'[1]Methods write-up'!$Q$20,'[1]observations-276632'!W1045&lt;'[1]Methods write-up'!$R$20,'[1]observations-276632'!X1045&gt;'[1]Methods write-up'!$S$20,'[1]observations-276632'!X1045&lt;'[1]Methods write-up'!$T$20),"Temperate seasonal","")</f>
        <v>Temperate seasonal</v>
      </c>
      <c r="BC1045" s="22" t="str">
        <f>IF(AND('[1]observations-276632'!W1045&gt;'[1]Methods write-up'!$Q$21,'[1]observations-276632'!W1045&lt;'[1]Methods write-up'!$R$21,'[1]observations-276632'!X1045&gt;'[1]Methods write-up'!$S$21,'[1]observations-276632'!X1045&lt;'[1]Methods write-up'!$T$21),"Desert and high aridity","")</f>
        <v/>
      </c>
      <c r="BD1045" s="23" t="str">
        <f t="shared" si="76"/>
        <v>Temperate seasonal</v>
      </c>
      <c r="BE1045" s="24">
        <f t="shared" si="74"/>
        <v>3</v>
      </c>
      <c r="BF1045" s="24">
        <f t="shared" si="75"/>
        <v>5</v>
      </c>
    </row>
    <row r="1046" spans="1:58" ht="16.25" customHeight="1" x14ac:dyDescent="0.2">
      <c r="A1046">
        <v>117968256</v>
      </c>
      <c r="B1046" t="s">
        <v>7795</v>
      </c>
      <c r="C1046" s="14">
        <v>44685</v>
      </c>
      <c r="D1046" t="s">
        <v>7796</v>
      </c>
      <c r="E1046" t="s">
        <v>113</v>
      </c>
      <c r="F1046">
        <v>3550339</v>
      </c>
      <c r="G1046" t="s">
        <v>4733</v>
      </c>
      <c r="H1046" t="s">
        <v>4734</v>
      </c>
      <c r="I1046" t="s">
        <v>7797</v>
      </c>
      <c r="J1046" t="s">
        <v>7798</v>
      </c>
      <c r="K1046" t="s">
        <v>62</v>
      </c>
      <c r="L1046" t="s">
        <v>373</v>
      </c>
      <c r="M1046" t="s">
        <v>7799</v>
      </c>
      <c r="N1046" t="s">
        <v>7800</v>
      </c>
      <c r="R1046">
        <v>3</v>
      </c>
      <c r="S1046">
        <v>0</v>
      </c>
      <c r="T1046" t="b">
        <v>0</v>
      </c>
      <c r="U1046">
        <v>3</v>
      </c>
      <c r="V1046" t="s">
        <v>7801</v>
      </c>
      <c r="W1046" s="15">
        <v>-28.383751069999999</v>
      </c>
      <c r="X1046" s="15">
        <v>32.412658380000003</v>
      </c>
      <c r="Y1046">
        <v>41</v>
      </c>
      <c r="AC1046">
        <v>41</v>
      </c>
      <c r="AF1046" t="b">
        <v>0</v>
      </c>
      <c r="AI1046" t="s">
        <v>71</v>
      </c>
      <c r="AJ1046" t="s">
        <v>70</v>
      </c>
      <c r="AK1046" t="s">
        <v>71</v>
      </c>
      <c r="AL1046" t="s">
        <v>72</v>
      </c>
      <c r="AM1046">
        <v>346053</v>
      </c>
      <c r="AO1046" s="16" t="s">
        <v>150</v>
      </c>
      <c r="AP1046" s="17" t="str">
        <f t="shared" si="77"/>
        <v>Male (off nest)</v>
      </c>
      <c r="AX1046" s="22" t="str">
        <f>IF(AND('[1]observations-276632'!W1046&gt;'[1]Methods write-up'!$Q$16,'[1]observations-276632'!W1046&lt;'[1]Methods write-up'!$R$16,'[1]observations-276632'!X1046&gt;'[1]Methods write-up'!$S$16,'[1]observations-276632'!X1046&lt;'[1]Methods write-up'!$T$16),"West and Central Africa","")</f>
        <v/>
      </c>
      <c r="AY1046" s="22" t="str">
        <f>IF(AND('[1]observations-276632'!W1046&gt;'[1]Methods write-up'!$Q$17,'[1]observations-276632'!W1046&lt;'[1]Methods write-up'!$R$17,'[1]observations-276632'!X1046&gt;'[1]Methods write-up'!$S$17,'[1]observations-276632'!X1046&lt;'[1]Methods write-up'!$T$17),"Equatorial tropical forest","")</f>
        <v/>
      </c>
      <c r="AZ1046" s="22" t="str">
        <f>IF(AND('[1]observations-276632'!W1046&gt;'[1]Methods write-up'!$Q$18,'[1]observations-276632'!W1046&lt;'[1]Methods write-up'!$R$18,'[1]observations-276632'!X1046&gt;'[1]Methods write-up'!$S$18,'[1]observations-276632'!X1046&lt;'[1]Methods write-up'!$T$18),"Somali peninsula","")</f>
        <v/>
      </c>
      <c r="BA1046" s="22" t="str">
        <f>IF(AND('[1]observations-276632'!W1046&gt;'[1]Methods write-up'!$Q$19,'[1]observations-276632'!W1046&lt;'[1]Methods write-up'!$R$19,'[1]observations-276632'!X1046&gt;'[1]Methods write-up'!$S$19,'[1]observations-276632'!X1046&lt;'[1]Methods write-up'!$T$19),"East Africa","")</f>
        <v/>
      </c>
      <c r="BB1046" s="22" t="str">
        <f>IF(AND('[1]observations-276632'!W1046&gt;'[1]Methods write-up'!$Q$20,'[1]observations-276632'!W1046&lt;'[1]Methods write-up'!$R$20,'[1]observations-276632'!X1046&gt;'[1]Methods write-up'!$S$20,'[1]observations-276632'!X1046&lt;'[1]Methods write-up'!$T$20),"Temperate seasonal","")</f>
        <v>Temperate seasonal</v>
      </c>
      <c r="BC1046" s="22" t="str">
        <f>IF(AND('[1]observations-276632'!W1046&gt;'[1]Methods write-up'!$Q$21,'[1]observations-276632'!W1046&lt;'[1]Methods write-up'!$R$21,'[1]observations-276632'!X1046&gt;'[1]Methods write-up'!$S$21,'[1]observations-276632'!X1046&lt;'[1]Methods write-up'!$T$21),"Desert and high aridity","")</f>
        <v/>
      </c>
      <c r="BD1046" s="23" t="str">
        <f t="shared" si="76"/>
        <v>Temperate seasonal</v>
      </c>
      <c r="BE1046" s="24">
        <f t="shared" si="74"/>
        <v>4</v>
      </c>
      <c r="BF1046" s="24">
        <f t="shared" si="75"/>
        <v>5</v>
      </c>
    </row>
    <row r="1047" spans="1:58" ht="16.25" customHeight="1" x14ac:dyDescent="0.2">
      <c r="A1047">
        <v>118343746</v>
      </c>
      <c r="B1047" t="s">
        <v>7802</v>
      </c>
      <c r="C1047" s="14">
        <v>44687</v>
      </c>
      <c r="D1047" t="s">
        <v>7803</v>
      </c>
      <c r="E1047" t="s">
        <v>113</v>
      </c>
      <c r="F1047">
        <v>3550339</v>
      </c>
      <c r="G1047" t="s">
        <v>4733</v>
      </c>
      <c r="H1047" t="s">
        <v>4734</v>
      </c>
      <c r="I1047" t="s">
        <v>7804</v>
      </c>
      <c r="J1047" t="s">
        <v>7805</v>
      </c>
      <c r="K1047" t="s">
        <v>62</v>
      </c>
      <c r="L1047" t="s">
        <v>373</v>
      </c>
      <c r="M1047" t="s">
        <v>7806</v>
      </c>
      <c r="N1047" t="s">
        <v>7807</v>
      </c>
      <c r="R1047">
        <v>3</v>
      </c>
      <c r="S1047">
        <v>0</v>
      </c>
      <c r="T1047" t="b">
        <v>0</v>
      </c>
      <c r="U1047">
        <v>3</v>
      </c>
      <c r="V1047" t="s">
        <v>7808</v>
      </c>
      <c r="W1047" s="15">
        <v>-28.250343640000001</v>
      </c>
      <c r="X1047" s="15">
        <v>32.409177229999997</v>
      </c>
      <c r="Y1047">
        <v>99</v>
      </c>
      <c r="AC1047">
        <v>99</v>
      </c>
      <c r="AF1047" t="b">
        <v>0</v>
      </c>
      <c r="AI1047" t="s">
        <v>71</v>
      </c>
      <c r="AJ1047" t="s">
        <v>70</v>
      </c>
      <c r="AK1047" t="s">
        <v>71</v>
      </c>
      <c r="AL1047" t="s">
        <v>72</v>
      </c>
      <c r="AM1047">
        <v>346053</v>
      </c>
      <c r="AO1047" s="16" t="s">
        <v>73</v>
      </c>
      <c r="AP1047" s="17" t="str">
        <f t="shared" si="77"/>
        <v>Off-nest female</v>
      </c>
      <c r="AX1047" s="22" t="str">
        <f>IF(AND('[1]observations-276632'!W1047&gt;'[1]Methods write-up'!$Q$16,'[1]observations-276632'!W1047&lt;'[1]Methods write-up'!$R$16,'[1]observations-276632'!X1047&gt;'[1]Methods write-up'!$S$16,'[1]observations-276632'!X1047&lt;'[1]Methods write-up'!$T$16),"West and Central Africa","")</f>
        <v/>
      </c>
      <c r="AY1047" s="22" t="str">
        <f>IF(AND('[1]observations-276632'!W1047&gt;'[1]Methods write-up'!$Q$17,'[1]observations-276632'!W1047&lt;'[1]Methods write-up'!$R$17,'[1]observations-276632'!X1047&gt;'[1]Methods write-up'!$S$17,'[1]observations-276632'!X1047&lt;'[1]Methods write-up'!$T$17),"Equatorial tropical forest","")</f>
        <v/>
      </c>
      <c r="AZ1047" s="22" t="str">
        <f>IF(AND('[1]observations-276632'!W1047&gt;'[1]Methods write-up'!$Q$18,'[1]observations-276632'!W1047&lt;'[1]Methods write-up'!$R$18,'[1]observations-276632'!X1047&gt;'[1]Methods write-up'!$S$18,'[1]observations-276632'!X1047&lt;'[1]Methods write-up'!$T$18),"Somali peninsula","")</f>
        <v/>
      </c>
      <c r="BA1047" s="22" t="str">
        <f>IF(AND('[1]observations-276632'!W1047&gt;'[1]Methods write-up'!$Q$19,'[1]observations-276632'!W1047&lt;'[1]Methods write-up'!$R$19,'[1]observations-276632'!X1047&gt;'[1]Methods write-up'!$S$19,'[1]observations-276632'!X1047&lt;'[1]Methods write-up'!$T$19),"East Africa","")</f>
        <v/>
      </c>
      <c r="BB1047" s="22" t="str">
        <f>IF(AND('[1]observations-276632'!W1047&gt;'[1]Methods write-up'!$Q$20,'[1]observations-276632'!W1047&lt;'[1]Methods write-up'!$R$20,'[1]observations-276632'!X1047&gt;'[1]Methods write-up'!$S$20,'[1]observations-276632'!X1047&lt;'[1]Methods write-up'!$T$20),"Temperate seasonal","")</f>
        <v>Temperate seasonal</v>
      </c>
      <c r="BC1047" s="22" t="str">
        <f>IF(AND('[1]observations-276632'!W1047&gt;'[1]Methods write-up'!$Q$21,'[1]observations-276632'!W1047&lt;'[1]Methods write-up'!$R$21,'[1]observations-276632'!X1047&gt;'[1]Methods write-up'!$S$21,'[1]observations-276632'!X1047&lt;'[1]Methods write-up'!$T$21),"Desert and high aridity","")</f>
        <v/>
      </c>
      <c r="BD1047" s="23" t="str">
        <f t="shared" si="76"/>
        <v>Temperate seasonal</v>
      </c>
      <c r="BE1047" s="24">
        <f t="shared" si="74"/>
        <v>6</v>
      </c>
      <c r="BF1047" s="24">
        <f t="shared" si="75"/>
        <v>5</v>
      </c>
    </row>
    <row r="1048" spans="1:58" ht="16.25" customHeight="1" x14ac:dyDescent="0.2">
      <c r="A1048">
        <v>118543781</v>
      </c>
      <c r="B1048" s="25">
        <v>44705.455555555556</v>
      </c>
      <c r="C1048" s="14">
        <v>44705</v>
      </c>
      <c r="D1048" t="s">
        <v>7809</v>
      </c>
      <c r="E1048" t="s">
        <v>7810</v>
      </c>
      <c r="F1048">
        <v>384877</v>
      </c>
      <c r="G1048" t="s">
        <v>334</v>
      </c>
      <c r="H1048" t="s">
        <v>335</v>
      </c>
      <c r="I1048" t="s">
        <v>7811</v>
      </c>
      <c r="J1048" t="s">
        <v>7812</v>
      </c>
      <c r="K1048" t="s">
        <v>62</v>
      </c>
      <c r="L1048" t="s">
        <v>261</v>
      </c>
      <c r="M1048" t="s">
        <v>7813</v>
      </c>
      <c r="N1048" t="s">
        <v>7814</v>
      </c>
      <c r="R1048">
        <v>2</v>
      </c>
      <c r="S1048">
        <v>0</v>
      </c>
      <c r="T1048" t="b">
        <v>0</v>
      </c>
      <c r="U1048">
        <v>2</v>
      </c>
      <c r="V1048" t="s">
        <v>7815</v>
      </c>
      <c r="W1048" s="15">
        <v>6.9180900000000003</v>
      </c>
      <c r="X1048" s="15">
        <v>2.401535</v>
      </c>
      <c r="Y1048">
        <v>8</v>
      </c>
      <c r="AC1048">
        <v>8</v>
      </c>
      <c r="AF1048" t="b">
        <v>0</v>
      </c>
      <c r="AI1048" t="s">
        <v>71</v>
      </c>
      <c r="AJ1048" t="s">
        <v>70</v>
      </c>
      <c r="AK1048" t="s">
        <v>71</v>
      </c>
      <c r="AL1048" t="s">
        <v>72</v>
      </c>
      <c r="AM1048">
        <v>346053</v>
      </c>
      <c r="AO1048" s="16" t="s">
        <v>73</v>
      </c>
      <c r="AP1048" s="17" t="str">
        <f t="shared" si="77"/>
        <v>Off-nest female</v>
      </c>
      <c r="AX1048" s="22" t="str">
        <f>IF(AND('[1]observations-276632'!W1048&gt;'[1]Methods write-up'!$Q$16,'[1]observations-276632'!W1048&lt;'[1]Methods write-up'!$R$16,'[1]observations-276632'!X1048&gt;'[1]Methods write-up'!$S$16,'[1]observations-276632'!X1048&lt;'[1]Methods write-up'!$T$16),"West and Central Africa","")</f>
        <v>West and Central Africa</v>
      </c>
      <c r="AY1048" s="22" t="str">
        <f>IF(AND('[1]observations-276632'!W1048&gt;'[1]Methods write-up'!$Q$17,'[1]observations-276632'!W1048&lt;'[1]Methods write-up'!$R$17,'[1]observations-276632'!X1048&gt;'[1]Methods write-up'!$S$17,'[1]observations-276632'!X1048&lt;'[1]Methods write-up'!$T$17),"Equatorial tropical forest","")</f>
        <v/>
      </c>
      <c r="AZ1048" s="22" t="str">
        <f>IF(AND('[1]observations-276632'!W1048&gt;'[1]Methods write-up'!$Q$18,'[1]observations-276632'!W1048&lt;'[1]Methods write-up'!$R$18,'[1]observations-276632'!X1048&gt;'[1]Methods write-up'!$S$18,'[1]observations-276632'!X1048&lt;'[1]Methods write-up'!$T$18),"Somali peninsula","")</f>
        <v/>
      </c>
      <c r="BA1048" s="22" t="str">
        <f>IF(AND('[1]observations-276632'!W1048&gt;'[1]Methods write-up'!$Q$19,'[1]observations-276632'!W1048&lt;'[1]Methods write-up'!$R$19,'[1]observations-276632'!X1048&gt;'[1]Methods write-up'!$S$19,'[1]observations-276632'!X1048&lt;'[1]Methods write-up'!$T$19),"East Africa","")</f>
        <v/>
      </c>
      <c r="BB1048" s="22" t="str">
        <f>IF(AND('[1]observations-276632'!W1048&gt;'[1]Methods write-up'!$Q$20,'[1]observations-276632'!W1048&lt;'[1]Methods write-up'!$R$20,'[1]observations-276632'!X1048&gt;'[1]Methods write-up'!$S$20,'[1]observations-276632'!X1048&lt;'[1]Methods write-up'!$T$20),"Temperate seasonal","")</f>
        <v/>
      </c>
      <c r="BC1048" s="22" t="str">
        <f>IF(AND('[1]observations-276632'!W1048&gt;'[1]Methods write-up'!$Q$21,'[1]observations-276632'!W1048&lt;'[1]Methods write-up'!$R$21,'[1]observations-276632'!X1048&gt;'[1]Methods write-up'!$S$21,'[1]observations-276632'!X1048&lt;'[1]Methods write-up'!$T$21),"Desert and high aridity","")</f>
        <v/>
      </c>
      <c r="BD1048" s="23" t="str">
        <f t="shared" si="76"/>
        <v>West and Central Africa</v>
      </c>
      <c r="BE1048" s="24">
        <f t="shared" si="74"/>
        <v>24</v>
      </c>
      <c r="BF1048" s="24">
        <f t="shared" si="75"/>
        <v>5</v>
      </c>
    </row>
    <row r="1049" spans="1:58" ht="16.25" customHeight="1" x14ac:dyDescent="0.2">
      <c r="A1049">
        <v>118543889</v>
      </c>
      <c r="B1049" s="25">
        <v>44705.451388888891</v>
      </c>
      <c r="C1049" s="14">
        <v>44705</v>
      </c>
      <c r="D1049" t="s">
        <v>7816</v>
      </c>
      <c r="E1049" t="s">
        <v>7810</v>
      </c>
      <c r="F1049">
        <v>384877</v>
      </c>
      <c r="G1049" t="s">
        <v>334</v>
      </c>
      <c r="H1049" t="s">
        <v>335</v>
      </c>
      <c r="I1049" t="s">
        <v>7817</v>
      </c>
      <c r="J1049" t="s">
        <v>7818</v>
      </c>
      <c r="K1049" t="s">
        <v>62</v>
      </c>
      <c r="L1049" t="s">
        <v>261</v>
      </c>
      <c r="M1049" t="s">
        <v>7819</v>
      </c>
      <c r="N1049" t="s">
        <v>7820</v>
      </c>
      <c r="R1049">
        <v>2</v>
      </c>
      <c r="S1049">
        <v>0</v>
      </c>
      <c r="T1049" t="b">
        <v>0</v>
      </c>
      <c r="U1049">
        <v>2</v>
      </c>
      <c r="V1049" t="s">
        <v>7815</v>
      </c>
      <c r="W1049" s="15">
        <v>6.9074368000000002</v>
      </c>
      <c r="X1049" s="15">
        <v>2.451298</v>
      </c>
      <c r="Y1049">
        <v>3000</v>
      </c>
      <c r="AC1049">
        <v>3000</v>
      </c>
      <c r="AF1049" t="b">
        <v>0</v>
      </c>
      <c r="AI1049" t="s">
        <v>71</v>
      </c>
      <c r="AJ1049" t="s">
        <v>70</v>
      </c>
      <c r="AK1049" t="s">
        <v>71</v>
      </c>
      <c r="AL1049" t="s">
        <v>72</v>
      </c>
      <c r="AM1049">
        <v>346053</v>
      </c>
      <c r="AO1049" s="16" t="s">
        <v>7821</v>
      </c>
      <c r="AP1049" s="16"/>
      <c r="AX1049" s="22" t="str">
        <f>IF(AND('[1]observations-276632'!W1049&gt;'[1]Methods write-up'!$Q$16,'[1]observations-276632'!W1049&lt;'[1]Methods write-up'!$R$16,'[1]observations-276632'!X1049&gt;'[1]Methods write-up'!$S$16,'[1]observations-276632'!X1049&lt;'[1]Methods write-up'!$T$16),"West Africa","")</f>
        <v>West Africa</v>
      </c>
      <c r="AY1049" s="22" t="str">
        <f>IF(AND('[1]observations-276632'!W1049&gt;'[1]Methods write-up'!$Q$17,'[1]observations-276632'!W1049&lt;'[1]Methods write-up'!$R$17,'[1]observations-276632'!X1049&gt;'[1]Methods write-up'!$S$17,'[1]observations-276632'!X1049&lt;'[1]Methods write-up'!$T$17),"Equatorial tropical forest","")</f>
        <v/>
      </c>
      <c r="AZ1049" s="22" t="str">
        <f>IF(AND('[1]observations-276632'!W1049&gt;'[1]Methods write-up'!$Q$18,'[1]observations-276632'!W1049&lt;'[1]Methods write-up'!$R$18,'[1]observations-276632'!X1049&gt;'[1]Methods write-up'!$S$18,'[1]observations-276632'!X1049&lt;'[1]Methods write-up'!$T$18),"Somali peninsula","")</f>
        <v/>
      </c>
      <c r="BA1049" s="22" t="str">
        <f>IF(AND('[1]observations-276632'!W1049&gt;'[1]Methods write-up'!$Q$19,'[1]observations-276632'!W1049&lt;'[1]Methods write-up'!$R$19,'[1]observations-276632'!X1049&gt;'[1]Methods write-up'!$S$19,'[1]observations-276632'!X1049&lt;'[1]Methods write-up'!$T$19),"East Africa","")</f>
        <v/>
      </c>
      <c r="BB1049" s="22" t="str">
        <f>IF(AND('[1]observations-276632'!W1049&gt;'[1]Methods write-up'!$Q$20,'[1]observations-276632'!W1049&lt;'[1]Methods write-up'!$R$20,'[1]observations-276632'!X1049&gt;'[1]Methods write-up'!$S$20,'[1]observations-276632'!X1049&lt;'[1]Methods write-up'!$T$20),"Temperate seasonal","")</f>
        <v/>
      </c>
      <c r="BC1049" s="22" t="str">
        <f>IF(AND('[1]observations-276632'!W1049&gt;'[1]Methods write-up'!$Q$21,'[1]observations-276632'!W1049&lt;'[1]Methods write-up'!$R$21,'[1]observations-276632'!X1049&gt;'[1]Methods write-up'!$S$21,'[1]observations-276632'!X1049&lt;'[1]Methods write-up'!$T$21),"Desert and high aridity","")</f>
        <v/>
      </c>
      <c r="BD1049" s="23" t="str">
        <f t="shared" si="76"/>
        <v>West Africa</v>
      </c>
      <c r="BE1049" s="24">
        <f t="shared" si="74"/>
        <v>24</v>
      </c>
      <c r="BF1049" s="24">
        <f t="shared" si="75"/>
        <v>5</v>
      </c>
    </row>
    <row r="1050" spans="1:58" ht="16.25" customHeight="1" x14ac:dyDescent="0.2">
      <c r="A1050">
        <v>118757772</v>
      </c>
      <c r="B1050" s="25">
        <v>44707.414583333331</v>
      </c>
      <c r="C1050" s="14">
        <v>44707</v>
      </c>
      <c r="D1050" t="s">
        <v>7822</v>
      </c>
      <c r="E1050" t="s">
        <v>7432</v>
      </c>
      <c r="F1050">
        <v>5698602</v>
      </c>
      <c r="G1050" t="s">
        <v>7823</v>
      </c>
      <c r="H1050" t="s">
        <v>7824</v>
      </c>
      <c r="I1050" t="s">
        <v>7825</v>
      </c>
      <c r="J1050" t="s">
        <v>7826</v>
      </c>
      <c r="K1050" t="s">
        <v>62</v>
      </c>
      <c r="L1050" t="s">
        <v>63</v>
      </c>
      <c r="M1050" t="s">
        <v>7827</v>
      </c>
      <c r="N1050" t="s">
        <v>7828</v>
      </c>
      <c r="R1050">
        <v>2</v>
      </c>
      <c r="S1050">
        <v>0</v>
      </c>
      <c r="T1050" t="b">
        <v>0</v>
      </c>
      <c r="U1050">
        <v>2</v>
      </c>
      <c r="V1050" t="s">
        <v>7829</v>
      </c>
      <c r="W1050" s="15">
        <v>7.6339670990000004</v>
      </c>
      <c r="X1050" s="15">
        <v>5.2010621129999999</v>
      </c>
      <c r="Y1050">
        <v>209</v>
      </c>
      <c r="AC1050">
        <v>209</v>
      </c>
      <c r="AF1050" t="b">
        <v>0</v>
      </c>
      <c r="AG1050" t="s">
        <v>350</v>
      </c>
      <c r="AH1050" t="s">
        <v>350</v>
      </c>
      <c r="AI1050" t="s">
        <v>71</v>
      </c>
      <c r="AJ1050" t="s">
        <v>70</v>
      </c>
      <c r="AK1050" t="s">
        <v>71</v>
      </c>
      <c r="AL1050" t="s">
        <v>72</v>
      </c>
      <c r="AM1050">
        <v>346053</v>
      </c>
      <c r="AO1050" s="16" t="s">
        <v>110</v>
      </c>
      <c r="AP1050" s="17" t="str">
        <f t="shared" ref="AP1050:AP1051" si="78">IF(COUNTIF(AO1050,"*foundress*"),"Nest (foundress)",AO1050)</f>
        <v>Nest (foundress)</v>
      </c>
      <c r="AQ1050" s="18">
        <v>1</v>
      </c>
      <c r="AT1050" s="19" t="s">
        <v>104</v>
      </c>
      <c r="AX1050" s="22" t="str">
        <f>IF(AND('[1]observations-276632'!W1050&gt;'[1]Methods write-up'!$Q$16,'[1]observations-276632'!W1050&lt;'[1]Methods write-up'!$R$16,'[1]observations-276632'!X1050&gt;'[1]Methods write-up'!$S$16,'[1]observations-276632'!X1050&lt;'[1]Methods write-up'!$T$16),"West and Central Africa","")</f>
        <v>West and Central Africa</v>
      </c>
      <c r="AY1050" s="22" t="str">
        <f>IF(AND('[1]observations-276632'!W1050&gt;'[1]Methods write-up'!$Q$17,'[1]observations-276632'!W1050&lt;'[1]Methods write-up'!$R$17,'[1]observations-276632'!X1050&gt;'[1]Methods write-up'!$S$17,'[1]observations-276632'!X1050&lt;'[1]Methods write-up'!$T$17),"Equatorial tropical forest","")</f>
        <v/>
      </c>
      <c r="AZ1050" s="22" t="str">
        <f>IF(AND('[1]observations-276632'!W1050&gt;'[1]Methods write-up'!$Q$18,'[1]observations-276632'!W1050&lt;'[1]Methods write-up'!$R$18,'[1]observations-276632'!X1050&gt;'[1]Methods write-up'!$S$18,'[1]observations-276632'!X1050&lt;'[1]Methods write-up'!$T$18),"Somali peninsula","")</f>
        <v/>
      </c>
      <c r="BA1050" s="22" t="str">
        <f>IF(AND('[1]observations-276632'!W1050&gt;'[1]Methods write-up'!$Q$19,'[1]observations-276632'!W1050&lt;'[1]Methods write-up'!$R$19,'[1]observations-276632'!X1050&gt;'[1]Methods write-up'!$S$19,'[1]observations-276632'!X1050&lt;'[1]Methods write-up'!$T$19),"East Africa","")</f>
        <v/>
      </c>
      <c r="BB1050" s="22" t="str">
        <f>IF(AND('[1]observations-276632'!W1050&gt;'[1]Methods write-up'!$Q$20,'[1]observations-276632'!W1050&lt;'[1]Methods write-up'!$R$20,'[1]observations-276632'!X1050&gt;'[1]Methods write-up'!$S$20,'[1]observations-276632'!X1050&lt;'[1]Methods write-up'!$T$20),"Temperate seasonal","")</f>
        <v/>
      </c>
      <c r="BC1050" s="22" t="str">
        <f>IF(AND('[1]observations-276632'!W1050&gt;'[1]Methods write-up'!$Q$21,'[1]observations-276632'!W1050&lt;'[1]Methods write-up'!$R$21,'[1]observations-276632'!X1050&gt;'[1]Methods write-up'!$S$21,'[1]observations-276632'!X1050&lt;'[1]Methods write-up'!$T$21),"Desert and high aridity","")</f>
        <v/>
      </c>
      <c r="BD1050" s="23" t="str">
        <f t="shared" si="76"/>
        <v>West and Central Africa</v>
      </c>
      <c r="BE1050" s="24">
        <f t="shared" si="74"/>
        <v>26</v>
      </c>
      <c r="BF1050" s="24">
        <f t="shared" si="75"/>
        <v>5</v>
      </c>
    </row>
    <row r="1051" spans="1:58" ht="16.25" customHeight="1" x14ac:dyDescent="0.2">
      <c r="A1051">
        <v>118893379</v>
      </c>
      <c r="B1051" s="25">
        <v>44708.441666666666</v>
      </c>
      <c r="C1051" s="14">
        <v>44708</v>
      </c>
      <c r="D1051" t="s">
        <v>7830</v>
      </c>
      <c r="E1051" t="s">
        <v>7831</v>
      </c>
      <c r="F1051">
        <v>5729780</v>
      </c>
      <c r="G1051" t="s">
        <v>7832</v>
      </c>
      <c r="H1051" t="s">
        <v>7833</v>
      </c>
      <c r="I1051" t="s">
        <v>7834</v>
      </c>
      <c r="J1051" t="s">
        <v>7835</v>
      </c>
      <c r="K1051" t="s">
        <v>62</v>
      </c>
      <c r="M1051" t="s">
        <v>7836</v>
      </c>
      <c r="N1051" t="s">
        <v>7837</v>
      </c>
      <c r="Q1051" t="s">
        <v>7838</v>
      </c>
      <c r="R1051">
        <v>1</v>
      </c>
      <c r="S1051">
        <v>0</v>
      </c>
      <c r="T1051" t="b">
        <v>0</v>
      </c>
      <c r="U1051">
        <v>2</v>
      </c>
      <c r="V1051" t="s">
        <v>7839</v>
      </c>
      <c r="W1051" s="15">
        <v>-2.0182311149999999</v>
      </c>
      <c r="X1051" s="15">
        <v>29.30637527</v>
      </c>
      <c r="Y1051">
        <v>242</v>
      </c>
      <c r="AC1051">
        <v>242</v>
      </c>
      <c r="AF1051" t="b">
        <v>0</v>
      </c>
      <c r="AG1051" t="s">
        <v>350</v>
      </c>
      <c r="AH1051" t="s">
        <v>350</v>
      </c>
      <c r="AI1051" t="s">
        <v>4006</v>
      </c>
      <c r="AJ1051" t="s">
        <v>70</v>
      </c>
      <c r="AK1051" t="s">
        <v>71</v>
      </c>
      <c r="AL1051" t="s">
        <v>72</v>
      </c>
      <c r="AM1051">
        <v>346053</v>
      </c>
      <c r="AO1051" s="16" t="s">
        <v>150</v>
      </c>
      <c r="AP1051" s="17" t="str">
        <f t="shared" si="78"/>
        <v>Male (off nest)</v>
      </c>
      <c r="AX1051" s="22" t="str">
        <f>IF(AND('[1]observations-276632'!W1051&gt;'[1]Methods write-up'!$Q$16,'[1]observations-276632'!W1051&lt;'[1]Methods write-up'!$R$16,'[1]observations-276632'!X1051&gt;'[1]Methods write-up'!$S$16,'[1]observations-276632'!X1051&lt;'[1]Methods write-up'!$T$16),"West and Central Africa","")</f>
        <v>West and Central Africa</v>
      </c>
      <c r="AY1051" s="22" t="str">
        <f>IF(AND('[1]observations-276632'!W1051&gt;'[1]Methods write-up'!$Q$17,'[1]observations-276632'!W1051&lt;'[1]Methods write-up'!$R$17,'[1]observations-276632'!X1051&gt;'[1]Methods write-up'!$S$17,'[1]observations-276632'!X1051&lt;'[1]Methods write-up'!$T$17),"Equatorial tropical forest","")</f>
        <v/>
      </c>
      <c r="AZ1051" s="22" t="str">
        <f>IF(AND('[1]observations-276632'!W1051&gt;'[1]Methods write-up'!$Q$18,'[1]observations-276632'!W1051&lt;'[1]Methods write-up'!$R$18,'[1]observations-276632'!X1051&gt;'[1]Methods write-up'!$S$18,'[1]observations-276632'!X1051&lt;'[1]Methods write-up'!$T$18),"Somali peninsula","")</f>
        <v/>
      </c>
      <c r="BA1051" s="22" t="str">
        <f>IF(AND('[1]observations-276632'!W1051&gt;'[1]Methods write-up'!$Q$19,'[1]observations-276632'!W1051&lt;'[1]Methods write-up'!$R$19,'[1]observations-276632'!X1051&gt;'[1]Methods write-up'!$S$19,'[1]observations-276632'!X1051&lt;'[1]Methods write-up'!$T$19),"East Africa","")</f>
        <v/>
      </c>
      <c r="BB1051" s="22" t="str">
        <f>IF(AND('[1]observations-276632'!W1051&gt;'[1]Methods write-up'!$Q$20,'[1]observations-276632'!W1051&lt;'[1]Methods write-up'!$R$20,'[1]observations-276632'!X1051&gt;'[1]Methods write-up'!$S$20,'[1]observations-276632'!X1051&lt;'[1]Methods write-up'!$T$20),"Temperate seasonal","")</f>
        <v/>
      </c>
      <c r="BC1051" s="22" t="str">
        <f>IF(AND('[1]observations-276632'!W1051&gt;'[1]Methods write-up'!$Q$21,'[1]observations-276632'!W1051&lt;'[1]Methods write-up'!$R$21,'[1]observations-276632'!X1051&gt;'[1]Methods write-up'!$S$21,'[1]observations-276632'!X1051&lt;'[1]Methods write-up'!$T$21),"Desert and high aridity","")</f>
        <v/>
      </c>
      <c r="BD1051" s="23" t="str">
        <f t="shared" si="76"/>
        <v>West and Central Africa</v>
      </c>
      <c r="BE1051" s="24">
        <f t="shared" si="74"/>
        <v>27</v>
      </c>
      <c r="BF1051" s="24">
        <f t="shared" si="75"/>
        <v>5</v>
      </c>
    </row>
    <row r="1052" spans="1:58" ht="16.25" customHeight="1" x14ac:dyDescent="0.2">
      <c r="A1052">
        <v>118895081</v>
      </c>
      <c r="B1052" s="25">
        <v>44708.440972222219</v>
      </c>
      <c r="C1052" s="14">
        <v>44708</v>
      </c>
      <c r="D1052" t="s">
        <v>7840</v>
      </c>
      <c r="E1052" t="s">
        <v>7831</v>
      </c>
      <c r="F1052">
        <v>5729165</v>
      </c>
      <c r="G1052" t="s">
        <v>7841</v>
      </c>
      <c r="I1052" t="s">
        <v>7842</v>
      </c>
      <c r="J1052" t="s">
        <v>7843</v>
      </c>
      <c r="K1052" t="s">
        <v>62</v>
      </c>
      <c r="L1052" t="s">
        <v>63</v>
      </c>
      <c r="M1052" t="s">
        <v>7844</v>
      </c>
      <c r="N1052" t="s">
        <v>7845</v>
      </c>
      <c r="Q1052" t="s">
        <v>7846</v>
      </c>
      <c r="R1052">
        <v>1</v>
      </c>
      <c r="S1052">
        <v>0</v>
      </c>
      <c r="T1052" t="b">
        <v>0</v>
      </c>
      <c r="U1052">
        <v>2</v>
      </c>
      <c r="V1052" t="s">
        <v>7847</v>
      </c>
      <c r="W1052" s="15">
        <v>-2.0174999960000002</v>
      </c>
      <c r="X1052" s="15">
        <v>29.307557460000002</v>
      </c>
      <c r="Y1052">
        <v>557</v>
      </c>
      <c r="AC1052">
        <v>557</v>
      </c>
      <c r="AF1052" t="b">
        <v>0</v>
      </c>
      <c r="AG1052" t="s">
        <v>350</v>
      </c>
      <c r="AH1052" t="s">
        <v>350</v>
      </c>
      <c r="AI1052" t="s">
        <v>71</v>
      </c>
      <c r="AJ1052" t="s">
        <v>70</v>
      </c>
      <c r="AK1052" t="s">
        <v>71</v>
      </c>
      <c r="AL1052" t="s">
        <v>72</v>
      </c>
      <c r="AM1052">
        <v>346053</v>
      </c>
      <c r="AO1052" s="16" t="s">
        <v>7821</v>
      </c>
      <c r="AP1052" s="16"/>
      <c r="AX1052" s="22" t="str">
        <f>IF(AND('[1]observations-276632'!W1052&gt;'[1]Methods write-up'!$Q$16,'[1]observations-276632'!W1052&lt;'[1]Methods write-up'!$R$16,'[1]observations-276632'!X1052&gt;'[1]Methods write-up'!$S$16,'[1]observations-276632'!X1052&lt;'[1]Methods write-up'!$T$16),"West Africa","")</f>
        <v>West Africa</v>
      </c>
      <c r="AY1052" s="22" t="str">
        <f>IF(AND('[1]observations-276632'!W1052&gt;'[1]Methods write-up'!$Q$17,'[1]observations-276632'!W1052&lt;'[1]Methods write-up'!$R$17,'[1]observations-276632'!X1052&gt;'[1]Methods write-up'!$S$17,'[1]observations-276632'!X1052&lt;'[1]Methods write-up'!$T$17),"Equatorial tropical forest","")</f>
        <v/>
      </c>
      <c r="AZ1052" s="22" t="str">
        <f>IF(AND('[1]observations-276632'!W1052&gt;'[1]Methods write-up'!$Q$18,'[1]observations-276632'!W1052&lt;'[1]Methods write-up'!$R$18,'[1]observations-276632'!X1052&gt;'[1]Methods write-up'!$S$18,'[1]observations-276632'!X1052&lt;'[1]Methods write-up'!$T$18),"Somali peninsula","")</f>
        <v/>
      </c>
      <c r="BA1052" s="22" t="str">
        <f>IF(AND('[1]observations-276632'!W1052&gt;'[1]Methods write-up'!$Q$19,'[1]observations-276632'!W1052&lt;'[1]Methods write-up'!$R$19,'[1]observations-276632'!X1052&gt;'[1]Methods write-up'!$S$19,'[1]observations-276632'!X1052&lt;'[1]Methods write-up'!$T$19),"East Africa","")</f>
        <v/>
      </c>
      <c r="BB1052" s="22" t="str">
        <f>IF(AND('[1]observations-276632'!W1052&gt;'[1]Methods write-up'!$Q$20,'[1]observations-276632'!W1052&lt;'[1]Methods write-up'!$R$20,'[1]observations-276632'!X1052&gt;'[1]Methods write-up'!$S$20,'[1]observations-276632'!X1052&lt;'[1]Methods write-up'!$T$20),"Temperate seasonal","")</f>
        <v/>
      </c>
      <c r="BC1052" s="22" t="str">
        <f>IF(AND('[1]observations-276632'!W1052&gt;'[1]Methods write-up'!$Q$21,'[1]observations-276632'!W1052&lt;'[1]Methods write-up'!$R$21,'[1]observations-276632'!X1052&gt;'[1]Methods write-up'!$S$21,'[1]observations-276632'!X1052&lt;'[1]Methods write-up'!$T$21),"Desert and high aridity","")</f>
        <v/>
      </c>
      <c r="BD1052" s="23" t="str">
        <f t="shared" si="76"/>
        <v>West Africa</v>
      </c>
      <c r="BE1052" s="24">
        <f t="shared" si="74"/>
        <v>27</v>
      </c>
      <c r="BF1052" s="24">
        <f t="shared" si="75"/>
        <v>5</v>
      </c>
    </row>
    <row r="1053" spans="1:58" ht="16.25" customHeight="1" x14ac:dyDescent="0.2">
      <c r="A1053">
        <v>119014705</v>
      </c>
      <c r="B1053" s="25">
        <v>44706.399305555555</v>
      </c>
      <c r="C1053" s="14">
        <v>44706</v>
      </c>
      <c r="D1053" t="s">
        <v>7848</v>
      </c>
      <c r="E1053" t="s">
        <v>84</v>
      </c>
      <c r="F1053">
        <v>3444</v>
      </c>
      <c r="G1053" t="s">
        <v>7720</v>
      </c>
      <c r="H1053" t="s">
        <v>7721</v>
      </c>
      <c r="I1053" t="s">
        <v>7849</v>
      </c>
      <c r="J1053" t="s">
        <v>7850</v>
      </c>
      <c r="K1053" t="s">
        <v>62</v>
      </c>
      <c r="M1053" t="s">
        <v>7851</v>
      </c>
      <c r="N1053" t="s">
        <v>7852</v>
      </c>
      <c r="R1053">
        <v>3</v>
      </c>
      <c r="S1053">
        <v>0</v>
      </c>
      <c r="T1053" t="b">
        <v>0</v>
      </c>
      <c r="V1053" t="s">
        <v>7853</v>
      </c>
      <c r="W1053" s="15">
        <v>-15.49255</v>
      </c>
      <c r="X1053" s="15">
        <v>46.695341669999998</v>
      </c>
      <c r="Y1053">
        <v>5</v>
      </c>
      <c r="AC1053">
        <v>5</v>
      </c>
      <c r="AF1053" t="b">
        <v>0</v>
      </c>
      <c r="AI1053" t="s">
        <v>71</v>
      </c>
      <c r="AJ1053" t="s">
        <v>70</v>
      </c>
      <c r="AK1053" t="s">
        <v>71</v>
      </c>
      <c r="AL1053" t="s">
        <v>72</v>
      </c>
      <c r="AM1053">
        <v>346053</v>
      </c>
      <c r="AO1053" s="16" t="s">
        <v>140</v>
      </c>
      <c r="AP1053" s="17" t="str">
        <f t="shared" ref="AP1053:AP1055" si="79">IF(COUNTIF(AO1053,"*foundress*"),"Nest (foundress)",AO1053)</f>
        <v>Post-emergence nest</v>
      </c>
      <c r="AQ1053" s="18">
        <v>13</v>
      </c>
      <c r="AT1053" s="19" t="s">
        <v>104</v>
      </c>
      <c r="AU1053" s="20" t="s">
        <v>104</v>
      </c>
      <c r="AV1053" s="21" t="s">
        <v>6362</v>
      </c>
      <c r="AX1053" s="22" t="str">
        <f>IF(AND('[1]observations-276632'!W1053&gt;'[1]Methods write-up'!$Q$16,'[1]observations-276632'!W1053&lt;'[1]Methods write-up'!$R$16,'[1]observations-276632'!X1053&gt;'[1]Methods write-up'!$S$16,'[1]observations-276632'!X1053&lt;'[1]Methods write-up'!$T$16),"West and Central Africa","")</f>
        <v/>
      </c>
      <c r="AY1053" s="22" t="str">
        <f>IF(AND('[1]observations-276632'!W1053&gt;'[1]Methods write-up'!$Q$17,'[1]observations-276632'!W1053&lt;'[1]Methods write-up'!$R$17,'[1]observations-276632'!X1053&gt;'[1]Methods write-up'!$S$17,'[1]observations-276632'!X1053&lt;'[1]Methods write-up'!$T$17),"Equatorial tropical forest","")</f>
        <v/>
      </c>
      <c r="AZ1053" s="22" t="str">
        <f>IF(AND('[1]observations-276632'!W1053&gt;'[1]Methods write-up'!$Q$18,'[1]observations-276632'!W1053&lt;'[1]Methods write-up'!$R$18,'[1]observations-276632'!X1053&gt;'[1]Methods write-up'!$S$18,'[1]observations-276632'!X1053&lt;'[1]Methods write-up'!$T$18),"Somali peninsula","")</f>
        <v/>
      </c>
      <c r="BA1053" s="22" t="str">
        <f>IF(AND('[1]observations-276632'!W1053&gt;'[1]Methods write-up'!$Q$19,'[1]observations-276632'!W1053&lt;'[1]Methods write-up'!$R$19,'[1]observations-276632'!X1053&gt;'[1]Methods write-up'!$S$19,'[1]observations-276632'!X1053&lt;'[1]Methods write-up'!$T$19),"East Africa","")</f>
        <v/>
      </c>
      <c r="BB1053" s="22" t="str">
        <f>IF(AND('[1]observations-276632'!W1053&gt;'[1]Methods write-up'!$Q$20,'[1]observations-276632'!W1053&lt;'[1]Methods write-up'!$R$20,'[1]observations-276632'!X1053&gt;'[1]Methods write-up'!$S$20,'[1]observations-276632'!X1053&lt;'[1]Methods write-up'!$T$20),"Temperate seasonal","")</f>
        <v/>
      </c>
      <c r="BC1053" s="22" t="str">
        <f>IF(AND('[1]observations-276632'!W1053&gt;'[1]Methods write-up'!$Q$21,'[1]observations-276632'!W1053&lt;'[1]Methods write-up'!$R$21,'[1]observations-276632'!X1053&gt;'[1]Methods write-up'!$S$21,'[1]observations-276632'!X1053&lt;'[1]Methods write-up'!$T$21),"Desert and high aridity","")</f>
        <v/>
      </c>
      <c r="BD1053" s="23" t="str">
        <f t="shared" si="76"/>
        <v/>
      </c>
      <c r="BE1053" s="24">
        <f t="shared" si="74"/>
        <v>25</v>
      </c>
      <c r="BF1053" s="24">
        <f t="shared" si="75"/>
        <v>5</v>
      </c>
    </row>
    <row r="1054" spans="1:58" ht="16.25" customHeight="1" x14ac:dyDescent="0.2">
      <c r="A1054">
        <v>119024227</v>
      </c>
      <c r="B1054" t="s">
        <v>7854</v>
      </c>
      <c r="C1054" s="14">
        <v>44709</v>
      </c>
      <c r="D1054" t="s">
        <v>7855</v>
      </c>
      <c r="E1054" t="s">
        <v>7831</v>
      </c>
      <c r="F1054">
        <v>5722256</v>
      </c>
      <c r="G1054" t="s">
        <v>7856</v>
      </c>
      <c r="H1054" t="s">
        <v>7857</v>
      </c>
      <c r="I1054" t="s">
        <v>7858</v>
      </c>
      <c r="J1054" t="s">
        <v>7859</v>
      </c>
      <c r="K1054" t="s">
        <v>62</v>
      </c>
      <c r="M1054" t="s">
        <v>7860</v>
      </c>
      <c r="N1054" t="s">
        <v>7861</v>
      </c>
      <c r="Q1054" s="26" t="s">
        <v>7862</v>
      </c>
      <c r="R1054">
        <v>1</v>
      </c>
      <c r="S1054">
        <v>0</v>
      </c>
      <c r="T1054" t="b">
        <v>0</v>
      </c>
      <c r="U1054">
        <v>3</v>
      </c>
      <c r="V1054" t="s">
        <v>7863</v>
      </c>
      <c r="W1054" s="15">
        <v>-2.0050861169999998</v>
      </c>
      <c r="X1054" s="15">
        <v>29.32821667</v>
      </c>
      <c r="Y1054">
        <v>48</v>
      </c>
      <c r="AC1054">
        <v>48</v>
      </c>
      <c r="AF1054" t="b">
        <v>0</v>
      </c>
      <c r="AI1054" t="s">
        <v>71</v>
      </c>
      <c r="AJ1054" t="s">
        <v>70</v>
      </c>
      <c r="AK1054" t="s">
        <v>71</v>
      </c>
      <c r="AL1054" t="s">
        <v>72</v>
      </c>
      <c r="AM1054">
        <v>346053</v>
      </c>
      <c r="AO1054" s="16" t="s">
        <v>73</v>
      </c>
      <c r="AP1054" s="17" t="str">
        <f t="shared" si="79"/>
        <v>Off-nest female</v>
      </c>
      <c r="AX1054" s="22" t="str">
        <f>IF(AND('[1]observations-276632'!W1054&gt;'[1]Methods write-up'!$Q$16,'[1]observations-276632'!W1054&lt;'[1]Methods write-up'!$R$16,'[1]observations-276632'!X1054&gt;'[1]Methods write-up'!$S$16,'[1]observations-276632'!X1054&lt;'[1]Methods write-up'!$T$16),"West and Central Africa","")</f>
        <v>West and Central Africa</v>
      </c>
      <c r="AY1054" s="22" t="str">
        <f>IF(AND('[1]observations-276632'!W1054&gt;'[1]Methods write-up'!$Q$17,'[1]observations-276632'!W1054&lt;'[1]Methods write-up'!$R$17,'[1]observations-276632'!X1054&gt;'[1]Methods write-up'!$S$17,'[1]observations-276632'!X1054&lt;'[1]Methods write-up'!$T$17),"Equatorial tropical forest","")</f>
        <v/>
      </c>
      <c r="AZ1054" s="22" t="str">
        <f>IF(AND('[1]observations-276632'!W1054&gt;'[1]Methods write-up'!$Q$18,'[1]observations-276632'!W1054&lt;'[1]Methods write-up'!$R$18,'[1]observations-276632'!X1054&gt;'[1]Methods write-up'!$S$18,'[1]observations-276632'!X1054&lt;'[1]Methods write-up'!$T$18),"Somali peninsula","")</f>
        <v/>
      </c>
      <c r="BA1054" s="22" t="str">
        <f>IF(AND('[1]observations-276632'!W1054&gt;'[1]Methods write-up'!$Q$19,'[1]observations-276632'!W1054&lt;'[1]Methods write-up'!$R$19,'[1]observations-276632'!X1054&gt;'[1]Methods write-up'!$S$19,'[1]observations-276632'!X1054&lt;'[1]Methods write-up'!$T$19),"East Africa","")</f>
        <v/>
      </c>
      <c r="BB1054" s="22" t="str">
        <f>IF(AND('[1]observations-276632'!W1054&gt;'[1]Methods write-up'!$Q$20,'[1]observations-276632'!W1054&lt;'[1]Methods write-up'!$R$20,'[1]observations-276632'!X1054&gt;'[1]Methods write-up'!$S$20,'[1]observations-276632'!X1054&lt;'[1]Methods write-up'!$T$20),"Temperate seasonal","")</f>
        <v/>
      </c>
      <c r="BC1054" s="22" t="str">
        <f>IF(AND('[1]observations-276632'!W1054&gt;'[1]Methods write-up'!$Q$21,'[1]observations-276632'!W1054&lt;'[1]Methods write-up'!$R$21,'[1]observations-276632'!X1054&gt;'[1]Methods write-up'!$S$21,'[1]observations-276632'!X1054&lt;'[1]Methods write-up'!$T$21),"Desert and high aridity","")</f>
        <v/>
      </c>
      <c r="BD1054" s="23" t="str">
        <f t="shared" si="76"/>
        <v>West and Central Africa</v>
      </c>
      <c r="BE1054" s="24">
        <f t="shared" si="74"/>
        <v>28</v>
      </c>
      <c r="BF1054" s="24">
        <f t="shared" si="75"/>
        <v>5</v>
      </c>
    </row>
    <row r="1055" spans="1:58" ht="16.25" customHeight="1" x14ac:dyDescent="0.2">
      <c r="A1055">
        <v>119026605</v>
      </c>
      <c r="B1055" s="25">
        <v>44709.40902777778</v>
      </c>
      <c r="C1055" s="14">
        <v>44709</v>
      </c>
      <c r="D1055" t="s">
        <v>7864</v>
      </c>
      <c r="E1055" t="s">
        <v>7831</v>
      </c>
      <c r="F1055">
        <v>5729780</v>
      </c>
      <c r="G1055" t="s">
        <v>7832</v>
      </c>
      <c r="H1055" t="s">
        <v>7833</v>
      </c>
      <c r="I1055" t="s">
        <v>7865</v>
      </c>
      <c r="J1055" t="s">
        <v>7866</v>
      </c>
      <c r="K1055" t="s">
        <v>62</v>
      </c>
      <c r="M1055" t="s">
        <v>7867</v>
      </c>
      <c r="N1055" t="s">
        <v>7868</v>
      </c>
      <c r="R1055">
        <v>3</v>
      </c>
      <c r="S1055">
        <v>1</v>
      </c>
      <c r="T1055" t="b">
        <v>0</v>
      </c>
      <c r="U1055">
        <v>2</v>
      </c>
      <c r="V1055" t="s">
        <v>7869</v>
      </c>
      <c r="W1055" s="15">
        <v>-2.2287290999999998</v>
      </c>
      <c r="X1055" s="15">
        <v>29.2366186</v>
      </c>
      <c r="Y1055">
        <v>2900</v>
      </c>
      <c r="AC1055">
        <v>2900</v>
      </c>
      <c r="AF1055" t="b">
        <v>0</v>
      </c>
      <c r="AI1055" t="s">
        <v>71</v>
      </c>
      <c r="AJ1055" t="s">
        <v>70</v>
      </c>
      <c r="AK1055" t="s">
        <v>71</v>
      </c>
      <c r="AL1055" t="s">
        <v>72</v>
      </c>
      <c r="AM1055">
        <v>346053</v>
      </c>
      <c r="AO1055" s="16" t="s">
        <v>110</v>
      </c>
      <c r="AP1055" s="17" t="str">
        <f t="shared" si="79"/>
        <v>Nest (foundress)</v>
      </c>
      <c r="AQ1055" s="18">
        <v>1</v>
      </c>
      <c r="AX1055" s="22" t="str">
        <f>IF(AND('[1]observations-276632'!W1055&gt;'[1]Methods write-up'!$Q$16,'[1]observations-276632'!W1055&lt;'[1]Methods write-up'!$R$16,'[1]observations-276632'!X1055&gt;'[1]Methods write-up'!$S$16,'[1]observations-276632'!X1055&lt;'[1]Methods write-up'!$T$16),"West and Central Africa","")</f>
        <v>West and Central Africa</v>
      </c>
      <c r="AY1055" s="22" t="str">
        <f>IF(AND('[1]observations-276632'!W1055&gt;'[1]Methods write-up'!$Q$17,'[1]observations-276632'!W1055&lt;'[1]Methods write-up'!$R$17,'[1]observations-276632'!X1055&gt;'[1]Methods write-up'!$S$17,'[1]observations-276632'!X1055&lt;'[1]Methods write-up'!$T$17),"Equatorial tropical forest","")</f>
        <v/>
      </c>
      <c r="AZ1055" s="22" t="str">
        <f>IF(AND('[1]observations-276632'!W1055&gt;'[1]Methods write-up'!$Q$18,'[1]observations-276632'!W1055&lt;'[1]Methods write-up'!$R$18,'[1]observations-276632'!X1055&gt;'[1]Methods write-up'!$S$18,'[1]observations-276632'!X1055&lt;'[1]Methods write-up'!$T$18),"Somali peninsula","")</f>
        <v/>
      </c>
      <c r="BA1055" s="22" t="str">
        <f>IF(AND('[1]observations-276632'!W1055&gt;'[1]Methods write-up'!$Q$19,'[1]observations-276632'!W1055&lt;'[1]Methods write-up'!$R$19,'[1]observations-276632'!X1055&gt;'[1]Methods write-up'!$S$19,'[1]observations-276632'!X1055&lt;'[1]Methods write-up'!$T$19),"East Africa","")</f>
        <v/>
      </c>
      <c r="BB1055" s="22" t="str">
        <f>IF(AND('[1]observations-276632'!W1055&gt;'[1]Methods write-up'!$Q$20,'[1]observations-276632'!W1055&lt;'[1]Methods write-up'!$R$20,'[1]observations-276632'!X1055&gt;'[1]Methods write-up'!$S$20,'[1]observations-276632'!X1055&lt;'[1]Methods write-up'!$T$20),"Temperate seasonal","")</f>
        <v/>
      </c>
      <c r="BC1055" s="22" t="str">
        <f>IF(AND('[1]observations-276632'!W1055&gt;'[1]Methods write-up'!$Q$21,'[1]observations-276632'!W1055&lt;'[1]Methods write-up'!$R$21,'[1]observations-276632'!X1055&gt;'[1]Methods write-up'!$S$21,'[1]observations-276632'!X1055&lt;'[1]Methods write-up'!$T$21),"Desert and high aridity","")</f>
        <v/>
      </c>
      <c r="BD1055" s="23" t="str">
        <f t="shared" si="76"/>
        <v>West and Central Africa</v>
      </c>
      <c r="BE1055" s="24">
        <f t="shared" si="74"/>
        <v>28</v>
      </c>
      <c r="BF1055" s="24">
        <f t="shared" si="75"/>
        <v>5</v>
      </c>
    </row>
    <row r="1056" spans="1:58" ht="16.25" customHeight="1" x14ac:dyDescent="0.2">
      <c r="A1056">
        <v>119026642</v>
      </c>
      <c r="B1056" s="25">
        <v>44709.40902777778</v>
      </c>
      <c r="C1056" s="14">
        <v>44709</v>
      </c>
      <c r="D1056" t="s">
        <v>7870</v>
      </c>
      <c r="E1056" t="s">
        <v>7831</v>
      </c>
      <c r="F1056">
        <v>5733690</v>
      </c>
      <c r="G1056" t="s">
        <v>7871</v>
      </c>
      <c r="H1056" t="s">
        <v>7872</v>
      </c>
      <c r="I1056" t="s">
        <v>7873</v>
      </c>
      <c r="J1056" t="s">
        <v>7874</v>
      </c>
      <c r="K1056" t="s">
        <v>62</v>
      </c>
      <c r="M1056" t="s">
        <v>7875</v>
      </c>
      <c r="N1056" t="s">
        <v>7876</v>
      </c>
      <c r="R1056">
        <v>2</v>
      </c>
      <c r="S1056">
        <v>0</v>
      </c>
      <c r="T1056" t="b">
        <v>0</v>
      </c>
      <c r="U1056">
        <v>2</v>
      </c>
      <c r="V1056" t="s">
        <v>7869</v>
      </c>
      <c r="W1056" s="15">
        <v>-2.2244967999999998</v>
      </c>
      <c r="X1056" s="15">
        <v>29.23724</v>
      </c>
      <c r="Y1056">
        <v>3066</v>
      </c>
      <c r="AC1056">
        <v>3066</v>
      </c>
      <c r="AF1056" t="b">
        <v>0</v>
      </c>
      <c r="AI1056" t="s">
        <v>71</v>
      </c>
      <c r="AJ1056" t="s">
        <v>70</v>
      </c>
      <c r="AK1056" t="s">
        <v>71</v>
      </c>
      <c r="AL1056" t="s">
        <v>72</v>
      </c>
      <c r="AM1056">
        <v>346053</v>
      </c>
      <c r="AO1056" s="16" t="s">
        <v>5601</v>
      </c>
      <c r="AP1056" s="16"/>
      <c r="AX1056" s="22" t="str">
        <f>IF(AND('[1]observations-276632'!W1056&gt;'[1]Methods write-up'!$Q$16,'[1]observations-276632'!W1056&lt;'[1]Methods write-up'!$R$16,'[1]observations-276632'!X1056&gt;'[1]Methods write-up'!$S$16,'[1]observations-276632'!X1056&lt;'[1]Methods write-up'!$T$16),"West Africa","")</f>
        <v>West Africa</v>
      </c>
      <c r="AY1056" s="22" t="str">
        <f>IF(AND('[1]observations-276632'!W1056&gt;'[1]Methods write-up'!$Q$17,'[1]observations-276632'!W1056&lt;'[1]Methods write-up'!$R$17,'[1]observations-276632'!X1056&gt;'[1]Methods write-up'!$S$17,'[1]observations-276632'!X1056&lt;'[1]Methods write-up'!$T$17),"Equatorial tropical forest","")</f>
        <v/>
      </c>
      <c r="AZ1056" s="22" t="str">
        <f>IF(AND('[1]observations-276632'!W1056&gt;'[1]Methods write-up'!$Q$18,'[1]observations-276632'!W1056&lt;'[1]Methods write-up'!$R$18,'[1]observations-276632'!X1056&gt;'[1]Methods write-up'!$S$18,'[1]observations-276632'!X1056&lt;'[1]Methods write-up'!$T$18),"Somali peninsula","")</f>
        <v/>
      </c>
      <c r="BA1056" s="22" t="str">
        <f>IF(AND('[1]observations-276632'!W1056&gt;'[1]Methods write-up'!$Q$19,'[1]observations-276632'!W1056&lt;'[1]Methods write-up'!$R$19,'[1]observations-276632'!X1056&gt;'[1]Methods write-up'!$S$19,'[1]observations-276632'!X1056&lt;'[1]Methods write-up'!$T$19),"East Africa","")</f>
        <v/>
      </c>
      <c r="BB1056" s="22" t="str">
        <f>IF(AND('[1]observations-276632'!W1056&gt;'[1]Methods write-up'!$Q$20,'[1]observations-276632'!W1056&lt;'[1]Methods write-up'!$R$20,'[1]observations-276632'!X1056&gt;'[1]Methods write-up'!$S$20,'[1]observations-276632'!X1056&lt;'[1]Methods write-up'!$T$20),"Temperate seasonal","")</f>
        <v/>
      </c>
      <c r="BC1056" s="22" t="str">
        <f>IF(AND('[1]observations-276632'!W1056&gt;'[1]Methods write-up'!$Q$21,'[1]observations-276632'!W1056&lt;'[1]Methods write-up'!$R$21,'[1]observations-276632'!X1056&gt;'[1]Methods write-up'!$S$21,'[1]observations-276632'!X1056&lt;'[1]Methods write-up'!$T$21),"Desert and high aridity","")</f>
        <v/>
      </c>
      <c r="BD1056" s="23" t="str">
        <f t="shared" si="76"/>
        <v>West Africa</v>
      </c>
      <c r="BE1056" s="24">
        <f t="shared" si="74"/>
        <v>28</v>
      </c>
      <c r="BF1056" s="24">
        <f t="shared" si="75"/>
        <v>5</v>
      </c>
    </row>
    <row r="1057" spans="1:58" ht="16.25" customHeight="1" x14ac:dyDescent="0.2">
      <c r="A1057">
        <v>119026983</v>
      </c>
      <c r="B1057" s="25">
        <v>44705.474305555559</v>
      </c>
      <c r="C1057" s="14">
        <v>44705</v>
      </c>
      <c r="D1057" t="s">
        <v>7877</v>
      </c>
      <c r="E1057" t="s">
        <v>113</v>
      </c>
      <c r="F1057">
        <v>2600246</v>
      </c>
      <c r="G1057" t="s">
        <v>4262</v>
      </c>
      <c r="H1057" t="s">
        <v>4263</v>
      </c>
      <c r="I1057" t="s">
        <v>7878</v>
      </c>
      <c r="J1057" t="s">
        <v>7879</v>
      </c>
      <c r="K1057" t="s">
        <v>62</v>
      </c>
      <c r="L1057" t="s">
        <v>63</v>
      </c>
      <c r="M1057" t="s">
        <v>7880</v>
      </c>
      <c r="N1057" t="s">
        <v>7881</v>
      </c>
      <c r="R1057">
        <v>4</v>
      </c>
      <c r="S1057">
        <v>0</v>
      </c>
      <c r="T1057" t="b">
        <v>0</v>
      </c>
      <c r="U1057">
        <v>2</v>
      </c>
      <c r="V1057" t="s">
        <v>7882</v>
      </c>
      <c r="W1057" s="15">
        <v>-24.8184814</v>
      </c>
      <c r="X1057" s="15">
        <v>28.063588599999999</v>
      </c>
      <c r="AF1057" t="b">
        <v>0</v>
      </c>
      <c r="AG1057" t="s">
        <v>350</v>
      </c>
      <c r="AH1057" t="s">
        <v>350</v>
      </c>
      <c r="AI1057" t="s">
        <v>71</v>
      </c>
      <c r="AJ1057" t="s">
        <v>70</v>
      </c>
      <c r="AK1057" t="s">
        <v>71</v>
      </c>
      <c r="AL1057" t="s">
        <v>72</v>
      </c>
      <c r="AM1057">
        <v>346053</v>
      </c>
      <c r="AO1057" s="16" t="s">
        <v>150</v>
      </c>
      <c r="AP1057" s="17" t="str">
        <f t="shared" ref="AP1057:AP1058" si="80">IF(COUNTIF(AO1057,"*foundress*"),"Nest (foundress)",AO1057)</f>
        <v>Male (off nest)</v>
      </c>
      <c r="AX1057" s="22" t="str">
        <f>IF(AND('[1]observations-276632'!W1057&gt;'[1]Methods write-up'!$Q$16,'[1]observations-276632'!W1057&lt;'[1]Methods write-up'!$R$16,'[1]observations-276632'!X1057&gt;'[1]Methods write-up'!$S$16,'[1]observations-276632'!X1057&lt;'[1]Methods write-up'!$T$16),"West and Central Africa","")</f>
        <v/>
      </c>
      <c r="AY1057" s="22" t="str">
        <f>IF(AND('[1]observations-276632'!W1057&gt;'[1]Methods write-up'!$Q$17,'[1]observations-276632'!W1057&lt;'[1]Methods write-up'!$R$17,'[1]observations-276632'!X1057&gt;'[1]Methods write-up'!$S$17,'[1]observations-276632'!X1057&lt;'[1]Methods write-up'!$T$17),"Equatorial tropical forest","")</f>
        <v/>
      </c>
      <c r="AZ1057" s="22" t="str">
        <f>IF(AND('[1]observations-276632'!W1057&gt;'[1]Methods write-up'!$Q$18,'[1]observations-276632'!W1057&lt;'[1]Methods write-up'!$R$18,'[1]observations-276632'!X1057&gt;'[1]Methods write-up'!$S$18,'[1]observations-276632'!X1057&lt;'[1]Methods write-up'!$T$18),"Somali peninsula","")</f>
        <v/>
      </c>
      <c r="BA1057" s="22" t="str">
        <f>IF(AND('[1]observations-276632'!W1057&gt;'[1]Methods write-up'!$Q$19,'[1]observations-276632'!W1057&lt;'[1]Methods write-up'!$R$19,'[1]observations-276632'!X1057&gt;'[1]Methods write-up'!$S$19,'[1]observations-276632'!X1057&lt;'[1]Methods write-up'!$T$19),"East Africa","")</f>
        <v/>
      </c>
      <c r="BB1057" s="22" t="str">
        <f>IF(AND('[1]observations-276632'!W1057&gt;'[1]Methods write-up'!$Q$20,'[1]observations-276632'!W1057&lt;'[1]Methods write-up'!$R$20,'[1]observations-276632'!X1057&gt;'[1]Methods write-up'!$S$20,'[1]observations-276632'!X1057&lt;'[1]Methods write-up'!$T$20),"Temperate seasonal","")</f>
        <v/>
      </c>
      <c r="BC1057" s="22" t="str">
        <f>IF(AND('[1]observations-276632'!W1057&gt;'[1]Methods write-up'!$Q$21,'[1]observations-276632'!W1057&lt;'[1]Methods write-up'!$R$21,'[1]observations-276632'!X1057&gt;'[1]Methods write-up'!$S$21,'[1]observations-276632'!X1057&lt;'[1]Methods write-up'!$T$21),"Desert and high aridity","")</f>
        <v/>
      </c>
      <c r="BD1057" s="23" t="str">
        <f t="shared" si="76"/>
        <v/>
      </c>
      <c r="BE1057" s="24">
        <f t="shared" si="74"/>
        <v>24</v>
      </c>
      <c r="BF1057" s="24">
        <f t="shared" si="75"/>
        <v>5</v>
      </c>
    </row>
    <row r="1058" spans="1:58" ht="16.25" customHeight="1" x14ac:dyDescent="0.2">
      <c r="A1058">
        <v>119028968</v>
      </c>
      <c r="B1058" s="25">
        <v>44709.434027777781</v>
      </c>
      <c r="C1058" s="14">
        <v>44709</v>
      </c>
      <c r="D1058" t="s">
        <v>7883</v>
      </c>
      <c r="E1058" t="s">
        <v>7831</v>
      </c>
      <c r="F1058">
        <v>5729165</v>
      </c>
      <c r="G1058" t="s">
        <v>7841</v>
      </c>
      <c r="I1058" t="s">
        <v>7884</v>
      </c>
      <c r="J1058" t="s">
        <v>7885</v>
      </c>
      <c r="K1058" t="s">
        <v>62</v>
      </c>
      <c r="L1058" t="s">
        <v>63</v>
      </c>
      <c r="M1058" t="s">
        <v>7886</v>
      </c>
      <c r="N1058" t="s">
        <v>7887</v>
      </c>
      <c r="R1058">
        <v>1</v>
      </c>
      <c r="S1058">
        <v>0</v>
      </c>
      <c r="T1058" t="b">
        <v>0</v>
      </c>
      <c r="U1058">
        <v>2</v>
      </c>
      <c r="V1058" t="s">
        <v>7847</v>
      </c>
      <c r="W1058" s="15">
        <v>-2.01722</v>
      </c>
      <c r="X1058" s="15">
        <v>29.305231670000001</v>
      </c>
      <c r="Y1058">
        <v>9</v>
      </c>
      <c r="AC1058">
        <v>9</v>
      </c>
      <c r="AF1058" t="b">
        <v>0</v>
      </c>
      <c r="AI1058" t="s">
        <v>71</v>
      </c>
      <c r="AJ1058" t="s">
        <v>70</v>
      </c>
      <c r="AK1058" t="s">
        <v>71</v>
      </c>
      <c r="AL1058" t="s">
        <v>72</v>
      </c>
      <c r="AM1058">
        <v>346053</v>
      </c>
      <c r="AO1058" s="16" t="s">
        <v>73</v>
      </c>
      <c r="AP1058" s="17" t="str">
        <f t="shared" si="80"/>
        <v>Off-nest female</v>
      </c>
      <c r="AV1058" s="21" t="s">
        <v>7888</v>
      </c>
      <c r="AX1058" s="22" t="str">
        <f>IF(AND('[1]observations-276632'!W1058&gt;'[1]Methods write-up'!$Q$16,'[1]observations-276632'!W1058&lt;'[1]Methods write-up'!$R$16,'[1]observations-276632'!X1058&gt;'[1]Methods write-up'!$S$16,'[1]observations-276632'!X1058&lt;'[1]Methods write-up'!$T$16),"West and Central Africa","")</f>
        <v>West and Central Africa</v>
      </c>
      <c r="AY1058" s="22" t="str">
        <f>IF(AND('[1]observations-276632'!W1058&gt;'[1]Methods write-up'!$Q$17,'[1]observations-276632'!W1058&lt;'[1]Methods write-up'!$R$17,'[1]observations-276632'!X1058&gt;'[1]Methods write-up'!$S$17,'[1]observations-276632'!X1058&lt;'[1]Methods write-up'!$T$17),"Equatorial tropical forest","")</f>
        <v/>
      </c>
      <c r="AZ1058" s="22" t="str">
        <f>IF(AND('[1]observations-276632'!W1058&gt;'[1]Methods write-up'!$Q$18,'[1]observations-276632'!W1058&lt;'[1]Methods write-up'!$R$18,'[1]observations-276632'!X1058&gt;'[1]Methods write-up'!$S$18,'[1]observations-276632'!X1058&lt;'[1]Methods write-up'!$T$18),"Somali peninsula","")</f>
        <v/>
      </c>
      <c r="BA1058" s="22" t="str">
        <f>IF(AND('[1]observations-276632'!W1058&gt;'[1]Methods write-up'!$Q$19,'[1]observations-276632'!W1058&lt;'[1]Methods write-up'!$R$19,'[1]observations-276632'!X1058&gt;'[1]Methods write-up'!$S$19,'[1]observations-276632'!X1058&lt;'[1]Methods write-up'!$T$19),"East Africa","")</f>
        <v/>
      </c>
      <c r="BB1058" s="22" t="str">
        <f>IF(AND('[1]observations-276632'!W1058&gt;'[1]Methods write-up'!$Q$20,'[1]observations-276632'!W1058&lt;'[1]Methods write-up'!$R$20,'[1]observations-276632'!X1058&gt;'[1]Methods write-up'!$S$20,'[1]observations-276632'!X1058&lt;'[1]Methods write-up'!$T$20),"Temperate seasonal","")</f>
        <v/>
      </c>
      <c r="BC1058" s="22" t="str">
        <f>IF(AND('[1]observations-276632'!W1058&gt;'[1]Methods write-up'!$Q$21,'[1]observations-276632'!W1058&lt;'[1]Methods write-up'!$R$21,'[1]observations-276632'!X1058&gt;'[1]Methods write-up'!$S$21,'[1]observations-276632'!X1058&lt;'[1]Methods write-up'!$T$21),"Desert and high aridity","")</f>
        <v/>
      </c>
      <c r="BD1058" s="23" t="str">
        <f t="shared" si="76"/>
        <v>West and Central Africa</v>
      </c>
      <c r="BE1058" s="24">
        <f t="shared" si="74"/>
        <v>28</v>
      </c>
      <c r="BF1058" s="24">
        <f t="shared" si="75"/>
        <v>5</v>
      </c>
    </row>
    <row r="1059" spans="1:58" ht="16.25" customHeight="1" x14ac:dyDescent="0.2">
      <c r="A1059">
        <v>119042949</v>
      </c>
      <c r="E1059" t="s">
        <v>1408</v>
      </c>
      <c r="F1059">
        <v>5729163</v>
      </c>
      <c r="G1059" t="s">
        <v>7889</v>
      </c>
      <c r="H1059" t="s">
        <v>7890</v>
      </c>
      <c r="I1059" t="s">
        <v>7891</v>
      </c>
      <c r="J1059" t="s">
        <v>7892</v>
      </c>
      <c r="K1059" t="s">
        <v>2038</v>
      </c>
      <c r="M1059" t="s">
        <v>7893</v>
      </c>
      <c r="N1059" t="s">
        <v>7894</v>
      </c>
      <c r="R1059">
        <v>0</v>
      </c>
      <c r="S1059">
        <v>0</v>
      </c>
      <c r="T1059" t="b">
        <v>0</v>
      </c>
      <c r="U1059">
        <v>2</v>
      </c>
      <c r="AF1059" t="b">
        <v>0</v>
      </c>
      <c r="AI1059" t="s">
        <v>71</v>
      </c>
      <c r="AJ1059" t="s">
        <v>70</v>
      </c>
      <c r="AK1059" t="s">
        <v>71</v>
      </c>
      <c r="AL1059" t="s">
        <v>72</v>
      </c>
      <c r="AM1059">
        <v>346053</v>
      </c>
      <c r="AO1059" s="16" t="s">
        <v>7895</v>
      </c>
      <c r="AP1059" s="16"/>
      <c r="AX1059" s="22" t="str">
        <f>IF(AND('[1]observations-276632'!W1059&gt;'[1]Methods write-up'!$Q$16,'[1]observations-276632'!W1059&lt;'[1]Methods write-up'!$R$16,'[1]observations-276632'!X1059&gt;'[1]Methods write-up'!$S$16,'[1]observations-276632'!X1059&lt;'[1]Methods write-up'!$T$16),"West Africa","")</f>
        <v>West Africa</v>
      </c>
      <c r="AY1059" s="22" t="str">
        <f>IF(AND('[1]observations-276632'!W1059&gt;'[1]Methods write-up'!$Q$17,'[1]observations-276632'!W1059&lt;'[1]Methods write-up'!$R$17,'[1]observations-276632'!X1059&gt;'[1]Methods write-up'!$S$17,'[1]observations-276632'!X1059&lt;'[1]Methods write-up'!$T$17),"Equatorial tropical forest","")</f>
        <v/>
      </c>
      <c r="AZ1059" s="22" t="str">
        <f>IF(AND('[1]observations-276632'!W1059&gt;'[1]Methods write-up'!$Q$18,'[1]observations-276632'!W1059&lt;'[1]Methods write-up'!$R$18,'[1]observations-276632'!X1059&gt;'[1]Methods write-up'!$S$18,'[1]observations-276632'!X1059&lt;'[1]Methods write-up'!$T$18),"Somali peninsula","")</f>
        <v/>
      </c>
      <c r="BA1059" s="22" t="str">
        <f>IF(AND('[1]observations-276632'!W1059&gt;'[1]Methods write-up'!$Q$19,'[1]observations-276632'!W1059&lt;'[1]Methods write-up'!$R$19,'[1]observations-276632'!X1059&gt;'[1]Methods write-up'!$S$19,'[1]observations-276632'!X1059&lt;'[1]Methods write-up'!$T$19),"East Africa","")</f>
        <v/>
      </c>
      <c r="BB1059" s="22" t="str">
        <f>IF(AND('[1]observations-276632'!W1059&gt;'[1]Methods write-up'!$Q$20,'[1]observations-276632'!W1059&lt;'[1]Methods write-up'!$R$20,'[1]observations-276632'!X1059&gt;'[1]Methods write-up'!$S$20,'[1]observations-276632'!X1059&lt;'[1]Methods write-up'!$T$20),"Temperate seasonal","")</f>
        <v/>
      </c>
      <c r="BC1059" s="22" t="str">
        <f>IF(AND('[1]observations-276632'!W1059&gt;'[1]Methods write-up'!$Q$21,'[1]observations-276632'!W1059&lt;'[1]Methods write-up'!$R$21,'[1]observations-276632'!X1059&gt;'[1]Methods write-up'!$S$21,'[1]observations-276632'!X1059&lt;'[1]Methods write-up'!$T$21),"Desert and high aridity","")</f>
        <v/>
      </c>
      <c r="BD1059" s="23" t="str">
        <f t="shared" si="76"/>
        <v>West Africa</v>
      </c>
      <c r="BE1059" s="24">
        <f t="shared" si="74"/>
        <v>0</v>
      </c>
      <c r="BF1059" s="24">
        <f t="shared" si="75"/>
        <v>1</v>
      </c>
    </row>
    <row r="1060" spans="1:58" ht="16.25" customHeight="1" x14ac:dyDescent="0.2">
      <c r="A1060">
        <v>119052935</v>
      </c>
      <c r="B1060" s="25">
        <v>44709.620833333334</v>
      </c>
      <c r="C1060" s="14">
        <v>44709</v>
      </c>
      <c r="D1060" t="s">
        <v>7896</v>
      </c>
      <c r="E1060" t="s">
        <v>7831</v>
      </c>
      <c r="F1060">
        <v>5733678</v>
      </c>
      <c r="G1060" t="s">
        <v>7897</v>
      </c>
      <c r="H1060" t="s">
        <v>7898</v>
      </c>
      <c r="I1060" t="s">
        <v>7899</v>
      </c>
      <c r="J1060" t="s">
        <v>7900</v>
      </c>
      <c r="K1060" t="s">
        <v>2038</v>
      </c>
      <c r="M1060" t="s">
        <v>7901</v>
      </c>
      <c r="N1060" t="s">
        <v>7902</v>
      </c>
      <c r="R1060">
        <v>0</v>
      </c>
      <c r="S1060">
        <v>0</v>
      </c>
      <c r="T1060" t="b">
        <v>0</v>
      </c>
      <c r="U1060">
        <v>2</v>
      </c>
      <c r="AF1060" t="b">
        <v>0</v>
      </c>
      <c r="AI1060" t="s">
        <v>71</v>
      </c>
      <c r="AJ1060" t="s">
        <v>70</v>
      </c>
      <c r="AK1060" t="s">
        <v>71</v>
      </c>
      <c r="AL1060" t="s">
        <v>72</v>
      </c>
      <c r="AM1060">
        <v>346053</v>
      </c>
      <c r="AO1060" s="16" t="s">
        <v>73</v>
      </c>
      <c r="AP1060" s="17" t="str">
        <f t="shared" ref="AP1060:AP1069" si="81">IF(COUNTIF(AO1060,"*foundress*"),"Nest (foundress)",AO1060)</f>
        <v>Off-nest female</v>
      </c>
      <c r="AX1060" s="22" t="str">
        <f>IF(AND('[1]observations-276632'!W1060&gt;'[1]Methods write-up'!$Q$16,'[1]observations-276632'!W1060&lt;'[1]Methods write-up'!$R$16,'[1]observations-276632'!X1060&gt;'[1]Methods write-up'!$S$16,'[1]observations-276632'!X1060&lt;'[1]Methods write-up'!$T$16),"West and Central Africa","")</f>
        <v>West and Central Africa</v>
      </c>
      <c r="AY1060" s="22" t="str">
        <f>IF(AND('[1]observations-276632'!W1060&gt;'[1]Methods write-up'!$Q$17,'[1]observations-276632'!W1060&lt;'[1]Methods write-up'!$R$17,'[1]observations-276632'!X1060&gt;'[1]Methods write-up'!$S$17,'[1]observations-276632'!X1060&lt;'[1]Methods write-up'!$T$17),"Equatorial tropical forest","")</f>
        <v/>
      </c>
      <c r="AZ1060" s="22" t="str">
        <f>IF(AND('[1]observations-276632'!W1060&gt;'[1]Methods write-up'!$Q$18,'[1]observations-276632'!W1060&lt;'[1]Methods write-up'!$R$18,'[1]observations-276632'!X1060&gt;'[1]Methods write-up'!$S$18,'[1]observations-276632'!X1060&lt;'[1]Methods write-up'!$T$18),"Somali peninsula","")</f>
        <v/>
      </c>
      <c r="BA1060" s="22" t="str">
        <f>IF(AND('[1]observations-276632'!W1060&gt;'[1]Methods write-up'!$Q$19,'[1]observations-276632'!W1060&lt;'[1]Methods write-up'!$R$19,'[1]observations-276632'!X1060&gt;'[1]Methods write-up'!$S$19,'[1]observations-276632'!X1060&lt;'[1]Methods write-up'!$T$19),"East Africa","")</f>
        <v/>
      </c>
      <c r="BB1060" s="22" t="str">
        <f>IF(AND('[1]observations-276632'!W1060&gt;'[1]Methods write-up'!$Q$20,'[1]observations-276632'!W1060&lt;'[1]Methods write-up'!$R$20,'[1]observations-276632'!X1060&gt;'[1]Methods write-up'!$S$20,'[1]observations-276632'!X1060&lt;'[1]Methods write-up'!$T$20),"Temperate seasonal","")</f>
        <v/>
      </c>
      <c r="BC1060" s="22" t="str">
        <f>IF(AND('[1]observations-276632'!W1060&gt;'[1]Methods write-up'!$Q$21,'[1]observations-276632'!W1060&lt;'[1]Methods write-up'!$R$21,'[1]observations-276632'!X1060&gt;'[1]Methods write-up'!$S$21,'[1]observations-276632'!X1060&lt;'[1]Methods write-up'!$T$21),"Desert and high aridity","")</f>
        <v/>
      </c>
      <c r="BD1060" s="23" t="str">
        <f t="shared" si="76"/>
        <v>West and Central Africa</v>
      </c>
      <c r="BE1060" s="24">
        <f t="shared" si="74"/>
        <v>28</v>
      </c>
      <c r="BF1060" s="24">
        <f t="shared" si="75"/>
        <v>5</v>
      </c>
    </row>
    <row r="1061" spans="1:58" ht="16.25" customHeight="1" x14ac:dyDescent="0.2">
      <c r="A1061">
        <v>119202642</v>
      </c>
      <c r="B1061" s="25">
        <v>44635.678472222222</v>
      </c>
      <c r="C1061" s="14">
        <v>44635</v>
      </c>
      <c r="D1061" t="s">
        <v>7903</v>
      </c>
      <c r="E1061" t="s">
        <v>84</v>
      </c>
      <c r="F1061">
        <v>2741410</v>
      </c>
      <c r="G1061" t="s">
        <v>7904</v>
      </c>
      <c r="I1061" t="s">
        <v>7905</v>
      </c>
      <c r="J1061" t="s">
        <v>7906</v>
      </c>
      <c r="K1061" t="s">
        <v>62</v>
      </c>
      <c r="L1061" t="s">
        <v>63</v>
      </c>
      <c r="M1061" t="s">
        <v>7907</v>
      </c>
      <c r="N1061" t="s">
        <v>7908</v>
      </c>
      <c r="R1061">
        <v>2</v>
      </c>
      <c r="S1061">
        <v>0</v>
      </c>
      <c r="T1061" t="b">
        <v>0</v>
      </c>
      <c r="V1061" t="s">
        <v>7909</v>
      </c>
      <c r="W1061" s="15">
        <v>-14.25485802</v>
      </c>
      <c r="X1061" s="15">
        <v>33.449291010000003</v>
      </c>
      <c r="Y1061">
        <v>125</v>
      </c>
      <c r="AC1061">
        <v>125</v>
      </c>
      <c r="AF1061" t="b">
        <v>0</v>
      </c>
      <c r="AI1061" t="s">
        <v>71</v>
      </c>
      <c r="AJ1061" t="s">
        <v>70</v>
      </c>
      <c r="AK1061" t="s">
        <v>71</v>
      </c>
      <c r="AL1061" t="s">
        <v>72</v>
      </c>
      <c r="AM1061">
        <v>346053</v>
      </c>
      <c r="AO1061" s="16" t="s">
        <v>73</v>
      </c>
      <c r="AP1061" s="17" t="str">
        <f t="shared" si="81"/>
        <v>Off-nest female</v>
      </c>
      <c r="AX1061" s="22" t="str">
        <f>IF(AND('[1]observations-276632'!W1061&gt;'[1]Methods write-up'!$Q$16,'[1]observations-276632'!W1061&lt;'[1]Methods write-up'!$R$16,'[1]observations-276632'!X1061&gt;'[1]Methods write-up'!$S$16,'[1]observations-276632'!X1061&lt;'[1]Methods write-up'!$T$16),"West and Central Africa","")</f>
        <v/>
      </c>
      <c r="AY1061" s="22" t="str">
        <f>IF(AND('[1]observations-276632'!W1061&gt;'[1]Methods write-up'!$Q$17,'[1]observations-276632'!W1061&lt;'[1]Methods write-up'!$R$17,'[1]observations-276632'!X1061&gt;'[1]Methods write-up'!$S$17,'[1]observations-276632'!X1061&lt;'[1]Methods write-up'!$T$17),"Equatorial tropical forest","")</f>
        <v/>
      </c>
      <c r="AZ1061" s="22" t="str">
        <f>IF(AND('[1]observations-276632'!W1061&gt;'[1]Methods write-up'!$Q$18,'[1]observations-276632'!W1061&lt;'[1]Methods write-up'!$R$18,'[1]observations-276632'!X1061&gt;'[1]Methods write-up'!$S$18,'[1]observations-276632'!X1061&lt;'[1]Methods write-up'!$T$18),"Somali peninsula","")</f>
        <v/>
      </c>
      <c r="BA1061" s="22" t="str">
        <f>IF(AND('[1]observations-276632'!W1061&gt;'[1]Methods write-up'!$Q$19,'[1]observations-276632'!W1061&lt;'[1]Methods write-up'!$R$19,'[1]observations-276632'!X1061&gt;'[1]Methods write-up'!$S$19,'[1]observations-276632'!X1061&lt;'[1]Methods write-up'!$T$19),"East Africa","")</f>
        <v/>
      </c>
      <c r="BB1061" s="22" t="str">
        <f>IF(AND('[1]observations-276632'!W1061&gt;'[1]Methods write-up'!$Q$20,'[1]observations-276632'!W1061&lt;'[1]Methods write-up'!$R$20,'[1]observations-276632'!X1061&gt;'[1]Methods write-up'!$S$20,'[1]observations-276632'!X1061&lt;'[1]Methods write-up'!$T$20),"Temperate seasonal","")</f>
        <v/>
      </c>
      <c r="BC1061" s="22" t="str">
        <f>IF(AND('[1]observations-276632'!W1061&gt;'[1]Methods write-up'!$Q$21,'[1]observations-276632'!W1061&lt;'[1]Methods write-up'!$R$21,'[1]observations-276632'!X1061&gt;'[1]Methods write-up'!$S$21,'[1]observations-276632'!X1061&lt;'[1]Methods write-up'!$T$21),"Desert and high aridity","")</f>
        <v/>
      </c>
      <c r="BD1061" s="23" t="str">
        <f t="shared" si="76"/>
        <v/>
      </c>
      <c r="BE1061" s="24">
        <f t="shared" si="74"/>
        <v>15</v>
      </c>
      <c r="BF1061" s="24">
        <f t="shared" si="75"/>
        <v>3</v>
      </c>
    </row>
    <row r="1062" spans="1:58" ht="16.25" customHeight="1" x14ac:dyDescent="0.2">
      <c r="A1062">
        <v>119382209</v>
      </c>
      <c r="B1062" s="25">
        <v>44708.440972222219</v>
      </c>
      <c r="C1062" s="14">
        <v>44708</v>
      </c>
      <c r="D1062" t="s">
        <v>7910</v>
      </c>
      <c r="E1062" t="s">
        <v>7831</v>
      </c>
      <c r="F1062">
        <v>5729165</v>
      </c>
      <c r="G1062" t="s">
        <v>7841</v>
      </c>
      <c r="I1062" t="s">
        <v>7911</v>
      </c>
      <c r="J1062" t="s">
        <v>7912</v>
      </c>
      <c r="K1062" t="s">
        <v>62</v>
      </c>
      <c r="L1062" t="s">
        <v>63</v>
      </c>
      <c r="M1062" t="s">
        <v>7913</v>
      </c>
      <c r="N1062" t="s">
        <v>7914</v>
      </c>
      <c r="R1062">
        <v>1</v>
      </c>
      <c r="S1062">
        <v>0</v>
      </c>
      <c r="T1062" t="b">
        <v>0</v>
      </c>
      <c r="U1062">
        <v>2</v>
      </c>
      <c r="V1062" t="s">
        <v>7847</v>
      </c>
      <c r="W1062" s="15">
        <v>-2.0172520450000002</v>
      </c>
      <c r="X1062" s="15">
        <v>29.30764396</v>
      </c>
      <c r="Y1062">
        <v>267</v>
      </c>
      <c r="AC1062">
        <v>267</v>
      </c>
      <c r="AF1062" t="b">
        <v>0</v>
      </c>
      <c r="AG1062" t="s">
        <v>350</v>
      </c>
      <c r="AH1062" t="s">
        <v>350</v>
      </c>
      <c r="AI1062" t="s">
        <v>71</v>
      </c>
      <c r="AJ1062" t="s">
        <v>70</v>
      </c>
      <c r="AK1062" t="s">
        <v>71</v>
      </c>
      <c r="AL1062" t="s">
        <v>72</v>
      </c>
      <c r="AM1062">
        <v>346053</v>
      </c>
      <c r="AO1062" s="16" t="s">
        <v>150</v>
      </c>
      <c r="AP1062" s="17" t="str">
        <f t="shared" si="81"/>
        <v>Male (off nest)</v>
      </c>
      <c r="AX1062" s="22" t="str">
        <f>IF(AND('[1]observations-276632'!W1062&gt;'[1]Methods write-up'!$Q$16,'[1]observations-276632'!W1062&lt;'[1]Methods write-up'!$R$16,'[1]observations-276632'!X1062&gt;'[1]Methods write-up'!$S$16,'[1]observations-276632'!X1062&lt;'[1]Methods write-up'!$T$16),"West and Central Africa","")</f>
        <v>West and Central Africa</v>
      </c>
      <c r="AY1062" s="22" t="str">
        <f>IF(AND('[1]observations-276632'!W1062&gt;'[1]Methods write-up'!$Q$17,'[1]observations-276632'!W1062&lt;'[1]Methods write-up'!$R$17,'[1]observations-276632'!X1062&gt;'[1]Methods write-up'!$S$17,'[1]observations-276632'!X1062&lt;'[1]Methods write-up'!$T$17),"Equatorial tropical forest","")</f>
        <v/>
      </c>
      <c r="AZ1062" s="22" t="str">
        <f>IF(AND('[1]observations-276632'!W1062&gt;'[1]Methods write-up'!$Q$18,'[1]observations-276632'!W1062&lt;'[1]Methods write-up'!$R$18,'[1]observations-276632'!X1062&gt;'[1]Methods write-up'!$S$18,'[1]observations-276632'!X1062&lt;'[1]Methods write-up'!$T$18),"Somali peninsula","")</f>
        <v/>
      </c>
      <c r="BA1062" s="22" t="str">
        <f>IF(AND('[1]observations-276632'!W1062&gt;'[1]Methods write-up'!$Q$19,'[1]observations-276632'!W1062&lt;'[1]Methods write-up'!$R$19,'[1]observations-276632'!X1062&gt;'[1]Methods write-up'!$S$19,'[1]observations-276632'!X1062&lt;'[1]Methods write-up'!$T$19),"East Africa","")</f>
        <v/>
      </c>
      <c r="BB1062" s="22" t="str">
        <f>IF(AND('[1]observations-276632'!W1062&gt;'[1]Methods write-up'!$Q$20,'[1]observations-276632'!W1062&lt;'[1]Methods write-up'!$R$20,'[1]observations-276632'!X1062&gt;'[1]Methods write-up'!$S$20,'[1]observations-276632'!X1062&lt;'[1]Methods write-up'!$T$20),"Temperate seasonal","")</f>
        <v/>
      </c>
      <c r="BC1062" s="22" t="str">
        <f>IF(AND('[1]observations-276632'!W1062&gt;'[1]Methods write-up'!$Q$21,'[1]observations-276632'!W1062&lt;'[1]Methods write-up'!$R$21,'[1]observations-276632'!X1062&gt;'[1]Methods write-up'!$S$21,'[1]observations-276632'!X1062&lt;'[1]Methods write-up'!$T$21),"Desert and high aridity","")</f>
        <v/>
      </c>
      <c r="BD1062" s="23" t="str">
        <f t="shared" si="76"/>
        <v>West and Central Africa</v>
      </c>
      <c r="BE1062" s="24">
        <f t="shared" si="74"/>
        <v>27</v>
      </c>
      <c r="BF1062" s="24">
        <f t="shared" si="75"/>
        <v>5</v>
      </c>
    </row>
    <row r="1063" spans="1:58" ht="16.25" customHeight="1" x14ac:dyDescent="0.2">
      <c r="A1063">
        <v>119694737</v>
      </c>
      <c r="B1063" t="s">
        <v>7915</v>
      </c>
      <c r="C1063" s="14">
        <v>44701</v>
      </c>
      <c r="D1063" t="s">
        <v>7916</v>
      </c>
      <c r="E1063" t="s">
        <v>113</v>
      </c>
      <c r="F1063">
        <v>4429155</v>
      </c>
      <c r="G1063" t="s">
        <v>5657</v>
      </c>
      <c r="H1063" t="s">
        <v>5658</v>
      </c>
      <c r="I1063" t="s">
        <v>7917</v>
      </c>
      <c r="J1063" t="s">
        <v>7918</v>
      </c>
      <c r="K1063" t="s">
        <v>62</v>
      </c>
      <c r="M1063" t="s">
        <v>7919</v>
      </c>
      <c r="N1063" t="s">
        <v>7920</v>
      </c>
      <c r="R1063">
        <v>2</v>
      </c>
      <c r="S1063">
        <v>0</v>
      </c>
      <c r="T1063" t="b">
        <v>0</v>
      </c>
      <c r="U1063">
        <v>2</v>
      </c>
      <c r="V1063" t="s">
        <v>7921</v>
      </c>
      <c r="W1063" s="15">
        <v>-29.550715440000001</v>
      </c>
      <c r="X1063" s="15">
        <v>31.20660771</v>
      </c>
      <c r="Y1063">
        <v>19</v>
      </c>
      <c r="AC1063">
        <v>19</v>
      </c>
      <c r="AF1063" t="b">
        <v>0</v>
      </c>
      <c r="AG1063" t="s">
        <v>350</v>
      </c>
      <c r="AH1063" t="s">
        <v>350</v>
      </c>
      <c r="AI1063" t="s">
        <v>71</v>
      </c>
      <c r="AJ1063" t="s">
        <v>70</v>
      </c>
      <c r="AK1063" t="s">
        <v>71</v>
      </c>
      <c r="AL1063" t="s">
        <v>72</v>
      </c>
      <c r="AM1063">
        <v>346053</v>
      </c>
      <c r="AO1063" s="16" t="s">
        <v>73</v>
      </c>
      <c r="AP1063" s="17" t="str">
        <f t="shared" si="81"/>
        <v>Off-nest female</v>
      </c>
      <c r="AX1063" s="22" t="str">
        <f>IF(AND('[1]observations-276632'!W1063&gt;'[1]Methods write-up'!$Q$16,'[1]observations-276632'!W1063&lt;'[1]Methods write-up'!$R$16,'[1]observations-276632'!X1063&gt;'[1]Methods write-up'!$S$16,'[1]observations-276632'!X1063&lt;'[1]Methods write-up'!$T$16),"West and Central Africa","")</f>
        <v/>
      </c>
      <c r="AY1063" s="22" t="str">
        <f>IF(AND('[1]observations-276632'!W1063&gt;'[1]Methods write-up'!$Q$17,'[1]observations-276632'!W1063&lt;'[1]Methods write-up'!$R$17,'[1]observations-276632'!X1063&gt;'[1]Methods write-up'!$S$17,'[1]observations-276632'!X1063&lt;'[1]Methods write-up'!$T$17),"Equatorial tropical forest","")</f>
        <v/>
      </c>
      <c r="AZ1063" s="22" t="str">
        <f>IF(AND('[1]observations-276632'!W1063&gt;'[1]Methods write-up'!$Q$18,'[1]observations-276632'!W1063&lt;'[1]Methods write-up'!$R$18,'[1]observations-276632'!X1063&gt;'[1]Methods write-up'!$S$18,'[1]observations-276632'!X1063&lt;'[1]Methods write-up'!$T$18),"Somali peninsula","")</f>
        <v/>
      </c>
      <c r="BA1063" s="22" t="str">
        <f>IF(AND('[1]observations-276632'!W1063&gt;'[1]Methods write-up'!$Q$19,'[1]observations-276632'!W1063&lt;'[1]Methods write-up'!$R$19,'[1]observations-276632'!X1063&gt;'[1]Methods write-up'!$S$19,'[1]observations-276632'!X1063&lt;'[1]Methods write-up'!$T$19),"East Africa","")</f>
        <v/>
      </c>
      <c r="BB1063" s="22" t="str">
        <f>IF(AND('[1]observations-276632'!W1063&gt;'[1]Methods write-up'!$Q$20,'[1]observations-276632'!W1063&lt;'[1]Methods write-up'!$R$20,'[1]observations-276632'!X1063&gt;'[1]Methods write-up'!$S$20,'[1]observations-276632'!X1063&lt;'[1]Methods write-up'!$T$20),"Temperate seasonal","")</f>
        <v>Temperate seasonal</v>
      </c>
      <c r="BC1063" s="22" t="str">
        <f>IF(AND('[1]observations-276632'!W1063&gt;'[1]Methods write-up'!$Q$21,'[1]observations-276632'!W1063&lt;'[1]Methods write-up'!$R$21,'[1]observations-276632'!X1063&gt;'[1]Methods write-up'!$S$21,'[1]observations-276632'!X1063&lt;'[1]Methods write-up'!$T$21),"Desert and high aridity","")</f>
        <v/>
      </c>
      <c r="BD1063" s="23" t="str">
        <f t="shared" si="76"/>
        <v>Temperate seasonal</v>
      </c>
      <c r="BE1063" s="24">
        <f t="shared" si="74"/>
        <v>20</v>
      </c>
      <c r="BF1063" s="24">
        <f t="shared" si="75"/>
        <v>5</v>
      </c>
    </row>
    <row r="1064" spans="1:58" ht="16.25" customHeight="1" x14ac:dyDescent="0.2">
      <c r="A1064">
        <v>119704832</v>
      </c>
      <c r="B1064" s="25">
        <v>44713.39166666667</v>
      </c>
      <c r="C1064" s="14">
        <v>44713</v>
      </c>
      <c r="D1064" t="s">
        <v>7922</v>
      </c>
      <c r="E1064" t="s">
        <v>84</v>
      </c>
      <c r="F1064">
        <v>3087997</v>
      </c>
      <c r="G1064" t="s">
        <v>5047</v>
      </c>
      <c r="H1064" t="s">
        <v>5048</v>
      </c>
      <c r="I1064" t="s">
        <v>7923</v>
      </c>
      <c r="J1064" t="s">
        <v>7924</v>
      </c>
      <c r="K1064" t="s">
        <v>62</v>
      </c>
      <c r="L1064" t="s">
        <v>63</v>
      </c>
      <c r="M1064" t="s">
        <v>7925</v>
      </c>
      <c r="N1064" t="s">
        <v>7926</v>
      </c>
      <c r="R1064">
        <v>1</v>
      </c>
      <c r="S1064">
        <v>0</v>
      </c>
      <c r="T1064" t="b">
        <v>0</v>
      </c>
      <c r="V1064" t="s">
        <v>7306</v>
      </c>
      <c r="W1064" s="15">
        <v>-1.2437153519999999</v>
      </c>
      <c r="X1064" s="15">
        <v>36.819402410000002</v>
      </c>
      <c r="Y1064">
        <v>36</v>
      </c>
      <c r="AC1064">
        <v>36</v>
      </c>
      <c r="AF1064" t="b">
        <v>0</v>
      </c>
      <c r="AI1064" t="s">
        <v>71</v>
      </c>
      <c r="AJ1064" t="s">
        <v>70</v>
      </c>
      <c r="AK1064" t="s">
        <v>71</v>
      </c>
      <c r="AL1064" t="s">
        <v>72</v>
      </c>
      <c r="AM1064">
        <v>346053</v>
      </c>
      <c r="AO1064" s="16" t="s">
        <v>73</v>
      </c>
      <c r="AP1064" s="17" t="str">
        <f t="shared" si="81"/>
        <v>Off-nest female</v>
      </c>
      <c r="AX1064" s="22" t="str">
        <f>IF(AND('[1]observations-276632'!W1064&gt;'[1]Methods write-up'!$Q$16,'[1]observations-276632'!W1064&lt;'[1]Methods write-up'!$R$16,'[1]observations-276632'!X1064&gt;'[1]Methods write-up'!$S$16,'[1]observations-276632'!X1064&lt;'[1]Methods write-up'!$T$16),"West and Central Africa","")</f>
        <v/>
      </c>
      <c r="AY1064" s="22" t="str">
        <f>IF(AND('[1]observations-276632'!W1064&gt;'[1]Methods write-up'!$Q$17,'[1]observations-276632'!W1064&lt;'[1]Methods write-up'!$R$17,'[1]observations-276632'!X1064&gt;'[1]Methods write-up'!$S$17,'[1]observations-276632'!X1064&lt;'[1]Methods write-up'!$T$17),"Equatorial tropical forest","")</f>
        <v/>
      </c>
      <c r="AZ1064" s="22" t="str">
        <f>IF(AND('[1]observations-276632'!W1064&gt;'[1]Methods write-up'!$Q$18,'[1]observations-276632'!W1064&lt;'[1]Methods write-up'!$R$18,'[1]observations-276632'!X1064&gt;'[1]Methods write-up'!$S$18,'[1]observations-276632'!X1064&lt;'[1]Methods write-up'!$T$18),"Somali peninsula","")</f>
        <v/>
      </c>
      <c r="BA1064" s="22" t="str">
        <f>IF(AND('[1]observations-276632'!W1064&gt;'[1]Methods write-up'!$Q$19,'[1]observations-276632'!W1064&lt;'[1]Methods write-up'!$R$19,'[1]observations-276632'!X1064&gt;'[1]Methods write-up'!$S$19,'[1]observations-276632'!X1064&lt;'[1]Methods write-up'!$T$19),"East Africa","")</f>
        <v>East Africa</v>
      </c>
      <c r="BB1064" s="22" t="str">
        <f>IF(AND('[1]observations-276632'!W1064&gt;'[1]Methods write-up'!$Q$20,'[1]observations-276632'!W1064&lt;'[1]Methods write-up'!$R$20,'[1]observations-276632'!X1064&gt;'[1]Methods write-up'!$S$20,'[1]observations-276632'!X1064&lt;'[1]Methods write-up'!$T$20),"Temperate seasonal","")</f>
        <v/>
      </c>
      <c r="BC1064" s="22" t="str">
        <f>IF(AND('[1]observations-276632'!W1064&gt;'[1]Methods write-up'!$Q$21,'[1]observations-276632'!W1064&lt;'[1]Methods write-up'!$R$21,'[1]observations-276632'!X1064&gt;'[1]Methods write-up'!$S$21,'[1]observations-276632'!X1064&lt;'[1]Methods write-up'!$T$21),"Desert and high aridity","")</f>
        <v/>
      </c>
      <c r="BD1064" s="23" t="str">
        <f t="shared" si="76"/>
        <v>East Africa</v>
      </c>
      <c r="BE1064" s="24">
        <f t="shared" si="74"/>
        <v>1</v>
      </c>
      <c r="BF1064" s="24">
        <f t="shared" si="75"/>
        <v>6</v>
      </c>
    </row>
    <row r="1065" spans="1:58" ht="16.25" customHeight="1" x14ac:dyDescent="0.2">
      <c r="A1065">
        <v>119711322</v>
      </c>
      <c r="B1065" t="s">
        <v>7927</v>
      </c>
      <c r="C1065" s="14">
        <v>44713</v>
      </c>
      <c r="D1065" t="s">
        <v>7928</v>
      </c>
      <c r="E1065" t="s">
        <v>84</v>
      </c>
      <c r="F1065">
        <v>292489</v>
      </c>
      <c r="G1065" t="s">
        <v>1450</v>
      </c>
      <c r="H1065" t="s">
        <v>1451</v>
      </c>
      <c r="I1065" t="s">
        <v>7929</v>
      </c>
      <c r="J1065" t="s">
        <v>7930</v>
      </c>
      <c r="K1065" t="s">
        <v>62</v>
      </c>
      <c r="L1065" t="s">
        <v>98</v>
      </c>
      <c r="M1065" t="s">
        <v>7931</v>
      </c>
      <c r="N1065" t="s">
        <v>7932</v>
      </c>
      <c r="R1065">
        <v>1</v>
      </c>
      <c r="S1065">
        <v>0</v>
      </c>
      <c r="T1065" t="b">
        <v>0</v>
      </c>
      <c r="U1065">
        <v>3</v>
      </c>
      <c r="V1065" t="s">
        <v>4419</v>
      </c>
      <c r="W1065" s="15">
        <v>-1.273086221</v>
      </c>
      <c r="X1065" s="15">
        <v>36.814975269999998</v>
      </c>
      <c r="Y1065">
        <v>64</v>
      </c>
      <c r="AC1065">
        <v>64</v>
      </c>
      <c r="AF1065" t="b">
        <v>0</v>
      </c>
      <c r="AI1065" t="s">
        <v>71</v>
      </c>
      <c r="AJ1065" t="s">
        <v>70</v>
      </c>
      <c r="AK1065" t="s">
        <v>71</v>
      </c>
      <c r="AL1065" t="s">
        <v>72</v>
      </c>
      <c r="AM1065">
        <v>346053</v>
      </c>
      <c r="AO1065" s="16" t="s">
        <v>73</v>
      </c>
      <c r="AP1065" s="17" t="str">
        <f t="shared" si="81"/>
        <v>Off-nest female</v>
      </c>
      <c r="AX1065" s="22" t="str">
        <f>IF(AND('[1]observations-276632'!W1065&gt;'[1]Methods write-up'!$Q$16,'[1]observations-276632'!W1065&lt;'[1]Methods write-up'!$R$16,'[1]observations-276632'!X1065&gt;'[1]Methods write-up'!$S$16,'[1]observations-276632'!X1065&lt;'[1]Methods write-up'!$T$16),"West and Central Africa","")</f>
        <v/>
      </c>
      <c r="AY1065" s="22" t="str">
        <f>IF(AND('[1]observations-276632'!W1065&gt;'[1]Methods write-up'!$Q$17,'[1]observations-276632'!W1065&lt;'[1]Methods write-up'!$R$17,'[1]observations-276632'!X1065&gt;'[1]Methods write-up'!$S$17,'[1]observations-276632'!X1065&lt;'[1]Methods write-up'!$T$17),"Equatorial tropical forest","")</f>
        <v/>
      </c>
      <c r="AZ1065" s="22" t="str">
        <f>IF(AND('[1]observations-276632'!W1065&gt;'[1]Methods write-up'!$Q$18,'[1]observations-276632'!W1065&lt;'[1]Methods write-up'!$R$18,'[1]observations-276632'!X1065&gt;'[1]Methods write-up'!$S$18,'[1]observations-276632'!X1065&lt;'[1]Methods write-up'!$T$18),"Somali peninsula","")</f>
        <v/>
      </c>
      <c r="BA1065" s="22" t="str">
        <f>IF(AND('[1]observations-276632'!W1065&gt;'[1]Methods write-up'!$Q$19,'[1]observations-276632'!W1065&lt;'[1]Methods write-up'!$R$19,'[1]observations-276632'!X1065&gt;'[1]Methods write-up'!$S$19,'[1]observations-276632'!X1065&lt;'[1]Methods write-up'!$T$19),"East Africa","")</f>
        <v>East Africa</v>
      </c>
      <c r="BB1065" s="22" t="str">
        <f>IF(AND('[1]observations-276632'!W1065&gt;'[1]Methods write-up'!$Q$20,'[1]observations-276632'!W1065&lt;'[1]Methods write-up'!$R$20,'[1]observations-276632'!X1065&gt;'[1]Methods write-up'!$S$20,'[1]observations-276632'!X1065&lt;'[1]Methods write-up'!$T$20),"Temperate seasonal","")</f>
        <v/>
      </c>
      <c r="BC1065" s="22" t="str">
        <f>IF(AND('[1]observations-276632'!W1065&gt;'[1]Methods write-up'!$Q$21,'[1]observations-276632'!W1065&lt;'[1]Methods write-up'!$R$21,'[1]observations-276632'!X1065&gt;'[1]Methods write-up'!$S$21,'[1]observations-276632'!X1065&lt;'[1]Methods write-up'!$T$21),"Desert and high aridity","")</f>
        <v/>
      </c>
      <c r="BD1065" s="23" t="str">
        <f t="shared" si="76"/>
        <v>East Africa</v>
      </c>
      <c r="BE1065" s="24">
        <f t="shared" si="74"/>
        <v>1</v>
      </c>
      <c r="BF1065" s="24">
        <f t="shared" si="75"/>
        <v>6</v>
      </c>
    </row>
    <row r="1066" spans="1:58" ht="16.25" customHeight="1" x14ac:dyDescent="0.2">
      <c r="A1066">
        <v>119734275</v>
      </c>
      <c r="B1066" s="25">
        <v>44691.67083333333</v>
      </c>
      <c r="C1066" s="14">
        <v>44691</v>
      </c>
      <c r="D1066" t="s">
        <v>7933</v>
      </c>
      <c r="E1066" t="s">
        <v>7934</v>
      </c>
      <c r="F1066">
        <v>2281255</v>
      </c>
      <c r="G1066" t="s">
        <v>7935</v>
      </c>
      <c r="H1066" t="s">
        <v>7936</v>
      </c>
      <c r="I1066" t="s">
        <v>7937</v>
      </c>
      <c r="J1066" t="s">
        <v>7938</v>
      </c>
      <c r="K1066" t="s">
        <v>62</v>
      </c>
      <c r="M1066" t="s">
        <v>7939</v>
      </c>
      <c r="N1066" t="s">
        <v>7940</v>
      </c>
      <c r="R1066">
        <v>2</v>
      </c>
      <c r="S1066">
        <v>0</v>
      </c>
      <c r="T1066" t="b">
        <v>0</v>
      </c>
      <c r="V1066" t="s">
        <v>7941</v>
      </c>
      <c r="W1066" s="15">
        <v>-17.898744440000002</v>
      </c>
      <c r="X1066" s="15">
        <v>24.72813889</v>
      </c>
      <c r="Y1066">
        <v>18</v>
      </c>
      <c r="AC1066">
        <v>18</v>
      </c>
      <c r="AF1066" t="b">
        <v>0</v>
      </c>
      <c r="AI1066" t="s">
        <v>71</v>
      </c>
      <c r="AJ1066" t="s">
        <v>70</v>
      </c>
      <c r="AK1066" t="s">
        <v>71</v>
      </c>
      <c r="AL1066" t="s">
        <v>72</v>
      </c>
      <c r="AM1066">
        <v>346053</v>
      </c>
      <c r="AO1066" s="16" t="s">
        <v>73</v>
      </c>
      <c r="AP1066" s="17" t="str">
        <f t="shared" si="81"/>
        <v>Off-nest female</v>
      </c>
      <c r="AX1066" s="22" t="str">
        <f>IF(AND('[1]observations-276632'!W1066&gt;'[1]Methods write-up'!$Q$16,'[1]observations-276632'!W1066&lt;'[1]Methods write-up'!$R$16,'[1]observations-276632'!X1066&gt;'[1]Methods write-up'!$S$16,'[1]observations-276632'!X1066&lt;'[1]Methods write-up'!$T$16),"West and Central Africa","")</f>
        <v>West and Central Africa</v>
      </c>
      <c r="AY1066" s="22" t="str">
        <f>IF(AND('[1]observations-276632'!W1066&gt;'[1]Methods write-up'!$Q$17,'[1]observations-276632'!W1066&lt;'[1]Methods write-up'!$R$17,'[1]observations-276632'!X1066&gt;'[1]Methods write-up'!$S$17,'[1]observations-276632'!X1066&lt;'[1]Methods write-up'!$T$17),"Equatorial tropical forest","")</f>
        <v/>
      </c>
      <c r="AZ1066" s="22" t="str">
        <f>IF(AND('[1]observations-276632'!W1066&gt;'[1]Methods write-up'!$Q$18,'[1]observations-276632'!W1066&lt;'[1]Methods write-up'!$R$18,'[1]observations-276632'!X1066&gt;'[1]Methods write-up'!$S$18,'[1]observations-276632'!X1066&lt;'[1]Methods write-up'!$T$18),"Somali peninsula","")</f>
        <v/>
      </c>
      <c r="BA1066" s="22" t="str">
        <f>IF(AND('[1]observations-276632'!W1066&gt;'[1]Methods write-up'!$Q$19,'[1]observations-276632'!W1066&lt;'[1]Methods write-up'!$R$19,'[1]observations-276632'!X1066&gt;'[1]Methods write-up'!$S$19,'[1]observations-276632'!X1066&lt;'[1]Methods write-up'!$T$19),"East Africa","")</f>
        <v/>
      </c>
      <c r="BB1066" s="22" t="str">
        <f>IF(AND('[1]observations-276632'!W1066&gt;'[1]Methods write-up'!$Q$20,'[1]observations-276632'!W1066&lt;'[1]Methods write-up'!$R$20,'[1]observations-276632'!X1066&gt;'[1]Methods write-up'!$S$20,'[1]observations-276632'!X1066&lt;'[1]Methods write-up'!$T$20),"Temperate seasonal","")</f>
        <v/>
      </c>
      <c r="BC1066" s="22" t="str">
        <f>IF(AND('[1]observations-276632'!W1066&gt;'[1]Methods write-up'!$Q$21,'[1]observations-276632'!W1066&lt;'[1]Methods write-up'!$R$21,'[1]observations-276632'!X1066&gt;'[1]Methods write-up'!$S$21,'[1]observations-276632'!X1066&lt;'[1]Methods write-up'!$T$21),"Desert and high aridity","")</f>
        <v/>
      </c>
      <c r="BD1066" s="23" t="str">
        <f t="shared" si="76"/>
        <v>West and Central Africa</v>
      </c>
      <c r="BE1066" s="24">
        <f t="shared" si="74"/>
        <v>10</v>
      </c>
      <c r="BF1066" s="24">
        <f t="shared" si="75"/>
        <v>5</v>
      </c>
    </row>
    <row r="1067" spans="1:58" ht="16.25" customHeight="1" x14ac:dyDescent="0.2">
      <c r="A1067">
        <v>119734281</v>
      </c>
      <c r="B1067" s="25">
        <v>44692.486805555556</v>
      </c>
      <c r="C1067" s="14">
        <v>44692</v>
      </c>
      <c r="D1067" t="s">
        <v>7942</v>
      </c>
      <c r="E1067" t="s">
        <v>7934</v>
      </c>
      <c r="F1067">
        <v>2281255</v>
      </c>
      <c r="G1067" t="s">
        <v>7935</v>
      </c>
      <c r="H1067" t="s">
        <v>7936</v>
      </c>
      <c r="I1067" t="s">
        <v>7943</v>
      </c>
      <c r="J1067" t="s">
        <v>7944</v>
      </c>
      <c r="K1067" t="s">
        <v>62</v>
      </c>
      <c r="M1067" t="s">
        <v>7945</v>
      </c>
      <c r="N1067" t="s">
        <v>7946</v>
      </c>
      <c r="R1067">
        <v>2</v>
      </c>
      <c r="S1067">
        <v>0</v>
      </c>
      <c r="T1067" t="b">
        <v>0</v>
      </c>
      <c r="V1067" t="s">
        <v>7941</v>
      </c>
      <c r="W1067" s="15">
        <v>-17.898669439999999</v>
      </c>
      <c r="X1067" s="15">
        <v>24.728036110000001</v>
      </c>
      <c r="Y1067">
        <v>9</v>
      </c>
      <c r="AC1067">
        <v>9</v>
      </c>
      <c r="AF1067" t="b">
        <v>0</v>
      </c>
      <c r="AI1067" t="s">
        <v>71</v>
      </c>
      <c r="AJ1067" t="s">
        <v>70</v>
      </c>
      <c r="AK1067" t="s">
        <v>71</v>
      </c>
      <c r="AL1067" t="s">
        <v>72</v>
      </c>
      <c r="AM1067">
        <v>346053</v>
      </c>
      <c r="AO1067" s="16" t="s">
        <v>150</v>
      </c>
      <c r="AP1067" s="17" t="str">
        <f t="shared" si="81"/>
        <v>Male (off nest)</v>
      </c>
      <c r="AX1067" s="22" t="str">
        <f>IF(AND('[1]observations-276632'!W1067&gt;'[1]Methods write-up'!$Q$16,'[1]observations-276632'!W1067&lt;'[1]Methods write-up'!$R$16,'[1]observations-276632'!X1067&gt;'[1]Methods write-up'!$S$16,'[1]observations-276632'!X1067&lt;'[1]Methods write-up'!$T$16),"West and Central Africa","")</f>
        <v>West and Central Africa</v>
      </c>
      <c r="AY1067" s="22" t="str">
        <f>IF(AND('[1]observations-276632'!W1067&gt;'[1]Methods write-up'!$Q$17,'[1]observations-276632'!W1067&lt;'[1]Methods write-up'!$R$17,'[1]observations-276632'!X1067&gt;'[1]Methods write-up'!$S$17,'[1]observations-276632'!X1067&lt;'[1]Methods write-up'!$T$17),"Equatorial tropical forest","")</f>
        <v/>
      </c>
      <c r="AZ1067" s="22" t="str">
        <f>IF(AND('[1]observations-276632'!W1067&gt;'[1]Methods write-up'!$Q$18,'[1]observations-276632'!W1067&lt;'[1]Methods write-up'!$R$18,'[1]observations-276632'!X1067&gt;'[1]Methods write-up'!$S$18,'[1]observations-276632'!X1067&lt;'[1]Methods write-up'!$T$18),"Somali peninsula","")</f>
        <v/>
      </c>
      <c r="BA1067" s="22" t="str">
        <f>IF(AND('[1]observations-276632'!W1067&gt;'[1]Methods write-up'!$Q$19,'[1]observations-276632'!W1067&lt;'[1]Methods write-up'!$R$19,'[1]observations-276632'!X1067&gt;'[1]Methods write-up'!$S$19,'[1]observations-276632'!X1067&lt;'[1]Methods write-up'!$T$19),"East Africa","")</f>
        <v/>
      </c>
      <c r="BB1067" s="22" t="str">
        <f>IF(AND('[1]observations-276632'!W1067&gt;'[1]Methods write-up'!$Q$20,'[1]observations-276632'!W1067&lt;'[1]Methods write-up'!$R$20,'[1]observations-276632'!X1067&gt;'[1]Methods write-up'!$S$20,'[1]observations-276632'!X1067&lt;'[1]Methods write-up'!$T$20),"Temperate seasonal","")</f>
        <v/>
      </c>
      <c r="BC1067" s="22" t="str">
        <f>IF(AND('[1]observations-276632'!W1067&gt;'[1]Methods write-up'!$Q$21,'[1]observations-276632'!W1067&lt;'[1]Methods write-up'!$R$21,'[1]observations-276632'!X1067&gt;'[1]Methods write-up'!$S$21,'[1]observations-276632'!X1067&lt;'[1]Methods write-up'!$T$21),"Desert and high aridity","")</f>
        <v/>
      </c>
      <c r="BD1067" s="23" t="str">
        <f t="shared" si="76"/>
        <v>West and Central Africa</v>
      </c>
      <c r="BE1067" s="24">
        <f t="shared" si="74"/>
        <v>11</v>
      </c>
      <c r="BF1067" s="24">
        <f t="shared" si="75"/>
        <v>5</v>
      </c>
    </row>
    <row r="1068" spans="1:58" ht="16.25" customHeight="1" x14ac:dyDescent="0.2">
      <c r="A1068">
        <v>119855726</v>
      </c>
      <c r="B1068" s="25">
        <v>44714.496527777781</v>
      </c>
      <c r="C1068" s="14">
        <v>44714</v>
      </c>
      <c r="D1068" t="s">
        <v>7947</v>
      </c>
      <c r="E1068" t="s">
        <v>113</v>
      </c>
      <c r="F1068">
        <v>3814194</v>
      </c>
      <c r="G1068" t="s">
        <v>5242</v>
      </c>
      <c r="H1068" t="s">
        <v>5243</v>
      </c>
      <c r="I1068" t="s">
        <v>7948</v>
      </c>
      <c r="J1068" t="s">
        <v>7949</v>
      </c>
      <c r="K1068" t="s">
        <v>62</v>
      </c>
      <c r="L1068" t="s">
        <v>63</v>
      </c>
      <c r="M1068" t="s">
        <v>7950</v>
      </c>
      <c r="N1068" t="s">
        <v>7951</v>
      </c>
      <c r="P1068" t="s">
        <v>7952</v>
      </c>
      <c r="R1068">
        <v>4</v>
      </c>
      <c r="S1068">
        <v>0</v>
      </c>
      <c r="T1068" t="b">
        <v>0</v>
      </c>
      <c r="V1068" t="s">
        <v>5250</v>
      </c>
      <c r="W1068" s="15">
        <v>-26.0585816</v>
      </c>
      <c r="X1068" s="15">
        <v>27.975387999999999</v>
      </c>
      <c r="Y1068">
        <v>1769</v>
      </c>
      <c r="AC1068">
        <v>1769</v>
      </c>
      <c r="AF1068" t="b">
        <v>0</v>
      </c>
      <c r="AI1068" t="s">
        <v>71</v>
      </c>
      <c r="AJ1068" t="s">
        <v>70</v>
      </c>
      <c r="AK1068" t="s">
        <v>71</v>
      </c>
      <c r="AL1068" t="s">
        <v>72</v>
      </c>
      <c r="AM1068">
        <v>346053</v>
      </c>
      <c r="AO1068" s="16" t="s">
        <v>73</v>
      </c>
      <c r="AP1068" s="17" t="str">
        <f t="shared" si="81"/>
        <v>Off-nest female</v>
      </c>
      <c r="AX1068" s="22" t="str">
        <f>IF(AND('[1]observations-276632'!W1068&gt;'[1]Methods write-up'!$Q$16,'[1]observations-276632'!W1068&lt;'[1]Methods write-up'!$R$16,'[1]observations-276632'!X1068&gt;'[1]Methods write-up'!$S$16,'[1]observations-276632'!X1068&lt;'[1]Methods write-up'!$T$16),"West and Central Africa","")</f>
        <v/>
      </c>
      <c r="AY1068" s="22" t="str">
        <f>IF(AND('[1]observations-276632'!W1068&gt;'[1]Methods write-up'!$Q$17,'[1]observations-276632'!W1068&lt;'[1]Methods write-up'!$R$17,'[1]observations-276632'!X1068&gt;'[1]Methods write-up'!$S$17,'[1]observations-276632'!X1068&lt;'[1]Methods write-up'!$T$17),"Equatorial tropical forest","")</f>
        <v/>
      </c>
      <c r="AZ1068" s="22" t="str">
        <f>IF(AND('[1]observations-276632'!W1068&gt;'[1]Methods write-up'!$Q$18,'[1]observations-276632'!W1068&lt;'[1]Methods write-up'!$R$18,'[1]observations-276632'!X1068&gt;'[1]Methods write-up'!$S$18,'[1]observations-276632'!X1068&lt;'[1]Methods write-up'!$T$18),"Somali peninsula","")</f>
        <v/>
      </c>
      <c r="BA1068" s="22" t="str">
        <f>IF(AND('[1]observations-276632'!W1068&gt;'[1]Methods write-up'!$Q$19,'[1]observations-276632'!W1068&lt;'[1]Methods write-up'!$R$19,'[1]observations-276632'!X1068&gt;'[1]Methods write-up'!$S$19,'[1]observations-276632'!X1068&lt;'[1]Methods write-up'!$T$19),"East Africa","")</f>
        <v/>
      </c>
      <c r="BB1068" s="22" t="str">
        <f>IF(AND('[1]observations-276632'!W1068&gt;'[1]Methods write-up'!$Q$20,'[1]observations-276632'!W1068&lt;'[1]Methods write-up'!$R$20,'[1]observations-276632'!X1068&gt;'[1]Methods write-up'!$S$20,'[1]observations-276632'!X1068&lt;'[1]Methods write-up'!$T$20),"Temperate seasonal","")</f>
        <v>Temperate seasonal</v>
      </c>
      <c r="BC1068" s="22" t="str">
        <f>IF(AND('[1]observations-276632'!W1068&gt;'[1]Methods write-up'!$Q$21,'[1]observations-276632'!W1068&lt;'[1]Methods write-up'!$R$21,'[1]observations-276632'!X1068&gt;'[1]Methods write-up'!$S$21,'[1]observations-276632'!X1068&lt;'[1]Methods write-up'!$T$21),"Desert and high aridity","")</f>
        <v/>
      </c>
      <c r="BD1068" s="23" t="str">
        <f t="shared" si="76"/>
        <v>Temperate seasonal</v>
      </c>
      <c r="BE1068" s="24">
        <f t="shared" si="74"/>
        <v>2</v>
      </c>
      <c r="BF1068" s="24">
        <f t="shared" si="75"/>
        <v>6</v>
      </c>
    </row>
    <row r="1069" spans="1:58" ht="16.25" customHeight="1" x14ac:dyDescent="0.2">
      <c r="A1069">
        <v>119861983</v>
      </c>
      <c r="B1069" s="25">
        <v>44714.6</v>
      </c>
      <c r="C1069" s="14">
        <v>44714</v>
      </c>
      <c r="D1069" t="s">
        <v>7953</v>
      </c>
      <c r="E1069" t="s">
        <v>113</v>
      </c>
      <c r="F1069">
        <v>4023157</v>
      </c>
      <c r="G1069" t="s">
        <v>4891</v>
      </c>
      <c r="H1069" t="s">
        <v>4892</v>
      </c>
      <c r="I1069" t="s">
        <v>7954</v>
      </c>
      <c r="J1069" t="s">
        <v>7955</v>
      </c>
      <c r="K1069" t="s">
        <v>62</v>
      </c>
      <c r="M1069" t="s">
        <v>7956</v>
      </c>
      <c r="N1069" t="s">
        <v>7957</v>
      </c>
      <c r="R1069">
        <v>4</v>
      </c>
      <c r="S1069">
        <v>0</v>
      </c>
      <c r="T1069" t="b">
        <v>0</v>
      </c>
      <c r="U1069">
        <v>2</v>
      </c>
      <c r="V1069" t="s">
        <v>4898</v>
      </c>
      <c r="W1069" s="15">
        <v>-25.79744492</v>
      </c>
      <c r="X1069" s="15">
        <v>28.298322670000001</v>
      </c>
      <c r="Y1069">
        <v>200</v>
      </c>
      <c r="AC1069">
        <v>200</v>
      </c>
      <c r="AF1069" t="b">
        <v>0</v>
      </c>
      <c r="AG1069" t="s">
        <v>350</v>
      </c>
      <c r="AH1069" t="s">
        <v>350</v>
      </c>
      <c r="AI1069" t="s">
        <v>71</v>
      </c>
      <c r="AJ1069" t="s">
        <v>70</v>
      </c>
      <c r="AK1069" t="s">
        <v>71</v>
      </c>
      <c r="AL1069" t="s">
        <v>72</v>
      </c>
      <c r="AM1069">
        <v>346053</v>
      </c>
      <c r="AO1069" s="16" t="s">
        <v>73</v>
      </c>
      <c r="AP1069" s="17" t="str">
        <f t="shared" si="81"/>
        <v>Off-nest female</v>
      </c>
      <c r="AX1069" s="22" t="str">
        <f>IF(AND('[1]observations-276632'!W1069&gt;'[1]Methods write-up'!$Q$16,'[1]observations-276632'!W1069&lt;'[1]Methods write-up'!$R$16,'[1]observations-276632'!X1069&gt;'[1]Methods write-up'!$S$16,'[1]observations-276632'!X1069&lt;'[1]Methods write-up'!$T$16),"West and Central Africa","")</f>
        <v/>
      </c>
      <c r="AY1069" s="22" t="str">
        <f>IF(AND('[1]observations-276632'!W1069&gt;'[1]Methods write-up'!$Q$17,'[1]observations-276632'!W1069&lt;'[1]Methods write-up'!$R$17,'[1]observations-276632'!X1069&gt;'[1]Methods write-up'!$S$17,'[1]observations-276632'!X1069&lt;'[1]Methods write-up'!$T$17),"Equatorial tropical forest","")</f>
        <v/>
      </c>
      <c r="AZ1069" s="22" t="str">
        <f>IF(AND('[1]observations-276632'!W1069&gt;'[1]Methods write-up'!$Q$18,'[1]observations-276632'!W1069&lt;'[1]Methods write-up'!$R$18,'[1]observations-276632'!X1069&gt;'[1]Methods write-up'!$S$18,'[1]observations-276632'!X1069&lt;'[1]Methods write-up'!$T$18),"Somali peninsula","")</f>
        <v/>
      </c>
      <c r="BA1069" s="22" t="str">
        <f>IF(AND('[1]observations-276632'!W1069&gt;'[1]Methods write-up'!$Q$19,'[1]observations-276632'!W1069&lt;'[1]Methods write-up'!$R$19,'[1]observations-276632'!X1069&gt;'[1]Methods write-up'!$S$19,'[1]observations-276632'!X1069&lt;'[1]Methods write-up'!$T$19),"East Africa","")</f>
        <v/>
      </c>
      <c r="BB1069" s="22" t="str">
        <f>IF(AND('[1]observations-276632'!W1069&gt;'[1]Methods write-up'!$Q$20,'[1]observations-276632'!W1069&lt;'[1]Methods write-up'!$R$20,'[1]observations-276632'!X1069&gt;'[1]Methods write-up'!$S$20,'[1]observations-276632'!X1069&lt;'[1]Methods write-up'!$T$20),"Temperate seasonal","")</f>
        <v>Temperate seasonal</v>
      </c>
      <c r="BC1069" s="22" t="str">
        <f>IF(AND('[1]observations-276632'!W1069&gt;'[1]Methods write-up'!$Q$21,'[1]observations-276632'!W1069&lt;'[1]Methods write-up'!$R$21,'[1]observations-276632'!X1069&gt;'[1]Methods write-up'!$S$21,'[1]observations-276632'!X1069&lt;'[1]Methods write-up'!$T$21),"Desert and high aridity","")</f>
        <v/>
      </c>
      <c r="BD1069" s="23" t="str">
        <f t="shared" si="76"/>
        <v>Temperate seasonal</v>
      </c>
      <c r="BE1069" s="24">
        <f t="shared" si="74"/>
        <v>2</v>
      </c>
      <c r="BF1069" s="24">
        <f t="shared" si="75"/>
        <v>6</v>
      </c>
    </row>
    <row r="1070" spans="1:58" ht="16.25" customHeight="1" x14ac:dyDescent="0.2">
      <c r="A1070">
        <v>120111183</v>
      </c>
      <c r="B1070" s="25">
        <v>44672.262499999997</v>
      </c>
      <c r="C1070" s="14">
        <v>44672</v>
      </c>
      <c r="D1070" t="s">
        <v>7958</v>
      </c>
      <c r="E1070" t="s">
        <v>113</v>
      </c>
      <c r="F1070">
        <v>833117</v>
      </c>
      <c r="G1070" t="s">
        <v>1318</v>
      </c>
      <c r="H1070" t="s">
        <v>1319</v>
      </c>
      <c r="I1070" t="s">
        <v>7959</v>
      </c>
      <c r="J1070" t="s">
        <v>7960</v>
      </c>
      <c r="K1070" t="s">
        <v>62</v>
      </c>
      <c r="L1070" t="s">
        <v>63</v>
      </c>
      <c r="M1070" t="s">
        <v>7961</v>
      </c>
      <c r="N1070" t="s">
        <v>7962</v>
      </c>
      <c r="Q1070" t="s">
        <v>7963</v>
      </c>
      <c r="R1070">
        <v>3</v>
      </c>
      <c r="S1070">
        <v>0</v>
      </c>
      <c r="T1070" t="b">
        <v>0</v>
      </c>
      <c r="V1070" t="s">
        <v>7424</v>
      </c>
      <c r="W1070" s="15">
        <v>-30.389525859999999</v>
      </c>
      <c r="X1070" s="15">
        <v>30.681522489999999</v>
      </c>
      <c r="Y1070">
        <v>4</v>
      </c>
      <c r="AC1070">
        <v>4</v>
      </c>
      <c r="AF1070" t="b">
        <v>0</v>
      </c>
      <c r="AI1070" t="s">
        <v>71</v>
      </c>
      <c r="AJ1070" t="s">
        <v>70</v>
      </c>
      <c r="AK1070" t="s">
        <v>71</v>
      </c>
      <c r="AL1070" t="s">
        <v>72</v>
      </c>
      <c r="AM1070">
        <v>346053</v>
      </c>
      <c r="AO1070" s="16" t="s">
        <v>7964</v>
      </c>
      <c r="AP1070" s="16"/>
      <c r="AX1070" s="22" t="str">
        <f>IF(AND('[1]observations-276632'!W1070&gt;'[1]Methods write-up'!$Q$16,'[1]observations-276632'!W1070&lt;'[1]Methods write-up'!$R$16,'[1]observations-276632'!X1070&gt;'[1]Methods write-up'!$S$16,'[1]observations-276632'!X1070&lt;'[1]Methods write-up'!$T$16),"West Africa","")</f>
        <v/>
      </c>
      <c r="AY1070" s="22" t="str">
        <f>IF(AND('[1]observations-276632'!W1070&gt;'[1]Methods write-up'!$Q$17,'[1]observations-276632'!W1070&lt;'[1]Methods write-up'!$R$17,'[1]observations-276632'!X1070&gt;'[1]Methods write-up'!$S$17,'[1]observations-276632'!X1070&lt;'[1]Methods write-up'!$T$17),"Equatorial tropical forest","")</f>
        <v/>
      </c>
      <c r="AZ1070" s="22" t="str">
        <f>IF(AND('[1]observations-276632'!W1070&gt;'[1]Methods write-up'!$Q$18,'[1]observations-276632'!W1070&lt;'[1]Methods write-up'!$R$18,'[1]observations-276632'!X1070&gt;'[1]Methods write-up'!$S$18,'[1]observations-276632'!X1070&lt;'[1]Methods write-up'!$T$18),"Somali peninsula","")</f>
        <v/>
      </c>
      <c r="BA1070" s="22" t="str">
        <f>IF(AND('[1]observations-276632'!W1070&gt;'[1]Methods write-up'!$Q$19,'[1]observations-276632'!W1070&lt;'[1]Methods write-up'!$R$19,'[1]observations-276632'!X1070&gt;'[1]Methods write-up'!$S$19,'[1]observations-276632'!X1070&lt;'[1]Methods write-up'!$T$19),"East Africa","")</f>
        <v/>
      </c>
      <c r="BB1070" s="22" t="str">
        <f>IF(AND('[1]observations-276632'!W1070&gt;'[1]Methods write-up'!$Q$20,'[1]observations-276632'!W1070&lt;'[1]Methods write-up'!$R$20,'[1]observations-276632'!X1070&gt;'[1]Methods write-up'!$S$20,'[1]observations-276632'!X1070&lt;'[1]Methods write-up'!$T$20),"Temperate seasonal","")</f>
        <v>Temperate seasonal</v>
      </c>
      <c r="BC1070" s="22" t="str">
        <f>IF(AND('[1]observations-276632'!W1070&gt;'[1]Methods write-up'!$Q$21,'[1]observations-276632'!W1070&lt;'[1]Methods write-up'!$R$21,'[1]observations-276632'!X1070&gt;'[1]Methods write-up'!$S$21,'[1]observations-276632'!X1070&lt;'[1]Methods write-up'!$T$21),"Desert and high aridity","")</f>
        <v/>
      </c>
      <c r="BD1070" s="23" t="str">
        <f t="shared" si="76"/>
        <v>Temperate seasonal</v>
      </c>
      <c r="BE1070" s="24">
        <f t="shared" si="74"/>
        <v>21</v>
      </c>
      <c r="BF1070" s="24">
        <f t="shared" si="75"/>
        <v>4</v>
      </c>
    </row>
    <row r="1071" spans="1:58" ht="16.25" customHeight="1" x14ac:dyDescent="0.2">
      <c r="A1071">
        <v>120307813</v>
      </c>
      <c r="B1071" t="s">
        <v>7965</v>
      </c>
      <c r="C1071" s="14">
        <v>44717</v>
      </c>
      <c r="D1071" t="s">
        <v>7966</v>
      </c>
      <c r="E1071" t="s">
        <v>113</v>
      </c>
      <c r="F1071">
        <v>786873</v>
      </c>
      <c r="G1071" t="s">
        <v>7967</v>
      </c>
      <c r="I1071" t="s">
        <v>7968</v>
      </c>
      <c r="J1071" t="s">
        <v>7969</v>
      </c>
      <c r="K1071" t="s">
        <v>62</v>
      </c>
      <c r="L1071" t="s">
        <v>63</v>
      </c>
      <c r="M1071" t="s">
        <v>7970</v>
      </c>
      <c r="N1071" t="s">
        <v>7971</v>
      </c>
      <c r="R1071">
        <v>4</v>
      </c>
      <c r="S1071">
        <v>0</v>
      </c>
      <c r="T1071" t="b">
        <v>0</v>
      </c>
      <c r="U1071">
        <v>3</v>
      </c>
      <c r="V1071" t="s">
        <v>7972</v>
      </c>
      <c r="W1071" s="15">
        <v>-29.5353335</v>
      </c>
      <c r="X1071" s="15">
        <v>30.225283749999999</v>
      </c>
      <c r="Y1071">
        <v>9</v>
      </c>
      <c r="AC1071">
        <v>9</v>
      </c>
      <c r="AF1071" t="b">
        <v>0</v>
      </c>
      <c r="AI1071" t="s">
        <v>71</v>
      </c>
      <c r="AJ1071" t="s">
        <v>70</v>
      </c>
      <c r="AK1071" t="s">
        <v>71</v>
      </c>
      <c r="AL1071" t="s">
        <v>72</v>
      </c>
      <c r="AM1071">
        <v>346053</v>
      </c>
      <c r="AO1071" s="16" t="s">
        <v>7973</v>
      </c>
      <c r="AP1071" s="17" t="str">
        <f t="shared" ref="AP1071:AP1076" si="82">IF(COUNTIF(AO1071,"*foundress*"),"Nest (foundress)",AO1071)</f>
        <v>Declined post-emergence nest (nest cells empty, but several black-eyes remain)</v>
      </c>
      <c r="AQ1071" s="18">
        <v>7</v>
      </c>
      <c r="AT1071" s="19" t="s">
        <v>141</v>
      </c>
      <c r="AU1071" s="20" t="s">
        <v>104</v>
      </c>
      <c r="AV1071" s="16" t="s">
        <v>7973</v>
      </c>
      <c r="AX1071" s="22" t="str">
        <f>IF(AND('[1]observations-276632'!W1071&gt;'[1]Methods write-up'!$Q$16,'[1]observations-276632'!W1071&lt;'[1]Methods write-up'!$R$16,'[1]observations-276632'!X1071&gt;'[1]Methods write-up'!$S$16,'[1]observations-276632'!X1071&lt;'[1]Methods write-up'!$T$16),"West and Central Africa","")</f>
        <v/>
      </c>
      <c r="AY1071" s="22" t="str">
        <f>IF(AND('[1]observations-276632'!W1071&gt;'[1]Methods write-up'!$Q$17,'[1]observations-276632'!W1071&lt;'[1]Methods write-up'!$R$17,'[1]observations-276632'!X1071&gt;'[1]Methods write-up'!$S$17,'[1]observations-276632'!X1071&lt;'[1]Methods write-up'!$T$17),"Equatorial tropical forest","")</f>
        <v/>
      </c>
      <c r="AZ1071" s="22" t="str">
        <f>IF(AND('[1]observations-276632'!W1071&gt;'[1]Methods write-up'!$Q$18,'[1]observations-276632'!W1071&lt;'[1]Methods write-up'!$R$18,'[1]observations-276632'!X1071&gt;'[1]Methods write-up'!$S$18,'[1]observations-276632'!X1071&lt;'[1]Methods write-up'!$T$18),"Somali peninsula","")</f>
        <v/>
      </c>
      <c r="BA1071" s="22" t="str">
        <f>IF(AND('[1]observations-276632'!W1071&gt;'[1]Methods write-up'!$Q$19,'[1]observations-276632'!W1071&lt;'[1]Methods write-up'!$R$19,'[1]observations-276632'!X1071&gt;'[1]Methods write-up'!$S$19,'[1]observations-276632'!X1071&lt;'[1]Methods write-up'!$T$19),"East Africa","")</f>
        <v/>
      </c>
      <c r="BB1071" s="22" t="str">
        <f>IF(AND('[1]observations-276632'!W1071&gt;'[1]Methods write-up'!$Q$20,'[1]observations-276632'!W1071&lt;'[1]Methods write-up'!$R$20,'[1]observations-276632'!X1071&gt;'[1]Methods write-up'!$S$20,'[1]observations-276632'!X1071&lt;'[1]Methods write-up'!$T$20),"Temperate seasonal","")</f>
        <v>Temperate seasonal</v>
      </c>
      <c r="BC1071" s="22" t="str">
        <f>IF(AND('[1]observations-276632'!W1071&gt;'[1]Methods write-up'!$Q$21,'[1]observations-276632'!W1071&lt;'[1]Methods write-up'!$R$21,'[1]observations-276632'!X1071&gt;'[1]Methods write-up'!$S$21,'[1]observations-276632'!X1071&lt;'[1]Methods write-up'!$T$21),"Desert and high aridity","")</f>
        <v/>
      </c>
      <c r="BD1071" s="23" t="str">
        <f t="shared" si="76"/>
        <v>Temperate seasonal</v>
      </c>
      <c r="BE1071" s="24">
        <f t="shared" si="74"/>
        <v>5</v>
      </c>
      <c r="BF1071" s="24">
        <f t="shared" si="75"/>
        <v>6</v>
      </c>
    </row>
    <row r="1072" spans="1:58" ht="16.25" customHeight="1" x14ac:dyDescent="0.2">
      <c r="A1072">
        <v>120652421</v>
      </c>
      <c r="B1072" s="25">
        <v>43460.448611111111</v>
      </c>
      <c r="C1072" s="14">
        <v>43460</v>
      </c>
      <c r="D1072" t="s">
        <v>7974</v>
      </c>
      <c r="E1072" t="s">
        <v>113</v>
      </c>
      <c r="F1072">
        <v>4907339</v>
      </c>
      <c r="G1072" t="s">
        <v>7975</v>
      </c>
      <c r="I1072" t="s">
        <v>7976</v>
      </c>
      <c r="J1072" t="s">
        <v>7977</v>
      </c>
      <c r="K1072" t="s">
        <v>62</v>
      </c>
      <c r="L1072" t="s">
        <v>63</v>
      </c>
      <c r="M1072" t="s">
        <v>7978</v>
      </c>
      <c r="N1072" t="s">
        <v>7979</v>
      </c>
      <c r="R1072">
        <v>2</v>
      </c>
      <c r="S1072">
        <v>0</v>
      </c>
      <c r="T1072" t="b">
        <v>0</v>
      </c>
      <c r="V1072" t="s">
        <v>7980</v>
      </c>
      <c r="W1072" s="15">
        <v>-26.090940929999999</v>
      </c>
      <c r="X1072" s="15">
        <v>27.842643240000001</v>
      </c>
      <c r="Y1072">
        <v>2</v>
      </c>
      <c r="AC1072">
        <v>2</v>
      </c>
      <c r="AF1072" t="b">
        <v>0</v>
      </c>
      <c r="AI1072" t="s">
        <v>71</v>
      </c>
      <c r="AJ1072" t="s">
        <v>70</v>
      </c>
      <c r="AK1072" t="s">
        <v>71</v>
      </c>
      <c r="AL1072" t="s">
        <v>72</v>
      </c>
      <c r="AM1072">
        <v>346053</v>
      </c>
      <c r="AO1072" s="16" t="s">
        <v>73</v>
      </c>
      <c r="AP1072" s="17" t="str">
        <f t="shared" si="82"/>
        <v>Off-nest female</v>
      </c>
      <c r="AX1072" s="22" t="str">
        <f>IF(AND('[1]observations-276632'!W1072&gt;'[1]Methods write-up'!$Q$16,'[1]observations-276632'!W1072&lt;'[1]Methods write-up'!$R$16,'[1]observations-276632'!X1072&gt;'[1]Methods write-up'!$S$16,'[1]observations-276632'!X1072&lt;'[1]Methods write-up'!$T$16),"West and Central Africa","")</f>
        <v/>
      </c>
      <c r="AY1072" s="22" t="str">
        <f>IF(AND('[1]observations-276632'!W1072&gt;'[1]Methods write-up'!$Q$17,'[1]observations-276632'!W1072&lt;'[1]Methods write-up'!$R$17,'[1]observations-276632'!X1072&gt;'[1]Methods write-up'!$S$17,'[1]observations-276632'!X1072&lt;'[1]Methods write-up'!$T$17),"Equatorial tropical forest","")</f>
        <v/>
      </c>
      <c r="AZ1072" s="22" t="str">
        <f>IF(AND('[1]observations-276632'!W1072&gt;'[1]Methods write-up'!$Q$18,'[1]observations-276632'!W1072&lt;'[1]Methods write-up'!$R$18,'[1]observations-276632'!X1072&gt;'[1]Methods write-up'!$S$18,'[1]observations-276632'!X1072&lt;'[1]Methods write-up'!$T$18),"Somali peninsula","")</f>
        <v/>
      </c>
      <c r="BA1072" s="22" t="str">
        <f>IF(AND('[1]observations-276632'!W1072&gt;'[1]Methods write-up'!$Q$19,'[1]observations-276632'!W1072&lt;'[1]Methods write-up'!$R$19,'[1]observations-276632'!X1072&gt;'[1]Methods write-up'!$S$19,'[1]observations-276632'!X1072&lt;'[1]Methods write-up'!$T$19),"East Africa","")</f>
        <v/>
      </c>
      <c r="BB1072" s="22" t="str">
        <f>IF(AND('[1]observations-276632'!W1072&gt;'[1]Methods write-up'!$Q$20,'[1]observations-276632'!W1072&lt;'[1]Methods write-up'!$R$20,'[1]observations-276632'!X1072&gt;'[1]Methods write-up'!$S$20,'[1]observations-276632'!X1072&lt;'[1]Methods write-up'!$T$20),"Temperate seasonal","")</f>
        <v>Temperate seasonal</v>
      </c>
      <c r="BC1072" s="22" t="str">
        <f>IF(AND('[1]observations-276632'!W1072&gt;'[1]Methods write-up'!$Q$21,'[1]observations-276632'!W1072&lt;'[1]Methods write-up'!$R$21,'[1]observations-276632'!X1072&gt;'[1]Methods write-up'!$S$21,'[1]observations-276632'!X1072&lt;'[1]Methods write-up'!$T$21),"Desert and high aridity","")</f>
        <v/>
      </c>
      <c r="BD1072" s="23" t="str">
        <f t="shared" si="76"/>
        <v>Temperate seasonal</v>
      </c>
      <c r="BE1072" s="24">
        <f t="shared" si="74"/>
        <v>26</v>
      </c>
      <c r="BF1072" s="24">
        <f t="shared" si="75"/>
        <v>12</v>
      </c>
    </row>
    <row r="1073" spans="1:58" ht="16.25" customHeight="1" x14ac:dyDescent="0.2">
      <c r="A1073">
        <v>120799050</v>
      </c>
      <c r="B1073" t="s">
        <v>7981</v>
      </c>
      <c r="C1073" s="14">
        <v>44720</v>
      </c>
      <c r="D1073" t="s">
        <v>7982</v>
      </c>
      <c r="E1073" t="s">
        <v>84</v>
      </c>
      <c r="F1073">
        <v>2336425</v>
      </c>
      <c r="G1073" t="s">
        <v>7983</v>
      </c>
      <c r="H1073" t="s">
        <v>7984</v>
      </c>
      <c r="I1073" t="s">
        <v>7985</v>
      </c>
      <c r="J1073" t="s">
        <v>7986</v>
      </c>
      <c r="K1073" t="s">
        <v>62</v>
      </c>
      <c r="M1073" t="s">
        <v>7987</v>
      </c>
      <c r="N1073" t="s">
        <v>7988</v>
      </c>
      <c r="R1073">
        <v>1</v>
      </c>
      <c r="S1073">
        <v>0</v>
      </c>
      <c r="T1073" t="b">
        <v>0</v>
      </c>
      <c r="U1073">
        <v>333</v>
      </c>
      <c r="V1073" t="s">
        <v>7989</v>
      </c>
      <c r="W1073" s="15">
        <v>0.41624799400000001</v>
      </c>
      <c r="X1073" s="15">
        <v>30.39689636</v>
      </c>
      <c r="Y1073">
        <v>4357</v>
      </c>
      <c r="AC1073">
        <v>4357</v>
      </c>
      <c r="AF1073" t="b">
        <v>0</v>
      </c>
      <c r="AI1073" t="s">
        <v>71</v>
      </c>
      <c r="AJ1073" t="s">
        <v>70</v>
      </c>
      <c r="AK1073" t="s">
        <v>71</v>
      </c>
      <c r="AL1073" t="s">
        <v>72</v>
      </c>
      <c r="AM1073">
        <v>346053</v>
      </c>
      <c r="AO1073" s="16" t="s">
        <v>442</v>
      </c>
      <c r="AP1073" s="17" t="str">
        <f t="shared" si="82"/>
        <v>Dead female</v>
      </c>
      <c r="AX1073" s="22" t="str">
        <f>IF(AND('[1]observations-276632'!W1073&gt;'[1]Methods write-up'!$Q$16,'[1]observations-276632'!W1073&lt;'[1]Methods write-up'!$R$16,'[1]observations-276632'!X1073&gt;'[1]Methods write-up'!$S$16,'[1]observations-276632'!X1073&lt;'[1]Methods write-up'!$T$16),"West and Central Africa","")</f>
        <v>West and Central Africa</v>
      </c>
      <c r="AY1073" s="22" t="str">
        <f>IF(AND('[1]observations-276632'!W1073&gt;'[1]Methods write-up'!$Q$17,'[1]observations-276632'!W1073&lt;'[1]Methods write-up'!$R$17,'[1]observations-276632'!X1073&gt;'[1]Methods write-up'!$S$17,'[1]observations-276632'!X1073&lt;'[1]Methods write-up'!$T$17),"Equatorial tropical forest","")</f>
        <v/>
      </c>
      <c r="AZ1073" s="22" t="str">
        <f>IF(AND('[1]observations-276632'!W1073&gt;'[1]Methods write-up'!$Q$18,'[1]observations-276632'!W1073&lt;'[1]Methods write-up'!$R$18,'[1]observations-276632'!X1073&gt;'[1]Methods write-up'!$S$18,'[1]observations-276632'!X1073&lt;'[1]Methods write-up'!$T$18),"Somali peninsula","")</f>
        <v/>
      </c>
      <c r="BA1073" s="22" t="str">
        <f>IF(AND('[1]observations-276632'!W1073&gt;'[1]Methods write-up'!$Q$19,'[1]observations-276632'!W1073&lt;'[1]Methods write-up'!$R$19,'[1]observations-276632'!X1073&gt;'[1]Methods write-up'!$S$19,'[1]observations-276632'!X1073&lt;'[1]Methods write-up'!$T$19),"East Africa","")</f>
        <v/>
      </c>
      <c r="BB1073" s="22" t="str">
        <f>IF(AND('[1]observations-276632'!W1073&gt;'[1]Methods write-up'!$Q$20,'[1]observations-276632'!W1073&lt;'[1]Methods write-up'!$R$20,'[1]observations-276632'!X1073&gt;'[1]Methods write-up'!$S$20,'[1]observations-276632'!X1073&lt;'[1]Methods write-up'!$T$20),"Temperate seasonal","")</f>
        <v/>
      </c>
      <c r="BC1073" s="22" t="str">
        <f>IF(AND('[1]observations-276632'!W1073&gt;'[1]Methods write-up'!$Q$21,'[1]observations-276632'!W1073&lt;'[1]Methods write-up'!$R$21,'[1]observations-276632'!X1073&gt;'[1]Methods write-up'!$S$21,'[1]observations-276632'!X1073&lt;'[1]Methods write-up'!$T$21),"Desert and high aridity","")</f>
        <v/>
      </c>
      <c r="BD1073" s="23" t="str">
        <f t="shared" si="76"/>
        <v>West and Central Africa</v>
      </c>
      <c r="BE1073" s="24">
        <f t="shared" si="74"/>
        <v>8</v>
      </c>
      <c r="BF1073" s="24">
        <f t="shared" si="75"/>
        <v>6</v>
      </c>
    </row>
    <row r="1074" spans="1:58" ht="16.25" customHeight="1" x14ac:dyDescent="0.2">
      <c r="A1074">
        <v>121126965</v>
      </c>
      <c r="B1074" s="25">
        <v>44706.585416666669</v>
      </c>
      <c r="C1074" s="14">
        <v>44706</v>
      </c>
      <c r="D1074" t="s">
        <v>7990</v>
      </c>
      <c r="E1074" t="s">
        <v>74</v>
      </c>
      <c r="F1074">
        <v>3465995</v>
      </c>
      <c r="G1074" t="s">
        <v>4866</v>
      </c>
      <c r="H1074" t="s">
        <v>4867</v>
      </c>
      <c r="I1074" t="s">
        <v>7991</v>
      </c>
      <c r="J1074" t="s">
        <v>7992</v>
      </c>
      <c r="K1074" t="s">
        <v>62</v>
      </c>
      <c r="L1074" t="s">
        <v>63</v>
      </c>
      <c r="M1074" t="s">
        <v>7993</v>
      </c>
      <c r="N1074" t="s">
        <v>7994</v>
      </c>
      <c r="R1074">
        <v>1</v>
      </c>
      <c r="S1074">
        <v>0</v>
      </c>
      <c r="T1074" t="b">
        <v>0</v>
      </c>
      <c r="V1074" t="s">
        <v>7995</v>
      </c>
      <c r="W1074" s="15">
        <v>-20.250950960000001</v>
      </c>
      <c r="X1074" s="15">
        <v>31.002210349999999</v>
      </c>
      <c r="Y1074">
        <v>70</v>
      </c>
      <c r="AC1074">
        <v>70</v>
      </c>
      <c r="AF1074" t="b">
        <v>0</v>
      </c>
      <c r="AI1074" t="s">
        <v>71</v>
      </c>
      <c r="AJ1074" t="s">
        <v>70</v>
      </c>
      <c r="AK1074" t="s">
        <v>71</v>
      </c>
      <c r="AL1074" t="s">
        <v>72</v>
      </c>
      <c r="AM1074">
        <v>346053</v>
      </c>
      <c r="AO1074" s="16" t="s">
        <v>73</v>
      </c>
      <c r="AP1074" s="17" t="str">
        <f t="shared" si="82"/>
        <v>Off-nest female</v>
      </c>
      <c r="AX1074" s="22" t="str">
        <f>IF(AND('[1]observations-276632'!W1074&gt;'[1]Methods write-up'!$Q$16,'[1]observations-276632'!W1074&lt;'[1]Methods write-up'!$R$16,'[1]observations-276632'!X1074&gt;'[1]Methods write-up'!$S$16,'[1]observations-276632'!X1074&lt;'[1]Methods write-up'!$T$16),"West and Central Africa","")</f>
        <v/>
      </c>
      <c r="AY1074" s="22" t="str">
        <f>IF(AND('[1]observations-276632'!W1074&gt;'[1]Methods write-up'!$Q$17,'[1]observations-276632'!W1074&lt;'[1]Methods write-up'!$R$17,'[1]observations-276632'!X1074&gt;'[1]Methods write-up'!$S$17,'[1]observations-276632'!X1074&lt;'[1]Methods write-up'!$T$17),"Equatorial tropical forest","")</f>
        <v/>
      </c>
      <c r="AZ1074" s="22" t="str">
        <f>IF(AND('[1]observations-276632'!W1074&gt;'[1]Methods write-up'!$Q$18,'[1]observations-276632'!W1074&lt;'[1]Methods write-up'!$R$18,'[1]observations-276632'!X1074&gt;'[1]Methods write-up'!$S$18,'[1]observations-276632'!X1074&lt;'[1]Methods write-up'!$T$18),"Somali peninsula","")</f>
        <v/>
      </c>
      <c r="BA1074" s="22" t="str">
        <f>IF(AND('[1]observations-276632'!W1074&gt;'[1]Methods write-up'!$Q$19,'[1]observations-276632'!W1074&lt;'[1]Methods write-up'!$R$19,'[1]observations-276632'!X1074&gt;'[1]Methods write-up'!$S$19,'[1]observations-276632'!X1074&lt;'[1]Methods write-up'!$T$19),"East Africa","")</f>
        <v/>
      </c>
      <c r="BB1074" s="22" t="str">
        <f>IF(AND('[1]observations-276632'!W1074&gt;'[1]Methods write-up'!$Q$20,'[1]observations-276632'!W1074&lt;'[1]Methods write-up'!$R$20,'[1]observations-276632'!X1074&gt;'[1]Methods write-up'!$S$20,'[1]observations-276632'!X1074&lt;'[1]Methods write-up'!$T$20),"Temperate seasonal","")</f>
        <v/>
      </c>
      <c r="BC1074" s="22" t="str">
        <f>IF(AND('[1]observations-276632'!W1074&gt;'[1]Methods write-up'!$Q$21,'[1]observations-276632'!W1074&lt;'[1]Methods write-up'!$R$21,'[1]observations-276632'!X1074&gt;'[1]Methods write-up'!$S$21,'[1]observations-276632'!X1074&lt;'[1]Methods write-up'!$T$21),"Desert and high aridity","")</f>
        <v/>
      </c>
      <c r="BD1074" s="23" t="str">
        <f t="shared" si="76"/>
        <v/>
      </c>
      <c r="BE1074" s="24">
        <f t="shared" si="74"/>
        <v>25</v>
      </c>
      <c r="BF1074" s="24">
        <f t="shared" si="75"/>
        <v>5</v>
      </c>
    </row>
    <row r="1075" spans="1:58" ht="16.25" customHeight="1" x14ac:dyDescent="0.2">
      <c r="A1075">
        <v>121257626</v>
      </c>
      <c r="B1075" s="25">
        <v>44723.263888888891</v>
      </c>
      <c r="C1075" s="14">
        <v>44723</v>
      </c>
      <c r="D1075" t="s">
        <v>7996</v>
      </c>
      <c r="E1075" t="s">
        <v>113</v>
      </c>
      <c r="F1075">
        <v>4923904</v>
      </c>
      <c r="G1075" t="s">
        <v>6279</v>
      </c>
      <c r="H1075" t="s">
        <v>6280</v>
      </c>
      <c r="I1075" t="s">
        <v>7997</v>
      </c>
      <c r="J1075" t="s">
        <v>7998</v>
      </c>
      <c r="K1075" t="s">
        <v>62</v>
      </c>
      <c r="M1075" t="s">
        <v>7999</v>
      </c>
      <c r="N1075" t="s">
        <v>8000</v>
      </c>
      <c r="R1075">
        <v>2</v>
      </c>
      <c r="S1075">
        <v>0</v>
      </c>
      <c r="T1075" t="b">
        <v>0</v>
      </c>
      <c r="U1075">
        <v>2</v>
      </c>
      <c r="V1075" t="s">
        <v>1186</v>
      </c>
      <c r="W1075" s="15">
        <v>-28.95958353</v>
      </c>
      <c r="X1075" s="15">
        <v>31.750077569999998</v>
      </c>
      <c r="Y1075">
        <v>4175</v>
      </c>
      <c r="AC1075">
        <v>4175</v>
      </c>
      <c r="AF1075" t="b">
        <v>0</v>
      </c>
      <c r="AG1075" t="s">
        <v>350</v>
      </c>
      <c r="AH1075" t="s">
        <v>350</v>
      </c>
      <c r="AI1075" t="s">
        <v>71</v>
      </c>
      <c r="AJ1075" t="s">
        <v>70</v>
      </c>
      <c r="AK1075" t="s">
        <v>71</v>
      </c>
      <c r="AL1075" t="s">
        <v>72</v>
      </c>
      <c r="AM1075">
        <v>346053</v>
      </c>
      <c r="AO1075" s="16" t="s">
        <v>73</v>
      </c>
      <c r="AP1075" s="17" t="str">
        <f t="shared" si="82"/>
        <v>Off-nest female</v>
      </c>
      <c r="AX1075" s="22" t="str">
        <f>IF(AND('[1]observations-276632'!W1075&gt;'[1]Methods write-up'!$Q$16,'[1]observations-276632'!W1075&lt;'[1]Methods write-up'!$R$16,'[1]observations-276632'!X1075&gt;'[1]Methods write-up'!$S$16,'[1]observations-276632'!X1075&lt;'[1]Methods write-up'!$T$16),"West and Central Africa","")</f>
        <v/>
      </c>
      <c r="AY1075" s="22" t="str">
        <f>IF(AND('[1]observations-276632'!W1075&gt;'[1]Methods write-up'!$Q$17,'[1]observations-276632'!W1075&lt;'[1]Methods write-up'!$R$17,'[1]observations-276632'!X1075&gt;'[1]Methods write-up'!$S$17,'[1]observations-276632'!X1075&lt;'[1]Methods write-up'!$T$17),"Equatorial tropical forest","")</f>
        <v/>
      </c>
      <c r="AZ1075" s="22" t="str">
        <f>IF(AND('[1]observations-276632'!W1075&gt;'[1]Methods write-up'!$Q$18,'[1]observations-276632'!W1075&lt;'[1]Methods write-up'!$R$18,'[1]observations-276632'!X1075&gt;'[1]Methods write-up'!$S$18,'[1]observations-276632'!X1075&lt;'[1]Methods write-up'!$T$18),"Somali peninsula","")</f>
        <v/>
      </c>
      <c r="BA1075" s="22" t="str">
        <f>IF(AND('[1]observations-276632'!W1075&gt;'[1]Methods write-up'!$Q$19,'[1]observations-276632'!W1075&lt;'[1]Methods write-up'!$R$19,'[1]observations-276632'!X1075&gt;'[1]Methods write-up'!$S$19,'[1]observations-276632'!X1075&lt;'[1]Methods write-up'!$T$19),"East Africa","")</f>
        <v/>
      </c>
      <c r="BB1075" s="22" t="str">
        <f>IF(AND('[1]observations-276632'!W1075&gt;'[1]Methods write-up'!$Q$20,'[1]observations-276632'!W1075&lt;'[1]Methods write-up'!$R$20,'[1]observations-276632'!X1075&gt;'[1]Methods write-up'!$S$20,'[1]observations-276632'!X1075&lt;'[1]Methods write-up'!$T$20),"Temperate seasonal","")</f>
        <v>Temperate seasonal</v>
      </c>
      <c r="BC1075" s="22" t="str">
        <f>IF(AND('[1]observations-276632'!W1075&gt;'[1]Methods write-up'!$Q$21,'[1]observations-276632'!W1075&lt;'[1]Methods write-up'!$R$21,'[1]observations-276632'!X1075&gt;'[1]Methods write-up'!$S$21,'[1]observations-276632'!X1075&lt;'[1]Methods write-up'!$T$21),"Desert and high aridity","")</f>
        <v/>
      </c>
      <c r="BD1075" s="23" t="str">
        <f t="shared" si="76"/>
        <v>Temperate seasonal</v>
      </c>
      <c r="BE1075" s="24">
        <f t="shared" si="74"/>
        <v>11</v>
      </c>
      <c r="BF1075" s="24">
        <f t="shared" si="75"/>
        <v>6</v>
      </c>
    </row>
    <row r="1076" spans="1:58" ht="16.25" customHeight="1" x14ac:dyDescent="0.2">
      <c r="A1076">
        <v>121368989</v>
      </c>
      <c r="B1076" s="25">
        <v>44721.457638888889</v>
      </c>
      <c r="C1076" s="14">
        <v>44721</v>
      </c>
      <c r="D1076" t="s">
        <v>8001</v>
      </c>
      <c r="E1076" t="s">
        <v>113</v>
      </c>
      <c r="F1076">
        <v>3164384</v>
      </c>
      <c r="G1076" t="s">
        <v>8002</v>
      </c>
      <c r="H1076" t="s">
        <v>8003</v>
      </c>
      <c r="I1076" t="s">
        <v>8004</v>
      </c>
      <c r="J1076" t="s">
        <v>8005</v>
      </c>
      <c r="K1076" t="s">
        <v>62</v>
      </c>
      <c r="L1076" t="s">
        <v>63</v>
      </c>
      <c r="M1076" t="s">
        <v>8006</v>
      </c>
      <c r="N1076" t="s">
        <v>8007</v>
      </c>
      <c r="R1076">
        <v>4</v>
      </c>
      <c r="S1076">
        <v>0</v>
      </c>
      <c r="T1076" t="b">
        <v>0</v>
      </c>
      <c r="V1076" t="s">
        <v>8008</v>
      </c>
      <c r="W1076" s="15">
        <v>-26.088002599999999</v>
      </c>
      <c r="X1076" s="15">
        <v>28.1444516</v>
      </c>
      <c r="Y1076">
        <v>3726</v>
      </c>
      <c r="AC1076">
        <v>3726</v>
      </c>
      <c r="AF1076" t="b">
        <v>0</v>
      </c>
      <c r="AI1076" t="s">
        <v>71</v>
      </c>
      <c r="AJ1076" t="s">
        <v>70</v>
      </c>
      <c r="AK1076" t="s">
        <v>71</v>
      </c>
      <c r="AL1076" t="s">
        <v>72</v>
      </c>
      <c r="AM1076">
        <v>346053</v>
      </c>
      <c r="AO1076" s="16" t="s">
        <v>73</v>
      </c>
      <c r="AP1076" s="17" t="str">
        <f t="shared" si="82"/>
        <v>Off-nest female</v>
      </c>
      <c r="AX1076" s="22" t="str">
        <f>IF(AND('[1]observations-276632'!W1076&gt;'[1]Methods write-up'!$Q$16,'[1]observations-276632'!W1076&lt;'[1]Methods write-up'!$R$16,'[1]observations-276632'!X1076&gt;'[1]Methods write-up'!$S$16,'[1]observations-276632'!X1076&lt;'[1]Methods write-up'!$T$16),"West and Central Africa","")</f>
        <v/>
      </c>
      <c r="AY1076" s="22" t="str">
        <f>IF(AND('[1]observations-276632'!W1076&gt;'[1]Methods write-up'!$Q$17,'[1]observations-276632'!W1076&lt;'[1]Methods write-up'!$R$17,'[1]observations-276632'!X1076&gt;'[1]Methods write-up'!$S$17,'[1]observations-276632'!X1076&lt;'[1]Methods write-up'!$T$17),"Equatorial tropical forest","")</f>
        <v/>
      </c>
      <c r="AZ1076" s="22" t="str">
        <f>IF(AND('[1]observations-276632'!W1076&gt;'[1]Methods write-up'!$Q$18,'[1]observations-276632'!W1076&lt;'[1]Methods write-up'!$R$18,'[1]observations-276632'!X1076&gt;'[1]Methods write-up'!$S$18,'[1]observations-276632'!X1076&lt;'[1]Methods write-up'!$T$18),"Somali peninsula","")</f>
        <v/>
      </c>
      <c r="BA1076" s="22" t="str">
        <f>IF(AND('[1]observations-276632'!W1076&gt;'[1]Methods write-up'!$Q$19,'[1]observations-276632'!W1076&lt;'[1]Methods write-up'!$R$19,'[1]observations-276632'!X1076&gt;'[1]Methods write-up'!$S$19,'[1]observations-276632'!X1076&lt;'[1]Methods write-up'!$T$19),"East Africa","")</f>
        <v/>
      </c>
      <c r="BB1076" s="22" t="str">
        <f>IF(AND('[1]observations-276632'!W1076&gt;'[1]Methods write-up'!$Q$20,'[1]observations-276632'!W1076&lt;'[1]Methods write-up'!$R$20,'[1]observations-276632'!X1076&gt;'[1]Methods write-up'!$S$20,'[1]observations-276632'!X1076&lt;'[1]Methods write-up'!$T$20),"Temperate seasonal","")</f>
        <v>Temperate seasonal</v>
      </c>
      <c r="BC1076" s="22" t="str">
        <f>IF(AND('[1]observations-276632'!W1076&gt;'[1]Methods write-up'!$Q$21,'[1]observations-276632'!W1076&lt;'[1]Methods write-up'!$R$21,'[1]observations-276632'!X1076&gt;'[1]Methods write-up'!$S$21,'[1]observations-276632'!X1076&lt;'[1]Methods write-up'!$T$21),"Desert and high aridity","")</f>
        <v/>
      </c>
      <c r="BD1076" s="23" t="str">
        <f t="shared" si="76"/>
        <v>Temperate seasonal</v>
      </c>
      <c r="BE1076" s="24">
        <f t="shared" si="74"/>
        <v>9</v>
      </c>
      <c r="BF1076" s="24">
        <f t="shared" si="75"/>
        <v>6</v>
      </c>
    </row>
    <row r="1077" spans="1:58" ht="16.25" customHeight="1" x14ac:dyDescent="0.2">
      <c r="A1077">
        <v>121443693</v>
      </c>
      <c r="B1077" s="25">
        <v>44724.540972222225</v>
      </c>
      <c r="C1077" s="14">
        <v>44724</v>
      </c>
      <c r="D1077" t="s">
        <v>8009</v>
      </c>
      <c r="E1077" t="s">
        <v>8010</v>
      </c>
      <c r="F1077">
        <v>2878482</v>
      </c>
      <c r="G1077" t="s">
        <v>7000</v>
      </c>
      <c r="H1077" t="s">
        <v>7001</v>
      </c>
      <c r="I1077" t="s">
        <v>8011</v>
      </c>
      <c r="J1077" t="s">
        <v>8012</v>
      </c>
      <c r="K1077" t="s">
        <v>62</v>
      </c>
      <c r="M1077" t="s">
        <v>8013</v>
      </c>
      <c r="N1077" t="s">
        <v>8014</v>
      </c>
      <c r="R1077">
        <v>0</v>
      </c>
      <c r="S1077">
        <v>0</v>
      </c>
      <c r="T1077" t="b">
        <v>0</v>
      </c>
      <c r="U1077">
        <v>2</v>
      </c>
      <c r="V1077" t="s">
        <v>8015</v>
      </c>
      <c r="W1077" s="15">
        <v>13.39584237</v>
      </c>
      <c r="X1077" s="15">
        <v>-16.645552779999999</v>
      </c>
      <c r="Y1077">
        <v>238</v>
      </c>
      <c r="AC1077">
        <v>238</v>
      </c>
      <c r="AF1077" t="b">
        <v>0</v>
      </c>
      <c r="AG1077" t="s">
        <v>350</v>
      </c>
      <c r="AH1077" t="s">
        <v>350</v>
      </c>
      <c r="AI1077" t="s">
        <v>71</v>
      </c>
      <c r="AJ1077" t="s">
        <v>70</v>
      </c>
      <c r="AK1077" t="s">
        <v>71</v>
      </c>
      <c r="AL1077" t="s">
        <v>72</v>
      </c>
      <c r="AM1077">
        <v>346053</v>
      </c>
      <c r="AO1077" s="16" t="s">
        <v>2421</v>
      </c>
      <c r="AP1077" s="16"/>
      <c r="AX1077" s="22" t="str">
        <f>IF(AND('[1]observations-276632'!W1077&gt;'[1]Methods write-up'!$Q$16,'[1]observations-276632'!W1077&lt;'[1]Methods write-up'!$R$16,'[1]observations-276632'!X1077&gt;'[1]Methods write-up'!$S$16,'[1]observations-276632'!X1077&lt;'[1]Methods write-up'!$T$16),"West Africa","")</f>
        <v/>
      </c>
      <c r="AY1077" s="22" t="str">
        <f>IF(AND('[1]observations-276632'!W1077&gt;'[1]Methods write-up'!$Q$17,'[1]observations-276632'!W1077&lt;'[1]Methods write-up'!$R$17,'[1]observations-276632'!X1077&gt;'[1]Methods write-up'!$S$17,'[1]observations-276632'!X1077&lt;'[1]Methods write-up'!$T$17),"Equatorial tropical forest","")</f>
        <v/>
      </c>
      <c r="AZ1077" s="22" t="str">
        <f>IF(AND('[1]observations-276632'!W1077&gt;'[1]Methods write-up'!$Q$18,'[1]observations-276632'!W1077&lt;'[1]Methods write-up'!$R$18,'[1]observations-276632'!X1077&gt;'[1]Methods write-up'!$S$18,'[1]observations-276632'!X1077&lt;'[1]Methods write-up'!$T$18),"Somali peninsula","")</f>
        <v/>
      </c>
      <c r="BA1077" s="22" t="str">
        <f>IF(AND('[1]observations-276632'!W1077&gt;'[1]Methods write-up'!$Q$19,'[1]observations-276632'!W1077&lt;'[1]Methods write-up'!$R$19,'[1]observations-276632'!X1077&gt;'[1]Methods write-up'!$S$19,'[1]observations-276632'!X1077&lt;'[1]Methods write-up'!$T$19),"East Africa","")</f>
        <v/>
      </c>
      <c r="BB1077" s="22" t="str">
        <f>IF(AND('[1]observations-276632'!W1077&gt;'[1]Methods write-up'!$Q$20,'[1]observations-276632'!W1077&lt;'[1]Methods write-up'!$R$20,'[1]observations-276632'!X1077&gt;'[1]Methods write-up'!$S$20,'[1]observations-276632'!X1077&lt;'[1]Methods write-up'!$T$20),"Temperate seasonal","")</f>
        <v/>
      </c>
      <c r="BC1077" s="22" t="str">
        <f>IF(AND('[1]observations-276632'!W1077&gt;'[1]Methods write-up'!$Q$21,'[1]observations-276632'!W1077&lt;'[1]Methods write-up'!$R$21,'[1]observations-276632'!X1077&gt;'[1]Methods write-up'!$S$21,'[1]observations-276632'!X1077&lt;'[1]Methods write-up'!$T$21),"Desert and high aridity","")</f>
        <v/>
      </c>
      <c r="BD1077" s="23" t="str">
        <f t="shared" si="76"/>
        <v/>
      </c>
      <c r="BE1077" s="24">
        <f t="shared" si="74"/>
        <v>12</v>
      </c>
      <c r="BF1077" s="24">
        <f t="shared" si="75"/>
        <v>6</v>
      </c>
    </row>
    <row r="1078" spans="1:58" ht="16.25" customHeight="1" x14ac:dyDescent="0.2">
      <c r="A1078">
        <v>121707036</v>
      </c>
      <c r="B1078" s="25">
        <v>42071.404861111114</v>
      </c>
      <c r="C1078" s="14">
        <v>42071</v>
      </c>
      <c r="D1078" t="s">
        <v>8016</v>
      </c>
      <c r="E1078" t="s">
        <v>113</v>
      </c>
      <c r="F1078">
        <v>833117</v>
      </c>
      <c r="G1078" t="s">
        <v>1318</v>
      </c>
      <c r="H1078" t="s">
        <v>1319</v>
      </c>
      <c r="I1078" t="s">
        <v>8017</v>
      </c>
      <c r="J1078" t="s">
        <v>8018</v>
      </c>
      <c r="K1078" t="s">
        <v>62</v>
      </c>
      <c r="L1078" t="s">
        <v>63</v>
      </c>
      <c r="M1078" t="s">
        <v>8019</v>
      </c>
      <c r="N1078" t="s">
        <v>8020</v>
      </c>
      <c r="R1078">
        <v>3</v>
      </c>
      <c r="S1078">
        <v>0</v>
      </c>
      <c r="T1078" t="b">
        <v>0</v>
      </c>
      <c r="V1078" t="s">
        <v>8021</v>
      </c>
      <c r="W1078" s="15">
        <v>-25.55037965</v>
      </c>
      <c r="X1078" s="15">
        <v>31.112967659999999</v>
      </c>
      <c r="Y1078">
        <v>100</v>
      </c>
      <c r="AC1078">
        <v>100</v>
      </c>
      <c r="AF1078" t="b">
        <v>0</v>
      </c>
      <c r="AI1078" t="s">
        <v>71</v>
      </c>
      <c r="AJ1078" t="s">
        <v>70</v>
      </c>
      <c r="AK1078" t="s">
        <v>71</v>
      </c>
      <c r="AL1078" t="s">
        <v>72</v>
      </c>
      <c r="AM1078">
        <v>346053</v>
      </c>
      <c r="AO1078" s="16" t="s">
        <v>73</v>
      </c>
      <c r="AP1078" s="17" t="str">
        <f t="shared" ref="AP1078:AP1092" si="83">IF(COUNTIF(AO1078,"*foundress*"),"Nest (foundress)",AO1078)</f>
        <v>Off-nest female</v>
      </c>
      <c r="AV1078" s="21" t="s">
        <v>8022</v>
      </c>
      <c r="AX1078" s="22" t="str">
        <f>IF(AND('[1]observations-276632'!W1078&gt;'[1]Methods write-up'!$Q$16,'[1]observations-276632'!W1078&lt;'[1]Methods write-up'!$R$16,'[1]observations-276632'!X1078&gt;'[1]Methods write-up'!$S$16,'[1]observations-276632'!X1078&lt;'[1]Methods write-up'!$T$16),"West and Central Africa","")</f>
        <v/>
      </c>
      <c r="AY1078" s="22" t="str">
        <f>IF(AND('[1]observations-276632'!W1078&gt;'[1]Methods write-up'!$Q$17,'[1]observations-276632'!W1078&lt;'[1]Methods write-up'!$R$17,'[1]observations-276632'!X1078&gt;'[1]Methods write-up'!$S$17,'[1]observations-276632'!X1078&lt;'[1]Methods write-up'!$T$17),"Equatorial tropical forest","")</f>
        <v/>
      </c>
      <c r="AZ1078" s="22" t="str">
        <f>IF(AND('[1]observations-276632'!W1078&gt;'[1]Methods write-up'!$Q$18,'[1]observations-276632'!W1078&lt;'[1]Methods write-up'!$R$18,'[1]observations-276632'!X1078&gt;'[1]Methods write-up'!$S$18,'[1]observations-276632'!X1078&lt;'[1]Methods write-up'!$T$18),"Somali peninsula","")</f>
        <v/>
      </c>
      <c r="BA1078" s="22" t="str">
        <f>IF(AND('[1]observations-276632'!W1078&gt;'[1]Methods write-up'!$Q$19,'[1]observations-276632'!W1078&lt;'[1]Methods write-up'!$R$19,'[1]observations-276632'!X1078&gt;'[1]Methods write-up'!$S$19,'[1]observations-276632'!X1078&lt;'[1]Methods write-up'!$T$19),"East Africa","")</f>
        <v/>
      </c>
      <c r="BB1078" s="22" t="str">
        <f>IF(AND('[1]observations-276632'!W1078&gt;'[1]Methods write-up'!$Q$20,'[1]observations-276632'!W1078&lt;'[1]Methods write-up'!$R$20,'[1]observations-276632'!X1078&gt;'[1]Methods write-up'!$S$20,'[1]observations-276632'!X1078&lt;'[1]Methods write-up'!$T$20),"Temperate seasonal","")</f>
        <v>Temperate seasonal</v>
      </c>
      <c r="BC1078" s="22" t="str">
        <f>IF(AND('[1]observations-276632'!W1078&gt;'[1]Methods write-up'!$Q$21,'[1]observations-276632'!W1078&lt;'[1]Methods write-up'!$R$21,'[1]observations-276632'!X1078&gt;'[1]Methods write-up'!$S$21,'[1]observations-276632'!X1078&lt;'[1]Methods write-up'!$T$21),"Desert and high aridity","")</f>
        <v/>
      </c>
      <c r="BD1078" s="23" t="str">
        <f t="shared" si="76"/>
        <v>Temperate seasonal</v>
      </c>
      <c r="BE1078" s="24">
        <f t="shared" si="74"/>
        <v>8</v>
      </c>
      <c r="BF1078" s="24">
        <f t="shared" si="75"/>
        <v>3</v>
      </c>
    </row>
    <row r="1079" spans="1:58" ht="16.25" customHeight="1" x14ac:dyDescent="0.2">
      <c r="A1079">
        <v>121979408</v>
      </c>
      <c r="B1079" t="s">
        <v>8023</v>
      </c>
      <c r="C1079" s="14">
        <v>44722</v>
      </c>
      <c r="D1079" t="s">
        <v>8024</v>
      </c>
      <c r="E1079" t="s">
        <v>84</v>
      </c>
      <c r="F1079">
        <v>3425639</v>
      </c>
      <c r="G1079" t="s">
        <v>8025</v>
      </c>
      <c r="I1079" t="s">
        <v>8026</v>
      </c>
      <c r="J1079" t="s">
        <v>8027</v>
      </c>
      <c r="K1079" t="s">
        <v>62</v>
      </c>
      <c r="L1079" t="s">
        <v>63</v>
      </c>
      <c r="M1079" t="s">
        <v>8028</v>
      </c>
      <c r="N1079" t="s">
        <v>8029</v>
      </c>
      <c r="R1079">
        <v>1</v>
      </c>
      <c r="S1079">
        <v>0</v>
      </c>
      <c r="T1079" t="b">
        <v>0</v>
      </c>
      <c r="U1079">
        <v>3</v>
      </c>
      <c r="V1079" t="s">
        <v>8030</v>
      </c>
      <c r="W1079" s="15">
        <v>0.46810333300000001</v>
      </c>
      <c r="X1079" s="15">
        <v>30.32158167</v>
      </c>
      <c r="AF1079" t="b">
        <v>0</v>
      </c>
      <c r="AI1079" t="s">
        <v>71</v>
      </c>
      <c r="AJ1079" t="s">
        <v>70</v>
      </c>
      <c r="AK1079" t="s">
        <v>71</v>
      </c>
      <c r="AL1079" t="s">
        <v>72</v>
      </c>
      <c r="AM1079">
        <v>346053</v>
      </c>
      <c r="AO1079" s="16" t="s">
        <v>172</v>
      </c>
      <c r="AP1079" s="17" t="str">
        <f t="shared" si="83"/>
        <v>Nest (foundress)</v>
      </c>
      <c r="AQ1079" s="18">
        <v>1</v>
      </c>
      <c r="AT1079" s="19" t="s">
        <v>104</v>
      </c>
      <c r="AX1079" s="22" t="str">
        <f>IF(AND('[1]observations-276632'!W1079&gt;'[1]Methods write-up'!$Q$16,'[1]observations-276632'!W1079&lt;'[1]Methods write-up'!$R$16,'[1]observations-276632'!X1079&gt;'[1]Methods write-up'!$S$16,'[1]observations-276632'!X1079&lt;'[1]Methods write-up'!$T$16),"West and Central Africa","")</f>
        <v>West and Central Africa</v>
      </c>
      <c r="AY1079" s="22" t="str">
        <f>IF(AND('[1]observations-276632'!W1079&gt;'[1]Methods write-up'!$Q$17,'[1]observations-276632'!W1079&lt;'[1]Methods write-up'!$R$17,'[1]observations-276632'!X1079&gt;'[1]Methods write-up'!$S$17,'[1]observations-276632'!X1079&lt;'[1]Methods write-up'!$T$17),"Equatorial tropical forest","")</f>
        <v/>
      </c>
      <c r="AZ1079" s="22" t="str">
        <f>IF(AND('[1]observations-276632'!W1079&gt;'[1]Methods write-up'!$Q$18,'[1]observations-276632'!W1079&lt;'[1]Methods write-up'!$R$18,'[1]observations-276632'!X1079&gt;'[1]Methods write-up'!$S$18,'[1]observations-276632'!X1079&lt;'[1]Methods write-up'!$T$18),"Somali peninsula","")</f>
        <v/>
      </c>
      <c r="BA1079" s="22" t="str">
        <f>IF(AND('[1]observations-276632'!W1079&gt;'[1]Methods write-up'!$Q$19,'[1]observations-276632'!W1079&lt;'[1]Methods write-up'!$R$19,'[1]observations-276632'!X1079&gt;'[1]Methods write-up'!$S$19,'[1]observations-276632'!X1079&lt;'[1]Methods write-up'!$T$19),"East Africa","")</f>
        <v/>
      </c>
      <c r="BB1079" s="22" t="str">
        <f>IF(AND('[1]observations-276632'!W1079&gt;'[1]Methods write-up'!$Q$20,'[1]observations-276632'!W1079&lt;'[1]Methods write-up'!$R$20,'[1]observations-276632'!X1079&gt;'[1]Methods write-up'!$S$20,'[1]observations-276632'!X1079&lt;'[1]Methods write-up'!$T$20),"Temperate seasonal","")</f>
        <v/>
      </c>
      <c r="BC1079" s="22" t="str">
        <f>IF(AND('[1]observations-276632'!W1079&gt;'[1]Methods write-up'!$Q$21,'[1]observations-276632'!W1079&lt;'[1]Methods write-up'!$R$21,'[1]observations-276632'!X1079&gt;'[1]Methods write-up'!$S$21,'[1]observations-276632'!X1079&lt;'[1]Methods write-up'!$T$21),"Desert and high aridity","")</f>
        <v/>
      </c>
      <c r="BD1079" s="23" t="str">
        <f t="shared" si="76"/>
        <v>West and Central Africa</v>
      </c>
      <c r="BE1079" s="24">
        <f t="shared" si="74"/>
        <v>10</v>
      </c>
      <c r="BF1079" s="24">
        <f t="shared" si="75"/>
        <v>6</v>
      </c>
    </row>
    <row r="1080" spans="1:58" ht="16.25" customHeight="1" x14ac:dyDescent="0.2">
      <c r="A1080">
        <v>122139706</v>
      </c>
      <c r="B1080" s="25">
        <v>44706.456944444442</v>
      </c>
      <c r="C1080" s="14">
        <v>44706</v>
      </c>
      <c r="D1080" t="s">
        <v>8031</v>
      </c>
      <c r="E1080" t="s">
        <v>8032</v>
      </c>
      <c r="F1080">
        <v>3974622</v>
      </c>
      <c r="G1080" t="s">
        <v>8033</v>
      </c>
      <c r="I1080" t="s">
        <v>8034</v>
      </c>
      <c r="J1080" t="s">
        <v>8035</v>
      </c>
      <c r="K1080" t="s">
        <v>62</v>
      </c>
      <c r="L1080" t="s">
        <v>63</v>
      </c>
      <c r="M1080" t="s">
        <v>8036</v>
      </c>
      <c r="N1080" t="s">
        <v>8037</v>
      </c>
      <c r="R1080">
        <v>2</v>
      </c>
      <c r="S1080">
        <v>0</v>
      </c>
      <c r="T1080" t="b">
        <v>0</v>
      </c>
      <c r="V1080" t="s">
        <v>8038</v>
      </c>
      <c r="W1080" s="15">
        <v>-1.6893135669999999</v>
      </c>
      <c r="X1080" s="15">
        <v>12.93391662</v>
      </c>
      <c r="Y1080">
        <v>1886</v>
      </c>
      <c r="AC1080">
        <v>1886</v>
      </c>
      <c r="AF1080" t="b">
        <v>0</v>
      </c>
      <c r="AI1080" t="s">
        <v>71</v>
      </c>
      <c r="AJ1080" t="s">
        <v>70</v>
      </c>
      <c r="AK1080" t="s">
        <v>71</v>
      </c>
      <c r="AL1080" t="s">
        <v>72</v>
      </c>
      <c r="AM1080">
        <v>346053</v>
      </c>
      <c r="AO1080" s="16" t="s">
        <v>172</v>
      </c>
      <c r="AP1080" s="17" t="str">
        <f t="shared" si="83"/>
        <v>Nest (foundress)</v>
      </c>
      <c r="AQ1080" s="18">
        <v>3</v>
      </c>
      <c r="AT1080" s="19" t="s">
        <v>104</v>
      </c>
      <c r="AV1080" s="21" t="s">
        <v>8039</v>
      </c>
      <c r="AX1080" s="22" t="str">
        <f>IF(AND('[1]observations-276632'!W1080&gt;'[1]Methods write-up'!$Q$16,'[1]observations-276632'!W1080&lt;'[1]Methods write-up'!$R$16,'[1]observations-276632'!X1080&gt;'[1]Methods write-up'!$S$16,'[1]observations-276632'!X1080&lt;'[1]Methods write-up'!$T$16),"West and Central Africa","")</f>
        <v>West and Central Africa</v>
      </c>
      <c r="AY1080" s="22" t="str">
        <f>IF(AND('[1]observations-276632'!W1080&gt;'[1]Methods write-up'!$Q$17,'[1]observations-276632'!W1080&lt;'[1]Methods write-up'!$R$17,'[1]observations-276632'!X1080&gt;'[1]Methods write-up'!$S$17,'[1]observations-276632'!X1080&lt;'[1]Methods write-up'!$T$17),"Equatorial tropical forest","")</f>
        <v/>
      </c>
      <c r="AZ1080" s="22" t="str">
        <f>IF(AND('[1]observations-276632'!W1080&gt;'[1]Methods write-up'!$Q$18,'[1]observations-276632'!W1080&lt;'[1]Methods write-up'!$R$18,'[1]observations-276632'!X1080&gt;'[1]Methods write-up'!$S$18,'[1]observations-276632'!X1080&lt;'[1]Methods write-up'!$T$18),"Somali peninsula","")</f>
        <v/>
      </c>
      <c r="BA1080" s="22" t="str">
        <f>IF(AND('[1]observations-276632'!W1080&gt;'[1]Methods write-up'!$Q$19,'[1]observations-276632'!W1080&lt;'[1]Methods write-up'!$R$19,'[1]observations-276632'!X1080&gt;'[1]Methods write-up'!$S$19,'[1]observations-276632'!X1080&lt;'[1]Methods write-up'!$T$19),"East Africa","")</f>
        <v/>
      </c>
      <c r="BB1080" s="22" t="str">
        <f>IF(AND('[1]observations-276632'!W1080&gt;'[1]Methods write-up'!$Q$20,'[1]observations-276632'!W1080&lt;'[1]Methods write-up'!$R$20,'[1]observations-276632'!X1080&gt;'[1]Methods write-up'!$S$20,'[1]observations-276632'!X1080&lt;'[1]Methods write-up'!$T$20),"Temperate seasonal","")</f>
        <v/>
      </c>
      <c r="BC1080" s="22" t="str">
        <f>IF(AND('[1]observations-276632'!W1080&gt;'[1]Methods write-up'!$Q$21,'[1]observations-276632'!W1080&lt;'[1]Methods write-up'!$R$21,'[1]observations-276632'!X1080&gt;'[1]Methods write-up'!$S$21,'[1]observations-276632'!X1080&lt;'[1]Methods write-up'!$T$21),"Desert and high aridity","")</f>
        <v/>
      </c>
      <c r="BD1080" s="23" t="str">
        <f t="shared" si="76"/>
        <v>West and Central Africa</v>
      </c>
      <c r="BE1080" s="24">
        <f t="shared" si="74"/>
        <v>25</v>
      </c>
      <c r="BF1080" s="24">
        <f t="shared" si="75"/>
        <v>5</v>
      </c>
    </row>
    <row r="1081" spans="1:58" ht="16.25" customHeight="1" x14ac:dyDescent="0.2">
      <c r="A1081">
        <v>122326292</v>
      </c>
      <c r="B1081" s="25">
        <v>44721.538194444445</v>
      </c>
      <c r="C1081" s="14">
        <v>44721</v>
      </c>
      <c r="D1081" t="s">
        <v>8040</v>
      </c>
      <c r="E1081" t="s">
        <v>113</v>
      </c>
      <c r="F1081">
        <v>1696545</v>
      </c>
      <c r="G1081" t="s">
        <v>8041</v>
      </c>
      <c r="I1081" t="s">
        <v>8042</v>
      </c>
      <c r="J1081" t="s">
        <v>8043</v>
      </c>
      <c r="K1081" t="s">
        <v>62</v>
      </c>
      <c r="L1081" t="s">
        <v>63</v>
      </c>
      <c r="M1081" t="s">
        <v>8044</v>
      </c>
      <c r="N1081" t="s">
        <v>8045</v>
      </c>
      <c r="R1081">
        <v>4</v>
      </c>
      <c r="S1081">
        <v>0</v>
      </c>
      <c r="T1081" t="b">
        <v>0</v>
      </c>
      <c r="V1081" t="s">
        <v>8046</v>
      </c>
      <c r="W1081" s="15">
        <v>-28.455310000000001</v>
      </c>
      <c r="X1081" s="15">
        <v>17.123522999999999</v>
      </c>
      <c r="Y1081">
        <v>233</v>
      </c>
      <c r="AC1081">
        <v>233</v>
      </c>
      <c r="AF1081" t="b">
        <v>0</v>
      </c>
      <c r="AI1081" t="s">
        <v>71</v>
      </c>
      <c r="AJ1081" t="s">
        <v>70</v>
      </c>
      <c r="AK1081" t="s">
        <v>71</v>
      </c>
      <c r="AL1081" t="s">
        <v>72</v>
      </c>
      <c r="AM1081">
        <v>346053</v>
      </c>
      <c r="AO1081" s="16" t="s">
        <v>140</v>
      </c>
      <c r="AP1081" s="17" t="str">
        <f t="shared" si="83"/>
        <v>Post-emergence nest</v>
      </c>
      <c r="AQ1081" s="18">
        <v>6</v>
      </c>
      <c r="AT1081" s="19" t="s">
        <v>141</v>
      </c>
      <c r="AU1081" s="20" t="s">
        <v>315</v>
      </c>
      <c r="AV1081" s="21" t="s">
        <v>7292</v>
      </c>
      <c r="AX1081" s="22" t="str">
        <f>IF(AND('[1]observations-276632'!W1081&gt;'[1]Methods write-up'!$Q$16,'[1]observations-276632'!W1081&lt;'[1]Methods write-up'!$R$16,'[1]observations-276632'!X1081&gt;'[1]Methods write-up'!$S$16,'[1]observations-276632'!X1081&lt;'[1]Methods write-up'!$T$16),"West and Central Africa","")</f>
        <v/>
      </c>
      <c r="AY1081" s="22" t="str">
        <f>IF(AND('[1]observations-276632'!W1081&gt;'[1]Methods write-up'!$Q$17,'[1]observations-276632'!W1081&lt;'[1]Methods write-up'!$R$17,'[1]observations-276632'!X1081&gt;'[1]Methods write-up'!$S$17,'[1]observations-276632'!X1081&lt;'[1]Methods write-up'!$T$17),"Equatorial tropical forest","")</f>
        <v/>
      </c>
      <c r="AZ1081" s="22" t="str">
        <f>IF(AND('[1]observations-276632'!W1081&gt;'[1]Methods write-up'!$Q$18,'[1]observations-276632'!W1081&lt;'[1]Methods write-up'!$R$18,'[1]observations-276632'!X1081&gt;'[1]Methods write-up'!$S$18,'[1]observations-276632'!X1081&lt;'[1]Methods write-up'!$T$18),"Somali peninsula","")</f>
        <v/>
      </c>
      <c r="BA1081" s="22" t="str">
        <f>IF(AND('[1]observations-276632'!W1081&gt;'[1]Methods write-up'!$Q$19,'[1]observations-276632'!W1081&lt;'[1]Methods write-up'!$R$19,'[1]observations-276632'!X1081&gt;'[1]Methods write-up'!$S$19,'[1]observations-276632'!X1081&lt;'[1]Methods write-up'!$T$19),"East Africa","")</f>
        <v/>
      </c>
      <c r="BB1081" s="22" t="str">
        <f>IF(AND('[1]observations-276632'!W1081&gt;'[1]Methods write-up'!$Q$20,'[1]observations-276632'!W1081&lt;'[1]Methods write-up'!$R$20,'[1]observations-276632'!X1081&gt;'[1]Methods write-up'!$S$20,'[1]observations-276632'!X1081&lt;'[1]Methods write-up'!$T$20),"Temperate seasonal","")</f>
        <v/>
      </c>
      <c r="BC1081" s="22" t="str">
        <f>IF(AND('[1]observations-276632'!W1081&gt;'[1]Methods write-up'!$Q$21,'[1]observations-276632'!W1081&lt;'[1]Methods write-up'!$R$21,'[1]observations-276632'!X1081&gt;'[1]Methods write-up'!$S$21,'[1]observations-276632'!X1081&lt;'[1]Methods write-up'!$T$21),"Desert and high aridity","")</f>
        <v>Desert and high aridity</v>
      </c>
      <c r="BD1081" s="23" t="str">
        <f t="shared" si="76"/>
        <v>Desert and high aridity</v>
      </c>
      <c r="BE1081" s="24">
        <f t="shared" si="74"/>
        <v>9</v>
      </c>
      <c r="BF1081" s="24">
        <f t="shared" si="75"/>
        <v>6</v>
      </c>
    </row>
    <row r="1082" spans="1:58" ht="16.25" customHeight="1" x14ac:dyDescent="0.2">
      <c r="A1082">
        <v>122922553</v>
      </c>
      <c r="B1082" s="25">
        <v>43530.375</v>
      </c>
      <c r="C1082" s="14">
        <v>43530</v>
      </c>
      <c r="D1082" t="s">
        <v>8047</v>
      </c>
      <c r="E1082" t="s">
        <v>113</v>
      </c>
      <c r="F1082">
        <v>5482929</v>
      </c>
      <c r="G1082" t="s">
        <v>7546</v>
      </c>
      <c r="I1082" t="s">
        <v>8048</v>
      </c>
      <c r="J1082" t="s">
        <v>8049</v>
      </c>
      <c r="K1082" t="s">
        <v>62</v>
      </c>
      <c r="L1082" t="s">
        <v>63</v>
      </c>
      <c r="M1082" t="s">
        <v>8050</v>
      </c>
      <c r="N1082" t="s">
        <v>8051</v>
      </c>
      <c r="R1082">
        <v>2</v>
      </c>
      <c r="S1082">
        <v>0</v>
      </c>
      <c r="T1082" t="b">
        <v>0</v>
      </c>
      <c r="V1082" t="s">
        <v>8052</v>
      </c>
      <c r="W1082" s="15">
        <v>-26.157256530000002</v>
      </c>
      <c r="X1082" s="15">
        <v>27.902056859999998</v>
      </c>
      <c r="Y1082">
        <v>92</v>
      </c>
      <c r="AC1082">
        <v>92</v>
      </c>
      <c r="AF1082" t="b">
        <v>0</v>
      </c>
      <c r="AI1082" t="s">
        <v>71</v>
      </c>
      <c r="AJ1082" t="s">
        <v>70</v>
      </c>
      <c r="AK1082" t="s">
        <v>71</v>
      </c>
      <c r="AL1082" t="s">
        <v>72</v>
      </c>
      <c r="AM1082">
        <v>346053</v>
      </c>
      <c r="AO1082" s="16" t="s">
        <v>73</v>
      </c>
      <c r="AP1082" s="17" t="str">
        <f t="shared" si="83"/>
        <v>Off-nest female</v>
      </c>
      <c r="AX1082" s="22" t="str">
        <f>IF(AND('[1]observations-276632'!W1082&gt;'[1]Methods write-up'!$Q$16,'[1]observations-276632'!W1082&lt;'[1]Methods write-up'!$R$16,'[1]observations-276632'!X1082&gt;'[1]Methods write-up'!$S$16,'[1]observations-276632'!X1082&lt;'[1]Methods write-up'!$T$16),"West and Central Africa","")</f>
        <v/>
      </c>
      <c r="AY1082" s="22" t="str">
        <f>IF(AND('[1]observations-276632'!W1082&gt;'[1]Methods write-up'!$Q$17,'[1]observations-276632'!W1082&lt;'[1]Methods write-up'!$R$17,'[1]observations-276632'!X1082&gt;'[1]Methods write-up'!$S$17,'[1]observations-276632'!X1082&lt;'[1]Methods write-up'!$T$17),"Equatorial tropical forest","")</f>
        <v/>
      </c>
      <c r="AZ1082" s="22" t="str">
        <f>IF(AND('[1]observations-276632'!W1082&gt;'[1]Methods write-up'!$Q$18,'[1]observations-276632'!W1082&lt;'[1]Methods write-up'!$R$18,'[1]observations-276632'!X1082&gt;'[1]Methods write-up'!$S$18,'[1]observations-276632'!X1082&lt;'[1]Methods write-up'!$T$18),"Somali peninsula","")</f>
        <v/>
      </c>
      <c r="BA1082" s="22" t="str">
        <f>IF(AND('[1]observations-276632'!W1082&gt;'[1]Methods write-up'!$Q$19,'[1]observations-276632'!W1082&lt;'[1]Methods write-up'!$R$19,'[1]observations-276632'!X1082&gt;'[1]Methods write-up'!$S$19,'[1]observations-276632'!X1082&lt;'[1]Methods write-up'!$T$19),"East Africa","")</f>
        <v/>
      </c>
      <c r="BB1082" s="22" t="str">
        <f>IF(AND('[1]observations-276632'!W1082&gt;'[1]Methods write-up'!$Q$20,'[1]observations-276632'!W1082&lt;'[1]Methods write-up'!$R$20,'[1]observations-276632'!X1082&gt;'[1]Methods write-up'!$S$20,'[1]observations-276632'!X1082&lt;'[1]Methods write-up'!$T$20),"Temperate seasonal","")</f>
        <v>Temperate seasonal</v>
      </c>
      <c r="BC1082" s="22" t="str">
        <f>IF(AND('[1]observations-276632'!W1082&gt;'[1]Methods write-up'!$Q$21,'[1]observations-276632'!W1082&lt;'[1]Methods write-up'!$R$21,'[1]observations-276632'!X1082&gt;'[1]Methods write-up'!$S$21,'[1]observations-276632'!X1082&lt;'[1]Methods write-up'!$T$21),"Desert and high aridity","")</f>
        <v/>
      </c>
      <c r="BD1082" s="23" t="str">
        <f t="shared" si="76"/>
        <v>Temperate seasonal</v>
      </c>
      <c r="BE1082" s="24">
        <f t="shared" si="74"/>
        <v>6</v>
      </c>
      <c r="BF1082" s="24">
        <f t="shared" si="75"/>
        <v>3</v>
      </c>
    </row>
    <row r="1083" spans="1:58" ht="16.25" customHeight="1" x14ac:dyDescent="0.2">
      <c r="A1083">
        <v>123089008</v>
      </c>
      <c r="B1083" t="s">
        <v>8053</v>
      </c>
      <c r="C1083" s="14">
        <v>44735</v>
      </c>
      <c r="D1083" t="s">
        <v>8054</v>
      </c>
      <c r="E1083" t="s">
        <v>84</v>
      </c>
      <c r="F1083">
        <v>292489</v>
      </c>
      <c r="G1083" t="s">
        <v>1450</v>
      </c>
      <c r="H1083" t="s">
        <v>1451</v>
      </c>
      <c r="I1083" t="s">
        <v>8055</v>
      </c>
      <c r="J1083" t="s">
        <v>8056</v>
      </c>
      <c r="K1083" t="s">
        <v>62</v>
      </c>
      <c r="L1083" t="s">
        <v>98</v>
      </c>
      <c r="M1083" t="s">
        <v>8057</v>
      </c>
      <c r="N1083" t="s">
        <v>8058</v>
      </c>
      <c r="R1083">
        <v>1</v>
      </c>
      <c r="S1083">
        <v>0</v>
      </c>
      <c r="T1083" t="b">
        <v>0</v>
      </c>
      <c r="U1083">
        <v>3</v>
      </c>
      <c r="V1083" t="s">
        <v>4419</v>
      </c>
      <c r="W1083" s="15">
        <v>-1.273263982</v>
      </c>
      <c r="X1083" s="15">
        <v>36.814956049999999</v>
      </c>
      <c r="Y1083">
        <v>3</v>
      </c>
      <c r="AC1083">
        <v>3</v>
      </c>
      <c r="AF1083" t="b">
        <v>0</v>
      </c>
      <c r="AI1083" t="s">
        <v>71</v>
      </c>
      <c r="AJ1083" t="s">
        <v>70</v>
      </c>
      <c r="AK1083" t="s">
        <v>71</v>
      </c>
      <c r="AL1083" t="s">
        <v>72</v>
      </c>
      <c r="AM1083">
        <v>346053</v>
      </c>
      <c r="AO1083" s="16" t="s">
        <v>442</v>
      </c>
      <c r="AP1083" s="17" t="str">
        <f t="shared" si="83"/>
        <v>Dead female</v>
      </c>
      <c r="AX1083" s="22" t="str">
        <f>IF(AND('[1]observations-276632'!W1083&gt;'[1]Methods write-up'!$Q$16,'[1]observations-276632'!W1083&lt;'[1]Methods write-up'!$R$16,'[1]observations-276632'!X1083&gt;'[1]Methods write-up'!$S$16,'[1]observations-276632'!X1083&lt;'[1]Methods write-up'!$T$16),"West and Central Africa","")</f>
        <v/>
      </c>
      <c r="AY1083" s="22" t="str">
        <f>IF(AND('[1]observations-276632'!W1083&gt;'[1]Methods write-up'!$Q$17,'[1]observations-276632'!W1083&lt;'[1]Methods write-up'!$R$17,'[1]observations-276632'!X1083&gt;'[1]Methods write-up'!$S$17,'[1]observations-276632'!X1083&lt;'[1]Methods write-up'!$T$17),"Equatorial tropical forest","")</f>
        <v/>
      </c>
      <c r="AZ1083" s="22" t="str">
        <f>IF(AND('[1]observations-276632'!W1083&gt;'[1]Methods write-up'!$Q$18,'[1]observations-276632'!W1083&lt;'[1]Methods write-up'!$R$18,'[1]observations-276632'!X1083&gt;'[1]Methods write-up'!$S$18,'[1]observations-276632'!X1083&lt;'[1]Methods write-up'!$T$18),"Somali peninsula","")</f>
        <v/>
      </c>
      <c r="BA1083" s="22" t="str">
        <f>IF(AND('[1]observations-276632'!W1083&gt;'[1]Methods write-up'!$Q$19,'[1]observations-276632'!W1083&lt;'[1]Methods write-up'!$R$19,'[1]observations-276632'!X1083&gt;'[1]Methods write-up'!$S$19,'[1]observations-276632'!X1083&lt;'[1]Methods write-up'!$T$19),"East Africa","")</f>
        <v>East Africa</v>
      </c>
      <c r="BB1083" s="22" t="str">
        <f>IF(AND('[1]observations-276632'!W1083&gt;'[1]Methods write-up'!$Q$20,'[1]observations-276632'!W1083&lt;'[1]Methods write-up'!$R$20,'[1]observations-276632'!X1083&gt;'[1]Methods write-up'!$S$20,'[1]observations-276632'!X1083&lt;'[1]Methods write-up'!$T$20),"Temperate seasonal","")</f>
        <v/>
      </c>
      <c r="BC1083" s="22" t="str">
        <f>IF(AND('[1]observations-276632'!W1083&gt;'[1]Methods write-up'!$Q$21,'[1]observations-276632'!W1083&lt;'[1]Methods write-up'!$R$21,'[1]observations-276632'!X1083&gt;'[1]Methods write-up'!$S$21,'[1]observations-276632'!X1083&lt;'[1]Methods write-up'!$T$21),"Desert and high aridity","")</f>
        <v/>
      </c>
      <c r="BD1083" s="23" t="str">
        <f t="shared" si="76"/>
        <v>East Africa</v>
      </c>
      <c r="BE1083" s="24">
        <f t="shared" si="74"/>
        <v>23</v>
      </c>
      <c r="BF1083" s="24">
        <f t="shared" si="75"/>
        <v>6</v>
      </c>
    </row>
    <row r="1084" spans="1:58" ht="16.25" customHeight="1" x14ac:dyDescent="0.2">
      <c r="C1084" s="14">
        <v>44735</v>
      </c>
      <c r="M1084" t="s">
        <v>8059</v>
      </c>
      <c r="W1084" s="15">
        <v>-1.273263982</v>
      </c>
      <c r="X1084" s="15">
        <v>36.814956049999999</v>
      </c>
      <c r="AO1084" s="16" t="s">
        <v>140</v>
      </c>
      <c r="AP1084" s="17" t="str">
        <f t="shared" si="83"/>
        <v>Post-emergence nest</v>
      </c>
      <c r="AQ1084" s="18">
        <v>10</v>
      </c>
      <c r="AT1084" s="19" t="s">
        <v>141</v>
      </c>
      <c r="AU1084" s="20" t="s">
        <v>315</v>
      </c>
      <c r="AX1084" s="22" t="str">
        <f>IF(AND('[1]observations-276632'!W1084&gt;'[1]Methods write-up'!$Q$16,'[1]observations-276632'!W1084&lt;'[1]Methods write-up'!$R$16,'[1]observations-276632'!X1084&gt;'[1]Methods write-up'!$S$16,'[1]observations-276632'!X1084&lt;'[1]Methods write-up'!$T$16),"West and Central Africa","")</f>
        <v/>
      </c>
      <c r="AY1084" s="22" t="str">
        <f>IF(AND('[1]observations-276632'!W1084&gt;'[1]Methods write-up'!$Q$17,'[1]observations-276632'!W1084&lt;'[1]Methods write-up'!$R$17,'[1]observations-276632'!X1084&gt;'[1]Methods write-up'!$S$17,'[1]observations-276632'!X1084&lt;'[1]Methods write-up'!$T$17),"Equatorial tropical forest","")</f>
        <v/>
      </c>
      <c r="AZ1084" s="22" t="str">
        <f>IF(AND('[1]observations-276632'!W1084&gt;'[1]Methods write-up'!$Q$18,'[1]observations-276632'!W1084&lt;'[1]Methods write-up'!$R$18,'[1]observations-276632'!X1084&gt;'[1]Methods write-up'!$S$18,'[1]observations-276632'!X1084&lt;'[1]Methods write-up'!$T$18),"Somali peninsula","")</f>
        <v/>
      </c>
      <c r="BA1084" s="22" t="str">
        <f>IF(AND('[1]observations-276632'!W1084&gt;'[1]Methods write-up'!$Q$19,'[1]observations-276632'!W1084&lt;'[1]Methods write-up'!$R$19,'[1]observations-276632'!X1084&gt;'[1]Methods write-up'!$S$19,'[1]observations-276632'!X1084&lt;'[1]Methods write-up'!$T$19),"East Africa","")</f>
        <v>East Africa</v>
      </c>
      <c r="BB1084" s="22" t="str">
        <f>IF(AND('[1]observations-276632'!W1084&gt;'[1]Methods write-up'!$Q$20,'[1]observations-276632'!W1084&lt;'[1]Methods write-up'!$R$20,'[1]observations-276632'!X1084&gt;'[1]Methods write-up'!$S$20,'[1]observations-276632'!X1084&lt;'[1]Methods write-up'!$T$20),"Temperate seasonal","")</f>
        <v/>
      </c>
      <c r="BC1084" s="22" t="str">
        <f>IF(AND('[1]observations-276632'!W1084&gt;'[1]Methods write-up'!$Q$21,'[1]observations-276632'!W1084&lt;'[1]Methods write-up'!$R$21,'[1]observations-276632'!X1084&gt;'[1]Methods write-up'!$S$21,'[1]observations-276632'!X1084&lt;'[1]Methods write-up'!$T$21),"Desert and high aridity","")</f>
        <v/>
      </c>
      <c r="BD1084" s="23" t="str">
        <f t="shared" si="76"/>
        <v>East Africa</v>
      </c>
      <c r="BE1084" s="24">
        <f t="shared" si="74"/>
        <v>23</v>
      </c>
      <c r="BF1084" s="24">
        <f t="shared" si="75"/>
        <v>6</v>
      </c>
    </row>
    <row r="1085" spans="1:58" ht="16.25" customHeight="1" x14ac:dyDescent="0.2">
      <c r="C1085" s="14">
        <v>44735</v>
      </c>
      <c r="M1085" t="s">
        <v>8060</v>
      </c>
      <c r="W1085" s="15">
        <v>-1.273263982</v>
      </c>
      <c r="X1085" s="15">
        <v>36.814956049999999</v>
      </c>
      <c r="AO1085" s="16" t="s">
        <v>110</v>
      </c>
      <c r="AP1085" s="17" t="str">
        <f t="shared" si="83"/>
        <v>Nest (foundress)</v>
      </c>
      <c r="AQ1085" s="18">
        <v>1</v>
      </c>
      <c r="AT1085" s="19" t="s">
        <v>104</v>
      </c>
      <c r="AX1085" s="22" t="str">
        <f>IF(AND('[1]observations-276632'!W1085&gt;'[1]Methods write-up'!$Q$16,'[1]observations-276632'!W1085&lt;'[1]Methods write-up'!$R$16,'[1]observations-276632'!X1085&gt;'[1]Methods write-up'!$S$16,'[1]observations-276632'!X1085&lt;'[1]Methods write-up'!$T$16),"West and Central Africa","")</f>
        <v/>
      </c>
      <c r="AY1085" s="22" t="str">
        <f>IF(AND('[1]observations-276632'!W1085&gt;'[1]Methods write-up'!$Q$17,'[1]observations-276632'!W1085&lt;'[1]Methods write-up'!$R$17,'[1]observations-276632'!X1085&gt;'[1]Methods write-up'!$S$17,'[1]observations-276632'!X1085&lt;'[1]Methods write-up'!$T$17),"Equatorial tropical forest","")</f>
        <v/>
      </c>
      <c r="AZ1085" s="22" t="str">
        <f>IF(AND('[1]observations-276632'!W1085&gt;'[1]Methods write-up'!$Q$18,'[1]observations-276632'!W1085&lt;'[1]Methods write-up'!$R$18,'[1]observations-276632'!X1085&gt;'[1]Methods write-up'!$S$18,'[1]observations-276632'!X1085&lt;'[1]Methods write-up'!$T$18),"Somali peninsula","")</f>
        <v/>
      </c>
      <c r="BA1085" s="22" t="str">
        <f>IF(AND('[1]observations-276632'!W1085&gt;'[1]Methods write-up'!$Q$19,'[1]observations-276632'!W1085&lt;'[1]Methods write-up'!$R$19,'[1]observations-276632'!X1085&gt;'[1]Methods write-up'!$S$19,'[1]observations-276632'!X1085&lt;'[1]Methods write-up'!$T$19),"East Africa","")</f>
        <v>East Africa</v>
      </c>
      <c r="BB1085" s="22" t="str">
        <f>IF(AND('[1]observations-276632'!W1085&gt;'[1]Methods write-up'!$Q$20,'[1]observations-276632'!W1085&lt;'[1]Methods write-up'!$R$20,'[1]observations-276632'!X1085&gt;'[1]Methods write-up'!$S$20,'[1]observations-276632'!X1085&lt;'[1]Methods write-up'!$T$20),"Temperate seasonal","")</f>
        <v/>
      </c>
      <c r="BC1085" s="22" t="str">
        <f>IF(AND('[1]observations-276632'!W1085&gt;'[1]Methods write-up'!$Q$21,'[1]observations-276632'!W1085&lt;'[1]Methods write-up'!$R$21,'[1]observations-276632'!X1085&gt;'[1]Methods write-up'!$S$21,'[1]observations-276632'!X1085&lt;'[1]Methods write-up'!$T$21),"Desert and high aridity","")</f>
        <v/>
      </c>
      <c r="BD1085" s="23" t="str">
        <f t="shared" si="76"/>
        <v>East Africa</v>
      </c>
      <c r="BE1085" s="24">
        <f t="shared" si="74"/>
        <v>23</v>
      </c>
      <c r="BF1085" s="24">
        <f t="shared" si="75"/>
        <v>6</v>
      </c>
    </row>
    <row r="1086" spans="1:58" ht="16.25" customHeight="1" x14ac:dyDescent="0.2">
      <c r="C1086" s="14">
        <v>44735</v>
      </c>
      <c r="M1086" t="s">
        <v>8061</v>
      </c>
      <c r="W1086" s="15">
        <v>-1.273263982</v>
      </c>
      <c r="X1086" s="15">
        <v>36.814956049999999</v>
      </c>
      <c r="AO1086" s="16" t="s">
        <v>140</v>
      </c>
      <c r="AP1086" s="17" t="str">
        <f t="shared" si="83"/>
        <v>Post-emergence nest</v>
      </c>
      <c r="AQ1086" s="18">
        <v>1</v>
      </c>
      <c r="AT1086" s="19" t="s">
        <v>104</v>
      </c>
      <c r="AU1086" s="20" t="s">
        <v>104</v>
      </c>
      <c r="AX1086" s="22" t="str">
        <f>IF(AND('[1]observations-276632'!W1086&gt;'[1]Methods write-up'!$Q$16,'[1]observations-276632'!W1086&lt;'[1]Methods write-up'!$R$16,'[1]observations-276632'!X1086&gt;'[1]Methods write-up'!$S$16,'[1]observations-276632'!X1086&lt;'[1]Methods write-up'!$T$16),"West and Central Africa","")</f>
        <v/>
      </c>
      <c r="AY1086" s="22" t="str">
        <f>IF(AND('[1]observations-276632'!W1086&gt;'[1]Methods write-up'!$Q$17,'[1]observations-276632'!W1086&lt;'[1]Methods write-up'!$R$17,'[1]observations-276632'!X1086&gt;'[1]Methods write-up'!$S$17,'[1]observations-276632'!X1086&lt;'[1]Methods write-up'!$T$17),"Equatorial tropical forest","")</f>
        <v/>
      </c>
      <c r="AZ1086" s="22" t="str">
        <f>IF(AND('[1]observations-276632'!W1086&gt;'[1]Methods write-up'!$Q$18,'[1]observations-276632'!W1086&lt;'[1]Methods write-up'!$R$18,'[1]observations-276632'!X1086&gt;'[1]Methods write-up'!$S$18,'[1]observations-276632'!X1086&lt;'[1]Methods write-up'!$T$18),"Somali peninsula","")</f>
        <v/>
      </c>
      <c r="BA1086" s="22" t="str">
        <f>IF(AND('[1]observations-276632'!W1086&gt;'[1]Methods write-up'!$Q$19,'[1]observations-276632'!W1086&lt;'[1]Methods write-up'!$R$19,'[1]observations-276632'!X1086&gt;'[1]Methods write-up'!$S$19,'[1]observations-276632'!X1086&lt;'[1]Methods write-up'!$T$19),"East Africa","")</f>
        <v>East Africa</v>
      </c>
      <c r="BB1086" s="22" t="str">
        <f>IF(AND('[1]observations-276632'!W1086&gt;'[1]Methods write-up'!$Q$20,'[1]observations-276632'!W1086&lt;'[1]Methods write-up'!$R$20,'[1]observations-276632'!X1086&gt;'[1]Methods write-up'!$S$20,'[1]observations-276632'!X1086&lt;'[1]Methods write-up'!$T$20),"Temperate seasonal","")</f>
        <v/>
      </c>
      <c r="BC1086" s="22" t="str">
        <f>IF(AND('[1]observations-276632'!W1086&gt;'[1]Methods write-up'!$Q$21,'[1]observations-276632'!W1086&lt;'[1]Methods write-up'!$R$21,'[1]observations-276632'!X1086&gt;'[1]Methods write-up'!$S$21,'[1]observations-276632'!X1086&lt;'[1]Methods write-up'!$T$21),"Desert and high aridity","")</f>
        <v/>
      </c>
      <c r="BD1086" s="23" t="str">
        <f t="shared" si="76"/>
        <v>East Africa</v>
      </c>
      <c r="BE1086" s="24">
        <f t="shared" si="74"/>
        <v>23</v>
      </c>
      <c r="BF1086" s="24">
        <f t="shared" si="75"/>
        <v>6</v>
      </c>
    </row>
    <row r="1087" spans="1:58" ht="16.25" customHeight="1" x14ac:dyDescent="0.2">
      <c r="A1087">
        <v>123329924</v>
      </c>
      <c r="B1087" s="25">
        <v>44728.732638888891</v>
      </c>
      <c r="C1087" s="14">
        <v>44728</v>
      </c>
      <c r="D1087" t="s">
        <v>8062</v>
      </c>
      <c r="E1087" t="s">
        <v>7831</v>
      </c>
      <c r="F1087">
        <v>1911210</v>
      </c>
      <c r="G1087" t="s">
        <v>8063</v>
      </c>
      <c r="I1087" t="s">
        <v>8064</v>
      </c>
      <c r="J1087" t="s">
        <v>8065</v>
      </c>
      <c r="K1087" t="s">
        <v>62</v>
      </c>
      <c r="L1087" t="s">
        <v>63</v>
      </c>
      <c r="M1087" t="s">
        <v>8066</v>
      </c>
      <c r="N1087" t="s">
        <v>8067</v>
      </c>
      <c r="R1087">
        <v>1</v>
      </c>
      <c r="S1087">
        <v>0</v>
      </c>
      <c r="T1087" t="b">
        <v>0</v>
      </c>
      <c r="V1087" t="s">
        <v>8068</v>
      </c>
      <c r="W1087" s="15">
        <v>-2.5256254770000002</v>
      </c>
      <c r="X1087" s="15">
        <v>29.41393674</v>
      </c>
      <c r="Y1087">
        <v>121</v>
      </c>
      <c r="AC1087">
        <v>121</v>
      </c>
      <c r="AF1087" t="b">
        <v>0</v>
      </c>
      <c r="AI1087" t="s">
        <v>71</v>
      </c>
      <c r="AJ1087" t="s">
        <v>70</v>
      </c>
      <c r="AK1087" t="s">
        <v>71</v>
      </c>
      <c r="AL1087" t="s">
        <v>72</v>
      </c>
      <c r="AM1087">
        <v>346053</v>
      </c>
      <c r="AO1087" s="16" t="s">
        <v>140</v>
      </c>
      <c r="AP1087" s="17" t="str">
        <f t="shared" si="83"/>
        <v>Post-emergence nest</v>
      </c>
      <c r="AQ1087" s="18">
        <v>3</v>
      </c>
      <c r="AT1087" s="19" t="s">
        <v>104</v>
      </c>
      <c r="AU1087" s="20" t="s">
        <v>104</v>
      </c>
      <c r="AX1087" s="22" t="str">
        <f>IF(AND('[1]observations-276632'!W1087&gt;'[1]Methods write-up'!$Q$16,'[1]observations-276632'!W1087&lt;'[1]Methods write-up'!$R$16,'[1]observations-276632'!X1087&gt;'[1]Methods write-up'!$S$16,'[1]observations-276632'!X1087&lt;'[1]Methods write-up'!$T$16),"West and Central Africa","")</f>
        <v>West and Central Africa</v>
      </c>
      <c r="AY1087" s="22" t="str">
        <f>IF(AND('[1]observations-276632'!W1087&gt;'[1]Methods write-up'!$Q$17,'[1]observations-276632'!W1087&lt;'[1]Methods write-up'!$R$17,'[1]observations-276632'!X1087&gt;'[1]Methods write-up'!$S$17,'[1]observations-276632'!X1087&lt;'[1]Methods write-up'!$T$17),"Equatorial tropical forest","")</f>
        <v/>
      </c>
      <c r="AZ1087" s="22" t="str">
        <f>IF(AND('[1]observations-276632'!W1087&gt;'[1]Methods write-up'!$Q$18,'[1]observations-276632'!W1087&lt;'[1]Methods write-up'!$R$18,'[1]observations-276632'!X1087&gt;'[1]Methods write-up'!$S$18,'[1]observations-276632'!X1087&lt;'[1]Methods write-up'!$T$18),"Somali peninsula","")</f>
        <v/>
      </c>
      <c r="BA1087" s="22" t="str">
        <f>IF(AND('[1]observations-276632'!W1087&gt;'[1]Methods write-up'!$Q$19,'[1]observations-276632'!W1087&lt;'[1]Methods write-up'!$R$19,'[1]observations-276632'!X1087&gt;'[1]Methods write-up'!$S$19,'[1]observations-276632'!X1087&lt;'[1]Methods write-up'!$T$19),"East Africa","")</f>
        <v/>
      </c>
      <c r="BB1087" s="22" t="str">
        <f>IF(AND('[1]observations-276632'!W1087&gt;'[1]Methods write-up'!$Q$20,'[1]observations-276632'!W1087&lt;'[1]Methods write-up'!$R$20,'[1]observations-276632'!X1087&gt;'[1]Methods write-up'!$S$20,'[1]observations-276632'!X1087&lt;'[1]Methods write-up'!$T$20),"Temperate seasonal","")</f>
        <v/>
      </c>
      <c r="BC1087" s="22" t="str">
        <f>IF(AND('[1]observations-276632'!W1087&gt;'[1]Methods write-up'!$Q$21,'[1]observations-276632'!W1087&lt;'[1]Methods write-up'!$R$21,'[1]observations-276632'!X1087&gt;'[1]Methods write-up'!$S$21,'[1]observations-276632'!X1087&lt;'[1]Methods write-up'!$T$21),"Desert and high aridity","")</f>
        <v/>
      </c>
      <c r="BD1087" s="23" t="str">
        <f t="shared" si="76"/>
        <v>West and Central Africa</v>
      </c>
      <c r="BE1087" s="24">
        <f t="shared" si="74"/>
        <v>16</v>
      </c>
      <c r="BF1087" s="24">
        <f t="shared" si="75"/>
        <v>6</v>
      </c>
    </row>
    <row r="1088" spans="1:58" ht="16.25" customHeight="1" x14ac:dyDescent="0.2">
      <c r="A1088">
        <v>123351631</v>
      </c>
      <c r="B1088" t="s">
        <v>8069</v>
      </c>
      <c r="C1088" s="14">
        <v>44737</v>
      </c>
      <c r="D1088" t="s">
        <v>8070</v>
      </c>
      <c r="E1088" t="s">
        <v>84</v>
      </c>
      <c r="F1088">
        <v>292489</v>
      </c>
      <c r="G1088" t="s">
        <v>1450</v>
      </c>
      <c r="H1088" t="s">
        <v>1451</v>
      </c>
      <c r="I1088" t="s">
        <v>8071</v>
      </c>
      <c r="J1088" t="s">
        <v>8072</v>
      </c>
      <c r="K1088" t="s">
        <v>62</v>
      </c>
      <c r="L1088" t="s">
        <v>98</v>
      </c>
      <c r="M1088" t="s">
        <v>8073</v>
      </c>
      <c r="N1088" t="s">
        <v>8074</v>
      </c>
      <c r="R1088">
        <v>1</v>
      </c>
      <c r="S1088">
        <v>0</v>
      </c>
      <c r="T1088" t="b">
        <v>0</v>
      </c>
      <c r="U1088">
        <v>3</v>
      </c>
      <c r="V1088" t="s">
        <v>8075</v>
      </c>
      <c r="W1088" s="15">
        <v>-1.2578588399999999</v>
      </c>
      <c r="X1088" s="15">
        <v>36.78760389</v>
      </c>
      <c r="Y1088">
        <v>4</v>
      </c>
      <c r="AC1088">
        <v>4</v>
      </c>
      <c r="AF1088" t="b">
        <v>0</v>
      </c>
      <c r="AI1088" t="s">
        <v>71</v>
      </c>
      <c r="AJ1088" t="s">
        <v>70</v>
      </c>
      <c r="AK1088" t="s">
        <v>71</v>
      </c>
      <c r="AL1088" t="s">
        <v>72</v>
      </c>
      <c r="AM1088">
        <v>346053</v>
      </c>
      <c r="AO1088" s="16" t="s">
        <v>73</v>
      </c>
      <c r="AP1088" s="17" t="str">
        <f t="shared" si="83"/>
        <v>Off-nest female</v>
      </c>
      <c r="AX1088" s="22" t="str">
        <f>IF(AND('[1]observations-276632'!W1088&gt;'[1]Methods write-up'!$Q$16,'[1]observations-276632'!W1088&lt;'[1]Methods write-up'!$R$16,'[1]observations-276632'!X1088&gt;'[1]Methods write-up'!$S$16,'[1]observations-276632'!X1088&lt;'[1]Methods write-up'!$T$16),"West and Central Africa","")</f>
        <v/>
      </c>
      <c r="AY1088" s="22" t="str">
        <f>IF(AND('[1]observations-276632'!W1088&gt;'[1]Methods write-up'!$Q$17,'[1]observations-276632'!W1088&lt;'[1]Methods write-up'!$R$17,'[1]observations-276632'!X1088&gt;'[1]Methods write-up'!$S$17,'[1]observations-276632'!X1088&lt;'[1]Methods write-up'!$T$17),"Equatorial tropical forest","")</f>
        <v/>
      </c>
      <c r="AZ1088" s="22" t="str">
        <f>IF(AND('[1]observations-276632'!W1088&gt;'[1]Methods write-up'!$Q$18,'[1]observations-276632'!W1088&lt;'[1]Methods write-up'!$R$18,'[1]observations-276632'!X1088&gt;'[1]Methods write-up'!$S$18,'[1]observations-276632'!X1088&lt;'[1]Methods write-up'!$T$18),"Somali peninsula","")</f>
        <v/>
      </c>
      <c r="BA1088" s="22" t="str">
        <f>IF(AND('[1]observations-276632'!W1088&gt;'[1]Methods write-up'!$Q$19,'[1]observations-276632'!W1088&lt;'[1]Methods write-up'!$R$19,'[1]observations-276632'!X1088&gt;'[1]Methods write-up'!$S$19,'[1]observations-276632'!X1088&lt;'[1]Methods write-up'!$T$19),"East Africa","")</f>
        <v>East Africa</v>
      </c>
      <c r="BB1088" s="22" t="str">
        <f>IF(AND('[1]observations-276632'!W1088&gt;'[1]Methods write-up'!$Q$20,'[1]observations-276632'!W1088&lt;'[1]Methods write-up'!$R$20,'[1]observations-276632'!X1088&gt;'[1]Methods write-up'!$S$20,'[1]observations-276632'!X1088&lt;'[1]Methods write-up'!$T$20),"Temperate seasonal","")</f>
        <v/>
      </c>
      <c r="BC1088" s="22" t="str">
        <f>IF(AND('[1]observations-276632'!W1088&gt;'[1]Methods write-up'!$Q$21,'[1]observations-276632'!W1088&lt;'[1]Methods write-up'!$R$21,'[1]observations-276632'!X1088&gt;'[1]Methods write-up'!$S$21,'[1]observations-276632'!X1088&lt;'[1]Methods write-up'!$T$21),"Desert and high aridity","")</f>
        <v/>
      </c>
      <c r="BD1088" s="23" t="str">
        <f t="shared" si="76"/>
        <v>East Africa</v>
      </c>
      <c r="BE1088" s="24">
        <f t="shared" si="74"/>
        <v>25</v>
      </c>
      <c r="BF1088" s="24">
        <f t="shared" si="75"/>
        <v>6</v>
      </c>
    </row>
    <row r="1089" spans="1:58" ht="16.25" customHeight="1" x14ac:dyDescent="0.2">
      <c r="A1089">
        <v>123440968</v>
      </c>
      <c r="B1089" s="13">
        <v>32278</v>
      </c>
      <c r="C1089" s="14">
        <v>32278</v>
      </c>
      <c r="E1089" t="s">
        <v>84</v>
      </c>
      <c r="F1089">
        <v>2733933</v>
      </c>
      <c r="G1089" t="s">
        <v>8076</v>
      </c>
      <c r="I1089" t="s">
        <v>8077</v>
      </c>
      <c r="J1089" t="s">
        <v>8078</v>
      </c>
      <c r="K1089" t="s">
        <v>62</v>
      </c>
      <c r="L1089" t="s">
        <v>63</v>
      </c>
      <c r="M1089" t="s">
        <v>8079</v>
      </c>
      <c r="N1089" t="s">
        <v>8080</v>
      </c>
      <c r="R1089">
        <v>1</v>
      </c>
      <c r="S1089">
        <v>0</v>
      </c>
      <c r="T1089" t="b">
        <v>0</v>
      </c>
      <c r="V1089" t="s">
        <v>8081</v>
      </c>
      <c r="W1089" s="15">
        <v>0.34200785099999997</v>
      </c>
      <c r="X1089" s="15">
        <v>34.865733499999997</v>
      </c>
      <c r="Y1089">
        <v>1631</v>
      </c>
      <c r="AC1089">
        <v>1631</v>
      </c>
      <c r="AF1089" t="b">
        <v>0</v>
      </c>
      <c r="AI1089" t="s">
        <v>71</v>
      </c>
      <c r="AJ1089" t="s">
        <v>70</v>
      </c>
      <c r="AK1089" t="s">
        <v>71</v>
      </c>
      <c r="AL1089" t="s">
        <v>72</v>
      </c>
      <c r="AM1089">
        <v>346053</v>
      </c>
      <c r="AO1089" s="16" t="s">
        <v>140</v>
      </c>
      <c r="AP1089" s="17" t="str">
        <f t="shared" si="83"/>
        <v>Post-emergence nest</v>
      </c>
      <c r="AQ1089" s="18">
        <v>6</v>
      </c>
      <c r="AT1089" s="19" t="s">
        <v>141</v>
      </c>
      <c r="AU1089" s="20" t="s">
        <v>141</v>
      </c>
      <c r="AX1089" s="22" t="str">
        <f>IF(AND('[1]observations-276632'!W1089&gt;'[1]Methods write-up'!$Q$16,'[1]observations-276632'!W1089&lt;'[1]Methods write-up'!$R$16,'[1]observations-276632'!X1089&gt;'[1]Methods write-up'!$S$16,'[1]observations-276632'!X1089&lt;'[1]Methods write-up'!$T$16),"West and Central Africa","")</f>
        <v/>
      </c>
      <c r="AY1089" s="22" t="str">
        <f>IF(AND('[1]observations-276632'!W1089&gt;'[1]Methods write-up'!$Q$17,'[1]observations-276632'!W1089&lt;'[1]Methods write-up'!$R$17,'[1]observations-276632'!X1089&gt;'[1]Methods write-up'!$S$17,'[1]observations-276632'!X1089&lt;'[1]Methods write-up'!$T$17),"Equatorial tropical forest","")</f>
        <v/>
      </c>
      <c r="AZ1089" s="22" t="str">
        <f>IF(AND('[1]observations-276632'!W1089&gt;'[1]Methods write-up'!$Q$18,'[1]observations-276632'!W1089&lt;'[1]Methods write-up'!$R$18,'[1]observations-276632'!X1089&gt;'[1]Methods write-up'!$S$18,'[1]observations-276632'!X1089&lt;'[1]Methods write-up'!$T$18),"Somali peninsula","")</f>
        <v/>
      </c>
      <c r="BA1089" s="22" t="str">
        <f>IF(AND('[1]observations-276632'!W1089&gt;'[1]Methods write-up'!$Q$19,'[1]observations-276632'!W1089&lt;'[1]Methods write-up'!$R$19,'[1]observations-276632'!X1089&gt;'[1]Methods write-up'!$S$19,'[1]observations-276632'!X1089&lt;'[1]Methods write-up'!$T$19),"East Africa","")</f>
        <v>East Africa</v>
      </c>
      <c r="BB1089" s="22" t="str">
        <f>IF(AND('[1]observations-276632'!W1089&gt;'[1]Methods write-up'!$Q$20,'[1]observations-276632'!W1089&lt;'[1]Methods write-up'!$R$20,'[1]observations-276632'!X1089&gt;'[1]Methods write-up'!$S$20,'[1]observations-276632'!X1089&lt;'[1]Methods write-up'!$T$20),"Temperate seasonal","")</f>
        <v/>
      </c>
      <c r="BC1089" s="22" t="str">
        <f>IF(AND('[1]observations-276632'!W1089&gt;'[1]Methods write-up'!$Q$21,'[1]observations-276632'!W1089&lt;'[1]Methods write-up'!$R$21,'[1]observations-276632'!X1089&gt;'[1]Methods write-up'!$S$21,'[1]observations-276632'!X1089&lt;'[1]Methods write-up'!$T$21),"Desert and high aridity","")</f>
        <v/>
      </c>
      <c r="BD1089" s="23" t="str">
        <f t="shared" si="76"/>
        <v>East Africa</v>
      </c>
      <c r="BE1089" s="24">
        <f t="shared" si="74"/>
        <v>15</v>
      </c>
      <c r="BF1089" s="24">
        <f t="shared" si="75"/>
        <v>5</v>
      </c>
    </row>
    <row r="1090" spans="1:58" ht="16.25" customHeight="1" x14ac:dyDescent="0.2">
      <c r="A1090">
        <v>124374927</v>
      </c>
      <c r="B1090" s="25">
        <v>44744.6</v>
      </c>
      <c r="C1090" s="14">
        <v>44744</v>
      </c>
      <c r="D1090" t="s">
        <v>8082</v>
      </c>
      <c r="E1090" t="s">
        <v>113</v>
      </c>
      <c r="F1090">
        <v>4857341</v>
      </c>
      <c r="G1090" t="s">
        <v>8083</v>
      </c>
      <c r="I1090" t="s">
        <v>8084</v>
      </c>
      <c r="J1090" t="s">
        <v>8085</v>
      </c>
      <c r="K1090" t="s">
        <v>62</v>
      </c>
      <c r="L1090" t="s">
        <v>63</v>
      </c>
      <c r="M1090" t="s">
        <v>8086</v>
      </c>
      <c r="N1090" t="s">
        <v>8087</v>
      </c>
      <c r="R1090">
        <v>3</v>
      </c>
      <c r="S1090">
        <v>0</v>
      </c>
      <c r="T1090" t="b">
        <v>0</v>
      </c>
      <c r="V1090" t="s">
        <v>8088</v>
      </c>
      <c r="W1090" s="15">
        <v>-29.76390997</v>
      </c>
      <c r="X1090" s="15">
        <v>30.77199397</v>
      </c>
      <c r="AF1090" t="b">
        <v>0</v>
      </c>
      <c r="AI1090" t="s">
        <v>71</v>
      </c>
      <c r="AJ1090" t="s">
        <v>70</v>
      </c>
      <c r="AK1090" t="s">
        <v>71</v>
      </c>
      <c r="AL1090" t="s">
        <v>72</v>
      </c>
      <c r="AM1090">
        <v>346053</v>
      </c>
      <c r="AO1090" s="16" t="s">
        <v>140</v>
      </c>
      <c r="AP1090" s="17" t="str">
        <f t="shared" si="83"/>
        <v>Post-emergence nest</v>
      </c>
      <c r="AQ1090" s="18">
        <v>5</v>
      </c>
      <c r="AT1090" s="19" t="s">
        <v>141</v>
      </c>
      <c r="AU1090" s="20" t="s">
        <v>104</v>
      </c>
      <c r="AX1090" s="22" t="str">
        <f>IF(AND('[1]observations-276632'!W1090&gt;'[1]Methods write-up'!$Q$16,'[1]observations-276632'!W1090&lt;'[1]Methods write-up'!$R$16,'[1]observations-276632'!X1090&gt;'[1]Methods write-up'!$S$16,'[1]observations-276632'!X1090&lt;'[1]Methods write-up'!$T$16),"West and Central Africa","")</f>
        <v/>
      </c>
      <c r="AY1090" s="22" t="str">
        <f>IF(AND('[1]observations-276632'!W1090&gt;'[1]Methods write-up'!$Q$17,'[1]observations-276632'!W1090&lt;'[1]Methods write-up'!$R$17,'[1]observations-276632'!X1090&gt;'[1]Methods write-up'!$S$17,'[1]observations-276632'!X1090&lt;'[1]Methods write-up'!$T$17),"Equatorial tropical forest","")</f>
        <v/>
      </c>
      <c r="AZ1090" s="22" t="str">
        <f>IF(AND('[1]observations-276632'!W1090&gt;'[1]Methods write-up'!$Q$18,'[1]observations-276632'!W1090&lt;'[1]Methods write-up'!$R$18,'[1]observations-276632'!X1090&gt;'[1]Methods write-up'!$S$18,'[1]observations-276632'!X1090&lt;'[1]Methods write-up'!$T$18),"Somali peninsula","")</f>
        <v/>
      </c>
      <c r="BA1090" s="22" t="str">
        <f>IF(AND('[1]observations-276632'!W1090&gt;'[1]Methods write-up'!$Q$19,'[1]observations-276632'!W1090&lt;'[1]Methods write-up'!$R$19,'[1]observations-276632'!X1090&gt;'[1]Methods write-up'!$S$19,'[1]observations-276632'!X1090&lt;'[1]Methods write-up'!$T$19),"East Africa","")</f>
        <v/>
      </c>
      <c r="BB1090" s="22" t="str">
        <f>IF(AND('[1]observations-276632'!W1090&gt;'[1]Methods write-up'!$Q$20,'[1]observations-276632'!W1090&lt;'[1]Methods write-up'!$R$20,'[1]observations-276632'!X1090&gt;'[1]Methods write-up'!$S$20,'[1]observations-276632'!X1090&lt;'[1]Methods write-up'!$T$20),"Temperate seasonal","")</f>
        <v>Temperate seasonal</v>
      </c>
      <c r="BC1090" s="22" t="str">
        <f>IF(AND('[1]observations-276632'!W1090&gt;'[1]Methods write-up'!$Q$21,'[1]observations-276632'!W1090&lt;'[1]Methods write-up'!$R$21,'[1]observations-276632'!X1090&gt;'[1]Methods write-up'!$S$21,'[1]observations-276632'!X1090&lt;'[1]Methods write-up'!$T$21),"Desert and high aridity","")</f>
        <v/>
      </c>
      <c r="BD1090" s="23" t="str">
        <f t="shared" si="76"/>
        <v>Temperate seasonal</v>
      </c>
      <c r="BE1090" s="24">
        <f t="shared" ref="BE1090:BE1153" si="84">DAY(C1090)</f>
        <v>2</v>
      </c>
      <c r="BF1090" s="24">
        <f t="shared" ref="BF1090:BF1153" si="85">MONTH(C1090)</f>
        <v>7</v>
      </c>
    </row>
    <row r="1091" spans="1:58" ht="16.25" customHeight="1" x14ac:dyDescent="0.2">
      <c r="A1091">
        <v>124377827</v>
      </c>
      <c r="B1091" t="s">
        <v>8089</v>
      </c>
      <c r="C1091" s="14">
        <v>44744</v>
      </c>
      <c r="D1091" t="s">
        <v>8090</v>
      </c>
      <c r="E1091" t="s">
        <v>74</v>
      </c>
      <c r="F1091">
        <v>1920521</v>
      </c>
      <c r="G1091" t="s">
        <v>8091</v>
      </c>
      <c r="H1091" t="s">
        <v>8092</v>
      </c>
      <c r="I1091" t="s">
        <v>8093</v>
      </c>
      <c r="J1091" t="s">
        <v>8094</v>
      </c>
      <c r="K1091" t="s">
        <v>62</v>
      </c>
      <c r="M1091" t="s">
        <v>8095</v>
      </c>
      <c r="N1091" t="s">
        <v>8096</v>
      </c>
      <c r="R1091">
        <v>3</v>
      </c>
      <c r="S1091">
        <v>0</v>
      </c>
      <c r="T1091" t="b">
        <v>0</v>
      </c>
      <c r="U1091">
        <v>3</v>
      </c>
      <c r="V1091" t="s">
        <v>8097</v>
      </c>
      <c r="W1091" s="15">
        <v>-17.924875</v>
      </c>
      <c r="X1091" s="15">
        <v>25.84712</v>
      </c>
      <c r="Y1091">
        <v>40</v>
      </c>
      <c r="AC1091">
        <v>40</v>
      </c>
      <c r="AF1091" t="b">
        <v>0</v>
      </c>
      <c r="AI1091" t="s">
        <v>71</v>
      </c>
      <c r="AJ1091" t="s">
        <v>70</v>
      </c>
      <c r="AK1091" t="s">
        <v>71</v>
      </c>
      <c r="AL1091" t="s">
        <v>72</v>
      </c>
      <c r="AM1091">
        <v>346053</v>
      </c>
      <c r="AO1091" s="16" t="s">
        <v>73</v>
      </c>
      <c r="AP1091" s="17" t="str">
        <f t="shared" si="83"/>
        <v>Off-nest female</v>
      </c>
      <c r="AX1091" s="22" t="str">
        <f>IF(AND('[1]observations-276632'!W1091&gt;'[1]Methods write-up'!$Q$16,'[1]observations-276632'!W1091&lt;'[1]Methods write-up'!$R$16,'[1]observations-276632'!X1091&gt;'[1]Methods write-up'!$S$16,'[1]observations-276632'!X1091&lt;'[1]Methods write-up'!$T$16),"West and Central Africa","")</f>
        <v>West and Central Africa</v>
      </c>
      <c r="AY1091" s="22" t="str">
        <f>IF(AND('[1]observations-276632'!W1091&gt;'[1]Methods write-up'!$Q$17,'[1]observations-276632'!W1091&lt;'[1]Methods write-up'!$R$17,'[1]observations-276632'!X1091&gt;'[1]Methods write-up'!$S$17,'[1]observations-276632'!X1091&lt;'[1]Methods write-up'!$T$17),"Equatorial tropical forest","")</f>
        <v/>
      </c>
      <c r="AZ1091" s="22" t="str">
        <f>IF(AND('[1]observations-276632'!W1091&gt;'[1]Methods write-up'!$Q$18,'[1]observations-276632'!W1091&lt;'[1]Methods write-up'!$R$18,'[1]observations-276632'!X1091&gt;'[1]Methods write-up'!$S$18,'[1]observations-276632'!X1091&lt;'[1]Methods write-up'!$T$18),"Somali peninsula","")</f>
        <v/>
      </c>
      <c r="BA1091" s="22" t="str">
        <f>IF(AND('[1]observations-276632'!W1091&gt;'[1]Methods write-up'!$Q$19,'[1]observations-276632'!W1091&lt;'[1]Methods write-up'!$R$19,'[1]observations-276632'!X1091&gt;'[1]Methods write-up'!$S$19,'[1]observations-276632'!X1091&lt;'[1]Methods write-up'!$T$19),"East Africa","")</f>
        <v/>
      </c>
      <c r="BB1091" s="22" t="str">
        <f>IF(AND('[1]observations-276632'!W1091&gt;'[1]Methods write-up'!$Q$20,'[1]observations-276632'!W1091&lt;'[1]Methods write-up'!$R$20,'[1]observations-276632'!X1091&gt;'[1]Methods write-up'!$S$20,'[1]observations-276632'!X1091&lt;'[1]Methods write-up'!$T$20),"Temperate seasonal","")</f>
        <v/>
      </c>
      <c r="BC1091" s="22" t="str">
        <f>IF(AND('[1]observations-276632'!W1091&gt;'[1]Methods write-up'!$Q$21,'[1]observations-276632'!W1091&lt;'[1]Methods write-up'!$R$21,'[1]observations-276632'!X1091&gt;'[1]Methods write-up'!$S$21,'[1]observations-276632'!X1091&lt;'[1]Methods write-up'!$T$21),"Desert and high aridity","")</f>
        <v/>
      </c>
      <c r="BD1091" s="23" t="str">
        <f t="shared" ref="BD1091:BD1154" si="86">AX1091&amp;AY1091&amp;AZ1091&amp;BA1091&amp;BB1091&amp;BC1091</f>
        <v>West and Central Africa</v>
      </c>
      <c r="BE1091" s="24">
        <f t="shared" si="84"/>
        <v>2</v>
      </c>
      <c r="BF1091" s="24">
        <f t="shared" si="85"/>
        <v>7</v>
      </c>
    </row>
    <row r="1092" spans="1:58" ht="16.25" customHeight="1" x14ac:dyDescent="0.2">
      <c r="A1092">
        <v>124714971</v>
      </c>
      <c r="B1092" s="25">
        <v>44746.615972222222</v>
      </c>
      <c r="C1092" s="14">
        <v>44746</v>
      </c>
      <c r="D1092" t="s">
        <v>8098</v>
      </c>
      <c r="E1092" t="s">
        <v>7831</v>
      </c>
      <c r="F1092">
        <v>5729163</v>
      </c>
      <c r="G1092" t="s">
        <v>7889</v>
      </c>
      <c r="H1092" t="s">
        <v>7890</v>
      </c>
      <c r="I1092" t="s">
        <v>8099</v>
      </c>
      <c r="J1092" t="s">
        <v>8100</v>
      </c>
      <c r="K1092" t="s">
        <v>62</v>
      </c>
      <c r="M1092" t="s">
        <v>8101</v>
      </c>
      <c r="N1092" t="s">
        <v>8102</v>
      </c>
      <c r="R1092">
        <v>2</v>
      </c>
      <c r="S1092">
        <v>0</v>
      </c>
      <c r="T1092" t="b">
        <v>0</v>
      </c>
      <c r="U1092">
        <v>2</v>
      </c>
      <c r="V1092" t="s">
        <v>8103</v>
      </c>
      <c r="W1092" s="15">
        <v>-2.0549070829999998</v>
      </c>
      <c r="X1092" s="15">
        <v>29.411357859999999</v>
      </c>
      <c r="AF1092" t="b">
        <v>0</v>
      </c>
      <c r="AG1092" t="s">
        <v>350</v>
      </c>
      <c r="AH1092" t="s">
        <v>350</v>
      </c>
      <c r="AI1092" t="s">
        <v>71</v>
      </c>
      <c r="AJ1092" t="s">
        <v>70</v>
      </c>
      <c r="AK1092" t="s">
        <v>71</v>
      </c>
      <c r="AL1092" t="s">
        <v>72</v>
      </c>
      <c r="AM1092">
        <v>346053</v>
      </c>
      <c r="AO1092" s="16" t="s">
        <v>73</v>
      </c>
      <c r="AP1092" s="17" t="str">
        <f t="shared" si="83"/>
        <v>Off-nest female</v>
      </c>
      <c r="AX1092" s="22" t="str">
        <f>IF(AND('[1]observations-276632'!W1092&gt;'[1]Methods write-up'!$Q$16,'[1]observations-276632'!W1092&lt;'[1]Methods write-up'!$R$16,'[1]observations-276632'!X1092&gt;'[1]Methods write-up'!$S$16,'[1]observations-276632'!X1092&lt;'[1]Methods write-up'!$T$16),"West and Central Africa","")</f>
        <v>West and Central Africa</v>
      </c>
      <c r="AY1092" s="22" t="str">
        <f>IF(AND('[1]observations-276632'!W1092&gt;'[1]Methods write-up'!$Q$17,'[1]observations-276632'!W1092&lt;'[1]Methods write-up'!$R$17,'[1]observations-276632'!X1092&gt;'[1]Methods write-up'!$S$17,'[1]observations-276632'!X1092&lt;'[1]Methods write-up'!$T$17),"Equatorial tropical forest","")</f>
        <v/>
      </c>
      <c r="AZ1092" s="22" t="str">
        <f>IF(AND('[1]observations-276632'!W1092&gt;'[1]Methods write-up'!$Q$18,'[1]observations-276632'!W1092&lt;'[1]Methods write-up'!$R$18,'[1]observations-276632'!X1092&gt;'[1]Methods write-up'!$S$18,'[1]observations-276632'!X1092&lt;'[1]Methods write-up'!$T$18),"Somali peninsula","")</f>
        <v/>
      </c>
      <c r="BA1092" s="22" t="str">
        <f>IF(AND('[1]observations-276632'!W1092&gt;'[1]Methods write-up'!$Q$19,'[1]observations-276632'!W1092&lt;'[1]Methods write-up'!$R$19,'[1]observations-276632'!X1092&gt;'[1]Methods write-up'!$S$19,'[1]observations-276632'!X1092&lt;'[1]Methods write-up'!$T$19),"East Africa","")</f>
        <v/>
      </c>
      <c r="BB1092" s="22" t="str">
        <f>IF(AND('[1]observations-276632'!W1092&gt;'[1]Methods write-up'!$Q$20,'[1]observations-276632'!W1092&lt;'[1]Methods write-up'!$R$20,'[1]observations-276632'!X1092&gt;'[1]Methods write-up'!$S$20,'[1]observations-276632'!X1092&lt;'[1]Methods write-up'!$T$20),"Temperate seasonal","")</f>
        <v/>
      </c>
      <c r="BC1092" s="22" t="str">
        <f>IF(AND('[1]observations-276632'!W1092&gt;'[1]Methods write-up'!$Q$21,'[1]observations-276632'!W1092&lt;'[1]Methods write-up'!$R$21,'[1]observations-276632'!X1092&gt;'[1]Methods write-up'!$S$21,'[1]observations-276632'!X1092&lt;'[1]Methods write-up'!$T$21),"Desert and high aridity","")</f>
        <v/>
      </c>
      <c r="BD1092" s="23" t="str">
        <f t="shared" si="86"/>
        <v>West and Central Africa</v>
      </c>
      <c r="BE1092" s="24">
        <f t="shared" si="84"/>
        <v>4</v>
      </c>
      <c r="BF1092" s="24">
        <f t="shared" si="85"/>
        <v>7</v>
      </c>
    </row>
    <row r="1093" spans="1:58" ht="16.25" customHeight="1" x14ac:dyDescent="0.2">
      <c r="A1093">
        <v>125171614</v>
      </c>
      <c r="B1093" s="25">
        <v>44640.783333333333</v>
      </c>
      <c r="C1093" s="14">
        <v>44640</v>
      </c>
      <c r="D1093" t="s">
        <v>8104</v>
      </c>
      <c r="E1093" t="s">
        <v>84</v>
      </c>
      <c r="F1093">
        <v>2851765</v>
      </c>
      <c r="G1093" t="s">
        <v>8105</v>
      </c>
      <c r="H1093" t="s">
        <v>8106</v>
      </c>
      <c r="I1093" t="s">
        <v>8107</v>
      </c>
      <c r="J1093" t="s">
        <v>8108</v>
      </c>
      <c r="K1093" t="s">
        <v>62</v>
      </c>
      <c r="L1093" t="s">
        <v>63</v>
      </c>
      <c r="M1093" t="s">
        <v>8109</v>
      </c>
      <c r="N1093" t="s">
        <v>8110</v>
      </c>
      <c r="R1093">
        <v>1</v>
      </c>
      <c r="S1093">
        <v>0</v>
      </c>
      <c r="T1093" t="b">
        <v>0</v>
      </c>
      <c r="V1093" t="s">
        <v>8111</v>
      </c>
      <c r="W1093" s="15">
        <v>-11.34345441</v>
      </c>
      <c r="X1093" s="15">
        <v>33.889318520000003</v>
      </c>
      <c r="Y1093">
        <v>1953</v>
      </c>
      <c r="AC1093">
        <v>1953</v>
      </c>
      <c r="AF1093" t="b">
        <v>0</v>
      </c>
      <c r="AI1093" t="s">
        <v>71</v>
      </c>
      <c r="AJ1093" t="s">
        <v>70</v>
      </c>
      <c r="AK1093" t="s">
        <v>71</v>
      </c>
      <c r="AL1093" t="s">
        <v>72</v>
      </c>
      <c r="AM1093">
        <v>346053</v>
      </c>
      <c r="AO1093" s="16" t="s">
        <v>2421</v>
      </c>
      <c r="AP1093" s="16"/>
      <c r="AX1093" s="22" t="str">
        <f>IF(AND('[1]observations-276632'!W1093&gt;'[1]Methods write-up'!$Q$16,'[1]observations-276632'!W1093&lt;'[1]Methods write-up'!$R$16,'[1]observations-276632'!X1093&gt;'[1]Methods write-up'!$S$16,'[1]observations-276632'!X1093&lt;'[1]Methods write-up'!$T$16),"West Africa","")</f>
        <v/>
      </c>
      <c r="AY1093" s="22" t="str">
        <f>IF(AND('[1]observations-276632'!W1093&gt;'[1]Methods write-up'!$Q$17,'[1]observations-276632'!W1093&lt;'[1]Methods write-up'!$R$17,'[1]observations-276632'!X1093&gt;'[1]Methods write-up'!$S$17,'[1]observations-276632'!X1093&lt;'[1]Methods write-up'!$T$17),"Equatorial tropical forest","")</f>
        <v/>
      </c>
      <c r="AZ1093" s="22" t="str">
        <f>IF(AND('[1]observations-276632'!W1093&gt;'[1]Methods write-up'!$Q$18,'[1]observations-276632'!W1093&lt;'[1]Methods write-up'!$R$18,'[1]observations-276632'!X1093&gt;'[1]Methods write-up'!$S$18,'[1]observations-276632'!X1093&lt;'[1]Methods write-up'!$T$18),"Somali peninsula","")</f>
        <v/>
      </c>
      <c r="BA1093" s="22" t="str">
        <f>IF(AND('[1]observations-276632'!W1093&gt;'[1]Methods write-up'!$Q$19,'[1]observations-276632'!W1093&lt;'[1]Methods write-up'!$R$19,'[1]observations-276632'!X1093&gt;'[1]Methods write-up'!$S$19,'[1]observations-276632'!X1093&lt;'[1]Methods write-up'!$T$19),"East Africa","")</f>
        <v/>
      </c>
      <c r="BB1093" s="22" t="str">
        <f>IF(AND('[1]observations-276632'!W1093&gt;'[1]Methods write-up'!$Q$20,'[1]observations-276632'!W1093&lt;'[1]Methods write-up'!$R$20,'[1]observations-276632'!X1093&gt;'[1]Methods write-up'!$S$20,'[1]observations-276632'!X1093&lt;'[1]Methods write-up'!$T$20),"Temperate seasonal","")</f>
        <v/>
      </c>
      <c r="BC1093" s="22" t="str">
        <f>IF(AND('[1]observations-276632'!W1093&gt;'[1]Methods write-up'!$Q$21,'[1]observations-276632'!W1093&lt;'[1]Methods write-up'!$R$21,'[1]observations-276632'!X1093&gt;'[1]Methods write-up'!$S$21,'[1]observations-276632'!X1093&lt;'[1]Methods write-up'!$T$21),"Desert and high aridity","")</f>
        <v/>
      </c>
      <c r="BD1093" s="23" t="str">
        <f t="shared" si="86"/>
        <v/>
      </c>
      <c r="BE1093" s="24">
        <f t="shared" si="84"/>
        <v>20</v>
      </c>
      <c r="BF1093" s="24">
        <f t="shared" si="85"/>
        <v>3</v>
      </c>
    </row>
    <row r="1094" spans="1:58" ht="16.25" customHeight="1" x14ac:dyDescent="0.2">
      <c r="A1094">
        <v>125276240</v>
      </c>
      <c r="B1094" s="25">
        <v>41334.006944444445</v>
      </c>
      <c r="C1094" s="14">
        <v>41334</v>
      </c>
      <c r="D1094" t="s">
        <v>8112</v>
      </c>
      <c r="E1094" t="s">
        <v>84</v>
      </c>
      <c r="F1094">
        <v>3765959</v>
      </c>
      <c r="G1094" t="s">
        <v>8113</v>
      </c>
      <c r="H1094" t="s">
        <v>8114</v>
      </c>
      <c r="I1094" t="s">
        <v>8115</v>
      </c>
      <c r="J1094" t="s">
        <v>8116</v>
      </c>
      <c r="K1094" t="s">
        <v>62</v>
      </c>
      <c r="L1094" t="s">
        <v>261</v>
      </c>
      <c r="M1094" t="s">
        <v>8117</v>
      </c>
      <c r="N1094" t="s">
        <v>8118</v>
      </c>
      <c r="R1094">
        <v>2</v>
      </c>
      <c r="S1094">
        <v>0</v>
      </c>
      <c r="T1094" t="b">
        <v>0</v>
      </c>
      <c r="V1094" t="s">
        <v>8119</v>
      </c>
      <c r="W1094" s="15">
        <v>-13.407102200000001</v>
      </c>
      <c r="X1094" s="15">
        <v>48.319719569999997</v>
      </c>
      <c r="Y1094">
        <v>1996</v>
      </c>
      <c r="AC1094">
        <v>1996</v>
      </c>
      <c r="AF1094" t="b">
        <v>0</v>
      </c>
      <c r="AI1094" t="s">
        <v>71</v>
      </c>
      <c r="AJ1094" t="s">
        <v>70</v>
      </c>
      <c r="AK1094" t="s">
        <v>71</v>
      </c>
      <c r="AL1094" t="s">
        <v>72</v>
      </c>
      <c r="AM1094">
        <v>346053</v>
      </c>
      <c r="AO1094" s="16" t="s">
        <v>140</v>
      </c>
      <c r="AP1094" s="17" t="str">
        <f t="shared" ref="AP1094:AP1101" si="87">IF(COUNTIF(AO1094,"*foundress*"),"Nest (foundress)",AO1094)</f>
        <v>Post-emergence nest</v>
      </c>
      <c r="AQ1094" s="18">
        <v>14</v>
      </c>
      <c r="AT1094" s="19" t="s">
        <v>141</v>
      </c>
      <c r="AU1094" s="20" t="s">
        <v>104</v>
      </c>
      <c r="AX1094" s="22" t="str">
        <f>IF(AND('[1]observations-276632'!W1094&gt;'[1]Methods write-up'!$Q$16,'[1]observations-276632'!W1094&lt;'[1]Methods write-up'!$R$16,'[1]observations-276632'!X1094&gt;'[1]Methods write-up'!$S$16,'[1]observations-276632'!X1094&lt;'[1]Methods write-up'!$T$16),"West and Central Africa","")</f>
        <v/>
      </c>
      <c r="AY1094" s="22" t="str">
        <f>IF(AND('[1]observations-276632'!W1094&gt;'[1]Methods write-up'!$Q$17,'[1]observations-276632'!W1094&lt;'[1]Methods write-up'!$R$17,'[1]observations-276632'!X1094&gt;'[1]Methods write-up'!$S$17,'[1]observations-276632'!X1094&lt;'[1]Methods write-up'!$T$17),"Equatorial tropical forest","")</f>
        <v/>
      </c>
      <c r="AZ1094" s="22" t="str">
        <f>IF(AND('[1]observations-276632'!W1094&gt;'[1]Methods write-up'!$Q$18,'[1]observations-276632'!W1094&lt;'[1]Methods write-up'!$R$18,'[1]observations-276632'!X1094&gt;'[1]Methods write-up'!$S$18,'[1]observations-276632'!X1094&lt;'[1]Methods write-up'!$T$18),"Somali peninsula","")</f>
        <v/>
      </c>
      <c r="BA1094" s="22" t="str">
        <f>IF(AND('[1]observations-276632'!W1094&gt;'[1]Methods write-up'!$Q$19,'[1]observations-276632'!W1094&lt;'[1]Methods write-up'!$R$19,'[1]observations-276632'!X1094&gt;'[1]Methods write-up'!$S$19,'[1]observations-276632'!X1094&lt;'[1]Methods write-up'!$T$19),"East Africa","")</f>
        <v/>
      </c>
      <c r="BB1094" s="22" t="str">
        <f>IF(AND('[1]observations-276632'!W1094&gt;'[1]Methods write-up'!$Q$20,'[1]observations-276632'!W1094&lt;'[1]Methods write-up'!$R$20,'[1]observations-276632'!X1094&gt;'[1]Methods write-up'!$S$20,'[1]observations-276632'!X1094&lt;'[1]Methods write-up'!$T$20),"Temperate seasonal","")</f>
        <v/>
      </c>
      <c r="BC1094" s="22" t="str">
        <f>IF(AND('[1]observations-276632'!W1094&gt;'[1]Methods write-up'!$Q$21,'[1]observations-276632'!W1094&lt;'[1]Methods write-up'!$R$21,'[1]observations-276632'!X1094&gt;'[1]Methods write-up'!$S$21,'[1]observations-276632'!X1094&lt;'[1]Methods write-up'!$T$21),"Desert and high aridity","")</f>
        <v/>
      </c>
      <c r="BD1094" s="23" t="str">
        <f t="shared" si="86"/>
        <v/>
      </c>
      <c r="BE1094" s="24">
        <f t="shared" si="84"/>
        <v>1</v>
      </c>
      <c r="BF1094" s="24">
        <f t="shared" si="85"/>
        <v>3</v>
      </c>
    </row>
    <row r="1095" spans="1:58" ht="16.25" customHeight="1" x14ac:dyDescent="0.2">
      <c r="A1095">
        <v>125283625</v>
      </c>
      <c r="B1095" t="s">
        <v>8120</v>
      </c>
      <c r="C1095" s="14">
        <v>44748</v>
      </c>
      <c r="D1095" t="s">
        <v>8121</v>
      </c>
      <c r="E1095" t="s">
        <v>84</v>
      </c>
      <c r="F1095">
        <v>5894917</v>
      </c>
      <c r="G1095" t="s">
        <v>8122</v>
      </c>
      <c r="I1095" t="s">
        <v>8123</v>
      </c>
      <c r="J1095" t="s">
        <v>8124</v>
      </c>
      <c r="K1095" t="s">
        <v>62</v>
      </c>
      <c r="L1095" t="s">
        <v>63</v>
      </c>
      <c r="M1095" t="s">
        <v>8125</v>
      </c>
      <c r="N1095" t="s">
        <v>8126</v>
      </c>
      <c r="R1095">
        <v>1</v>
      </c>
      <c r="S1095">
        <v>0</v>
      </c>
      <c r="T1095" t="b">
        <v>0</v>
      </c>
      <c r="U1095">
        <v>333</v>
      </c>
      <c r="V1095" t="s">
        <v>84</v>
      </c>
      <c r="W1095" s="15">
        <v>-1.3160325289999999</v>
      </c>
      <c r="X1095" s="15">
        <v>36.693710330000002</v>
      </c>
      <c r="Y1095">
        <v>311</v>
      </c>
      <c r="AC1095">
        <v>311</v>
      </c>
      <c r="AF1095" t="b">
        <v>0</v>
      </c>
      <c r="AI1095" t="s">
        <v>71</v>
      </c>
      <c r="AJ1095" t="s">
        <v>70</v>
      </c>
      <c r="AK1095" t="s">
        <v>71</v>
      </c>
      <c r="AL1095" t="s">
        <v>72</v>
      </c>
      <c r="AM1095">
        <v>346053</v>
      </c>
      <c r="AO1095" s="16" t="s">
        <v>73</v>
      </c>
      <c r="AP1095" s="17" t="str">
        <f t="shared" si="87"/>
        <v>Off-nest female</v>
      </c>
      <c r="AX1095" s="22" t="str">
        <f>IF(AND('[1]observations-276632'!W1095&gt;'[1]Methods write-up'!$Q$16,'[1]observations-276632'!W1095&lt;'[1]Methods write-up'!$R$16,'[1]observations-276632'!X1095&gt;'[1]Methods write-up'!$S$16,'[1]observations-276632'!X1095&lt;'[1]Methods write-up'!$T$16),"West and Central Africa","")</f>
        <v/>
      </c>
      <c r="AY1095" s="22" t="str">
        <f>IF(AND('[1]observations-276632'!W1095&gt;'[1]Methods write-up'!$Q$17,'[1]observations-276632'!W1095&lt;'[1]Methods write-up'!$R$17,'[1]observations-276632'!X1095&gt;'[1]Methods write-up'!$S$17,'[1]observations-276632'!X1095&lt;'[1]Methods write-up'!$T$17),"Equatorial tropical forest","")</f>
        <v/>
      </c>
      <c r="AZ1095" s="22" t="str">
        <f>IF(AND('[1]observations-276632'!W1095&gt;'[1]Methods write-up'!$Q$18,'[1]observations-276632'!W1095&lt;'[1]Methods write-up'!$R$18,'[1]observations-276632'!X1095&gt;'[1]Methods write-up'!$S$18,'[1]observations-276632'!X1095&lt;'[1]Methods write-up'!$T$18),"Somali peninsula","")</f>
        <v/>
      </c>
      <c r="BA1095" s="22" t="str">
        <f>IF(AND('[1]observations-276632'!W1095&gt;'[1]Methods write-up'!$Q$19,'[1]observations-276632'!W1095&lt;'[1]Methods write-up'!$R$19,'[1]observations-276632'!X1095&gt;'[1]Methods write-up'!$S$19,'[1]observations-276632'!X1095&lt;'[1]Methods write-up'!$T$19),"East Africa","")</f>
        <v>East Africa</v>
      </c>
      <c r="BB1095" s="22" t="str">
        <f>IF(AND('[1]observations-276632'!W1095&gt;'[1]Methods write-up'!$Q$20,'[1]observations-276632'!W1095&lt;'[1]Methods write-up'!$R$20,'[1]observations-276632'!X1095&gt;'[1]Methods write-up'!$S$20,'[1]observations-276632'!X1095&lt;'[1]Methods write-up'!$T$20),"Temperate seasonal","")</f>
        <v/>
      </c>
      <c r="BC1095" s="22" t="str">
        <f>IF(AND('[1]observations-276632'!W1095&gt;'[1]Methods write-up'!$Q$21,'[1]observations-276632'!W1095&lt;'[1]Methods write-up'!$R$21,'[1]observations-276632'!X1095&gt;'[1]Methods write-up'!$S$21,'[1]observations-276632'!X1095&lt;'[1]Methods write-up'!$T$21),"Desert and high aridity","")</f>
        <v/>
      </c>
      <c r="BD1095" s="23" t="str">
        <f t="shared" si="86"/>
        <v>East Africa</v>
      </c>
      <c r="BE1095" s="24">
        <f t="shared" si="84"/>
        <v>6</v>
      </c>
      <c r="BF1095" s="24">
        <f t="shared" si="85"/>
        <v>7</v>
      </c>
    </row>
    <row r="1096" spans="1:58" ht="16.25" customHeight="1" x14ac:dyDescent="0.2">
      <c r="A1096">
        <v>125476368</v>
      </c>
      <c r="B1096" t="s">
        <v>8127</v>
      </c>
      <c r="C1096" s="14">
        <v>44751</v>
      </c>
      <c r="D1096" t="s">
        <v>8128</v>
      </c>
      <c r="E1096" t="s">
        <v>84</v>
      </c>
      <c r="F1096">
        <v>5882224</v>
      </c>
      <c r="G1096" t="s">
        <v>8129</v>
      </c>
      <c r="H1096" t="s">
        <v>8130</v>
      </c>
      <c r="I1096" t="s">
        <v>8131</v>
      </c>
      <c r="J1096" t="s">
        <v>8132</v>
      </c>
      <c r="K1096" t="s">
        <v>62</v>
      </c>
      <c r="L1096" t="s">
        <v>63</v>
      </c>
      <c r="M1096" t="s">
        <v>8133</v>
      </c>
      <c r="N1096" t="s">
        <v>8134</v>
      </c>
      <c r="R1096">
        <v>1</v>
      </c>
      <c r="S1096">
        <v>0</v>
      </c>
      <c r="T1096" t="b">
        <v>0</v>
      </c>
      <c r="U1096">
        <v>3</v>
      </c>
      <c r="V1096" t="s">
        <v>8135</v>
      </c>
      <c r="W1096" s="15">
        <v>-1.2243093899999999</v>
      </c>
      <c r="X1096" s="15">
        <v>36.82411664</v>
      </c>
      <c r="Y1096">
        <v>18</v>
      </c>
      <c r="AC1096">
        <v>18</v>
      </c>
      <c r="AF1096" t="b">
        <v>0</v>
      </c>
      <c r="AI1096" t="s">
        <v>71</v>
      </c>
      <c r="AJ1096" t="s">
        <v>70</v>
      </c>
      <c r="AK1096" t="s">
        <v>71</v>
      </c>
      <c r="AL1096" t="s">
        <v>72</v>
      </c>
      <c r="AM1096">
        <v>346053</v>
      </c>
      <c r="AO1096" s="16" t="s">
        <v>73</v>
      </c>
      <c r="AP1096" s="17" t="str">
        <f t="shared" si="87"/>
        <v>Off-nest female</v>
      </c>
      <c r="AX1096" s="22" t="str">
        <f>IF(AND('[1]observations-276632'!W1096&gt;'[1]Methods write-up'!$Q$16,'[1]observations-276632'!W1096&lt;'[1]Methods write-up'!$R$16,'[1]observations-276632'!X1096&gt;'[1]Methods write-up'!$S$16,'[1]observations-276632'!X1096&lt;'[1]Methods write-up'!$T$16),"West and Central Africa","")</f>
        <v/>
      </c>
      <c r="AY1096" s="22" t="str">
        <f>IF(AND('[1]observations-276632'!W1096&gt;'[1]Methods write-up'!$Q$17,'[1]observations-276632'!W1096&lt;'[1]Methods write-up'!$R$17,'[1]observations-276632'!X1096&gt;'[1]Methods write-up'!$S$17,'[1]observations-276632'!X1096&lt;'[1]Methods write-up'!$T$17),"Equatorial tropical forest","")</f>
        <v/>
      </c>
      <c r="AZ1096" s="22" t="str">
        <f>IF(AND('[1]observations-276632'!W1096&gt;'[1]Methods write-up'!$Q$18,'[1]observations-276632'!W1096&lt;'[1]Methods write-up'!$R$18,'[1]observations-276632'!X1096&gt;'[1]Methods write-up'!$S$18,'[1]observations-276632'!X1096&lt;'[1]Methods write-up'!$T$18),"Somali peninsula","")</f>
        <v/>
      </c>
      <c r="BA1096" s="22" t="str">
        <f>IF(AND('[1]observations-276632'!W1096&gt;'[1]Methods write-up'!$Q$19,'[1]observations-276632'!W1096&lt;'[1]Methods write-up'!$R$19,'[1]observations-276632'!X1096&gt;'[1]Methods write-up'!$S$19,'[1]observations-276632'!X1096&lt;'[1]Methods write-up'!$T$19),"East Africa","")</f>
        <v>East Africa</v>
      </c>
      <c r="BB1096" s="22" t="str">
        <f>IF(AND('[1]observations-276632'!W1096&gt;'[1]Methods write-up'!$Q$20,'[1]observations-276632'!W1096&lt;'[1]Methods write-up'!$R$20,'[1]observations-276632'!X1096&gt;'[1]Methods write-up'!$S$20,'[1]observations-276632'!X1096&lt;'[1]Methods write-up'!$T$20),"Temperate seasonal","")</f>
        <v/>
      </c>
      <c r="BC1096" s="22" t="str">
        <f>IF(AND('[1]observations-276632'!W1096&gt;'[1]Methods write-up'!$Q$21,'[1]observations-276632'!W1096&lt;'[1]Methods write-up'!$R$21,'[1]observations-276632'!X1096&gt;'[1]Methods write-up'!$S$21,'[1]observations-276632'!X1096&lt;'[1]Methods write-up'!$T$21),"Desert and high aridity","")</f>
        <v/>
      </c>
      <c r="BD1096" s="23" t="str">
        <f t="shared" si="86"/>
        <v>East Africa</v>
      </c>
      <c r="BE1096" s="24">
        <f t="shared" si="84"/>
        <v>9</v>
      </c>
      <c r="BF1096" s="24">
        <f t="shared" si="85"/>
        <v>7</v>
      </c>
    </row>
    <row r="1097" spans="1:58" ht="16.25" customHeight="1" x14ac:dyDescent="0.2">
      <c r="A1097">
        <v>125573917</v>
      </c>
      <c r="B1097" t="s">
        <v>8136</v>
      </c>
      <c r="C1097" s="14">
        <v>44720</v>
      </c>
      <c r="D1097" t="s">
        <v>8137</v>
      </c>
      <c r="E1097" t="s">
        <v>84</v>
      </c>
      <c r="F1097">
        <v>5901401</v>
      </c>
      <c r="G1097" t="s">
        <v>8138</v>
      </c>
      <c r="I1097" t="s">
        <v>8139</v>
      </c>
      <c r="J1097" t="s">
        <v>8140</v>
      </c>
      <c r="K1097" t="s">
        <v>62</v>
      </c>
      <c r="L1097" t="s">
        <v>63</v>
      </c>
      <c r="M1097" t="s">
        <v>8141</v>
      </c>
      <c r="N1097" t="s">
        <v>8142</v>
      </c>
      <c r="R1097">
        <v>1</v>
      </c>
      <c r="S1097">
        <v>0</v>
      </c>
      <c r="T1097" t="b">
        <v>0</v>
      </c>
      <c r="U1097">
        <v>3</v>
      </c>
      <c r="V1097" t="s">
        <v>8143</v>
      </c>
      <c r="W1097" s="15">
        <v>-1.260136667</v>
      </c>
      <c r="X1097" s="15">
        <v>29.994671669999999</v>
      </c>
      <c r="Y1097">
        <v>7</v>
      </c>
      <c r="AC1097">
        <v>7</v>
      </c>
      <c r="AF1097" t="b">
        <v>0</v>
      </c>
      <c r="AI1097" t="s">
        <v>71</v>
      </c>
      <c r="AJ1097" t="s">
        <v>70</v>
      </c>
      <c r="AK1097" t="s">
        <v>71</v>
      </c>
      <c r="AL1097" t="s">
        <v>72</v>
      </c>
      <c r="AM1097">
        <v>346053</v>
      </c>
      <c r="AO1097" s="16" t="s">
        <v>73</v>
      </c>
      <c r="AP1097" s="17" t="str">
        <f t="shared" si="87"/>
        <v>Off-nest female</v>
      </c>
      <c r="AX1097" s="22" t="str">
        <f>IF(AND('[1]observations-276632'!W1097&gt;'[1]Methods write-up'!$Q$16,'[1]observations-276632'!W1097&lt;'[1]Methods write-up'!$R$16,'[1]observations-276632'!X1097&gt;'[1]Methods write-up'!$S$16,'[1]observations-276632'!X1097&lt;'[1]Methods write-up'!$T$16),"West and Central Africa","")</f>
        <v>West and Central Africa</v>
      </c>
      <c r="AY1097" s="22" t="str">
        <f>IF(AND('[1]observations-276632'!W1097&gt;'[1]Methods write-up'!$Q$17,'[1]observations-276632'!W1097&lt;'[1]Methods write-up'!$R$17,'[1]observations-276632'!X1097&gt;'[1]Methods write-up'!$S$17,'[1]observations-276632'!X1097&lt;'[1]Methods write-up'!$T$17),"Equatorial tropical forest","")</f>
        <v/>
      </c>
      <c r="AZ1097" s="22" t="str">
        <f>IF(AND('[1]observations-276632'!W1097&gt;'[1]Methods write-up'!$Q$18,'[1]observations-276632'!W1097&lt;'[1]Methods write-up'!$R$18,'[1]observations-276632'!X1097&gt;'[1]Methods write-up'!$S$18,'[1]observations-276632'!X1097&lt;'[1]Methods write-up'!$T$18),"Somali peninsula","")</f>
        <v/>
      </c>
      <c r="BA1097" s="22" t="str">
        <f>IF(AND('[1]observations-276632'!W1097&gt;'[1]Methods write-up'!$Q$19,'[1]observations-276632'!W1097&lt;'[1]Methods write-up'!$R$19,'[1]observations-276632'!X1097&gt;'[1]Methods write-up'!$S$19,'[1]observations-276632'!X1097&lt;'[1]Methods write-up'!$T$19),"East Africa","")</f>
        <v/>
      </c>
      <c r="BB1097" s="22" t="str">
        <f>IF(AND('[1]observations-276632'!W1097&gt;'[1]Methods write-up'!$Q$20,'[1]observations-276632'!W1097&lt;'[1]Methods write-up'!$R$20,'[1]observations-276632'!X1097&gt;'[1]Methods write-up'!$S$20,'[1]observations-276632'!X1097&lt;'[1]Methods write-up'!$T$20),"Temperate seasonal","")</f>
        <v/>
      </c>
      <c r="BC1097" s="22" t="str">
        <f>IF(AND('[1]observations-276632'!W1097&gt;'[1]Methods write-up'!$Q$21,'[1]observations-276632'!W1097&lt;'[1]Methods write-up'!$R$21,'[1]observations-276632'!X1097&gt;'[1]Methods write-up'!$S$21,'[1]observations-276632'!X1097&lt;'[1]Methods write-up'!$T$21),"Desert and high aridity","")</f>
        <v/>
      </c>
      <c r="BD1097" s="23" t="str">
        <f t="shared" si="86"/>
        <v>West and Central Africa</v>
      </c>
      <c r="BE1097" s="24">
        <f t="shared" si="84"/>
        <v>8</v>
      </c>
      <c r="BF1097" s="24">
        <f t="shared" si="85"/>
        <v>6</v>
      </c>
    </row>
    <row r="1098" spans="1:58" ht="16.25" customHeight="1" x14ac:dyDescent="0.2">
      <c r="A1098">
        <v>125587630</v>
      </c>
      <c r="B1098" s="25">
        <v>44353.683333333334</v>
      </c>
      <c r="C1098" s="14">
        <v>44353</v>
      </c>
      <c r="D1098" t="s">
        <v>8144</v>
      </c>
      <c r="E1098" t="s">
        <v>84</v>
      </c>
      <c r="F1098">
        <v>5882224</v>
      </c>
      <c r="G1098" t="s">
        <v>8129</v>
      </c>
      <c r="H1098" t="s">
        <v>8130</v>
      </c>
      <c r="I1098" t="s">
        <v>8145</v>
      </c>
      <c r="J1098" t="s">
        <v>8146</v>
      </c>
      <c r="K1098" t="s">
        <v>62</v>
      </c>
      <c r="L1098" t="s">
        <v>63</v>
      </c>
      <c r="M1098" t="s">
        <v>8147</v>
      </c>
      <c r="N1098" t="s">
        <v>8148</v>
      </c>
      <c r="R1098">
        <v>2</v>
      </c>
      <c r="S1098">
        <v>0</v>
      </c>
      <c r="T1098" t="b">
        <v>0</v>
      </c>
      <c r="V1098" t="s">
        <v>8149</v>
      </c>
      <c r="W1098" s="15">
        <v>-1.2244590900000001</v>
      </c>
      <c r="X1098" s="15">
        <v>36.824011900000002</v>
      </c>
      <c r="Y1098">
        <v>4</v>
      </c>
      <c r="AC1098">
        <v>4</v>
      </c>
      <c r="AF1098" t="b">
        <v>0</v>
      </c>
      <c r="AI1098" t="s">
        <v>71</v>
      </c>
      <c r="AJ1098" t="s">
        <v>70</v>
      </c>
      <c r="AK1098" t="s">
        <v>71</v>
      </c>
      <c r="AL1098" t="s">
        <v>72</v>
      </c>
      <c r="AM1098">
        <v>346053</v>
      </c>
      <c r="AO1098" s="16" t="s">
        <v>110</v>
      </c>
      <c r="AP1098" s="17" t="str">
        <f t="shared" si="87"/>
        <v>Nest (foundress)</v>
      </c>
      <c r="AQ1098" s="18">
        <v>1</v>
      </c>
      <c r="AT1098" s="19" t="s">
        <v>104</v>
      </c>
      <c r="AX1098" s="22" t="str">
        <f>IF(AND('[1]observations-276632'!W1098&gt;'[1]Methods write-up'!$Q$16,'[1]observations-276632'!W1098&lt;'[1]Methods write-up'!$R$16,'[1]observations-276632'!X1098&gt;'[1]Methods write-up'!$S$16,'[1]observations-276632'!X1098&lt;'[1]Methods write-up'!$T$16),"West and Central Africa","")</f>
        <v/>
      </c>
      <c r="AY1098" s="22" t="str">
        <f>IF(AND('[1]observations-276632'!W1098&gt;'[1]Methods write-up'!$Q$17,'[1]observations-276632'!W1098&lt;'[1]Methods write-up'!$R$17,'[1]observations-276632'!X1098&gt;'[1]Methods write-up'!$S$17,'[1]observations-276632'!X1098&lt;'[1]Methods write-up'!$T$17),"Equatorial tropical forest","")</f>
        <v/>
      </c>
      <c r="AZ1098" s="22" t="str">
        <f>IF(AND('[1]observations-276632'!W1098&gt;'[1]Methods write-up'!$Q$18,'[1]observations-276632'!W1098&lt;'[1]Methods write-up'!$R$18,'[1]observations-276632'!X1098&gt;'[1]Methods write-up'!$S$18,'[1]observations-276632'!X1098&lt;'[1]Methods write-up'!$T$18),"Somali peninsula","")</f>
        <v/>
      </c>
      <c r="BA1098" s="22" t="str">
        <f>IF(AND('[1]observations-276632'!W1098&gt;'[1]Methods write-up'!$Q$19,'[1]observations-276632'!W1098&lt;'[1]Methods write-up'!$R$19,'[1]observations-276632'!X1098&gt;'[1]Methods write-up'!$S$19,'[1]observations-276632'!X1098&lt;'[1]Methods write-up'!$T$19),"East Africa","")</f>
        <v>East Africa</v>
      </c>
      <c r="BB1098" s="22" t="str">
        <f>IF(AND('[1]observations-276632'!W1098&gt;'[1]Methods write-up'!$Q$20,'[1]observations-276632'!W1098&lt;'[1]Methods write-up'!$R$20,'[1]observations-276632'!X1098&gt;'[1]Methods write-up'!$S$20,'[1]observations-276632'!X1098&lt;'[1]Methods write-up'!$T$20),"Temperate seasonal","")</f>
        <v/>
      </c>
      <c r="BC1098" s="22" t="str">
        <f>IF(AND('[1]observations-276632'!W1098&gt;'[1]Methods write-up'!$Q$21,'[1]observations-276632'!W1098&lt;'[1]Methods write-up'!$R$21,'[1]observations-276632'!X1098&gt;'[1]Methods write-up'!$S$21,'[1]observations-276632'!X1098&lt;'[1]Methods write-up'!$T$21),"Desert and high aridity","")</f>
        <v/>
      </c>
      <c r="BD1098" s="23" t="str">
        <f t="shared" si="86"/>
        <v>East Africa</v>
      </c>
      <c r="BE1098" s="24">
        <f t="shared" si="84"/>
        <v>6</v>
      </c>
      <c r="BF1098" s="24">
        <f t="shared" si="85"/>
        <v>6</v>
      </c>
    </row>
    <row r="1099" spans="1:58" ht="16.25" customHeight="1" x14ac:dyDescent="0.2">
      <c r="A1099">
        <v>125602056</v>
      </c>
      <c r="B1099" s="25">
        <v>44752.647916666669</v>
      </c>
      <c r="C1099" s="14">
        <v>44752</v>
      </c>
      <c r="D1099" t="s">
        <v>8150</v>
      </c>
      <c r="E1099" t="s">
        <v>84</v>
      </c>
      <c r="F1099">
        <v>5882224</v>
      </c>
      <c r="G1099" t="s">
        <v>8129</v>
      </c>
      <c r="H1099" t="s">
        <v>8130</v>
      </c>
      <c r="I1099" t="s">
        <v>8151</v>
      </c>
      <c r="J1099" t="s">
        <v>8152</v>
      </c>
      <c r="K1099" t="s">
        <v>62</v>
      </c>
      <c r="L1099" t="s">
        <v>63</v>
      </c>
      <c r="M1099" t="s">
        <v>8153</v>
      </c>
      <c r="N1099" t="s">
        <v>8154</v>
      </c>
      <c r="R1099">
        <v>1</v>
      </c>
      <c r="S1099">
        <v>0</v>
      </c>
      <c r="T1099" t="b">
        <v>0</v>
      </c>
      <c r="V1099" t="s">
        <v>8149</v>
      </c>
      <c r="W1099" s="15">
        <v>-1.225621963</v>
      </c>
      <c r="X1099" s="15">
        <v>36.823197270000001</v>
      </c>
      <c r="Y1099">
        <v>2</v>
      </c>
      <c r="AC1099">
        <v>2</v>
      </c>
      <c r="AF1099" t="b">
        <v>0</v>
      </c>
      <c r="AI1099" t="s">
        <v>71</v>
      </c>
      <c r="AJ1099" t="s">
        <v>70</v>
      </c>
      <c r="AK1099" t="s">
        <v>71</v>
      </c>
      <c r="AL1099" t="s">
        <v>72</v>
      </c>
      <c r="AM1099">
        <v>346053</v>
      </c>
      <c r="AO1099" s="16" t="s">
        <v>110</v>
      </c>
      <c r="AP1099" s="17" t="str">
        <f t="shared" si="87"/>
        <v>Nest (foundress)</v>
      </c>
      <c r="AQ1099" s="18">
        <v>1</v>
      </c>
      <c r="AT1099" s="19" t="s">
        <v>104</v>
      </c>
      <c r="AX1099" s="22" t="str">
        <f>IF(AND('[1]observations-276632'!W1099&gt;'[1]Methods write-up'!$Q$16,'[1]observations-276632'!W1099&lt;'[1]Methods write-up'!$R$16,'[1]observations-276632'!X1099&gt;'[1]Methods write-up'!$S$16,'[1]observations-276632'!X1099&lt;'[1]Methods write-up'!$T$16),"West and Central Africa","")</f>
        <v/>
      </c>
      <c r="AY1099" s="22" t="str">
        <f>IF(AND('[1]observations-276632'!W1099&gt;'[1]Methods write-up'!$Q$17,'[1]observations-276632'!W1099&lt;'[1]Methods write-up'!$R$17,'[1]observations-276632'!X1099&gt;'[1]Methods write-up'!$S$17,'[1]observations-276632'!X1099&lt;'[1]Methods write-up'!$T$17),"Equatorial tropical forest","")</f>
        <v/>
      </c>
      <c r="AZ1099" s="22" t="str">
        <f>IF(AND('[1]observations-276632'!W1099&gt;'[1]Methods write-up'!$Q$18,'[1]observations-276632'!W1099&lt;'[1]Methods write-up'!$R$18,'[1]observations-276632'!X1099&gt;'[1]Methods write-up'!$S$18,'[1]observations-276632'!X1099&lt;'[1]Methods write-up'!$T$18),"Somali peninsula","")</f>
        <v/>
      </c>
      <c r="BA1099" s="22" t="str">
        <f>IF(AND('[1]observations-276632'!W1099&gt;'[1]Methods write-up'!$Q$19,'[1]observations-276632'!W1099&lt;'[1]Methods write-up'!$R$19,'[1]observations-276632'!X1099&gt;'[1]Methods write-up'!$S$19,'[1]observations-276632'!X1099&lt;'[1]Methods write-up'!$T$19),"East Africa","")</f>
        <v>East Africa</v>
      </c>
      <c r="BB1099" s="22" t="str">
        <f>IF(AND('[1]observations-276632'!W1099&gt;'[1]Methods write-up'!$Q$20,'[1]observations-276632'!W1099&lt;'[1]Methods write-up'!$R$20,'[1]observations-276632'!X1099&gt;'[1]Methods write-up'!$S$20,'[1]observations-276632'!X1099&lt;'[1]Methods write-up'!$T$20),"Temperate seasonal","")</f>
        <v/>
      </c>
      <c r="BC1099" s="22" t="str">
        <f>IF(AND('[1]observations-276632'!W1099&gt;'[1]Methods write-up'!$Q$21,'[1]observations-276632'!W1099&lt;'[1]Methods write-up'!$R$21,'[1]observations-276632'!X1099&gt;'[1]Methods write-up'!$S$21,'[1]observations-276632'!X1099&lt;'[1]Methods write-up'!$T$21),"Desert and high aridity","")</f>
        <v/>
      </c>
      <c r="BD1099" s="23" t="str">
        <f t="shared" si="86"/>
        <v>East Africa</v>
      </c>
      <c r="BE1099" s="24">
        <f t="shared" si="84"/>
        <v>10</v>
      </c>
      <c r="BF1099" s="24">
        <f t="shared" si="85"/>
        <v>7</v>
      </c>
    </row>
    <row r="1100" spans="1:58" ht="16.25" customHeight="1" x14ac:dyDescent="0.2">
      <c r="A1100">
        <v>125910650</v>
      </c>
      <c r="B1100" s="25">
        <v>43751.669444444444</v>
      </c>
      <c r="C1100" s="14">
        <v>43751</v>
      </c>
      <c r="D1100" t="s">
        <v>8155</v>
      </c>
      <c r="E1100" t="s">
        <v>113</v>
      </c>
      <c r="F1100">
        <v>4907339</v>
      </c>
      <c r="G1100" t="s">
        <v>7975</v>
      </c>
      <c r="I1100" t="s">
        <v>8156</v>
      </c>
      <c r="J1100" t="s">
        <v>8157</v>
      </c>
      <c r="K1100" t="s">
        <v>62</v>
      </c>
      <c r="L1100" t="s">
        <v>63</v>
      </c>
      <c r="M1100" t="s">
        <v>8158</v>
      </c>
      <c r="N1100" t="s">
        <v>8159</v>
      </c>
      <c r="R1100">
        <v>3</v>
      </c>
      <c r="S1100">
        <v>0</v>
      </c>
      <c r="T1100" t="b">
        <v>0</v>
      </c>
      <c r="V1100" t="s">
        <v>8160</v>
      </c>
      <c r="W1100" s="15">
        <v>-26.166145799999999</v>
      </c>
      <c r="X1100" s="15">
        <v>28.03426408</v>
      </c>
      <c r="Y1100">
        <v>2</v>
      </c>
      <c r="AC1100">
        <v>2</v>
      </c>
      <c r="AF1100" t="b">
        <v>0</v>
      </c>
      <c r="AI1100" t="s">
        <v>71</v>
      </c>
      <c r="AJ1100" t="s">
        <v>70</v>
      </c>
      <c r="AK1100" t="s">
        <v>71</v>
      </c>
      <c r="AL1100" t="s">
        <v>72</v>
      </c>
      <c r="AM1100">
        <v>346053</v>
      </c>
      <c r="AO1100" s="16" t="s">
        <v>73</v>
      </c>
      <c r="AP1100" s="17" t="str">
        <f t="shared" si="87"/>
        <v>Off-nest female</v>
      </c>
      <c r="AX1100" s="22" t="str">
        <f>IF(AND('[1]observations-276632'!W1100&gt;'[1]Methods write-up'!$Q$16,'[1]observations-276632'!W1100&lt;'[1]Methods write-up'!$R$16,'[1]observations-276632'!X1100&gt;'[1]Methods write-up'!$S$16,'[1]observations-276632'!X1100&lt;'[1]Methods write-up'!$T$16),"West and Central Africa","")</f>
        <v/>
      </c>
      <c r="AY1100" s="22" t="str">
        <f>IF(AND('[1]observations-276632'!W1100&gt;'[1]Methods write-up'!$Q$17,'[1]observations-276632'!W1100&lt;'[1]Methods write-up'!$R$17,'[1]observations-276632'!X1100&gt;'[1]Methods write-up'!$S$17,'[1]observations-276632'!X1100&lt;'[1]Methods write-up'!$T$17),"Equatorial tropical forest","")</f>
        <v/>
      </c>
      <c r="AZ1100" s="22" t="str">
        <f>IF(AND('[1]observations-276632'!W1100&gt;'[1]Methods write-up'!$Q$18,'[1]observations-276632'!W1100&lt;'[1]Methods write-up'!$R$18,'[1]observations-276632'!X1100&gt;'[1]Methods write-up'!$S$18,'[1]observations-276632'!X1100&lt;'[1]Methods write-up'!$T$18),"Somali peninsula","")</f>
        <v/>
      </c>
      <c r="BA1100" s="22" t="str">
        <f>IF(AND('[1]observations-276632'!W1100&gt;'[1]Methods write-up'!$Q$19,'[1]observations-276632'!W1100&lt;'[1]Methods write-up'!$R$19,'[1]observations-276632'!X1100&gt;'[1]Methods write-up'!$S$19,'[1]observations-276632'!X1100&lt;'[1]Methods write-up'!$T$19),"East Africa","")</f>
        <v/>
      </c>
      <c r="BB1100" s="22" t="str">
        <f>IF(AND('[1]observations-276632'!W1100&gt;'[1]Methods write-up'!$Q$20,'[1]observations-276632'!W1100&lt;'[1]Methods write-up'!$R$20,'[1]observations-276632'!X1100&gt;'[1]Methods write-up'!$S$20,'[1]observations-276632'!X1100&lt;'[1]Methods write-up'!$T$20),"Temperate seasonal","")</f>
        <v>Temperate seasonal</v>
      </c>
      <c r="BC1100" s="22" t="str">
        <f>IF(AND('[1]observations-276632'!W1100&gt;'[1]Methods write-up'!$Q$21,'[1]observations-276632'!W1100&lt;'[1]Methods write-up'!$R$21,'[1]observations-276632'!X1100&gt;'[1]Methods write-up'!$S$21,'[1]observations-276632'!X1100&lt;'[1]Methods write-up'!$T$21),"Desert and high aridity","")</f>
        <v/>
      </c>
      <c r="BD1100" s="23" t="str">
        <f t="shared" si="86"/>
        <v>Temperate seasonal</v>
      </c>
      <c r="BE1100" s="24">
        <f t="shared" si="84"/>
        <v>13</v>
      </c>
      <c r="BF1100" s="24">
        <f t="shared" si="85"/>
        <v>10</v>
      </c>
    </row>
    <row r="1101" spans="1:58" ht="16.25" customHeight="1" x14ac:dyDescent="0.2">
      <c r="A1101">
        <v>126140655</v>
      </c>
      <c r="B1101" t="s">
        <v>8161</v>
      </c>
      <c r="C1101" s="14">
        <v>44746</v>
      </c>
      <c r="D1101" t="s">
        <v>8162</v>
      </c>
      <c r="E1101" t="s">
        <v>84</v>
      </c>
      <c r="F1101">
        <v>13379</v>
      </c>
      <c r="G1101" t="s">
        <v>2998</v>
      </c>
      <c r="I1101" t="s">
        <v>8163</v>
      </c>
      <c r="J1101" t="s">
        <v>8164</v>
      </c>
      <c r="K1101" t="s">
        <v>62</v>
      </c>
      <c r="L1101" t="s">
        <v>63</v>
      </c>
      <c r="M1101" t="s">
        <v>8165</v>
      </c>
      <c r="N1101" t="s">
        <v>8166</v>
      </c>
      <c r="R1101">
        <v>2</v>
      </c>
      <c r="S1101">
        <v>0</v>
      </c>
      <c r="T1101" t="b">
        <v>0</v>
      </c>
      <c r="U1101">
        <v>3</v>
      </c>
      <c r="V1101" t="s">
        <v>8167</v>
      </c>
      <c r="W1101" s="15">
        <v>-3.3690383330000002</v>
      </c>
      <c r="X1101" s="15">
        <v>36.862695000000002</v>
      </c>
      <c r="Y1101">
        <v>14</v>
      </c>
      <c r="AC1101">
        <v>14</v>
      </c>
      <c r="AF1101" t="b">
        <v>0</v>
      </c>
      <c r="AI1101" t="s">
        <v>71</v>
      </c>
      <c r="AJ1101" t="s">
        <v>70</v>
      </c>
      <c r="AK1101" t="s">
        <v>71</v>
      </c>
      <c r="AL1101" t="s">
        <v>72</v>
      </c>
      <c r="AM1101">
        <v>346053</v>
      </c>
      <c r="AO1101" s="16" t="s">
        <v>73</v>
      </c>
      <c r="AP1101" s="17" t="str">
        <f t="shared" si="87"/>
        <v>Off-nest female</v>
      </c>
      <c r="AX1101" s="22" t="str">
        <f>IF(AND('[1]observations-276632'!W1101&gt;'[1]Methods write-up'!$Q$16,'[1]observations-276632'!W1101&lt;'[1]Methods write-up'!$R$16,'[1]observations-276632'!X1101&gt;'[1]Methods write-up'!$S$16,'[1]observations-276632'!X1101&lt;'[1]Methods write-up'!$T$16),"West and Central Africa","")</f>
        <v/>
      </c>
      <c r="AY1101" s="22" t="str">
        <f>IF(AND('[1]observations-276632'!W1101&gt;'[1]Methods write-up'!$Q$17,'[1]observations-276632'!W1101&lt;'[1]Methods write-up'!$R$17,'[1]observations-276632'!X1101&gt;'[1]Methods write-up'!$S$17,'[1]observations-276632'!X1101&lt;'[1]Methods write-up'!$T$17),"Equatorial tropical forest","")</f>
        <v/>
      </c>
      <c r="AZ1101" s="22" t="str">
        <f>IF(AND('[1]observations-276632'!W1101&gt;'[1]Methods write-up'!$Q$18,'[1]observations-276632'!W1101&lt;'[1]Methods write-up'!$R$18,'[1]observations-276632'!X1101&gt;'[1]Methods write-up'!$S$18,'[1]observations-276632'!X1101&lt;'[1]Methods write-up'!$T$18),"Somali peninsula","")</f>
        <v/>
      </c>
      <c r="BA1101" s="22" t="str">
        <f>IF(AND('[1]observations-276632'!W1101&gt;'[1]Methods write-up'!$Q$19,'[1]observations-276632'!W1101&lt;'[1]Methods write-up'!$R$19,'[1]observations-276632'!X1101&gt;'[1]Methods write-up'!$S$19,'[1]observations-276632'!X1101&lt;'[1]Methods write-up'!$T$19),"East Africa","")</f>
        <v>East Africa</v>
      </c>
      <c r="BB1101" s="22" t="str">
        <f>IF(AND('[1]observations-276632'!W1101&gt;'[1]Methods write-up'!$Q$20,'[1]observations-276632'!W1101&lt;'[1]Methods write-up'!$R$20,'[1]observations-276632'!X1101&gt;'[1]Methods write-up'!$S$20,'[1]observations-276632'!X1101&lt;'[1]Methods write-up'!$T$20),"Temperate seasonal","")</f>
        <v/>
      </c>
      <c r="BC1101" s="22" t="str">
        <f>IF(AND('[1]observations-276632'!W1101&gt;'[1]Methods write-up'!$Q$21,'[1]observations-276632'!W1101&lt;'[1]Methods write-up'!$R$21,'[1]observations-276632'!X1101&gt;'[1]Methods write-up'!$S$21,'[1]observations-276632'!X1101&lt;'[1]Methods write-up'!$T$21),"Desert and high aridity","")</f>
        <v/>
      </c>
      <c r="BD1101" s="23" t="str">
        <f t="shared" si="86"/>
        <v>East Africa</v>
      </c>
      <c r="BE1101" s="24">
        <f t="shared" si="84"/>
        <v>4</v>
      </c>
      <c r="BF1101" s="24">
        <f t="shared" si="85"/>
        <v>7</v>
      </c>
    </row>
    <row r="1102" spans="1:58" ht="16.25" customHeight="1" x14ac:dyDescent="0.2">
      <c r="A1102">
        <v>126188866</v>
      </c>
      <c r="B1102" s="25">
        <v>44756.555555555555</v>
      </c>
      <c r="C1102" s="14">
        <v>44756</v>
      </c>
      <c r="D1102" t="s">
        <v>8168</v>
      </c>
      <c r="E1102" t="s">
        <v>164</v>
      </c>
      <c r="F1102">
        <v>4463868</v>
      </c>
      <c r="G1102" t="s">
        <v>8169</v>
      </c>
      <c r="H1102" t="s">
        <v>8170</v>
      </c>
      <c r="I1102" t="s">
        <v>8171</v>
      </c>
      <c r="J1102" t="s">
        <v>8172</v>
      </c>
      <c r="K1102" t="s">
        <v>2038</v>
      </c>
      <c r="M1102" t="s">
        <v>8173</v>
      </c>
      <c r="N1102" t="s">
        <v>8174</v>
      </c>
      <c r="R1102">
        <v>0</v>
      </c>
      <c r="S1102">
        <v>0</v>
      </c>
      <c r="T1102" t="b">
        <v>0</v>
      </c>
      <c r="U1102">
        <v>2</v>
      </c>
      <c r="AF1102" t="b">
        <v>0</v>
      </c>
      <c r="AI1102" t="s">
        <v>71</v>
      </c>
      <c r="AJ1102" t="s">
        <v>70</v>
      </c>
      <c r="AK1102" t="s">
        <v>71</v>
      </c>
      <c r="AL1102" t="s">
        <v>72</v>
      </c>
      <c r="AM1102">
        <v>346053</v>
      </c>
      <c r="AO1102" s="16" t="s">
        <v>2421</v>
      </c>
      <c r="AP1102" s="16"/>
      <c r="AX1102" s="22" t="str">
        <f>IF(AND('[1]observations-276632'!W1102&gt;'[1]Methods write-up'!$Q$16,'[1]observations-276632'!W1102&lt;'[1]Methods write-up'!$R$16,'[1]observations-276632'!X1102&gt;'[1]Methods write-up'!$S$16,'[1]observations-276632'!X1102&lt;'[1]Methods write-up'!$T$16),"West Africa","")</f>
        <v>West Africa</v>
      </c>
      <c r="AY1102" s="22" t="str">
        <f>IF(AND('[1]observations-276632'!W1102&gt;'[1]Methods write-up'!$Q$17,'[1]observations-276632'!W1102&lt;'[1]Methods write-up'!$R$17,'[1]observations-276632'!X1102&gt;'[1]Methods write-up'!$S$17,'[1]observations-276632'!X1102&lt;'[1]Methods write-up'!$T$17),"Equatorial tropical forest","")</f>
        <v/>
      </c>
      <c r="AZ1102" s="22" t="str">
        <f>IF(AND('[1]observations-276632'!W1102&gt;'[1]Methods write-up'!$Q$18,'[1]observations-276632'!W1102&lt;'[1]Methods write-up'!$R$18,'[1]observations-276632'!X1102&gt;'[1]Methods write-up'!$S$18,'[1]observations-276632'!X1102&lt;'[1]Methods write-up'!$T$18),"Somali peninsula","")</f>
        <v/>
      </c>
      <c r="BA1102" s="22" t="str">
        <f>IF(AND('[1]observations-276632'!W1102&gt;'[1]Methods write-up'!$Q$19,'[1]observations-276632'!W1102&lt;'[1]Methods write-up'!$R$19,'[1]observations-276632'!X1102&gt;'[1]Methods write-up'!$S$19,'[1]observations-276632'!X1102&lt;'[1]Methods write-up'!$T$19),"East Africa","")</f>
        <v/>
      </c>
      <c r="BB1102" s="22" t="str">
        <f>IF(AND('[1]observations-276632'!W1102&gt;'[1]Methods write-up'!$Q$20,'[1]observations-276632'!W1102&lt;'[1]Methods write-up'!$R$20,'[1]observations-276632'!X1102&gt;'[1]Methods write-up'!$S$20,'[1]observations-276632'!X1102&lt;'[1]Methods write-up'!$T$20),"Temperate seasonal","")</f>
        <v/>
      </c>
      <c r="BC1102" s="22" t="str">
        <f>IF(AND('[1]observations-276632'!W1102&gt;'[1]Methods write-up'!$Q$21,'[1]observations-276632'!W1102&lt;'[1]Methods write-up'!$R$21,'[1]observations-276632'!X1102&gt;'[1]Methods write-up'!$S$21,'[1]observations-276632'!X1102&lt;'[1]Methods write-up'!$T$21),"Desert and high aridity","")</f>
        <v/>
      </c>
      <c r="BD1102" s="23" t="str">
        <f t="shared" si="86"/>
        <v>West Africa</v>
      </c>
      <c r="BE1102" s="24">
        <f t="shared" si="84"/>
        <v>14</v>
      </c>
      <c r="BF1102" s="24">
        <f t="shared" si="85"/>
        <v>7</v>
      </c>
    </row>
    <row r="1103" spans="1:58" ht="16.25" customHeight="1" x14ac:dyDescent="0.2">
      <c r="A1103">
        <v>126318695</v>
      </c>
      <c r="B1103" s="25">
        <v>44753.630555555559</v>
      </c>
      <c r="C1103" s="14">
        <v>44753</v>
      </c>
      <c r="D1103" t="s">
        <v>8175</v>
      </c>
      <c r="E1103" t="s">
        <v>8176</v>
      </c>
      <c r="F1103">
        <v>849418</v>
      </c>
      <c r="G1103" t="s">
        <v>7371</v>
      </c>
      <c r="H1103" t="s">
        <v>7372</v>
      </c>
      <c r="I1103" t="s">
        <v>8177</v>
      </c>
      <c r="J1103" t="s">
        <v>8178</v>
      </c>
      <c r="K1103" t="s">
        <v>62</v>
      </c>
      <c r="M1103" t="s">
        <v>8179</v>
      </c>
      <c r="N1103" t="s">
        <v>8180</v>
      </c>
      <c r="R1103">
        <v>2</v>
      </c>
      <c r="S1103">
        <v>0</v>
      </c>
      <c r="T1103" t="b">
        <v>0</v>
      </c>
      <c r="V1103" t="s">
        <v>8181</v>
      </c>
      <c r="W1103" s="15">
        <v>-26.44188084</v>
      </c>
      <c r="X1103" s="15">
        <v>31.18155342</v>
      </c>
      <c r="Y1103">
        <v>182</v>
      </c>
      <c r="AC1103">
        <v>182</v>
      </c>
      <c r="AF1103" t="b">
        <v>0</v>
      </c>
      <c r="AI1103" t="s">
        <v>71</v>
      </c>
      <c r="AJ1103" t="s">
        <v>70</v>
      </c>
      <c r="AK1103" t="s">
        <v>71</v>
      </c>
      <c r="AL1103" t="s">
        <v>72</v>
      </c>
      <c r="AM1103">
        <v>346053</v>
      </c>
      <c r="AO1103" s="16" t="s">
        <v>818</v>
      </c>
      <c r="AP1103" s="17" t="str">
        <f t="shared" ref="AP1103:AP1116" si="88">IF(COUNTIF(AO1103,"*foundress*"),"Nest (foundress)",AO1103)</f>
        <v>Abandoned post-emergence nest</v>
      </c>
      <c r="AX1103" s="22" t="str">
        <f>IF(AND('[1]observations-276632'!W1103&gt;'[1]Methods write-up'!$Q$16,'[1]observations-276632'!W1103&lt;'[1]Methods write-up'!$R$16,'[1]observations-276632'!X1103&gt;'[1]Methods write-up'!$S$16,'[1]observations-276632'!X1103&lt;'[1]Methods write-up'!$T$16),"West and Central Africa","")</f>
        <v/>
      </c>
      <c r="AY1103" s="22" t="str">
        <f>IF(AND('[1]observations-276632'!W1103&gt;'[1]Methods write-up'!$Q$17,'[1]observations-276632'!W1103&lt;'[1]Methods write-up'!$R$17,'[1]observations-276632'!X1103&gt;'[1]Methods write-up'!$S$17,'[1]observations-276632'!X1103&lt;'[1]Methods write-up'!$T$17),"Equatorial tropical forest","")</f>
        <v/>
      </c>
      <c r="AZ1103" s="22" t="str">
        <f>IF(AND('[1]observations-276632'!W1103&gt;'[1]Methods write-up'!$Q$18,'[1]observations-276632'!W1103&lt;'[1]Methods write-up'!$R$18,'[1]observations-276632'!X1103&gt;'[1]Methods write-up'!$S$18,'[1]observations-276632'!X1103&lt;'[1]Methods write-up'!$T$18),"Somali peninsula","")</f>
        <v/>
      </c>
      <c r="BA1103" s="22" t="str">
        <f>IF(AND('[1]observations-276632'!W1103&gt;'[1]Methods write-up'!$Q$19,'[1]observations-276632'!W1103&lt;'[1]Methods write-up'!$R$19,'[1]observations-276632'!X1103&gt;'[1]Methods write-up'!$S$19,'[1]observations-276632'!X1103&lt;'[1]Methods write-up'!$T$19),"East Africa","")</f>
        <v/>
      </c>
      <c r="BB1103" s="22" t="str">
        <f>IF(AND('[1]observations-276632'!W1103&gt;'[1]Methods write-up'!$Q$20,'[1]observations-276632'!W1103&lt;'[1]Methods write-up'!$R$20,'[1]observations-276632'!X1103&gt;'[1]Methods write-up'!$S$20,'[1]observations-276632'!X1103&lt;'[1]Methods write-up'!$T$20),"Temperate seasonal","")</f>
        <v>Temperate seasonal</v>
      </c>
      <c r="BC1103" s="22" t="str">
        <f>IF(AND('[1]observations-276632'!W1103&gt;'[1]Methods write-up'!$Q$21,'[1]observations-276632'!W1103&lt;'[1]Methods write-up'!$R$21,'[1]observations-276632'!X1103&gt;'[1]Methods write-up'!$S$21,'[1]observations-276632'!X1103&lt;'[1]Methods write-up'!$T$21),"Desert and high aridity","")</f>
        <v/>
      </c>
      <c r="BD1103" s="23" t="str">
        <f t="shared" si="86"/>
        <v>Temperate seasonal</v>
      </c>
      <c r="BE1103" s="24">
        <f t="shared" si="84"/>
        <v>11</v>
      </c>
      <c r="BF1103" s="24">
        <f t="shared" si="85"/>
        <v>7</v>
      </c>
    </row>
    <row r="1104" spans="1:58" ht="16.25" customHeight="1" x14ac:dyDescent="0.2">
      <c r="A1104">
        <v>126607323</v>
      </c>
      <c r="B1104" s="25">
        <v>44758.470833333333</v>
      </c>
      <c r="C1104" s="14">
        <v>44758</v>
      </c>
      <c r="D1104" t="s">
        <v>8182</v>
      </c>
      <c r="E1104" t="s">
        <v>113</v>
      </c>
      <c r="F1104">
        <v>2518700</v>
      </c>
      <c r="G1104" t="s">
        <v>8183</v>
      </c>
      <c r="H1104" t="s">
        <v>8184</v>
      </c>
      <c r="I1104" t="s">
        <v>8185</v>
      </c>
      <c r="J1104" t="s">
        <v>8186</v>
      </c>
      <c r="K1104" t="s">
        <v>62</v>
      </c>
      <c r="L1104" t="s">
        <v>63</v>
      </c>
      <c r="M1104" t="s">
        <v>8187</v>
      </c>
      <c r="N1104" t="s">
        <v>8188</v>
      </c>
      <c r="R1104">
        <v>2</v>
      </c>
      <c r="S1104">
        <v>0</v>
      </c>
      <c r="T1104" t="b">
        <v>0</v>
      </c>
      <c r="V1104" t="s">
        <v>8189</v>
      </c>
      <c r="W1104" s="15">
        <v>-34.348866749999999</v>
      </c>
      <c r="X1104" s="15">
        <v>18.926153079999999</v>
      </c>
      <c r="Y1104">
        <v>8</v>
      </c>
      <c r="AC1104">
        <v>8</v>
      </c>
      <c r="AF1104" t="b">
        <v>0</v>
      </c>
      <c r="AI1104" t="s">
        <v>71</v>
      </c>
      <c r="AJ1104" t="s">
        <v>70</v>
      </c>
      <c r="AK1104" t="s">
        <v>71</v>
      </c>
      <c r="AL1104" t="s">
        <v>72</v>
      </c>
      <c r="AM1104">
        <v>346053</v>
      </c>
      <c r="AO1104" s="16" t="s">
        <v>150</v>
      </c>
      <c r="AP1104" s="17" t="str">
        <f t="shared" si="88"/>
        <v>Male (off nest)</v>
      </c>
      <c r="AX1104" s="22" t="str">
        <f>IF(AND('[1]observations-276632'!W1104&gt;'[1]Methods write-up'!$Q$16,'[1]observations-276632'!W1104&lt;'[1]Methods write-up'!$R$16,'[1]observations-276632'!X1104&gt;'[1]Methods write-up'!$S$16,'[1]observations-276632'!X1104&lt;'[1]Methods write-up'!$T$16),"West and Central Africa","")</f>
        <v/>
      </c>
      <c r="AY1104" s="22" t="str">
        <f>IF(AND('[1]observations-276632'!W1104&gt;'[1]Methods write-up'!$Q$17,'[1]observations-276632'!W1104&lt;'[1]Methods write-up'!$R$17,'[1]observations-276632'!X1104&gt;'[1]Methods write-up'!$S$17,'[1]observations-276632'!X1104&lt;'[1]Methods write-up'!$T$17),"Equatorial tropical forest","")</f>
        <v/>
      </c>
      <c r="AZ1104" s="22" t="str">
        <f>IF(AND('[1]observations-276632'!W1104&gt;'[1]Methods write-up'!$Q$18,'[1]observations-276632'!W1104&lt;'[1]Methods write-up'!$R$18,'[1]observations-276632'!X1104&gt;'[1]Methods write-up'!$S$18,'[1]observations-276632'!X1104&lt;'[1]Methods write-up'!$T$18),"Somali peninsula","")</f>
        <v/>
      </c>
      <c r="BA1104" s="22" t="str">
        <f>IF(AND('[1]observations-276632'!W1104&gt;'[1]Methods write-up'!$Q$19,'[1]observations-276632'!W1104&lt;'[1]Methods write-up'!$R$19,'[1]observations-276632'!X1104&gt;'[1]Methods write-up'!$S$19,'[1]observations-276632'!X1104&lt;'[1]Methods write-up'!$T$19),"East Africa","")</f>
        <v/>
      </c>
      <c r="BB1104" s="22" t="str">
        <f>IF(AND('[1]observations-276632'!W1104&gt;'[1]Methods write-up'!$Q$20,'[1]observations-276632'!W1104&lt;'[1]Methods write-up'!$R$20,'[1]observations-276632'!X1104&gt;'[1]Methods write-up'!$S$20,'[1]observations-276632'!X1104&lt;'[1]Methods write-up'!$T$20),"Temperate seasonal","")</f>
        <v/>
      </c>
      <c r="BC1104" s="22" t="str">
        <f>IF(AND('[1]observations-276632'!W1104&gt;'[1]Methods write-up'!$Q$21,'[1]observations-276632'!W1104&lt;'[1]Methods write-up'!$R$21,'[1]observations-276632'!X1104&gt;'[1]Methods write-up'!$S$21,'[1]observations-276632'!X1104&lt;'[1]Methods write-up'!$T$21),"Desert and high aridity","")</f>
        <v/>
      </c>
      <c r="BD1104" s="23" t="str">
        <f t="shared" si="86"/>
        <v/>
      </c>
      <c r="BE1104" s="24">
        <f t="shared" si="84"/>
        <v>16</v>
      </c>
      <c r="BF1104" s="24">
        <f t="shared" si="85"/>
        <v>7</v>
      </c>
    </row>
    <row r="1105" spans="1:58" ht="16.25" customHeight="1" x14ac:dyDescent="0.2">
      <c r="A1105">
        <v>126833947</v>
      </c>
      <c r="B1105" s="25">
        <v>44757.909722222219</v>
      </c>
      <c r="C1105" s="14">
        <v>44757</v>
      </c>
      <c r="D1105" t="s">
        <v>8190</v>
      </c>
      <c r="E1105" t="s">
        <v>113</v>
      </c>
      <c r="F1105">
        <v>129251</v>
      </c>
      <c r="G1105" t="s">
        <v>775</v>
      </c>
      <c r="H1105" t="s">
        <v>776</v>
      </c>
      <c r="I1105" t="s">
        <v>8191</v>
      </c>
      <c r="J1105" t="s">
        <v>8192</v>
      </c>
      <c r="K1105" t="s">
        <v>62</v>
      </c>
      <c r="L1105" t="s">
        <v>127</v>
      </c>
      <c r="M1105" t="s">
        <v>8193</v>
      </c>
      <c r="N1105" t="s">
        <v>8194</v>
      </c>
      <c r="Q1105" t="s">
        <v>8195</v>
      </c>
      <c r="R1105">
        <v>3</v>
      </c>
      <c r="S1105">
        <v>0</v>
      </c>
      <c r="T1105" t="b">
        <v>0</v>
      </c>
      <c r="V1105" t="s">
        <v>8196</v>
      </c>
      <c r="W1105" s="15">
        <v>-25.595833330000001</v>
      </c>
      <c r="X1105" s="15">
        <v>30.44388889</v>
      </c>
      <c r="Y1105">
        <v>5</v>
      </c>
      <c r="AC1105">
        <v>5</v>
      </c>
      <c r="AF1105" t="b">
        <v>0</v>
      </c>
      <c r="AI1105" t="s">
        <v>71</v>
      </c>
      <c r="AJ1105" t="s">
        <v>70</v>
      </c>
      <c r="AK1105" t="s">
        <v>71</v>
      </c>
      <c r="AL1105" t="s">
        <v>72</v>
      </c>
      <c r="AM1105">
        <v>346053</v>
      </c>
      <c r="AO1105" s="16" t="s">
        <v>110</v>
      </c>
      <c r="AP1105" s="17" t="str">
        <f t="shared" si="88"/>
        <v>Nest (foundress)</v>
      </c>
      <c r="AQ1105" s="18">
        <v>5</v>
      </c>
      <c r="AT1105" s="19" t="s">
        <v>104</v>
      </c>
      <c r="AX1105" s="22" t="str">
        <f>IF(AND('[1]observations-276632'!W1105&gt;'[1]Methods write-up'!$Q$16,'[1]observations-276632'!W1105&lt;'[1]Methods write-up'!$R$16,'[1]observations-276632'!X1105&gt;'[1]Methods write-up'!$S$16,'[1]observations-276632'!X1105&lt;'[1]Methods write-up'!$T$16),"West and Central Africa","")</f>
        <v/>
      </c>
      <c r="AY1105" s="22" t="str">
        <f>IF(AND('[1]observations-276632'!W1105&gt;'[1]Methods write-up'!$Q$17,'[1]observations-276632'!W1105&lt;'[1]Methods write-up'!$R$17,'[1]observations-276632'!X1105&gt;'[1]Methods write-up'!$S$17,'[1]observations-276632'!X1105&lt;'[1]Methods write-up'!$T$17),"Equatorial tropical forest","")</f>
        <v/>
      </c>
      <c r="AZ1105" s="22" t="str">
        <f>IF(AND('[1]observations-276632'!W1105&gt;'[1]Methods write-up'!$Q$18,'[1]observations-276632'!W1105&lt;'[1]Methods write-up'!$R$18,'[1]observations-276632'!X1105&gt;'[1]Methods write-up'!$S$18,'[1]observations-276632'!X1105&lt;'[1]Methods write-up'!$T$18),"Somali peninsula","")</f>
        <v/>
      </c>
      <c r="BA1105" s="22" t="str">
        <f>IF(AND('[1]observations-276632'!W1105&gt;'[1]Methods write-up'!$Q$19,'[1]observations-276632'!W1105&lt;'[1]Methods write-up'!$R$19,'[1]observations-276632'!X1105&gt;'[1]Methods write-up'!$S$19,'[1]observations-276632'!X1105&lt;'[1]Methods write-up'!$T$19),"East Africa","")</f>
        <v/>
      </c>
      <c r="BB1105" s="22" t="str">
        <f>IF(AND('[1]observations-276632'!W1105&gt;'[1]Methods write-up'!$Q$20,'[1]observations-276632'!W1105&lt;'[1]Methods write-up'!$R$20,'[1]observations-276632'!X1105&gt;'[1]Methods write-up'!$S$20,'[1]observations-276632'!X1105&lt;'[1]Methods write-up'!$T$20),"Temperate seasonal","")</f>
        <v>Temperate seasonal</v>
      </c>
      <c r="BC1105" s="22" t="str">
        <f>IF(AND('[1]observations-276632'!W1105&gt;'[1]Methods write-up'!$Q$21,'[1]observations-276632'!W1105&lt;'[1]Methods write-up'!$R$21,'[1]observations-276632'!X1105&gt;'[1]Methods write-up'!$S$21,'[1]observations-276632'!X1105&lt;'[1]Methods write-up'!$T$21),"Desert and high aridity","")</f>
        <v/>
      </c>
      <c r="BD1105" s="23" t="str">
        <f t="shared" si="86"/>
        <v>Temperate seasonal</v>
      </c>
      <c r="BE1105" s="24">
        <f t="shared" si="84"/>
        <v>15</v>
      </c>
      <c r="BF1105" s="24">
        <f t="shared" si="85"/>
        <v>7</v>
      </c>
    </row>
    <row r="1106" spans="1:58" ht="16.25" customHeight="1" x14ac:dyDescent="0.2">
      <c r="A1106">
        <v>127195818</v>
      </c>
      <c r="B1106" s="25">
        <v>44754.476388888892</v>
      </c>
      <c r="C1106" s="14">
        <v>44754</v>
      </c>
      <c r="D1106" t="s">
        <v>8197</v>
      </c>
      <c r="E1106" t="s">
        <v>8176</v>
      </c>
      <c r="F1106">
        <v>849418</v>
      </c>
      <c r="G1106" t="s">
        <v>7371</v>
      </c>
      <c r="H1106" t="s">
        <v>7372</v>
      </c>
      <c r="I1106" t="s">
        <v>8198</v>
      </c>
      <c r="J1106" t="s">
        <v>8199</v>
      </c>
      <c r="K1106" t="s">
        <v>62</v>
      </c>
      <c r="M1106" t="s">
        <v>8200</v>
      </c>
      <c r="N1106" t="s">
        <v>8201</v>
      </c>
      <c r="R1106">
        <v>2</v>
      </c>
      <c r="S1106">
        <v>0</v>
      </c>
      <c r="T1106" t="b">
        <v>0</v>
      </c>
      <c r="V1106" t="s">
        <v>8181</v>
      </c>
      <c r="W1106" s="15">
        <v>-26.441802890000002</v>
      </c>
      <c r="X1106" s="15">
        <v>31.180141079999999</v>
      </c>
      <c r="AF1106" t="b">
        <v>0</v>
      </c>
      <c r="AI1106" t="s">
        <v>71</v>
      </c>
      <c r="AJ1106" t="s">
        <v>70</v>
      </c>
      <c r="AK1106" t="s">
        <v>71</v>
      </c>
      <c r="AL1106" t="s">
        <v>72</v>
      </c>
      <c r="AM1106">
        <v>346053</v>
      </c>
      <c r="AO1106" s="16" t="s">
        <v>73</v>
      </c>
      <c r="AP1106" s="17" t="str">
        <f t="shared" si="88"/>
        <v>Off-nest female</v>
      </c>
      <c r="AX1106" s="22" t="str">
        <f>IF(AND('[1]observations-276632'!W1106&gt;'[1]Methods write-up'!$Q$16,'[1]observations-276632'!W1106&lt;'[1]Methods write-up'!$R$16,'[1]observations-276632'!X1106&gt;'[1]Methods write-up'!$S$16,'[1]observations-276632'!X1106&lt;'[1]Methods write-up'!$T$16),"West and Central Africa","")</f>
        <v/>
      </c>
      <c r="AY1106" s="22" t="str">
        <f>IF(AND('[1]observations-276632'!W1106&gt;'[1]Methods write-up'!$Q$17,'[1]observations-276632'!W1106&lt;'[1]Methods write-up'!$R$17,'[1]observations-276632'!X1106&gt;'[1]Methods write-up'!$S$17,'[1]observations-276632'!X1106&lt;'[1]Methods write-up'!$T$17),"Equatorial tropical forest","")</f>
        <v/>
      </c>
      <c r="AZ1106" s="22" t="str">
        <f>IF(AND('[1]observations-276632'!W1106&gt;'[1]Methods write-up'!$Q$18,'[1]observations-276632'!W1106&lt;'[1]Methods write-up'!$R$18,'[1]observations-276632'!X1106&gt;'[1]Methods write-up'!$S$18,'[1]observations-276632'!X1106&lt;'[1]Methods write-up'!$T$18),"Somali peninsula","")</f>
        <v/>
      </c>
      <c r="BA1106" s="22" t="str">
        <f>IF(AND('[1]observations-276632'!W1106&gt;'[1]Methods write-up'!$Q$19,'[1]observations-276632'!W1106&lt;'[1]Methods write-up'!$R$19,'[1]observations-276632'!X1106&gt;'[1]Methods write-up'!$S$19,'[1]observations-276632'!X1106&lt;'[1]Methods write-up'!$T$19),"East Africa","")</f>
        <v/>
      </c>
      <c r="BB1106" s="22" t="str">
        <f>IF(AND('[1]observations-276632'!W1106&gt;'[1]Methods write-up'!$Q$20,'[1]observations-276632'!W1106&lt;'[1]Methods write-up'!$R$20,'[1]observations-276632'!X1106&gt;'[1]Methods write-up'!$S$20,'[1]observations-276632'!X1106&lt;'[1]Methods write-up'!$T$20),"Temperate seasonal","")</f>
        <v>Temperate seasonal</v>
      </c>
      <c r="BC1106" s="22" t="str">
        <f>IF(AND('[1]observations-276632'!W1106&gt;'[1]Methods write-up'!$Q$21,'[1]observations-276632'!W1106&lt;'[1]Methods write-up'!$R$21,'[1]observations-276632'!X1106&gt;'[1]Methods write-up'!$S$21,'[1]observations-276632'!X1106&lt;'[1]Methods write-up'!$T$21),"Desert and high aridity","")</f>
        <v/>
      </c>
      <c r="BD1106" s="23" t="str">
        <f t="shared" si="86"/>
        <v>Temperate seasonal</v>
      </c>
      <c r="BE1106" s="24">
        <f t="shared" si="84"/>
        <v>12</v>
      </c>
      <c r="BF1106" s="24">
        <f t="shared" si="85"/>
        <v>7</v>
      </c>
    </row>
    <row r="1107" spans="1:58" ht="16.25" customHeight="1" x14ac:dyDescent="0.2">
      <c r="A1107">
        <v>127196243</v>
      </c>
      <c r="B1107" s="25">
        <v>44754.477777777778</v>
      </c>
      <c r="C1107" s="14">
        <v>44754</v>
      </c>
      <c r="D1107" t="s">
        <v>8202</v>
      </c>
      <c r="E1107" t="s">
        <v>8176</v>
      </c>
      <c r="F1107">
        <v>849418</v>
      </c>
      <c r="G1107" t="s">
        <v>7371</v>
      </c>
      <c r="H1107" t="s">
        <v>7372</v>
      </c>
      <c r="I1107" t="s">
        <v>8203</v>
      </c>
      <c r="J1107" t="s">
        <v>8204</v>
      </c>
      <c r="K1107" t="s">
        <v>62</v>
      </c>
      <c r="M1107" t="s">
        <v>8205</v>
      </c>
      <c r="N1107" t="s">
        <v>8206</v>
      </c>
      <c r="R1107">
        <v>2</v>
      </c>
      <c r="S1107">
        <v>0</v>
      </c>
      <c r="T1107" t="b">
        <v>0</v>
      </c>
      <c r="V1107" t="s">
        <v>8181</v>
      </c>
      <c r="W1107" s="15">
        <v>-26.44150058</v>
      </c>
      <c r="X1107" s="15">
        <v>31.180505190000002</v>
      </c>
      <c r="AF1107" t="b">
        <v>0</v>
      </c>
      <c r="AI1107" t="s">
        <v>71</v>
      </c>
      <c r="AJ1107" t="s">
        <v>70</v>
      </c>
      <c r="AK1107" t="s">
        <v>71</v>
      </c>
      <c r="AL1107" t="s">
        <v>72</v>
      </c>
      <c r="AM1107">
        <v>346053</v>
      </c>
      <c r="AO1107" s="16" t="s">
        <v>73</v>
      </c>
      <c r="AP1107" s="17" t="str">
        <f t="shared" si="88"/>
        <v>Off-nest female</v>
      </c>
      <c r="AX1107" s="22" t="str">
        <f>IF(AND('[1]observations-276632'!W1107&gt;'[1]Methods write-up'!$Q$16,'[1]observations-276632'!W1107&lt;'[1]Methods write-up'!$R$16,'[1]observations-276632'!X1107&gt;'[1]Methods write-up'!$S$16,'[1]observations-276632'!X1107&lt;'[1]Methods write-up'!$T$16),"West and Central Africa","")</f>
        <v/>
      </c>
      <c r="AY1107" s="22" t="str">
        <f>IF(AND('[1]observations-276632'!W1107&gt;'[1]Methods write-up'!$Q$17,'[1]observations-276632'!W1107&lt;'[1]Methods write-up'!$R$17,'[1]observations-276632'!X1107&gt;'[1]Methods write-up'!$S$17,'[1]observations-276632'!X1107&lt;'[1]Methods write-up'!$T$17),"Equatorial tropical forest","")</f>
        <v/>
      </c>
      <c r="AZ1107" s="22" t="str">
        <f>IF(AND('[1]observations-276632'!W1107&gt;'[1]Methods write-up'!$Q$18,'[1]observations-276632'!W1107&lt;'[1]Methods write-up'!$R$18,'[1]observations-276632'!X1107&gt;'[1]Methods write-up'!$S$18,'[1]observations-276632'!X1107&lt;'[1]Methods write-up'!$T$18),"Somali peninsula","")</f>
        <v/>
      </c>
      <c r="BA1107" s="22" t="str">
        <f>IF(AND('[1]observations-276632'!W1107&gt;'[1]Methods write-up'!$Q$19,'[1]observations-276632'!W1107&lt;'[1]Methods write-up'!$R$19,'[1]observations-276632'!X1107&gt;'[1]Methods write-up'!$S$19,'[1]observations-276632'!X1107&lt;'[1]Methods write-up'!$T$19),"East Africa","")</f>
        <v/>
      </c>
      <c r="BB1107" s="22" t="str">
        <f>IF(AND('[1]observations-276632'!W1107&gt;'[1]Methods write-up'!$Q$20,'[1]observations-276632'!W1107&lt;'[1]Methods write-up'!$R$20,'[1]observations-276632'!X1107&gt;'[1]Methods write-up'!$S$20,'[1]observations-276632'!X1107&lt;'[1]Methods write-up'!$T$20),"Temperate seasonal","")</f>
        <v>Temperate seasonal</v>
      </c>
      <c r="BC1107" s="22" t="str">
        <f>IF(AND('[1]observations-276632'!W1107&gt;'[1]Methods write-up'!$Q$21,'[1]observations-276632'!W1107&lt;'[1]Methods write-up'!$R$21,'[1]observations-276632'!X1107&gt;'[1]Methods write-up'!$S$21,'[1]observations-276632'!X1107&lt;'[1]Methods write-up'!$T$21),"Desert and high aridity","")</f>
        <v/>
      </c>
      <c r="BD1107" s="23" t="str">
        <f t="shared" si="86"/>
        <v>Temperate seasonal</v>
      </c>
      <c r="BE1107" s="24">
        <f t="shared" si="84"/>
        <v>12</v>
      </c>
      <c r="BF1107" s="24">
        <f t="shared" si="85"/>
        <v>7</v>
      </c>
    </row>
    <row r="1108" spans="1:58" ht="16.25" customHeight="1" x14ac:dyDescent="0.2">
      <c r="A1108">
        <v>127411399</v>
      </c>
      <c r="B1108" s="25">
        <v>44696.543749999997</v>
      </c>
      <c r="C1108" s="14">
        <v>44696</v>
      </c>
      <c r="D1108" t="s">
        <v>8207</v>
      </c>
      <c r="E1108" t="s">
        <v>74</v>
      </c>
      <c r="F1108">
        <v>84276</v>
      </c>
      <c r="G1108" t="s">
        <v>1426</v>
      </c>
      <c r="H1108" t="s">
        <v>1427</v>
      </c>
      <c r="I1108" t="s">
        <v>8208</v>
      </c>
      <c r="J1108" t="s">
        <v>8209</v>
      </c>
      <c r="K1108" t="s">
        <v>62</v>
      </c>
      <c r="L1108" t="s">
        <v>373</v>
      </c>
      <c r="M1108" t="s">
        <v>8210</v>
      </c>
      <c r="N1108" t="s">
        <v>8211</v>
      </c>
      <c r="Q1108" t="s">
        <v>8212</v>
      </c>
      <c r="R1108">
        <v>1</v>
      </c>
      <c r="S1108">
        <v>0</v>
      </c>
      <c r="T1108" t="b">
        <v>0</v>
      </c>
      <c r="V1108" t="s">
        <v>1432</v>
      </c>
      <c r="W1108" s="15">
        <v>-20.548219320000001</v>
      </c>
      <c r="X1108" s="15">
        <v>28.507007829999999</v>
      </c>
      <c r="Y1108">
        <v>2937</v>
      </c>
      <c r="AC1108">
        <v>2937</v>
      </c>
      <c r="AF1108" t="b">
        <v>0</v>
      </c>
      <c r="AI1108" t="s">
        <v>71</v>
      </c>
      <c r="AJ1108" t="s">
        <v>70</v>
      </c>
      <c r="AK1108" t="s">
        <v>71</v>
      </c>
      <c r="AL1108" t="s">
        <v>72</v>
      </c>
      <c r="AM1108">
        <v>346053</v>
      </c>
      <c r="AO1108" s="16" t="s">
        <v>1067</v>
      </c>
      <c r="AP1108" s="17" t="str">
        <f t="shared" si="88"/>
        <v>Hibernation cluster</v>
      </c>
      <c r="AV1108" s="21" t="s">
        <v>8213</v>
      </c>
      <c r="AX1108" s="22" t="str">
        <f>IF(AND('[1]observations-276632'!W1108&gt;'[1]Methods write-up'!$Q$16,'[1]observations-276632'!W1108&lt;'[1]Methods write-up'!$R$16,'[1]observations-276632'!X1108&gt;'[1]Methods write-up'!$S$16,'[1]observations-276632'!X1108&lt;'[1]Methods write-up'!$T$16),"West and Central Africa","")</f>
        <v/>
      </c>
      <c r="AY1108" s="22" t="str">
        <f>IF(AND('[1]observations-276632'!W1108&gt;'[1]Methods write-up'!$Q$17,'[1]observations-276632'!W1108&lt;'[1]Methods write-up'!$R$17,'[1]observations-276632'!X1108&gt;'[1]Methods write-up'!$S$17,'[1]observations-276632'!X1108&lt;'[1]Methods write-up'!$T$17),"Equatorial tropical forest","")</f>
        <v/>
      </c>
      <c r="AZ1108" s="22" t="str">
        <f>IF(AND('[1]observations-276632'!W1108&gt;'[1]Methods write-up'!$Q$18,'[1]observations-276632'!W1108&lt;'[1]Methods write-up'!$R$18,'[1]observations-276632'!X1108&gt;'[1]Methods write-up'!$S$18,'[1]observations-276632'!X1108&lt;'[1]Methods write-up'!$T$18),"Somali peninsula","")</f>
        <v/>
      </c>
      <c r="BA1108" s="22" t="str">
        <f>IF(AND('[1]observations-276632'!W1108&gt;'[1]Methods write-up'!$Q$19,'[1]observations-276632'!W1108&lt;'[1]Methods write-up'!$R$19,'[1]observations-276632'!X1108&gt;'[1]Methods write-up'!$S$19,'[1]observations-276632'!X1108&lt;'[1]Methods write-up'!$T$19),"East Africa","")</f>
        <v/>
      </c>
      <c r="BB1108" s="22" t="str">
        <f>IF(AND('[1]observations-276632'!W1108&gt;'[1]Methods write-up'!$Q$20,'[1]observations-276632'!W1108&lt;'[1]Methods write-up'!$R$20,'[1]observations-276632'!X1108&gt;'[1]Methods write-up'!$S$20,'[1]observations-276632'!X1108&lt;'[1]Methods write-up'!$T$20),"Temperate seasonal","")</f>
        <v/>
      </c>
      <c r="BC1108" s="22" t="str">
        <f>IF(AND('[1]observations-276632'!W1108&gt;'[1]Methods write-up'!$Q$21,'[1]observations-276632'!W1108&lt;'[1]Methods write-up'!$R$21,'[1]observations-276632'!X1108&gt;'[1]Methods write-up'!$S$21,'[1]observations-276632'!X1108&lt;'[1]Methods write-up'!$T$21),"Desert and high aridity","")</f>
        <v/>
      </c>
      <c r="BD1108" s="23" t="str">
        <f t="shared" si="86"/>
        <v/>
      </c>
      <c r="BE1108" s="24">
        <f t="shared" si="84"/>
        <v>15</v>
      </c>
      <c r="BF1108" s="24">
        <f t="shared" si="85"/>
        <v>5</v>
      </c>
    </row>
    <row r="1109" spans="1:58" ht="16.25" customHeight="1" x14ac:dyDescent="0.2">
      <c r="A1109">
        <v>127497061</v>
      </c>
      <c r="B1109" s="25">
        <v>44763.398611111108</v>
      </c>
      <c r="C1109" s="14">
        <v>44763</v>
      </c>
      <c r="D1109" t="s">
        <v>8214</v>
      </c>
      <c r="E1109" t="s">
        <v>113</v>
      </c>
      <c r="F1109">
        <v>748380</v>
      </c>
      <c r="G1109" t="s">
        <v>7764</v>
      </c>
      <c r="I1109" t="s">
        <v>8215</v>
      </c>
      <c r="J1109" t="s">
        <v>8216</v>
      </c>
      <c r="K1109" t="s">
        <v>62</v>
      </c>
      <c r="L1109" t="s">
        <v>63</v>
      </c>
      <c r="M1109" t="s">
        <v>8217</v>
      </c>
      <c r="N1109" t="s">
        <v>8218</v>
      </c>
      <c r="R1109">
        <v>3</v>
      </c>
      <c r="S1109">
        <v>0</v>
      </c>
      <c r="T1109" t="b">
        <v>0</v>
      </c>
      <c r="V1109" t="s">
        <v>8219</v>
      </c>
      <c r="W1109" s="15">
        <v>-30.77063257</v>
      </c>
      <c r="X1109" s="15">
        <v>30.187951819999999</v>
      </c>
      <c r="Y1109">
        <v>250</v>
      </c>
      <c r="AC1109">
        <v>250</v>
      </c>
      <c r="AF1109" t="b">
        <v>0</v>
      </c>
      <c r="AI1109" t="s">
        <v>71</v>
      </c>
      <c r="AJ1109" t="s">
        <v>70</v>
      </c>
      <c r="AK1109" t="s">
        <v>71</v>
      </c>
      <c r="AL1109" t="s">
        <v>72</v>
      </c>
      <c r="AM1109">
        <v>346053</v>
      </c>
      <c r="AO1109" s="16" t="s">
        <v>1067</v>
      </c>
      <c r="AP1109" s="17" t="str">
        <f t="shared" si="88"/>
        <v>Hibernation cluster</v>
      </c>
      <c r="AV1109" s="21" t="s">
        <v>8220</v>
      </c>
      <c r="AX1109" s="22" t="str">
        <f>IF(AND('[1]observations-276632'!W1109&gt;'[1]Methods write-up'!$Q$16,'[1]observations-276632'!W1109&lt;'[1]Methods write-up'!$R$16,'[1]observations-276632'!X1109&gt;'[1]Methods write-up'!$S$16,'[1]observations-276632'!X1109&lt;'[1]Methods write-up'!$T$16),"West and Central Africa","")</f>
        <v/>
      </c>
      <c r="AY1109" s="22" t="str">
        <f>IF(AND('[1]observations-276632'!W1109&gt;'[1]Methods write-up'!$Q$17,'[1]observations-276632'!W1109&lt;'[1]Methods write-up'!$R$17,'[1]observations-276632'!X1109&gt;'[1]Methods write-up'!$S$17,'[1]observations-276632'!X1109&lt;'[1]Methods write-up'!$T$17),"Equatorial tropical forest","")</f>
        <v/>
      </c>
      <c r="AZ1109" s="22" t="str">
        <f>IF(AND('[1]observations-276632'!W1109&gt;'[1]Methods write-up'!$Q$18,'[1]observations-276632'!W1109&lt;'[1]Methods write-up'!$R$18,'[1]observations-276632'!X1109&gt;'[1]Methods write-up'!$S$18,'[1]observations-276632'!X1109&lt;'[1]Methods write-up'!$T$18),"Somali peninsula","")</f>
        <v/>
      </c>
      <c r="BA1109" s="22" t="str">
        <f>IF(AND('[1]observations-276632'!W1109&gt;'[1]Methods write-up'!$Q$19,'[1]observations-276632'!W1109&lt;'[1]Methods write-up'!$R$19,'[1]observations-276632'!X1109&gt;'[1]Methods write-up'!$S$19,'[1]observations-276632'!X1109&lt;'[1]Methods write-up'!$T$19),"East Africa","")</f>
        <v/>
      </c>
      <c r="BB1109" s="22" t="str">
        <f>IF(AND('[1]observations-276632'!W1109&gt;'[1]Methods write-up'!$Q$20,'[1]observations-276632'!W1109&lt;'[1]Methods write-up'!$R$20,'[1]observations-276632'!X1109&gt;'[1]Methods write-up'!$S$20,'[1]observations-276632'!X1109&lt;'[1]Methods write-up'!$T$20),"Temperate seasonal","")</f>
        <v>Temperate seasonal</v>
      </c>
      <c r="BC1109" s="22" t="str">
        <f>IF(AND('[1]observations-276632'!W1109&gt;'[1]Methods write-up'!$Q$21,'[1]observations-276632'!W1109&lt;'[1]Methods write-up'!$R$21,'[1]observations-276632'!X1109&gt;'[1]Methods write-up'!$S$21,'[1]observations-276632'!X1109&lt;'[1]Methods write-up'!$T$21),"Desert and high aridity","")</f>
        <v/>
      </c>
      <c r="BD1109" s="23" t="str">
        <f t="shared" si="86"/>
        <v>Temperate seasonal</v>
      </c>
      <c r="BE1109" s="24">
        <f t="shared" si="84"/>
        <v>21</v>
      </c>
      <c r="BF1109" s="24">
        <f t="shared" si="85"/>
        <v>7</v>
      </c>
    </row>
    <row r="1110" spans="1:58" ht="16.25" customHeight="1" x14ac:dyDescent="0.2">
      <c r="A1110">
        <v>127507416</v>
      </c>
      <c r="B1110" s="25">
        <v>44765.467361111114</v>
      </c>
      <c r="C1110" s="14">
        <v>44765</v>
      </c>
      <c r="D1110" t="s">
        <v>8221</v>
      </c>
      <c r="E1110" t="s">
        <v>84</v>
      </c>
      <c r="F1110">
        <v>1590036</v>
      </c>
      <c r="G1110" t="s">
        <v>2228</v>
      </c>
      <c r="I1110" t="s">
        <v>8222</v>
      </c>
      <c r="J1110" t="s">
        <v>8223</v>
      </c>
      <c r="K1110" t="s">
        <v>62</v>
      </c>
      <c r="L1110" t="s">
        <v>63</v>
      </c>
      <c r="M1110" t="s">
        <v>8224</v>
      </c>
      <c r="N1110" t="s">
        <v>8225</v>
      </c>
      <c r="R1110">
        <v>1</v>
      </c>
      <c r="S1110">
        <v>0</v>
      </c>
      <c r="T1110" t="b">
        <v>0</v>
      </c>
      <c r="V1110" t="s">
        <v>1831</v>
      </c>
      <c r="W1110" s="15">
        <v>-15.71865919</v>
      </c>
      <c r="X1110" s="15">
        <v>34.985025829999998</v>
      </c>
      <c r="Y1110">
        <v>2105</v>
      </c>
      <c r="AC1110">
        <v>2105</v>
      </c>
      <c r="AF1110" t="b">
        <v>0</v>
      </c>
      <c r="AI1110" t="s">
        <v>71</v>
      </c>
      <c r="AJ1110" t="s">
        <v>70</v>
      </c>
      <c r="AK1110" t="s">
        <v>71</v>
      </c>
      <c r="AL1110" t="s">
        <v>72</v>
      </c>
      <c r="AM1110">
        <v>346053</v>
      </c>
      <c r="AO1110" s="16" t="s">
        <v>150</v>
      </c>
      <c r="AP1110" s="17" t="str">
        <f t="shared" si="88"/>
        <v>Male (off nest)</v>
      </c>
      <c r="AX1110" s="22" t="str">
        <f>IF(AND('[1]observations-276632'!W1110&gt;'[1]Methods write-up'!$Q$16,'[1]observations-276632'!W1110&lt;'[1]Methods write-up'!$R$16,'[1]observations-276632'!X1110&gt;'[1]Methods write-up'!$S$16,'[1]observations-276632'!X1110&lt;'[1]Methods write-up'!$T$16),"West and Central Africa","")</f>
        <v/>
      </c>
      <c r="AY1110" s="22" t="str">
        <f>IF(AND('[1]observations-276632'!W1110&gt;'[1]Methods write-up'!$Q$17,'[1]observations-276632'!W1110&lt;'[1]Methods write-up'!$R$17,'[1]observations-276632'!X1110&gt;'[1]Methods write-up'!$S$17,'[1]observations-276632'!X1110&lt;'[1]Methods write-up'!$T$17),"Equatorial tropical forest","")</f>
        <v/>
      </c>
      <c r="AZ1110" s="22" t="str">
        <f>IF(AND('[1]observations-276632'!W1110&gt;'[1]Methods write-up'!$Q$18,'[1]observations-276632'!W1110&lt;'[1]Methods write-up'!$R$18,'[1]observations-276632'!X1110&gt;'[1]Methods write-up'!$S$18,'[1]observations-276632'!X1110&lt;'[1]Methods write-up'!$T$18),"Somali peninsula","")</f>
        <v/>
      </c>
      <c r="BA1110" s="22" t="str">
        <f>IF(AND('[1]observations-276632'!W1110&gt;'[1]Methods write-up'!$Q$19,'[1]observations-276632'!W1110&lt;'[1]Methods write-up'!$R$19,'[1]observations-276632'!X1110&gt;'[1]Methods write-up'!$S$19,'[1]observations-276632'!X1110&lt;'[1]Methods write-up'!$T$19),"East Africa","")</f>
        <v/>
      </c>
      <c r="BB1110" s="22" t="str">
        <f>IF(AND('[1]observations-276632'!W1110&gt;'[1]Methods write-up'!$Q$20,'[1]observations-276632'!W1110&lt;'[1]Methods write-up'!$R$20,'[1]observations-276632'!X1110&gt;'[1]Methods write-up'!$S$20,'[1]observations-276632'!X1110&lt;'[1]Methods write-up'!$T$20),"Temperate seasonal","")</f>
        <v/>
      </c>
      <c r="BC1110" s="22" t="str">
        <f>IF(AND('[1]observations-276632'!W1110&gt;'[1]Methods write-up'!$Q$21,'[1]observations-276632'!W1110&lt;'[1]Methods write-up'!$R$21,'[1]observations-276632'!X1110&gt;'[1]Methods write-up'!$S$21,'[1]observations-276632'!X1110&lt;'[1]Methods write-up'!$T$21),"Desert and high aridity","")</f>
        <v/>
      </c>
      <c r="BD1110" s="23" t="str">
        <f t="shared" si="86"/>
        <v/>
      </c>
      <c r="BE1110" s="24">
        <f t="shared" si="84"/>
        <v>23</v>
      </c>
      <c r="BF1110" s="24">
        <f t="shared" si="85"/>
        <v>7</v>
      </c>
    </row>
    <row r="1111" spans="1:58" ht="16.25" customHeight="1" x14ac:dyDescent="0.2">
      <c r="A1111">
        <v>127664280</v>
      </c>
      <c r="B1111" s="25">
        <v>44766.573611111111</v>
      </c>
      <c r="C1111" s="14">
        <v>44766</v>
      </c>
      <c r="D1111" t="s">
        <v>8226</v>
      </c>
      <c r="E1111" t="s">
        <v>113</v>
      </c>
      <c r="F1111">
        <v>4023157</v>
      </c>
      <c r="G1111" t="s">
        <v>4891</v>
      </c>
      <c r="H1111" t="s">
        <v>4892</v>
      </c>
      <c r="I1111" t="s">
        <v>8227</v>
      </c>
      <c r="J1111" t="s">
        <v>8228</v>
      </c>
      <c r="K1111" t="s">
        <v>62</v>
      </c>
      <c r="M1111" t="s">
        <v>8229</v>
      </c>
      <c r="N1111" t="s">
        <v>8230</v>
      </c>
      <c r="R1111">
        <v>3</v>
      </c>
      <c r="S1111">
        <v>0</v>
      </c>
      <c r="T1111" t="b">
        <v>0</v>
      </c>
      <c r="U1111">
        <v>2</v>
      </c>
      <c r="V1111" t="s">
        <v>4898</v>
      </c>
      <c r="W1111" s="15">
        <v>-25.79744492</v>
      </c>
      <c r="X1111" s="15">
        <v>28.298322670000001</v>
      </c>
      <c r="Y1111">
        <v>200</v>
      </c>
      <c r="AC1111">
        <v>200</v>
      </c>
      <c r="AF1111" t="b">
        <v>0</v>
      </c>
      <c r="AG1111" t="s">
        <v>350</v>
      </c>
      <c r="AH1111" t="s">
        <v>350</v>
      </c>
      <c r="AI1111" t="s">
        <v>71</v>
      </c>
      <c r="AJ1111" t="s">
        <v>70</v>
      </c>
      <c r="AK1111" t="s">
        <v>71</v>
      </c>
      <c r="AL1111" t="s">
        <v>72</v>
      </c>
      <c r="AM1111">
        <v>346053</v>
      </c>
      <c r="AO1111" s="16" t="s">
        <v>73</v>
      </c>
      <c r="AP1111" s="17" t="str">
        <f t="shared" si="88"/>
        <v>Off-nest female</v>
      </c>
      <c r="AX1111" s="22" t="str">
        <f>IF(AND('[1]observations-276632'!W1111&gt;'[1]Methods write-up'!$Q$16,'[1]observations-276632'!W1111&lt;'[1]Methods write-up'!$R$16,'[1]observations-276632'!X1111&gt;'[1]Methods write-up'!$S$16,'[1]observations-276632'!X1111&lt;'[1]Methods write-up'!$T$16),"West and Central Africa","")</f>
        <v/>
      </c>
      <c r="AY1111" s="22" t="str">
        <f>IF(AND('[1]observations-276632'!W1111&gt;'[1]Methods write-up'!$Q$17,'[1]observations-276632'!W1111&lt;'[1]Methods write-up'!$R$17,'[1]observations-276632'!X1111&gt;'[1]Methods write-up'!$S$17,'[1]observations-276632'!X1111&lt;'[1]Methods write-up'!$T$17),"Equatorial tropical forest","")</f>
        <v/>
      </c>
      <c r="AZ1111" s="22" t="str">
        <f>IF(AND('[1]observations-276632'!W1111&gt;'[1]Methods write-up'!$Q$18,'[1]observations-276632'!W1111&lt;'[1]Methods write-up'!$R$18,'[1]observations-276632'!X1111&gt;'[1]Methods write-up'!$S$18,'[1]observations-276632'!X1111&lt;'[1]Methods write-up'!$T$18),"Somali peninsula","")</f>
        <v/>
      </c>
      <c r="BA1111" s="22" t="str">
        <f>IF(AND('[1]observations-276632'!W1111&gt;'[1]Methods write-up'!$Q$19,'[1]observations-276632'!W1111&lt;'[1]Methods write-up'!$R$19,'[1]observations-276632'!X1111&gt;'[1]Methods write-up'!$S$19,'[1]observations-276632'!X1111&lt;'[1]Methods write-up'!$T$19),"East Africa","")</f>
        <v/>
      </c>
      <c r="BB1111" s="22" t="str">
        <f>IF(AND('[1]observations-276632'!W1111&gt;'[1]Methods write-up'!$Q$20,'[1]observations-276632'!W1111&lt;'[1]Methods write-up'!$R$20,'[1]observations-276632'!X1111&gt;'[1]Methods write-up'!$S$20,'[1]observations-276632'!X1111&lt;'[1]Methods write-up'!$T$20),"Temperate seasonal","")</f>
        <v>Temperate seasonal</v>
      </c>
      <c r="BC1111" s="22" t="str">
        <f>IF(AND('[1]observations-276632'!W1111&gt;'[1]Methods write-up'!$Q$21,'[1]observations-276632'!W1111&lt;'[1]Methods write-up'!$R$21,'[1]observations-276632'!X1111&gt;'[1]Methods write-up'!$S$21,'[1]observations-276632'!X1111&lt;'[1]Methods write-up'!$T$21),"Desert and high aridity","")</f>
        <v/>
      </c>
      <c r="BD1111" s="23" t="str">
        <f t="shared" si="86"/>
        <v>Temperate seasonal</v>
      </c>
      <c r="BE1111" s="24">
        <f t="shared" si="84"/>
        <v>24</v>
      </c>
      <c r="BF1111" s="24">
        <f t="shared" si="85"/>
        <v>7</v>
      </c>
    </row>
    <row r="1112" spans="1:58" ht="16.25" customHeight="1" x14ac:dyDescent="0.2">
      <c r="A1112">
        <v>127675204</v>
      </c>
      <c r="B1112" s="25">
        <v>44758.408333333333</v>
      </c>
      <c r="C1112" s="14">
        <v>44758</v>
      </c>
      <c r="D1112" t="s">
        <v>8231</v>
      </c>
      <c r="E1112" t="s">
        <v>113</v>
      </c>
      <c r="F1112">
        <v>659922</v>
      </c>
      <c r="G1112" t="s">
        <v>918</v>
      </c>
      <c r="I1112" t="s">
        <v>8232</v>
      </c>
      <c r="J1112" t="s">
        <v>8233</v>
      </c>
      <c r="K1112" t="s">
        <v>62</v>
      </c>
      <c r="L1112" t="s">
        <v>63</v>
      </c>
      <c r="M1112" t="s">
        <v>8234</v>
      </c>
      <c r="N1112" t="s">
        <v>8235</v>
      </c>
      <c r="Q1112" t="s">
        <v>8236</v>
      </c>
      <c r="R1112">
        <v>4</v>
      </c>
      <c r="S1112">
        <v>0</v>
      </c>
      <c r="T1112" t="b">
        <v>0</v>
      </c>
      <c r="V1112" t="s">
        <v>2011</v>
      </c>
      <c r="W1112" s="15">
        <v>-27.596800000000002</v>
      </c>
      <c r="X1112" s="15">
        <v>32.218699999999998</v>
      </c>
      <c r="Y1112">
        <v>50</v>
      </c>
      <c r="AC1112">
        <v>50</v>
      </c>
      <c r="AF1112" t="b">
        <v>0</v>
      </c>
      <c r="AI1112" t="s">
        <v>71</v>
      </c>
      <c r="AJ1112" t="s">
        <v>70</v>
      </c>
      <c r="AK1112" t="s">
        <v>71</v>
      </c>
      <c r="AL1112" t="s">
        <v>72</v>
      </c>
      <c r="AM1112">
        <v>346053</v>
      </c>
      <c r="AO1112" s="16" t="s">
        <v>150</v>
      </c>
      <c r="AP1112" s="17" t="str">
        <f t="shared" si="88"/>
        <v>Male (off nest)</v>
      </c>
      <c r="AX1112" s="22" t="str">
        <f>IF(AND('[1]observations-276632'!W1112&gt;'[1]Methods write-up'!$Q$16,'[1]observations-276632'!W1112&lt;'[1]Methods write-up'!$R$16,'[1]observations-276632'!X1112&gt;'[1]Methods write-up'!$S$16,'[1]observations-276632'!X1112&lt;'[1]Methods write-up'!$T$16),"West and Central Africa","")</f>
        <v/>
      </c>
      <c r="AY1112" s="22" t="str">
        <f>IF(AND('[1]observations-276632'!W1112&gt;'[1]Methods write-up'!$Q$17,'[1]observations-276632'!W1112&lt;'[1]Methods write-up'!$R$17,'[1]observations-276632'!X1112&gt;'[1]Methods write-up'!$S$17,'[1]observations-276632'!X1112&lt;'[1]Methods write-up'!$T$17),"Equatorial tropical forest","")</f>
        <v/>
      </c>
      <c r="AZ1112" s="22" t="str">
        <f>IF(AND('[1]observations-276632'!W1112&gt;'[1]Methods write-up'!$Q$18,'[1]observations-276632'!W1112&lt;'[1]Methods write-up'!$R$18,'[1]observations-276632'!X1112&gt;'[1]Methods write-up'!$S$18,'[1]observations-276632'!X1112&lt;'[1]Methods write-up'!$T$18),"Somali peninsula","")</f>
        <v/>
      </c>
      <c r="BA1112" s="22" t="str">
        <f>IF(AND('[1]observations-276632'!W1112&gt;'[1]Methods write-up'!$Q$19,'[1]observations-276632'!W1112&lt;'[1]Methods write-up'!$R$19,'[1]observations-276632'!X1112&gt;'[1]Methods write-up'!$S$19,'[1]observations-276632'!X1112&lt;'[1]Methods write-up'!$T$19),"East Africa","")</f>
        <v/>
      </c>
      <c r="BB1112" s="22" t="str">
        <f>IF(AND('[1]observations-276632'!W1112&gt;'[1]Methods write-up'!$Q$20,'[1]observations-276632'!W1112&lt;'[1]Methods write-up'!$R$20,'[1]observations-276632'!X1112&gt;'[1]Methods write-up'!$S$20,'[1]observations-276632'!X1112&lt;'[1]Methods write-up'!$T$20),"Temperate seasonal","")</f>
        <v>Temperate seasonal</v>
      </c>
      <c r="BC1112" s="22" t="str">
        <f>IF(AND('[1]observations-276632'!W1112&gt;'[1]Methods write-up'!$Q$21,'[1]observations-276632'!W1112&lt;'[1]Methods write-up'!$R$21,'[1]observations-276632'!X1112&gt;'[1]Methods write-up'!$S$21,'[1]observations-276632'!X1112&lt;'[1]Methods write-up'!$T$21),"Desert and high aridity","")</f>
        <v/>
      </c>
      <c r="BD1112" s="23" t="str">
        <f t="shared" si="86"/>
        <v>Temperate seasonal</v>
      </c>
      <c r="BE1112" s="24">
        <f t="shared" si="84"/>
        <v>16</v>
      </c>
      <c r="BF1112" s="24">
        <f t="shared" si="85"/>
        <v>7</v>
      </c>
    </row>
    <row r="1113" spans="1:58" ht="16.25" customHeight="1" x14ac:dyDescent="0.2">
      <c r="A1113">
        <v>127887495</v>
      </c>
      <c r="B1113" s="25">
        <v>44697.570138888892</v>
      </c>
      <c r="C1113" s="14">
        <v>44697</v>
      </c>
      <c r="D1113" t="s">
        <v>8237</v>
      </c>
      <c r="E1113" t="s">
        <v>74</v>
      </c>
      <c r="F1113">
        <v>84276</v>
      </c>
      <c r="G1113" t="s">
        <v>1426</v>
      </c>
      <c r="H1113" t="s">
        <v>1427</v>
      </c>
      <c r="I1113" t="s">
        <v>8238</v>
      </c>
      <c r="J1113" t="s">
        <v>8239</v>
      </c>
      <c r="K1113" t="s">
        <v>62</v>
      </c>
      <c r="L1113" t="s">
        <v>373</v>
      </c>
      <c r="M1113" t="s">
        <v>8240</v>
      </c>
      <c r="N1113" t="s">
        <v>8241</v>
      </c>
      <c r="R1113">
        <v>2</v>
      </c>
      <c r="S1113">
        <v>0</v>
      </c>
      <c r="T1113" t="b">
        <v>0</v>
      </c>
      <c r="V1113" t="s">
        <v>8242</v>
      </c>
      <c r="W1113" s="15">
        <v>-20.2098467</v>
      </c>
      <c r="X1113" s="15">
        <v>28.590092599999998</v>
      </c>
      <c r="Y1113">
        <v>205</v>
      </c>
      <c r="AC1113">
        <v>205</v>
      </c>
      <c r="AF1113" t="b">
        <v>0</v>
      </c>
      <c r="AI1113" t="s">
        <v>71</v>
      </c>
      <c r="AJ1113" t="s">
        <v>70</v>
      </c>
      <c r="AK1113" t="s">
        <v>71</v>
      </c>
      <c r="AL1113" t="s">
        <v>72</v>
      </c>
      <c r="AM1113">
        <v>346053</v>
      </c>
      <c r="AO1113" s="16" t="s">
        <v>140</v>
      </c>
      <c r="AP1113" s="17" t="str">
        <f t="shared" si="88"/>
        <v>Post-emergence nest</v>
      </c>
      <c r="AQ1113" s="18">
        <v>10</v>
      </c>
      <c r="AT1113" s="19" t="s">
        <v>141</v>
      </c>
      <c r="AU1113" s="20" t="s">
        <v>141</v>
      </c>
      <c r="AX1113" s="22" t="str">
        <f>IF(AND('[1]observations-276632'!W1113&gt;'[1]Methods write-up'!$Q$16,'[1]observations-276632'!W1113&lt;'[1]Methods write-up'!$R$16,'[1]observations-276632'!X1113&gt;'[1]Methods write-up'!$S$16,'[1]observations-276632'!X1113&lt;'[1]Methods write-up'!$T$16),"West and Central Africa","")</f>
        <v/>
      </c>
      <c r="AY1113" s="22" t="str">
        <f>IF(AND('[1]observations-276632'!W1113&gt;'[1]Methods write-up'!$Q$17,'[1]observations-276632'!W1113&lt;'[1]Methods write-up'!$R$17,'[1]observations-276632'!X1113&gt;'[1]Methods write-up'!$S$17,'[1]observations-276632'!X1113&lt;'[1]Methods write-up'!$T$17),"Equatorial tropical forest","")</f>
        <v/>
      </c>
      <c r="AZ1113" s="22" t="str">
        <f>IF(AND('[1]observations-276632'!W1113&gt;'[1]Methods write-up'!$Q$18,'[1]observations-276632'!W1113&lt;'[1]Methods write-up'!$R$18,'[1]observations-276632'!X1113&gt;'[1]Methods write-up'!$S$18,'[1]observations-276632'!X1113&lt;'[1]Methods write-up'!$T$18),"Somali peninsula","")</f>
        <v/>
      </c>
      <c r="BA1113" s="22" t="str">
        <f>IF(AND('[1]observations-276632'!W1113&gt;'[1]Methods write-up'!$Q$19,'[1]observations-276632'!W1113&lt;'[1]Methods write-up'!$R$19,'[1]observations-276632'!X1113&gt;'[1]Methods write-up'!$S$19,'[1]observations-276632'!X1113&lt;'[1]Methods write-up'!$T$19),"East Africa","")</f>
        <v/>
      </c>
      <c r="BB1113" s="22" t="str">
        <f>IF(AND('[1]observations-276632'!W1113&gt;'[1]Methods write-up'!$Q$20,'[1]observations-276632'!W1113&lt;'[1]Methods write-up'!$R$20,'[1]observations-276632'!X1113&gt;'[1]Methods write-up'!$S$20,'[1]observations-276632'!X1113&lt;'[1]Methods write-up'!$T$20),"Temperate seasonal","")</f>
        <v/>
      </c>
      <c r="BC1113" s="22" t="str">
        <f>IF(AND('[1]observations-276632'!W1113&gt;'[1]Methods write-up'!$Q$21,'[1]observations-276632'!W1113&lt;'[1]Methods write-up'!$R$21,'[1]observations-276632'!X1113&gt;'[1]Methods write-up'!$S$21,'[1]observations-276632'!X1113&lt;'[1]Methods write-up'!$T$21),"Desert and high aridity","")</f>
        <v/>
      </c>
      <c r="BD1113" s="23" t="str">
        <f t="shared" si="86"/>
        <v/>
      </c>
      <c r="BE1113" s="24">
        <f t="shared" si="84"/>
        <v>16</v>
      </c>
      <c r="BF1113" s="24">
        <f t="shared" si="85"/>
        <v>5</v>
      </c>
    </row>
    <row r="1114" spans="1:58" ht="16.25" customHeight="1" x14ac:dyDescent="0.2">
      <c r="A1114">
        <v>127984835</v>
      </c>
      <c r="B1114" s="25">
        <v>44768.584722222222</v>
      </c>
      <c r="C1114" s="14">
        <v>44768</v>
      </c>
      <c r="D1114" t="s">
        <v>8243</v>
      </c>
      <c r="E1114" t="s">
        <v>113</v>
      </c>
      <c r="F1114">
        <v>4023157</v>
      </c>
      <c r="G1114" t="s">
        <v>4891</v>
      </c>
      <c r="H1114" t="s">
        <v>4892</v>
      </c>
      <c r="I1114" t="s">
        <v>8244</v>
      </c>
      <c r="J1114" t="s">
        <v>8245</v>
      </c>
      <c r="K1114" t="s">
        <v>62</v>
      </c>
      <c r="M1114" t="s">
        <v>8246</v>
      </c>
      <c r="N1114" t="s">
        <v>8247</v>
      </c>
      <c r="R1114">
        <v>2</v>
      </c>
      <c r="S1114">
        <v>0</v>
      </c>
      <c r="T1114" t="b">
        <v>0</v>
      </c>
      <c r="U1114">
        <v>2</v>
      </c>
      <c r="V1114" t="s">
        <v>4898</v>
      </c>
      <c r="W1114" s="15">
        <v>-25.79744492</v>
      </c>
      <c r="X1114" s="15">
        <v>28.298322670000001</v>
      </c>
      <c r="Y1114">
        <v>200</v>
      </c>
      <c r="AC1114">
        <v>200</v>
      </c>
      <c r="AF1114" t="b">
        <v>0</v>
      </c>
      <c r="AG1114" t="s">
        <v>350</v>
      </c>
      <c r="AH1114" t="s">
        <v>350</v>
      </c>
      <c r="AI1114" t="s">
        <v>71</v>
      </c>
      <c r="AJ1114" t="s">
        <v>70</v>
      </c>
      <c r="AK1114" t="s">
        <v>71</v>
      </c>
      <c r="AL1114" t="s">
        <v>72</v>
      </c>
      <c r="AM1114">
        <v>346053</v>
      </c>
      <c r="AO1114" s="16" t="s">
        <v>73</v>
      </c>
      <c r="AP1114" s="17" t="str">
        <f t="shared" si="88"/>
        <v>Off-nest female</v>
      </c>
      <c r="AX1114" s="22" t="str">
        <f>IF(AND('[1]observations-276632'!W1114&gt;'[1]Methods write-up'!$Q$16,'[1]observations-276632'!W1114&lt;'[1]Methods write-up'!$R$16,'[1]observations-276632'!X1114&gt;'[1]Methods write-up'!$S$16,'[1]observations-276632'!X1114&lt;'[1]Methods write-up'!$T$16),"West and Central Africa","")</f>
        <v/>
      </c>
      <c r="AY1114" s="22" t="str">
        <f>IF(AND('[1]observations-276632'!W1114&gt;'[1]Methods write-up'!$Q$17,'[1]observations-276632'!W1114&lt;'[1]Methods write-up'!$R$17,'[1]observations-276632'!X1114&gt;'[1]Methods write-up'!$S$17,'[1]observations-276632'!X1114&lt;'[1]Methods write-up'!$T$17),"Equatorial tropical forest","")</f>
        <v/>
      </c>
      <c r="AZ1114" s="22" t="str">
        <f>IF(AND('[1]observations-276632'!W1114&gt;'[1]Methods write-up'!$Q$18,'[1]observations-276632'!W1114&lt;'[1]Methods write-up'!$R$18,'[1]observations-276632'!X1114&gt;'[1]Methods write-up'!$S$18,'[1]observations-276632'!X1114&lt;'[1]Methods write-up'!$T$18),"Somali peninsula","")</f>
        <v/>
      </c>
      <c r="BA1114" s="22" t="str">
        <f>IF(AND('[1]observations-276632'!W1114&gt;'[1]Methods write-up'!$Q$19,'[1]observations-276632'!W1114&lt;'[1]Methods write-up'!$R$19,'[1]observations-276632'!X1114&gt;'[1]Methods write-up'!$S$19,'[1]observations-276632'!X1114&lt;'[1]Methods write-up'!$T$19),"East Africa","")</f>
        <v/>
      </c>
      <c r="BB1114" s="22" t="str">
        <f>IF(AND('[1]observations-276632'!W1114&gt;'[1]Methods write-up'!$Q$20,'[1]observations-276632'!W1114&lt;'[1]Methods write-up'!$R$20,'[1]observations-276632'!X1114&gt;'[1]Methods write-up'!$S$20,'[1]observations-276632'!X1114&lt;'[1]Methods write-up'!$T$20),"Temperate seasonal","")</f>
        <v>Temperate seasonal</v>
      </c>
      <c r="BC1114" s="22" t="str">
        <f>IF(AND('[1]observations-276632'!W1114&gt;'[1]Methods write-up'!$Q$21,'[1]observations-276632'!W1114&lt;'[1]Methods write-up'!$R$21,'[1]observations-276632'!X1114&gt;'[1]Methods write-up'!$S$21,'[1]observations-276632'!X1114&lt;'[1]Methods write-up'!$T$21),"Desert and high aridity","")</f>
        <v/>
      </c>
      <c r="BD1114" s="23" t="str">
        <f t="shared" si="86"/>
        <v>Temperate seasonal</v>
      </c>
      <c r="BE1114" s="24">
        <f t="shared" si="84"/>
        <v>26</v>
      </c>
      <c r="BF1114" s="24">
        <f t="shared" si="85"/>
        <v>7</v>
      </c>
    </row>
    <row r="1115" spans="1:58" ht="16.25" customHeight="1" x14ac:dyDescent="0.2">
      <c r="A1115">
        <v>128001256</v>
      </c>
      <c r="B1115" s="25">
        <v>44768.424305555556</v>
      </c>
      <c r="C1115" s="14">
        <v>44768</v>
      </c>
      <c r="D1115" t="s">
        <v>8248</v>
      </c>
      <c r="E1115" t="s">
        <v>8249</v>
      </c>
      <c r="F1115">
        <v>5889199</v>
      </c>
      <c r="G1115" t="s">
        <v>8250</v>
      </c>
      <c r="H1115" t="s">
        <v>8251</v>
      </c>
      <c r="I1115" t="s">
        <v>8252</v>
      </c>
      <c r="J1115" t="s">
        <v>8253</v>
      </c>
      <c r="K1115" t="s">
        <v>2038</v>
      </c>
      <c r="M1115" t="s">
        <v>8254</v>
      </c>
      <c r="N1115" t="s">
        <v>8255</v>
      </c>
      <c r="R1115">
        <v>0</v>
      </c>
      <c r="S1115">
        <v>0</v>
      </c>
      <c r="T1115" t="b">
        <v>0</v>
      </c>
      <c r="U1115">
        <v>2</v>
      </c>
      <c r="AF1115" t="b">
        <v>0</v>
      </c>
      <c r="AI1115" t="s">
        <v>71</v>
      </c>
      <c r="AJ1115" t="s">
        <v>70</v>
      </c>
      <c r="AK1115" t="s">
        <v>71</v>
      </c>
      <c r="AL1115" t="s">
        <v>72</v>
      </c>
      <c r="AM1115">
        <v>346053</v>
      </c>
      <c r="AO1115" s="16" t="s">
        <v>73</v>
      </c>
      <c r="AP1115" s="17" t="str">
        <f t="shared" si="88"/>
        <v>Off-nest female</v>
      </c>
      <c r="AX1115" s="22" t="str">
        <f>IF(AND('[1]observations-276632'!W1115&gt;'[1]Methods write-up'!$Q$16,'[1]observations-276632'!W1115&lt;'[1]Methods write-up'!$R$16,'[1]observations-276632'!X1115&gt;'[1]Methods write-up'!$S$16,'[1]observations-276632'!X1115&lt;'[1]Methods write-up'!$T$16),"West and Central Africa","")</f>
        <v>West and Central Africa</v>
      </c>
      <c r="AY1115" s="22" t="str">
        <f>IF(AND('[1]observations-276632'!W1115&gt;'[1]Methods write-up'!$Q$17,'[1]observations-276632'!W1115&lt;'[1]Methods write-up'!$R$17,'[1]observations-276632'!X1115&gt;'[1]Methods write-up'!$S$17,'[1]observations-276632'!X1115&lt;'[1]Methods write-up'!$T$17),"Equatorial tropical forest","")</f>
        <v/>
      </c>
      <c r="AZ1115" s="22" t="str">
        <f>IF(AND('[1]observations-276632'!W1115&gt;'[1]Methods write-up'!$Q$18,'[1]observations-276632'!W1115&lt;'[1]Methods write-up'!$R$18,'[1]observations-276632'!X1115&gt;'[1]Methods write-up'!$S$18,'[1]observations-276632'!X1115&lt;'[1]Methods write-up'!$T$18),"Somali peninsula","")</f>
        <v/>
      </c>
      <c r="BA1115" s="22" t="str">
        <f>IF(AND('[1]observations-276632'!W1115&gt;'[1]Methods write-up'!$Q$19,'[1]observations-276632'!W1115&lt;'[1]Methods write-up'!$R$19,'[1]observations-276632'!X1115&gt;'[1]Methods write-up'!$S$19,'[1]observations-276632'!X1115&lt;'[1]Methods write-up'!$T$19),"East Africa","")</f>
        <v/>
      </c>
      <c r="BB1115" s="22" t="str">
        <f>IF(AND('[1]observations-276632'!W1115&gt;'[1]Methods write-up'!$Q$20,'[1]observations-276632'!W1115&lt;'[1]Methods write-up'!$R$20,'[1]observations-276632'!X1115&gt;'[1]Methods write-up'!$S$20,'[1]observations-276632'!X1115&lt;'[1]Methods write-up'!$T$20),"Temperate seasonal","")</f>
        <v/>
      </c>
      <c r="BC1115" s="22" t="str">
        <f>IF(AND('[1]observations-276632'!W1115&gt;'[1]Methods write-up'!$Q$21,'[1]observations-276632'!W1115&lt;'[1]Methods write-up'!$R$21,'[1]observations-276632'!X1115&gt;'[1]Methods write-up'!$S$21,'[1]observations-276632'!X1115&lt;'[1]Methods write-up'!$T$21),"Desert and high aridity","")</f>
        <v/>
      </c>
      <c r="BD1115" s="23" t="str">
        <f t="shared" si="86"/>
        <v>West and Central Africa</v>
      </c>
      <c r="BE1115" s="24">
        <f t="shared" si="84"/>
        <v>26</v>
      </c>
      <c r="BF1115" s="24">
        <f t="shared" si="85"/>
        <v>7</v>
      </c>
    </row>
    <row r="1116" spans="1:58" ht="16.25" customHeight="1" x14ac:dyDescent="0.2">
      <c r="A1116">
        <v>128309077</v>
      </c>
      <c r="B1116" t="s">
        <v>8256</v>
      </c>
      <c r="C1116" s="14">
        <v>44770</v>
      </c>
      <c r="D1116" t="s">
        <v>8257</v>
      </c>
      <c r="E1116" t="s">
        <v>84</v>
      </c>
      <c r="F1116">
        <v>5866410</v>
      </c>
      <c r="G1116" t="s">
        <v>8258</v>
      </c>
      <c r="I1116" t="s">
        <v>8259</v>
      </c>
      <c r="J1116" t="s">
        <v>8260</v>
      </c>
      <c r="K1116" t="s">
        <v>62</v>
      </c>
      <c r="L1116" t="s">
        <v>63</v>
      </c>
      <c r="M1116" t="s">
        <v>8261</v>
      </c>
      <c r="N1116" t="s">
        <v>8262</v>
      </c>
      <c r="R1116">
        <v>1</v>
      </c>
      <c r="S1116">
        <v>0</v>
      </c>
      <c r="T1116" t="b">
        <v>0</v>
      </c>
      <c r="U1116">
        <v>333</v>
      </c>
      <c r="V1116" t="s">
        <v>8263</v>
      </c>
      <c r="W1116" s="15">
        <v>1.448154926</v>
      </c>
      <c r="X1116" s="15">
        <v>32.0777626</v>
      </c>
      <c r="Y1116">
        <v>40</v>
      </c>
      <c r="AC1116">
        <v>40</v>
      </c>
      <c r="AF1116" t="b">
        <v>0</v>
      </c>
      <c r="AI1116" t="s">
        <v>71</v>
      </c>
      <c r="AJ1116" t="s">
        <v>70</v>
      </c>
      <c r="AK1116" t="s">
        <v>71</v>
      </c>
      <c r="AL1116" t="s">
        <v>72</v>
      </c>
      <c r="AM1116">
        <v>346053</v>
      </c>
      <c r="AO1116" s="16" t="s">
        <v>73</v>
      </c>
      <c r="AP1116" s="17" t="str">
        <f t="shared" si="88"/>
        <v>Off-nest female</v>
      </c>
      <c r="AX1116" s="22" t="str">
        <f>IF(AND('[1]observations-276632'!W1116&gt;'[1]Methods write-up'!$Q$16,'[1]observations-276632'!W1116&lt;'[1]Methods write-up'!$R$16,'[1]observations-276632'!X1116&gt;'[1]Methods write-up'!$S$16,'[1]observations-276632'!X1116&lt;'[1]Methods write-up'!$T$16),"West and Central Africa","")</f>
        <v/>
      </c>
      <c r="AY1116" s="22" t="str">
        <f>IF(AND('[1]observations-276632'!W1116&gt;'[1]Methods write-up'!$Q$17,'[1]observations-276632'!W1116&lt;'[1]Methods write-up'!$R$17,'[1]observations-276632'!X1116&gt;'[1]Methods write-up'!$S$17,'[1]observations-276632'!X1116&lt;'[1]Methods write-up'!$T$17),"Equatorial tropical forest","")</f>
        <v/>
      </c>
      <c r="AZ1116" s="22" t="str">
        <f>IF(AND('[1]observations-276632'!W1116&gt;'[1]Methods write-up'!$Q$18,'[1]observations-276632'!W1116&lt;'[1]Methods write-up'!$R$18,'[1]observations-276632'!X1116&gt;'[1]Methods write-up'!$S$18,'[1]observations-276632'!X1116&lt;'[1]Methods write-up'!$T$18),"Somali peninsula","")</f>
        <v/>
      </c>
      <c r="BA1116" s="22" t="str">
        <f>IF(AND('[1]observations-276632'!W1116&gt;'[1]Methods write-up'!$Q$19,'[1]observations-276632'!W1116&lt;'[1]Methods write-up'!$R$19,'[1]observations-276632'!X1116&gt;'[1]Methods write-up'!$S$19,'[1]observations-276632'!X1116&lt;'[1]Methods write-up'!$T$19),"East Africa","")</f>
        <v>East Africa</v>
      </c>
      <c r="BB1116" s="22" t="str">
        <f>IF(AND('[1]observations-276632'!W1116&gt;'[1]Methods write-up'!$Q$20,'[1]observations-276632'!W1116&lt;'[1]Methods write-up'!$R$20,'[1]observations-276632'!X1116&gt;'[1]Methods write-up'!$S$20,'[1]observations-276632'!X1116&lt;'[1]Methods write-up'!$T$20),"Temperate seasonal","")</f>
        <v/>
      </c>
      <c r="BC1116" s="22" t="str">
        <f>IF(AND('[1]observations-276632'!W1116&gt;'[1]Methods write-up'!$Q$21,'[1]observations-276632'!W1116&lt;'[1]Methods write-up'!$R$21,'[1]observations-276632'!X1116&gt;'[1]Methods write-up'!$S$21,'[1]observations-276632'!X1116&lt;'[1]Methods write-up'!$T$21),"Desert and high aridity","")</f>
        <v/>
      </c>
      <c r="BD1116" s="23" t="str">
        <f t="shared" si="86"/>
        <v>East Africa</v>
      </c>
      <c r="BE1116" s="24">
        <f t="shared" si="84"/>
        <v>28</v>
      </c>
      <c r="BF1116" s="24">
        <f t="shared" si="85"/>
        <v>7</v>
      </c>
    </row>
    <row r="1117" spans="1:58" ht="16.25" customHeight="1" x14ac:dyDescent="0.2">
      <c r="A1117">
        <v>128765437</v>
      </c>
      <c r="B1117" t="s">
        <v>8264</v>
      </c>
      <c r="C1117" s="14">
        <v>44773</v>
      </c>
      <c r="D1117" t="s">
        <v>8265</v>
      </c>
      <c r="E1117" t="s">
        <v>8266</v>
      </c>
      <c r="F1117">
        <v>5957421</v>
      </c>
      <c r="G1117" t="s">
        <v>8267</v>
      </c>
      <c r="I1117" t="s">
        <v>8268</v>
      </c>
      <c r="J1117" t="s">
        <v>8268</v>
      </c>
      <c r="K1117" t="s">
        <v>2038</v>
      </c>
      <c r="L1117" t="s">
        <v>63</v>
      </c>
      <c r="M1117" t="s">
        <v>8269</v>
      </c>
      <c r="R1117">
        <v>0</v>
      </c>
      <c r="S1117">
        <v>0</v>
      </c>
      <c r="T1117" t="b">
        <v>0</v>
      </c>
      <c r="U1117">
        <v>2</v>
      </c>
      <c r="V1117" t="s">
        <v>8270</v>
      </c>
      <c r="W1117" s="15">
        <v>21.929353280000001</v>
      </c>
      <c r="X1117" s="15">
        <v>101.25551129999999</v>
      </c>
      <c r="Y1117">
        <v>4</v>
      </c>
      <c r="AC1117">
        <v>4</v>
      </c>
      <c r="AF1117" t="b">
        <v>0</v>
      </c>
      <c r="AI1117" t="s">
        <v>71</v>
      </c>
      <c r="AJ1117" t="s">
        <v>70</v>
      </c>
      <c r="AK1117" t="s">
        <v>71</v>
      </c>
      <c r="AL1117" t="s">
        <v>72</v>
      </c>
      <c r="AM1117">
        <v>346053</v>
      </c>
      <c r="AO1117" s="16" t="s">
        <v>6769</v>
      </c>
      <c r="AP1117" s="16"/>
      <c r="AX1117" s="22" t="str">
        <f>IF(AND('[1]observations-276632'!W1117&gt;'[1]Methods write-up'!$Q$16,'[1]observations-276632'!W1117&lt;'[1]Methods write-up'!$R$16,'[1]observations-276632'!X1117&gt;'[1]Methods write-up'!$S$16,'[1]observations-276632'!X1117&lt;'[1]Methods write-up'!$T$16),"West Africa","")</f>
        <v/>
      </c>
      <c r="AY1117" s="22" t="str">
        <f>IF(AND('[1]observations-276632'!W1117&gt;'[1]Methods write-up'!$Q$17,'[1]observations-276632'!W1117&lt;'[1]Methods write-up'!$R$17,'[1]observations-276632'!X1117&gt;'[1]Methods write-up'!$S$17,'[1]observations-276632'!X1117&lt;'[1]Methods write-up'!$T$17),"Equatorial tropical forest","")</f>
        <v/>
      </c>
      <c r="AZ1117" s="22" t="str">
        <f>IF(AND('[1]observations-276632'!W1117&gt;'[1]Methods write-up'!$Q$18,'[1]observations-276632'!W1117&lt;'[1]Methods write-up'!$R$18,'[1]observations-276632'!X1117&gt;'[1]Methods write-up'!$S$18,'[1]observations-276632'!X1117&lt;'[1]Methods write-up'!$T$18),"Somali peninsula","")</f>
        <v/>
      </c>
      <c r="BA1117" s="22" t="str">
        <f>IF(AND('[1]observations-276632'!W1117&gt;'[1]Methods write-up'!$Q$19,'[1]observations-276632'!W1117&lt;'[1]Methods write-up'!$R$19,'[1]observations-276632'!X1117&gt;'[1]Methods write-up'!$S$19,'[1]observations-276632'!X1117&lt;'[1]Methods write-up'!$T$19),"East Africa","")</f>
        <v/>
      </c>
      <c r="BB1117" s="22" t="str">
        <f>IF(AND('[1]observations-276632'!W1117&gt;'[1]Methods write-up'!$Q$20,'[1]observations-276632'!W1117&lt;'[1]Methods write-up'!$R$20,'[1]observations-276632'!X1117&gt;'[1]Methods write-up'!$S$20,'[1]observations-276632'!X1117&lt;'[1]Methods write-up'!$T$20),"Temperate seasonal","")</f>
        <v/>
      </c>
      <c r="BC1117" s="22" t="str">
        <f>IF(AND('[1]observations-276632'!W1117&gt;'[1]Methods write-up'!$Q$21,'[1]observations-276632'!W1117&lt;'[1]Methods write-up'!$R$21,'[1]observations-276632'!X1117&gt;'[1]Methods write-up'!$S$21,'[1]observations-276632'!X1117&lt;'[1]Methods write-up'!$T$21),"Desert and high aridity","")</f>
        <v/>
      </c>
      <c r="BD1117" s="23" t="str">
        <f t="shared" si="86"/>
        <v/>
      </c>
      <c r="BE1117" s="24">
        <f t="shared" si="84"/>
        <v>31</v>
      </c>
      <c r="BF1117" s="24">
        <f t="shared" si="85"/>
        <v>7</v>
      </c>
    </row>
    <row r="1118" spans="1:58" ht="16.25" customHeight="1" x14ac:dyDescent="0.2">
      <c r="A1118">
        <v>128800757</v>
      </c>
      <c r="B1118" s="25">
        <v>44772.682638888888</v>
      </c>
      <c r="C1118" s="14">
        <v>44772</v>
      </c>
      <c r="D1118" t="s">
        <v>8271</v>
      </c>
      <c r="E1118" t="s">
        <v>84</v>
      </c>
      <c r="F1118">
        <v>3087997</v>
      </c>
      <c r="G1118" t="s">
        <v>5047</v>
      </c>
      <c r="H1118" t="s">
        <v>5048</v>
      </c>
      <c r="I1118" t="s">
        <v>8272</v>
      </c>
      <c r="J1118" t="s">
        <v>8273</v>
      </c>
      <c r="K1118" t="s">
        <v>62</v>
      </c>
      <c r="L1118" t="s">
        <v>63</v>
      </c>
      <c r="M1118" t="s">
        <v>8274</v>
      </c>
      <c r="N1118" t="s">
        <v>8275</v>
      </c>
      <c r="R1118">
        <v>1</v>
      </c>
      <c r="S1118">
        <v>0</v>
      </c>
      <c r="T1118" t="b">
        <v>0</v>
      </c>
      <c r="V1118" t="s">
        <v>8276</v>
      </c>
      <c r="W1118" s="15">
        <v>-1.224234901</v>
      </c>
      <c r="X1118" s="15">
        <v>36.896926950000001</v>
      </c>
      <c r="Y1118">
        <v>15</v>
      </c>
      <c r="AC1118">
        <v>15</v>
      </c>
      <c r="AF1118" t="b">
        <v>0</v>
      </c>
      <c r="AI1118" t="s">
        <v>71</v>
      </c>
      <c r="AJ1118" t="s">
        <v>70</v>
      </c>
      <c r="AK1118" t="s">
        <v>71</v>
      </c>
      <c r="AL1118" t="s">
        <v>72</v>
      </c>
      <c r="AM1118">
        <v>346053</v>
      </c>
      <c r="AO1118" s="16" t="s">
        <v>73</v>
      </c>
      <c r="AP1118" s="17" t="str">
        <f t="shared" ref="AP1118:AP1134" si="89">IF(COUNTIF(AO1118,"*foundress*"),"Nest (foundress)",AO1118)</f>
        <v>Off-nest female</v>
      </c>
      <c r="AX1118" s="22" t="str">
        <f>IF(AND('[1]observations-276632'!W1118&gt;'[1]Methods write-up'!$Q$16,'[1]observations-276632'!W1118&lt;'[1]Methods write-up'!$R$16,'[1]observations-276632'!X1118&gt;'[1]Methods write-up'!$S$16,'[1]observations-276632'!X1118&lt;'[1]Methods write-up'!$T$16),"West and Central Africa","")</f>
        <v/>
      </c>
      <c r="AY1118" s="22" t="str">
        <f>IF(AND('[1]observations-276632'!W1118&gt;'[1]Methods write-up'!$Q$17,'[1]observations-276632'!W1118&lt;'[1]Methods write-up'!$R$17,'[1]observations-276632'!X1118&gt;'[1]Methods write-up'!$S$17,'[1]observations-276632'!X1118&lt;'[1]Methods write-up'!$T$17),"Equatorial tropical forest","")</f>
        <v/>
      </c>
      <c r="AZ1118" s="22" t="str">
        <f>IF(AND('[1]observations-276632'!W1118&gt;'[1]Methods write-up'!$Q$18,'[1]observations-276632'!W1118&lt;'[1]Methods write-up'!$R$18,'[1]observations-276632'!X1118&gt;'[1]Methods write-up'!$S$18,'[1]observations-276632'!X1118&lt;'[1]Methods write-up'!$T$18),"Somali peninsula","")</f>
        <v/>
      </c>
      <c r="BA1118" s="22" t="str">
        <f>IF(AND('[1]observations-276632'!W1118&gt;'[1]Methods write-up'!$Q$19,'[1]observations-276632'!W1118&lt;'[1]Methods write-up'!$R$19,'[1]observations-276632'!X1118&gt;'[1]Methods write-up'!$S$19,'[1]observations-276632'!X1118&lt;'[1]Methods write-up'!$T$19),"East Africa","")</f>
        <v>East Africa</v>
      </c>
      <c r="BB1118" s="22" t="str">
        <f>IF(AND('[1]observations-276632'!W1118&gt;'[1]Methods write-up'!$Q$20,'[1]observations-276632'!W1118&lt;'[1]Methods write-up'!$R$20,'[1]observations-276632'!X1118&gt;'[1]Methods write-up'!$S$20,'[1]observations-276632'!X1118&lt;'[1]Methods write-up'!$T$20),"Temperate seasonal","")</f>
        <v/>
      </c>
      <c r="BC1118" s="22" t="str">
        <f>IF(AND('[1]observations-276632'!W1118&gt;'[1]Methods write-up'!$Q$21,'[1]observations-276632'!W1118&lt;'[1]Methods write-up'!$R$21,'[1]observations-276632'!X1118&gt;'[1]Methods write-up'!$S$21,'[1]observations-276632'!X1118&lt;'[1]Methods write-up'!$T$21),"Desert and high aridity","")</f>
        <v/>
      </c>
      <c r="BD1118" s="23" t="str">
        <f t="shared" si="86"/>
        <v>East Africa</v>
      </c>
      <c r="BE1118" s="24">
        <f t="shared" si="84"/>
        <v>30</v>
      </c>
      <c r="BF1118" s="24">
        <f t="shared" si="85"/>
        <v>7</v>
      </c>
    </row>
    <row r="1119" spans="1:58" ht="16.25" customHeight="1" x14ac:dyDescent="0.2">
      <c r="A1119">
        <v>128949034</v>
      </c>
      <c r="B1119" s="25">
        <v>44772.488888888889</v>
      </c>
      <c r="C1119" s="14">
        <v>44772</v>
      </c>
      <c r="D1119" t="s">
        <v>8277</v>
      </c>
      <c r="E1119" t="s">
        <v>113</v>
      </c>
      <c r="F1119">
        <v>5658498</v>
      </c>
      <c r="G1119" t="s">
        <v>8278</v>
      </c>
      <c r="H1119" t="s">
        <v>8279</v>
      </c>
      <c r="I1119" t="s">
        <v>8280</v>
      </c>
      <c r="J1119" t="s">
        <v>8281</v>
      </c>
      <c r="K1119" t="s">
        <v>62</v>
      </c>
      <c r="L1119" t="s">
        <v>63</v>
      </c>
      <c r="M1119" t="s">
        <v>8282</v>
      </c>
      <c r="N1119" t="s">
        <v>8283</v>
      </c>
      <c r="R1119">
        <v>4</v>
      </c>
      <c r="S1119">
        <v>0</v>
      </c>
      <c r="T1119" t="b">
        <v>0</v>
      </c>
      <c r="U1119">
        <v>2</v>
      </c>
      <c r="V1119" t="s">
        <v>8284</v>
      </c>
      <c r="W1119" s="15">
        <v>-25.98445431</v>
      </c>
      <c r="X1119" s="15">
        <v>27.783399559999999</v>
      </c>
      <c r="Y1119">
        <v>243</v>
      </c>
      <c r="AC1119">
        <v>243</v>
      </c>
      <c r="AF1119" t="b">
        <v>0</v>
      </c>
      <c r="AG1119" t="s">
        <v>350</v>
      </c>
      <c r="AH1119" t="s">
        <v>350</v>
      </c>
      <c r="AI1119" t="s">
        <v>71</v>
      </c>
      <c r="AJ1119" t="s">
        <v>70</v>
      </c>
      <c r="AK1119" t="s">
        <v>71</v>
      </c>
      <c r="AL1119" t="s">
        <v>72</v>
      </c>
      <c r="AM1119">
        <v>346053</v>
      </c>
      <c r="AO1119" s="16" t="s">
        <v>73</v>
      </c>
      <c r="AP1119" s="17" t="str">
        <f t="shared" si="89"/>
        <v>Off-nest female</v>
      </c>
      <c r="AX1119" s="22" t="str">
        <f>IF(AND('[1]observations-276632'!W1119&gt;'[1]Methods write-up'!$Q$16,'[1]observations-276632'!W1119&lt;'[1]Methods write-up'!$R$16,'[1]observations-276632'!X1119&gt;'[1]Methods write-up'!$S$16,'[1]observations-276632'!X1119&lt;'[1]Methods write-up'!$T$16),"West and Central Africa","")</f>
        <v/>
      </c>
      <c r="AY1119" s="22" t="str">
        <f>IF(AND('[1]observations-276632'!W1119&gt;'[1]Methods write-up'!$Q$17,'[1]observations-276632'!W1119&lt;'[1]Methods write-up'!$R$17,'[1]observations-276632'!X1119&gt;'[1]Methods write-up'!$S$17,'[1]observations-276632'!X1119&lt;'[1]Methods write-up'!$T$17),"Equatorial tropical forest","")</f>
        <v/>
      </c>
      <c r="AZ1119" s="22" t="str">
        <f>IF(AND('[1]observations-276632'!W1119&gt;'[1]Methods write-up'!$Q$18,'[1]observations-276632'!W1119&lt;'[1]Methods write-up'!$R$18,'[1]observations-276632'!X1119&gt;'[1]Methods write-up'!$S$18,'[1]observations-276632'!X1119&lt;'[1]Methods write-up'!$T$18),"Somali peninsula","")</f>
        <v/>
      </c>
      <c r="BA1119" s="22" t="str">
        <f>IF(AND('[1]observations-276632'!W1119&gt;'[1]Methods write-up'!$Q$19,'[1]observations-276632'!W1119&lt;'[1]Methods write-up'!$R$19,'[1]observations-276632'!X1119&gt;'[1]Methods write-up'!$S$19,'[1]observations-276632'!X1119&lt;'[1]Methods write-up'!$T$19),"East Africa","")</f>
        <v/>
      </c>
      <c r="BB1119" s="22" t="str">
        <f>IF(AND('[1]observations-276632'!W1119&gt;'[1]Methods write-up'!$Q$20,'[1]observations-276632'!W1119&lt;'[1]Methods write-up'!$R$20,'[1]observations-276632'!X1119&gt;'[1]Methods write-up'!$S$20,'[1]observations-276632'!X1119&lt;'[1]Methods write-up'!$T$20),"Temperate seasonal","")</f>
        <v>Temperate seasonal</v>
      </c>
      <c r="BC1119" s="22" t="str">
        <f>IF(AND('[1]observations-276632'!W1119&gt;'[1]Methods write-up'!$Q$21,'[1]observations-276632'!W1119&lt;'[1]Methods write-up'!$R$21,'[1]observations-276632'!X1119&gt;'[1]Methods write-up'!$S$21,'[1]observations-276632'!X1119&lt;'[1]Methods write-up'!$T$21),"Desert and high aridity","")</f>
        <v/>
      </c>
      <c r="BD1119" s="23" t="str">
        <f t="shared" si="86"/>
        <v>Temperate seasonal</v>
      </c>
      <c r="BE1119" s="24">
        <f t="shared" si="84"/>
        <v>30</v>
      </c>
      <c r="BF1119" s="24">
        <f t="shared" si="85"/>
        <v>7</v>
      </c>
    </row>
    <row r="1120" spans="1:58" ht="16.25" customHeight="1" x14ac:dyDescent="0.2">
      <c r="A1120">
        <v>129387005</v>
      </c>
      <c r="B1120" s="25">
        <v>44777.408333333333</v>
      </c>
      <c r="C1120" s="14">
        <v>44777</v>
      </c>
      <c r="D1120" t="s">
        <v>8285</v>
      </c>
      <c r="E1120" t="s">
        <v>8286</v>
      </c>
      <c r="F1120">
        <v>1620265</v>
      </c>
      <c r="G1120" t="s">
        <v>8287</v>
      </c>
      <c r="H1120" t="s">
        <v>8288</v>
      </c>
      <c r="I1120" t="s">
        <v>8289</v>
      </c>
      <c r="J1120" t="s">
        <v>8290</v>
      </c>
      <c r="K1120" t="s">
        <v>62</v>
      </c>
      <c r="M1120" t="s">
        <v>8291</v>
      </c>
      <c r="N1120" t="s">
        <v>8292</v>
      </c>
      <c r="R1120">
        <v>1</v>
      </c>
      <c r="S1120">
        <v>0</v>
      </c>
      <c r="T1120" t="b">
        <v>0</v>
      </c>
      <c r="V1120" t="s">
        <v>8293</v>
      </c>
      <c r="W1120" s="15">
        <v>-3.3617192029999998</v>
      </c>
      <c r="X1120" s="15">
        <v>29.353437079999999</v>
      </c>
      <c r="Y1120">
        <v>1314</v>
      </c>
      <c r="AC1120">
        <v>1314</v>
      </c>
      <c r="AF1120" t="b">
        <v>0</v>
      </c>
      <c r="AI1120" t="s">
        <v>71</v>
      </c>
      <c r="AJ1120" t="s">
        <v>70</v>
      </c>
      <c r="AK1120" t="s">
        <v>71</v>
      </c>
      <c r="AL1120" t="s">
        <v>72</v>
      </c>
      <c r="AM1120">
        <v>346053</v>
      </c>
      <c r="AO1120" s="16" t="s">
        <v>73</v>
      </c>
      <c r="AP1120" s="17" t="str">
        <f t="shared" si="89"/>
        <v>Off-nest female</v>
      </c>
      <c r="AX1120" s="22" t="str">
        <f>IF(AND('[1]observations-276632'!W1120&gt;'[1]Methods write-up'!$Q$16,'[1]observations-276632'!W1120&lt;'[1]Methods write-up'!$R$16,'[1]observations-276632'!X1120&gt;'[1]Methods write-up'!$S$16,'[1]observations-276632'!X1120&lt;'[1]Methods write-up'!$T$16),"West and Central Africa","")</f>
        <v>West and Central Africa</v>
      </c>
      <c r="AY1120" s="22" t="str">
        <f>IF(AND('[1]observations-276632'!W1120&gt;'[1]Methods write-up'!$Q$17,'[1]observations-276632'!W1120&lt;'[1]Methods write-up'!$R$17,'[1]observations-276632'!X1120&gt;'[1]Methods write-up'!$S$17,'[1]observations-276632'!X1120&lt;'[1]Methods write-up'!$T$17),"Equatorial tropical forest","")</f>
        <v/>
      </c>
      <c r="AZ1120" s="22" t="str">
        <f>IF(AND('[1]observations-276632'!W1120&gt;'[1]Methods write-up'!$Q$18,'[1]observations-276632'!W1120&lt;'[1]Methods write-up'!$R$18,'[1]observations-276632'!X1120&gt;'[1]Methods write-up'!$S$18,'[1]observations-276632'!X1120&lt;'[1]Methods write-up'!$T$18),"Somali peninsula","")</f>
        <v/>
      </c>
      <c r="BA1120" s="22" t="str">
        <f>IF(AND('[1]observations-276632'!W1120&gt;'[1]Methods write-up'!$Q$19,'[1]observations-276632'!W1120&lt;'[1]Methods write-up'!$R$19,'[1]observations-276632'!X1120&gt;'[1]Methods write-up'!$S$19,'[1]observations-276632'!X1120&lt;'[1]Methods write-up'!$T$19),"East Africa","")</f>
        <v/>
      </c>
      <c r="BB1120" s="22" t="str">
        <f>IF(AND('[1]observations-276632'!W1120&gt;'[1]Methods write-up'!$Q$20,'[1]observations-276632'!W1120&lt;'[1]Methods write-up'!$R$20,'[1]observations-276632'!X1120&gt;'[1]Methods write-up'!$S$20,'[1]observations-276632'!X1120&lt;'[1]Methods write-up'!$T$20),"Temperate seasonal","")</f>
        <v/>
      </c>
      <c r="BC1120" s="22" t="str">
        <f>IF(AND('[1]observations-276632'!W1120&gt;'[1]Methods write-up'!$Q$21,'[1]observations-276632'!W1120&lt;'[1]Methods write-up'!$R$21,'[1]observations-276632'!X1120&gt;'[1]Methods write-up'!$S$21,'[1]observations-276632'!X1120&lt;'[1]Methods write-up'!$T$21),"Desert and high aridity","")</f>
        <v/>
      </c>
      <c r="BD1120" s="23" t="str">
        <f t="shared" si="86"/>
        <v>West and Central Africa</v>
      </c>
      <c r="BE1120" s="24">
        <f t="shared" si="84"/>
        <v>4</v>
      </c>
      <c r="BF1120" s="24">
        <f t="shared" si="85"/>
        <v>8</v>
      </c>
    </row>
    <row r="1121" spans="1:58" ht="16.25" customHeight="1" x14ac:dyDescent="0.2">
      <c r="A1121">
        <v>129404237</v>
      </c>
      <c r="B1121" t="s">
        <v>8294</v>
      </c>
      <c r="C1121" s="14">
        <v>44777</v>
      </c>
      <c r="D1121" t="s">
        <v>8295</v>
      </c>
      <c r="E1121" t="s">
        <v>8296</v>
      </c>
      <c r="F1121">
        <v>3218921</v>
      </c>
      <c r="G1121" t="s">
        <v>8297</v>
      </c>
      <c r="I1121" t="s">
        <v>8298</v>
      </c>
      <c r="J1121" t="s">
        <v>8299</v>
      </c>
      <c r="K1121" t="s">
        <v>62</v>
      </c>
      <c r="L1121" t="s">
        <v>63</v>
      </c>
      <c r="M1121" t="s">
        <v>8300</v>
      </c>
      <c r="N1121" t="s">
        <v>8301</v>
      </c>
      <c r="R1121">
        <v>0</v>
      </c>
      <c r="S1121">
        <v>0</v>
      </c>
      <c r="T1121" t="b">
        <v>0</v>
      </c>
      <c r="U1121">
        <v>3</v>
      </c>
      <c r="V1121" t="s">
        <v>8302</v>
      </c>
      <c r="W1121" s="15">
        <v>-15.469121400000001</v>
      </c>
      <c r="X1121" s="15">
        <v>28.162462959999999</v>
      </c>
      <c r="Y1121">
        <v>5</v>
      </c>
      <c r="AC1121">
        <v>5</v>
      </c>
      <c r="AF1121" t="b">
        <v>0</v>
      </c>
      <c r="AI1121" t="s">
        <v>71</v>
      </c>
      <c r="AJ1121" t="s">
        <v>70</v>
      </c>
      <c r="AK1121" t="s">
        <v>71</v>
      </c>
      <c r="AL1121" t="s">
        <v>72</v>
      </c>
      <c r="AM1121">
        <v>346053</v>
      </c>
      <c r="AO1121" s="16" t="s">
        <v>442</v>
      </c>
      <c r="AP1121" s="17" t="str">
        <f t="shared" si="89"/>
        <v>Dead female</v>
      </c>
      <c r="AX1121" s="22" t="str">
        <f>IF(AND('[1]observations-276632'!W1121&gt;'[1]Methods write-up'!$Q$16,'[1]observations-276632'!W1121&lt;'[1]Methods write-up'!$R$16,'[1]observations-276632'!X1121&gt;'[1]Methods write-up'!$S$16,'[1]observations-276632'!X1121&lt;'[1]Methods write-up'!$T$16),"West and Central Africa","")</f>
        <v>West and Central Africa</v>
      </c>
      <c r="AY1121" s="22" t="str">
        <f>IF(AND('[1]observations-276632'!W1121&gt;'[1]Methods write-up'!$Q$17,'[1]observations-276632'!W1121&lt;'[1]Methods write-up'!$R$17,'[1]observations-276632'!X1121&gt;'[1]Methods write-up'!$S$17,'[1]observations-276632'!X1121&lt;'[1]Methods write-up'!$T$17),"Equatorial tropical forest","")</f>
        <v/>
      </c>
      <c r="AZ1121" s="22" t="str">
        <f>IF(AND('[1]observations-276632'!W1121&gt;'[1]Methods write-up'!$Q$18,'[1]observations-276632'!W1121&lt;'[1]Methods write-up'!$R$18,'[1]observations-276632'!X1121&gt;'[1]Methods write-up'!$S$18,'[1]observations-276632'!X1121&lt;'[1]Methods write-up'!$T$18),"Somali peninsula","")</f>
        <v/>
      </c>
      <c r="BA1121" s="22" t="str">
        <f>IF(AND('[1]observations-276632'!W1121&gt;'[1]Methods write-up'!$Q$19,'[1]observations-276632'!W1121&lt;'[1]Methods write-up'!$R$19,'[1]observations-276632'!X1121&gt;'[1]Methods write-up'!$S$19,'[1]observations-276632'!X1121&lt;'[1]Methods write-up'!$T$19),"East Africa","")</f>
        <v/>
      </c>
      <c r="BB1121" s="22" t="str">
        <f>IF(AND('[1]observations-276632'!W1121&gt;'[1]Methods write-up'!$Q$20,'[1]observations-276632'!W1121&lt;'[1]Methods write-up'!$R$20,'[1]observations-276632'!X1121&gt;'[1]Methods write-up'!$S$20,'[1]observations-276632'!X1121&lt;'[1]Methods write-up'!$T$20),"Temperate seasonal","")</f>
        <v/>
      </c>
      <c r="BC1121" s="22" t="str">
        <f>IF(AND('[1]observations-276632'!W1121&gt;'[1]Methods write-up'!$Q$21,'[1]observations-276632'!W1121&lt;'[1]Methods write-up'!$R$21,'[1]observations-276632'!X1121&gt;'[1]Methods write-up'!$S$21,'[1]observations-276632'!X1121&lt;'[1]Methods write-up'!$T$21),"Desert and high aridity","")</f>
        <v/>
      </c>
      <c r="BD1121" s="23" t="str">
        <f t="shared" si="86"/>
        <v>West and Central Africa</v>
      </c>
      <c r="BE1121" s="24">
        <f t="shared" si="84"/>
        <v>4</v>
      </c>
      <c r="BF1121" s="24">
        <f t="shared" si="85"/>
        <v>8</v>
      </c>
    </row>
    <row r="1122" spans="1:58" ht="16.25" customHeight="1" x14ac:dyDescent="0.2">
      <c r="A1122">
        <v>129544194</v>
      </c>
      <c r="B1122" t="s">
        <v>8303</v>
      </c>
      <c r="C1122" s="14">
        <v>44778</v>
      </c>
      <c r="D1122" t="s">
        <v>8304</v>
      </c>
      <c r="E1122" t="s">
        <v>113</v>
      </c>
      <c r="F1122">
        <v>5796388</v>
      </c>
      <c r="G1122" t="s">
        <v>8305</v>
      </c>
      <c r="I1122" t="s">
        <v>8306</v>
      </c>
      <c r="J1122" t="s">
        <v>8307</v>
      </c>
      <c r="K1122" t="s">
        <v>62</v>
      </c>
      <c r="L1122" t="s">
        <v>63</v>
      </c>
      <c r="M1122" t="s">
        <v>8308</v>
      </c>
      <c r="N1122" t="s">
        <v>8309</v>
      </c>
      <c r="R1122">
        <v>3</v>
      </c>
      <c r="S1122">
        <v>0</v>
      </c>
      <c r="T1122" t="b">
        <v>0</v>
      </c>
      <c r="U1122">
        <v>3</v>
      </c>
      <c r="V1122" t="s">
        <v>8310</v>
      </c>
      <c r="W1122" s="15">
        <v>-22.943041669999999</v>
      </c>
      <c r="X1122" s="15">
        <v>29.464553330000001</v>
      </c>
      <c r="Y1122">
        <v>35</v>
      </c>
      <c r="AC1122">
        <v>35</v>
      </c>
      <c r="AF1122" t="b">
        <v>0</v>
      </c>
      <c r="AI1122" t="s">
        <v>71</v>
      </c>
      <c r="AJ1122" t="s">
        <v>70</v>
      </c>
      <c r="AK1122" t="s">
        <v>71</v>
      </c>
      <c r="AL1122" t="s">
        <v>72</v>
      </c>
      <c r="AM1122">
        <v>346053</v>
      </c>
      <c r="AO1122" s="16" t="s">
        <v>73</v>
      </c>
      <c r="AP1122" s="17" t="str">
        <f t="shared" si="89"/>
        <v>Off-nest female</v>
      </c>
      <c r="AX1122" s="22" t="str">
        <f>IF(AND('[1]observations-276632'!W1122&gt;'[1]Methods write-up'!$Q$16,'[1]observations-276632'!W1122&lt;'[1]Methods write-up'!$R$16,'[1]observations-276632'!X1122&gt;'[1]Methods write-up'!$S$16,'[1]observations-276632'!X1122&lt;'[1]Methods write-up'!$T$16),"West and Central Africa","")</f>
        <v/>
      </c>
      <c r="AY1122" s="22" t="str">
        <f>IF(AND('[1]observations-276632'!W1122&gt;'[1]Methods write-up'!$Q$17,'[1]observations-276632'!W1122&lt;'[1]Methods write-up'!$R$17,'[1]observations-276632'!X1122&gt;'[1]Methods write-up'!$S$17,'[1]observations-276632'!X1122&lt;'[1]Methods write-up'!$T$17),"Equatorial tropical forest","")</f>
        <v/>
      </c>
      <c r="AZ1122" s="22" t="str">
        <f>IF(AND('[1]observations-276632'!W1122&gt;'[1]Methods write-up'!$Q$18,'[1]observations-276632'!W1122&lt;'[1]Methods write-up'!$R$18,'[1]observations-276632'!X1122&gt;'[1]Methods write-up'!$S$18,'[1]observations-276632'!X1122&lt;'[1]Methods write-up'!$T$18),"Somali peninsula","")</f>
        <v/>
      </c>
      <c r="BA1122" s="22" t="str">
        <f>IF(AND('[1]observations-276632'!W1122&gt;'[1]Methods write-up'!$Q$19,'[1]observations-276632'!W1122&lt;'[1]Methods write-up'!$R$19,'[1]observations-276632'!X1122&gt;'[1]Methods write-up'!$S$19,'[1]observations-276632'!X1122&lt;'[1]Methods write-up'!$T$19),"East Africa","")</f>
        <v/>
      </c>
      <c r="BB1122" s="22" t="str">
        <f>IF(AND('[1]observations-276632'!W1122&gt;'[1]Methods write-up'!$Q$20,'[1]observations-276632'!W1122&lt;'[1]Methods write-up'!$R$20,'[1]observations-276632'!X1122&gt;'[1]Methods write-up'!$S$20,'[1]observations-276632'!X1122&lt;'[1]Methods write-up'!$T$20),"Temperate seasonal","")</f>
        <v/>
      </c>
      <c r="BC1122" s="22" t="str">
        <f>IF(AND('[1]observations-276632'!W1122&gt;'[1]Methods write-up'!$Q$21,'[1]observations-276632'!W1122&lt;'[1]Methods write-up'!$R$21,'[1]observations-276632'!X1122&gt;'[1]Methods write-up'!$S$21,'[1]observations-276632'!X1122&lt;'[1]Methods write-up'!$T$21),"Desert and high aridity","")</f>
        <v/>
      </c>
      <c r="BD1122" s="23" t="str">
        <f t="shared" si="86"/>
        <v/>
      </c>
      <c r="BE1122" s="24">
        <f t="shared" si="84"/>
        <v>5</v>
      </c>
      <c r="BF1122" s="24">
        <f t="shared" si="85"/>
        <v>8</v>
      </c>
    </row>
    <row r="1123" spans="1:58" ht="16.25" customHeight="1" x14ac:dyDescent="0.2">
      <c r="A1123">
        <v>129677785</v>
      </c>
      <c r="B1123" s="25">
        <v>44779.527777777781</v>
      </c>
      <c r="C1123" s="14">
        <v>44779</v>
      </c>
      <c r="D1123" t="s">
        <v>8311</v>
      </c>
      <c r="E1123" t="s">
        <v>113</v>
      </c>
      <c r="F1123">
        <v>3814194</v>
      </c>
      <c r="G1123" t="s">
        <v>5242</v>
      </c>
      <c r="H1123" t="s">
        <v>5243</v>
      </c>
      <c r="I1123" t="s">
        <v>8312</v>
      </c>
      <c r="J1123" t="s">
        <v>8313</v>
      </c>
      <c r="K1123" t="s">
        <v>62</v>
      </c>
      <c r="L1123" t="s">
        <v>63</v>
      </c>
      <c r="M1123" t="s">
        <v>8314</v>
      </c>
      <c r="N1123" t="s">
        <v>8315</v>
      </c>
      <c r="P1123" t="s">
        <v>7952</v>
      </c>
      <c r="R1123">
        <v>3</v>
      </c>
      <c r="S1123">
        <v>0</v>
      </c>
      <c r="T1123" t="b">
        <v>0</v>
      </c>
      <c r="V1123" t="s">
        <v>5250</v>
      </c>
      <c r="W1123" s="15">
        <v>-26.0585816</v>
      </c>
      <c r="X1123" s="15">
        <v>27.975387999999999</v>
      </c>
      <c r="Y1123">
        <v>1769</v>
      </c>
      <c r="AC1123">
        <v>1769</v>
      </c>
      <c r="AF1123" t="b">
        <v>0</v>
      </c>
      <c r="AI1123" t="s">
        <v>71</v>
      </c>
      <c r="AJ1123" t="s">
        <v>70</v>
      </c>
      <c r="AK1123" t="s">
        <v>71</v>
      </c>
      <c r="AL1123" t="s">
        <v>72</v>
      </c>
      <c r="AM1123">
        <v>346053</v>
      </c>
      <c r="AO1123" s="16" t="s">
        <v>73</v>
      </c>
      <c r="AP1123" s="17" t="str">
        <f t="shared" si="89"/>
        <v>Off-nest female</v>
      </c>
      <c r="AX1123" s="22" t="str">
        <f>IF(AND('[1]observations-276632'!W1123&gt;'[1]Methods write-up'!$Q$16,'[1]observations-276632'!W1123&lt;'[1]Methods write-up'!$R$16,'[1]observations-276632'!X1123&gt;'[1]Methods write-up'!$S$16,'[1]observations-276632'!X1123&lt;'[1]Methods write-up'!$T$16),"West and Central Africa","")</f>
        <v/>
      </c>
      <c r="AY1123" s="22" t="str">
        <f>IF(AND('[1]observations-276632'!W1123&gt;'[1]Methods write-up'!$Q$17,'[1]observations-276632'!W1123&lt;'[1]Methods write-up'!$R$17,'[1]observations-276632'!X1123&gt;'[1]Methods write-up'!$S$17,'[1]observations-276632'!X1123&lt;'[1]Methods write-up'!$T$17),"Equatorial tropical forest","")</f>
        <v/>
      </c>
      <c r="AZ1123" s="22" t="str">
        <f>IF(AND('[1]observations-276632'!W1123&gt;'[1]Methods write-up'!$Q$18,'[1]observations-276632'!W1123&lt;'[1]Methods write-up'!$R$18,'[1]observations-276632'!X1123&gt;'[1]Methods write-up'!$S$18,'[1]observations-276632'!X1123&lt;'[1]Methods write-up'!$T$18),"Somali peninsula","")</f>
        <v/>
      </c>
      <c r="BA1123" s="22" t="str">
        <f>IF(AND('[1]observations-276632'!W1123&gt;'[1]Methods write-up'!$Q$19,'[1]observations-276632'!W1123&lt;'[1]Methods write-up'!$R$19,'[1]observations-276632'!X1123&gt;'[1]Methods write-up'!$S$19,'[1]observations-276632'!X1123&lt;'[1]Methods write-up'!$T$19),"East Africa","")</f>
        <v/>
      </c>
      <c r="BB1123" s="22" t="str">
        <f>IF(AND('[1]observations-276632'!W1123&gt;'[1]Methods write-up'!$Q$20,'[1]observations-276632'!W1123&lt;'[1]Methods write-up'!$R$20,'[1]observations-276632'!X1123&gt;'[1]Methods write-up'!$S$20,'[1]observations-276632'!X1123&lt;'[1]Methods write-up'!$T$20),"Temperate seasonal","")</f>
        <v>Temperate seasonal</v>
      </c>
      <c r="BC1123" s="22" t="str">
        <f>IF(AND('[1]observations-276632'!W1123&gt;'[1]Methods write-up'!$Q$21,'[1]observations-276632'!W1123&lt;'[1]Methods write-up'!$R$21,'[1]observations-276632'!X1123&gt;'[1]Methods write-up'!$S$21,'[1]observations-276632'!X1123&lt;'[1]Methods write-up'!$T$21),"Desert and high aridity","")</f>
        <v/>
      </c>
      <c r="BD1123" s="23" t="str">
        <f t="shared" si="86"/>
        <v>Temperate seasonal</v>
      </c>
      <c r="BE1123" s="24">
        <f t="shared" si="84"/>
        <v>6</v>
      </c>
      <c r="BF1123" s="24">
        <f t="shared" si="85"/>
        <v>8</v>
      </c>
    </row>
    <row r="1124" spans="1:58" ht="16.25" customHeight="1" x14ac:dyDescent="0.2">
      <c r="A1124">
        <v>129962535</v>
      </c>
      <c r="B1124" t="s">
        <v>8316</v>
      </c>
      <c r="C1124" s="14">
        <v>44781</v>
      </c>
      <c r="D1124" t="s">
        <v>8317</v>
      </c>
      <c r="E1124" t="s">
        <v>113</v>
      </c>
      <c r="F1124">
        <v>5796388</v>
      </c>
      <c r="G1124" t="s">
        <v>8305</v>
      </c>
      <c r="I1124" t="s">
        <v>8318</v>
      </c>
      <c r="J1124" t="s">
        <v>8319</v>
      </c>
      <c r="K1124" t="s">
        <v>62</v>
      </c>
      <c r="L1124" t="s">
        <v>63</v>
      </c>
      <c r="M1124" t="s">
        <v>8320</v>
      </c>
      <c r="N1124" t="s">
        <v>8321</v>
      </c>
      <c r="R1124">
        <v>3</v>
      </c>
      <c r="S1124">
        <v>0</v>
      </c>
      <c r="T1124" t="b">
        <v>0</v>
      </c>
      <c r="U1124">
        <v>3</v>
      </c>
      <c r="V1124" t="s">
        <v>8310</v>
      </c>
      <c r="W1124" s="15">
        <v>-23.051449999999999</v>
      </c>
      <c r="X1124" s="15">
        <v>30.097547169999999</v>
      </c>
      <c r="Y1124">
        <v>32</v>
      </c>
      <c r="AC1124">
        <v>32</v>
      </c>
      <c r="AF1124" t="b">
        <v>0</v>
      </c>
      <c r="AI1124" t="s">
        <v>71</v>
      </c>
      <c r="AJ1124" t="s">
        <v>70</v>
      </c>
      <c r="AK1124" t="s">
        <v>71</v>
      </c>
      <c r="AL1124" t="s">
        <v>72</v>
      </c>
      <c r="AM1124">
        <v>346053</v>
      </c>
      <c r="AO1124" s="16" t="s">
        <v>110</v>
      </c>
      <c r="AP1124" s="17" t="str">
        <f t="shared" si="89"/>
        <v>Nest (foundress)</v>
      </c>
      <c r="AQ1124" s="18">
        <v>1</v>
      </c>
      <c r="AT1124" s="19" t="s">
        <v>104</v>
      </c>
      <c r="AX1124" s="22" t="str">
        <f>IF(AND('[1]observations-276632'!W1124&gt;'[1]Methods write-up'!$Q$16,'[1]observations-276632'!W1124&lt;'[1]Methods write-up'!$R$16,'[1]observations-276632'!X1124&gt;'[1]Methods write-up'!$S$16,'[1]observations-276632'!X1124&lt;'[1]Methods write-up'!$T$16),"West and Central Africa","")</f>
        <v/>
      </c>
      <c r="AY1124" s="22" t="str">
        <f>IF(AND('[1]observations-276632'!W1124&gt;'[1]Methods write-up'!$Q$17,'[1]observations-276632'!W1124&lt;'[1]Methods write-up'!$R$17,'[1]observations-276632'!X1124&gt;'[1]Methods write-up'!$S$17,'[1]observations-276632'!X1124&lt;'[1]Methods write-up'!$T$17),"Equatorial tropical forest","")</f>
        <v/>
      </c>
      <c r="AZ1124" s="22" t="str">
        <f>IF(AND('[1]observations-276632'!W1124&gt;'[1]Methods write-up'!$Q$18,'[1]observations-276632'!W1124&lt;'[1]Methods write-up'!$R$18,'[1]observations-276632'!X1124&gt;'[1]Methods write-up'!$S$18,'[1]observations-276632'!X1124&lt;'[1]Methods write-up'!$T$18),"Somali peninsula","")</f>
        <v/>
      </c>
      <c r="BA1124" s="22" t="str">
        <f>IF(AND('[1]observations-276632'!W1124&gt;'[1]Methods write-up'!$Q$19,'[1]observations-276632'!W1124&lt;'[1]Methods write-up'!$R$19,'[1]observations-276632'!X1124&gt;'[1]Methods write-up'!$S$19,'[1]observations-276632'!X1124&lt;'[1]Methods write-up'!$T$19),"East Africa","")</f>
        <v/>
      </c>
      <c r="BB1124" s="22" t="str">
        <f>IF(AND('[1]observations-276632'!W1124&gt;'[1]Methods write-up'!$Q$20,'[1]observations-276632'!W1124&lt;'[1]Methods write-up'!$R$20,'[1]observations-276632'!X1124&gt;'[1]Methods write-up'!$S$20,'[1]observations-276632'!X1124&lt;'[1]Methods write-up'!$T$20),"Temperate seasonal","")</f>
        <v/>
      </c>
      <c r="BC1124" s="22" t="str">
        <f>IF(AND('[1]observations-276632'!W1124&gt;'[1]Methods write-up'!$Q$21,'[1]observations-276632'!W1124&lt;'[1]Methods write-up'!$R$21,'[1]observations-276632'!X1124&gt;'[1]Methods write-up'!$S$21,'[1]observations-276632'!X1124&lt;'[1]Methods write-up'!$T$21),"Desert and high aridity","")</f>
        <v/>
      </c>
      <c r="BD1124" s="23" t="str">
        <f t="shared" si="86"/>
        <v/>
      </c>
      <c r="BE1124" s="24">
        <f t="shared" si="84"/>
        <v>8</v>
      </c>
      <c r="BF1124" s="24">
        <f t="shared" si="85"/>
        <v>8</v>
      </c>
    </row>
    <row r="1125" spans="1:58" ht="16.25" customHeight="1" x14ac:dyDescent="0.2">
      <c r="A1125">
        <v>130092496</v>
      </c>
      <c r="B1125" t="s">
        <v>8322</v>
      </c>
      <c r="C1125" s="14">
        <v>44782</v>
      </c>
      <c r="D1125" t="s">
        <v>8323</v>
      </c>
      <c r="E1125" t="s">
        <v>84</v>
      </c>
      <c r="F1125">
        <v>292489</v>
      </c>
      <c r="G1125" t="s">
        <v>1450</v>
      </c>
      <c r="H1125" t="s">
        <v>1451</v>
      </c>
      <c r="I1125" t="s">
        <v>8324</v>
      </c>
      <c r="J1125" t="s">
        <v>8325</v>
      </c>
      <c r="K1125" t="s">
        <v>62</v>
      </c>
      <c r="L1125" t="s">
        <v>98</v>
      </c>
      <c r="M1125" t="s">
        <v>8326</v>
      </c>
      <c r="N1125" t="s">
        <v>8327</v>
      </c>
      <c r="R1125">
        <v>1</v>
      </c>
      <c r="S1125">
        <v>0</v>
      </c>
      <c r="T1125" t="b">
        <v>0</v>
      </c>
      <c r="U1125">
        <v>3</v>
      </c>
      <c r="V1125" t="s">
        <v>8328</v>
      </c>
      <c r="W1125" s="15">
        <v>-1.273352034</v>
      </c>
      <c r="X1125" s="15">
        <v>36.814861499999999</v>
      </c>
      <c r="Y1125">
        <v>4</v>
      </c>
      <c r="AC1125">
        <v>4</v>
      </c>
      <c r="AF1125" t="b">
        <v>0</v>
      </c>
      <c r="AI1125" t="s">
        <v>71</v>
      </c>
      <c r="AJ1125" t="s">
        <v>70</v>
      </c>
      <c r="AK1125" t="s">
        <v>71</v>
      </c>
      <c r="AL1125" t="s">
        <v>72</v>
      </c>
      <c r="AM1125">
        <v>346053</v>
      </c>
      <c r="AO1125" s="16" t="s">
        <v>442</v>
      </c>
      <c r="AP1125" s="17" t="str">
        <f t="shared" si="89"/>
        <v>Dead female</v>
      </c>
      <c r="AX1125" s="22" t="str">
        <f>IF(AND('[1]observations-276632'!W1125&gt;'[1]Methods write-up'!$Q$16,'[1]observations-276632'!W1125&lt;'[1]Methods write-up'!$R$16,'[1]observations-276632'!X1125&gt;'[1]Methods write-up'!$S$16,'[1]observations-276632'!X1125&lt;'[1]Methods write-up'!$T$16),"West and Central Africa","")</f>
        <v/>
      </c>
      <c r="AY1125" s="22" t="str">
        <f>IF(AND('[1]observations-276632'!W1125&gt;'[1]Methods write-up'!$Q$17,'[1]observations-276632'!W1125&lt;'[1]Methods write-up'!$R$17,'[1]observations-276632'!X1125&gt;'[1]Methods write-up'!$S$17,'[1]observations-276632'!X1125&lt;'[1]Methods write-up'!$T$17),"Equatorial tropical forest","")</f>
        <v/>
      </c>
      <c r="AZ1125" s="22" t="str">
        <f>IF(AND('[1]observations-276632'!W1125&gt;'[1]Methods write-up'!$Q$18,'[1]observations-276632'!W1125&lt;'[1]Methods write-up'!$R$18,'[1]observations-276632'!X1125&gt;'[1]Methods write-up'!$S$18,'[1]observations-276632'!X1125&lt;'[1]Methods write-up'!$T$18),"Somali peninsula","")</f>
        <v/>
      </c>
      <c r="BA1125" s="22" t="str">
        <f>IF(AND('[1]observations-276632'!W1125&gt;'[1]Methods write-up'!$Q$19,'[1]observations-276632'!W1125&lt;'[1]Methods write-up'!$R$19,'[1]observations-276632'!X1125&gt;'[1]Methods write-up'!$S$19,'[1]observations-276632'!X1125&lt;'[1]Methods write-up'!$T$19),"East Africa","")</f>
        <v>East Africa</v>
      </c>
      <c r="BB1125" s="22" t="str">
        <f>IF(AND('[1]observations-276632'!W1125&gt;'[1]Methods write-up'!$Q$20,'[1]observations-276632'!W1125&lt;'[1]Methods write-up'!$R$20,'[1]observations-276632'!X1125&gt;'[1]Methods write-up'!$S$20,'[1]observations-276632'!X1125&lt;'[1]Methods write-up'!$T$20),"Temperate seasonal","")</f>
        <v/>
      </c>
      <c r="BC1125" s="22" t="str">
        <f>IF(AND('[1]observations-276632'!W1125&gt;'[1]Methods write-up'!$Q$21,'[1]observations-276632'!W1125&lt;'[1]Methods write-up'!$R$21,'[1]observations-276632'!X1125&gt;'[1]Methods write-up'!$S$21,'[1]observations-276632'!X1125&lt;'[1]Methods write-up'!$T$21),"Desert and high aridity","")</f>
        <v/>
      </c>
      <c r="BD1125" s="23" t="str">
        <f t="shared" si="86"/>
        <v>East Africa</v>
      </c>
      <c r="BE1125" s="24">
        <f t="shared" si="84"/>
        <v>9</v>
      </c>
      <c r="BF1125" s="24">
        <f t="shared" si="85"/>
        <v>8</v>
      </c>
    </row>
    <row r="1126" spans="1:58" ht="16.25" customHeight="1" x14ac:dyDescent="0.2">
      <c r="A1126">
        <v>130220799</v>
      </c>
      <c r="B1126" s="25">
        <v>44769.614583333336</v>
      </c>
      <c r="C1126" s="14">
        <v>44769</v>
      </c>
      <c r="D1126" t="s">
        <v>8329</v>
      </c>
      <c r="E1126" t="s">
        <v>8330</v>
      </c>
      <c r="F1126">
        <v>5250709</v>
      </c>
      <c r="G1126" t="s">
        <v>8331</v>
      </c>
      <c r="H1126" t="s">
        <v>8332</v>
      </c>
      <c r="I1126" t="s">
        <v>8333</v>
      </c>
      <c r="J1126" t="s">
        <v>8334</v>
      </c>
      <c r="K1126" t="s">
        <v>62</v>
      </c>
      <c r="L1126" t="s">
        <v>63</v>
      </c>
      <c r="M1126" t="s">
        <v>8335</v>
      </c>
      <c r="N1126" t="s">
        <v>8336</v>
      </c>
      <c r="R1126">
        <v>1</v>
      </c>
      <c r="S1126">
        <v>0</v>
      </c>
      <c r="T1126" t="b">
        <v>0</v>
      </c>
      <c r="U1126">
        <v>2</v>
      </c>
      <c r="V1126" t="s">
        <v>8337</v>
      </c>
      <c r="W1126" s="15">
        <v>6.8453543569999997</v>
      </c>
      <c r="X1126" s="15">
        <v>0.43615870200000001</v>
      </c>
      <c r="Y1126">
        <v>1406</v>
      </c>
      <c r="AC1126">
        <v>1406</v>
      </c>
      <c r="AF1126" t="b">
        <v>0</v>
      </c>
      <c r="AG1126" t="s">
        <v>350</v>
      </c>
      <c r="AH1126" t="s">
        <v>350</v>
      </c>
      <c r="AI1126" t="s">
        <v>71</v>
      </c>
      <c r="AJ1126" t="s">
        <v>70</v>
      </c>
      <c r="AK1126" t="s">
        <v>71</v>
      </c>
      <c r="AL1126" t="s">
        <v>72</v>
      </c>
      <c r="AM1126">
        <v>346053</v>
      </c>
      <c r="AO1126" s="16" t="s">
        <v>110</v>
      </c>
      <c r="AP1126" s="17" t="str">
        <f t="shared" si="89"/>
        <v>Nest (foundress)</v>
      </c>
      <c r="AQ1126" s="18">
        <v>1</v>
      </c>
      <c r="AT1126" s="19" t="s">
        <v>104</v>
      </c>
      <c r="AX1126" s="22" t="str">
        <f>IF(AND('[1]observations-276632'!W1126&gt;'[1]Methods write-up'!$Q$16,'[1]observations-276632'!W1126&lt;'[1]Methods write-up'!$R$16,'[1]observations-276632'!X1126&gt;'[1]Methods write-up'!$S$16,'[1]observations-276632'!X1126&lt;'[1]Methods write-up'!$T$16),"West and Central Africa","")</f>
        <v>West and Central Africa</v>
      </c>
      <c r="AY1126" s="22" t="str">
        <f>IF(AND('[1]observations-276632'!W1126&gt;'[1]Methods write-up'!$Q$17,'[1]observations-276632'!W1126&lt;'[1]Methods write-up'!$R$17,'[1]observations-276632'!X1126&gt;'[1]Methods write-up'!$S$17,'[1]observations-276632'!X1126&lt;'[1]Methods write-up'!$T$17),"Equatorial tropical forest","")</f>
        <v/>
      </c>
      <c r="AZ1126" s="22" t="str">
        <f>IF(AND('[1]observations-276632'!W1126&gt;'[1]Methods write-up'!$Q$18,'[1]observations-276632'!W1126&lt;'[1]Methods write-up'!$R$18,'[1]observations-276632'!X1126&gt;'[1]Methods write-up'!$S$18,'[1]observations-276632'!X1126&lt;'[1]Methods write-up'!$T$18),"Somali peninsula","")</f>
        <v/>
      </c>
      <c r="BA1126" s="22" t="str">
        <f>IF(AND('[1]observations-276632'!W1126&gt;'[1]Methods write-up'!$Q$19,'[1]observations-276632'!W1126&lt;'[1]Methods write-up'!$R$19,'[1]observations-276632'!X1126&gt;'[1]Methods write-up'!$S$19,'[1]observations-276632'!X1126&lt;'[1]Methods write-up'!$T$19),"East Africa","")</f>
        <v/>
      </c>
      <c r="BB1126" s="22" t="str">
        <f>IF(AND('[1]observations-276632'!W1126&gt;'[1]Methods write-up'!$Q$20,'[1]observations-276632'!W1126&lt;'[1]Methods write-up'!$R$20,'[1]observations-276632'!X1126&gt;'[1]Methods write-up'!$S$20,'[1]observations-276632'!X1126&lt;'[1]Methods write-up'!$T$20),"Temperate seasonal","")</f>
        <v/>
      </c>
      <c r="BC1126" s="22" t="str">
        <f>IF(AND('[1]observations-276632'!W1126&gt;'[1]Methods write-up'!$Q$21,'[1]observations-276632'!W1126&lt;'[1]Methods write-up'!$R$21,'[1]observations-276632'!X1126&gt;'[1]Methods write-up'!$S$21,'[1]observations-276632'!X1126&lt;'[1]Methods write-up'!$T$21),"Desert and high aridity","")</f>
        <v/>
      </c>
      <c r="BD1126" s="23" t="str">
        <f t="shared" si="86"/>
        <v>West and Central Africa</v>
      </c>
      <c r="BE1126" s="24">
        <f t="shared" si="84"/>
        <v>27</v>
      </c>
      <c r="BF1126" s="24">
        <f t="shared" si="85"/>
        <v>7</v>
      </c>
    </row>
    <row r="1127" spans="1:58" ht="16.25" customHeight="1" x14ac:dyDescent="0.2">
      <c r="A1127">
        <v>130346648</v>
      </c>
      <c r="B1127" s="25">
        <v>44783.511111111111</v>
      </c>
      <c r="C1127" s="14">
        <v>44783</v>
      </c>
      <c r="D1127" t="s">
        <v>8338</v>
      </c>
      <c r="E1127" t="s">
        <v>113</v>
      </c>
      <c r="F1127">
        <v>3151177</v>
      </c>
      <c r="G1127" t="s">
        <v>3903</v>
      </c>
      <c r="H1127" t="s">
        <v>3904</v>
      </c>
      <c r="I1127" t="s">
        <v>8339</v>
      </c>
      <c r="J1127" t="s">
        <v>8340</v>
      </c>
      <c r="K1127" t="s">
        <v>62</v>
      </c>
      <c r="L1127" t="s">
        <v>63</v>
      </c>
      <c r="M1127" t="s">
        <v>8341</v>
      </c>
      <c r="N1127" t="s">
        <v>8342</v>
      </c>
      <c r="R1127">
        <v>3</v>
      </c>
      <c r="S1127">
        <v>0</v>
      </c>
      <c r="T1127" t="b">
        <v>0</v>
      </c>
      <c r="V1127" t="s">
        <v>2928</v>
      </c>
      <c r="W1127" s="15">
        <v>-30.27390475</v>
      </c>
      <c r="X1127" s="15">
        <v>30.735115310000001</v>
      </c>
      <c r="Y1127">
        <v>198</v>
      </c>
      <c r="AC1127">
        <v>198</v>
      </c>
      <c r="AF1127" t="b">
        <v>0</v>
      </c>
      <c r="AI1127" t="s">
        <v>71</v>
      </c>
      <c r="AJ1127" t="s">
        <v>70</v>
      </c>
      <c r="AK1127" t="s">
        <v>71</v>
      </c>
      <c r="AL1127" t="s">
        <v>72</v>
      </c>
      <c r="AM1127">
        <v>346053</v>
      </c>
      <c r="AO1127" s="16" t="s">
        <v>150</v>
      </c>
      <c r="AP1127" s="17" t="str">
        <f t="shared" si="89"/>
        <v>Male (off nest)</v>
      </c>
      <c r="AX1127" s="22" t="str">
        <f>IF(AND('[1]observations-276632'!W1127&gt;'[1]Methods write-up'!$Q$16,'[1]observations-276632'!W1127&lt;'[1]Methods write-up'!$R$16,'[1]observations-276632'!X1127&gt;'[1]Methods write-up'!$S$16,'[1]observations-276632'!X1127&lt;'[1]Methods write-up'!$T$16),"West and Central Africa","")</f>
        <v/>
      </c>
      <c r="AY1127" s="22" t="str">
        <f>IF(AND('[1]observations-276632'!W1127&gt;'[1]Methods write-up'!$Q$17,'[1]observations-276632'!W1127&lt;'[1]Methods write-up'!$R$17,'[1]observations-276632'!X1127&gt;'[1]Methods write-up'!$S$17,'[1]observations-276632'!X1127&lt;'[1]Methods write-up'!$T$17),"Equatorial tropical forest","")</f>
        <v/>
      </c>
      <c r="AZ1127" s="22" t="str">
        <f>IF(AND('[1]observations-276632'!W1127&gt;'[1]Methods write-up'!$Q$18,'[1]observations-276632'!W1127&lt;'[1]Methods write-up'!$R$18,'[1]observations-276632'!X1127&gt;'[1]Methods write-up'!$S$18,'[1]observations-276632'!X1127&lt;'[1]Methods write-up'!$T$18),"Somali peninsula","")</f>
        <v/>
      </c>
      <c r="BA1127" s="22" t="str">
        <f>IF(AND('[1]observations-276632'!W1127&gt;'[1]Methods write-up'!$Q$19,'[1]observations-276632'!W1127&lt;'[1]Methods write-up'!$R$19,'[1]observations-276632'!X1127&gt;'[1]Methods write-up'!$S$19,'[1]observations-276632'!X1127&lt;'[1]Methods write-up'!$T$19),"East Africa","")</f>
        <v/>
      </c>
      <c r="BB1127" s="22" t="str">
        <f>IF(AND('[1]observations-276632'!W1127&gt;'[1]Methods write-up'!$Q$20,'[1]observations-276632'!W1127&lt;'[1]Methods write-up'!$R$20,'[1]observations-276632'!X1127&gt;'[1]Methods write-up'!$S$20,'[1]observations-276632'!X1127&lt;'[1]Methods write-up'!$T$20),"Temperate seasonal","")</f>
        <v>Temperate seasonal</v>
      </c>
      <c r="BC1127" s="22" t="str">
        <f>IF(AND('[1]observations-276632'!W1127&gt;'[1]Methods write-up'!$Q$21,'[1]observations-276632'!W1127&lt;'[1]Methods write-up'!$R$21,'[1]observations-276632'!X1127&gt;'[1]Methods write-up'!$S$21,'[1]observations-276632'!X1127&lt;'[1]Methods write-up'!$T$21),"Desert and high aridity","")</f>
        <v/>
      </c>
      <c r="BD1127" s="23" t="str">
        <f t="shared" si="86"/>
        <v>Temperate seasonal</v>
      </c>
      <c r="BE1127" s="24">
        <f t="shared" si="84"/>
        <v>10</v>
      </c>
      <c r="BF1127" s="24">
        <f t="shared" si="85"/>
        <v>8</v>
      </c>
    </row>
    <row r="1128" spans="1:58" ht="16.25" customHeight="1" x14ac:dyDescent="0.2">
      <c r="A1128">
        <v>130475482</v>
      </c>
      <c r="B1128" s="13">
        <v>36729</v>
      </c>
      <c r="C1128" s="14">
        <v>36729</v>
      </c>
      <c r="E1128" t="s">
        <v>113</v>
      </c>
      <c r="F1128">
        <v>792137</v>
      </c>
      <c r="G1128" t="s">
        <v>8343</v>
      </c>
      <c r="H1128" t="s">
        <v>8344</v>
      </c>
      <c r="I1128" t="s">
        <v>8345</v>
      </c>
      <c r="J1128" t="s">
        <v>8346</v>
      </c>
      <c r="K1128" t="s">
        <v>62</v>
      </c>
      <c r="L1128" t="s">
        <v>118</v>
      </c>
      <c r="M1128" t="s">
        <v>8347</v>
      </c>
      <c r="N1128" t="s">
        <v>8348</v>
      </c>
      <c r="R1128">
        <v>4</v>
      </c>
      <c r="S1128">
        <v>0</v>
      </c>
      <c r="T1128" t="b">
        <v>0</v>
      </c>
      <c r="V1128" t="s">
        <v>1839</v>
      </c>
      <c r="W1128" s="15">
        <v>-25.736732480000001</v>
      </c>
      <c r="X1128" s="15">
        <v>28.272763640000001</v>
      </c>
      <c r="Y1128">
        <v>20</v>
      </c>
      <c r="AC1128">
        <v>20</v>
      </c>
      <c r="AF1128" t="b">
        <v>0</v>
      </c>
      <c r="AI1128" t="s">
        <v>71</v>
      </c>
      <c r="AJ1128" t="s">
        <v>70</v>
      </c>
      <c r="AK1128" t="s">
        <v>71</v>
      </c>
      <c r="AL1128" t="s">
        <v>72</v>
      </c>
      <c r="AM1128">
        <v>346053</v>
      </c>
      <c r="AO1128" s="16" t="s">
        <v>110</v>
      </c>
      <c r="AP1128" s="17" t="str">
        <f t="shared" si="89"/>
        <v>Nest (foundress)</v>
      </c>
      <c r="AQ1128" s="18">
        <v>2</v>
      </c>
      <c r="AT1128" s="19" t="s">
        <v>104</v>
      </c>
      <c r="AV1128" s="21" t="s">
        <v>8349</v>
      </c>
      <c r="AX1128" s="22" t="str">
        <f>IF(AND('[1]observations-276632'!W1128&gt;'[1]Methods write-up'!$Q$16,'[1]observations-276632'!W1128&lt;'[1]Methods write-up'!$R$16,'[1]observations-276632'!X1128&gt;'[1]Methods write-up'!$S$16,'[1]observations-276632'!X1128&lt;'[1]Methods write-up'!$T$16),"West and Central Africa","")</f>
        <v/>
      </c>
      <c r="AY1128" s="22" t="str">
        <f>IF(AND('[1]observations-276632'!W1128&gt;'[1]Methods write-up'!$Q$17,'[1]observations-276632'!W1128&lt;'[1]Methods write-up'!$R$17,'[1]observations-276632'!X1128&gt;'[1]Methods write-up'!$S$17,'[1]observations-276632'!X1128&lt;'[1]Methods write-up'!$T$17),"Equatorial tropical forest","")</f>
        <v/>
      </c>
      <c r="AZ1128" s="22" t="str">
        <f>IF(AND('[1]observations-276632'!W1128&gt;'[1]Methods write-up'!$Q$18,'[1]observations-276632'!W1128&lt;'[1]Methods write-up'!$R$18,'[1]observations-276632'!X1128&gt;'[1]Methods write-up'!$S$18,'[1]observations-276632'!X1128&lt;'[1]Methods write-up'!$T$18),"Somali peninsula","")</f>
        <v/>
      </c>
      <c r="BA1128" s="22" t="str">
        <f>IF(AND('[1]observations-276632'!W1128&gt;'[1]Methods write-up'!$Q$19,'[1]observations-276632'!W1128&lt;'[1]Methods write-up'!$R$19,'[1]observations-276632'!X1128&gt;'[1]Methods write-up'!$S$19,'[1]observations-276632'!X1128&lt;'[1]Methods write-up'!$T$19),"East Africa","")</f>
        <v/>
      </c>
      <c r="BB1128" s="22" t="str">
        <f>IF(AND('[1]observations-276632'!W1128&gt;'[1]Methods write-up'!$Q$20,'[1]observations-276632'!W1128&lt;'[1]Methods write-up'!$R$20,'[1]observations-276632'!X1128&gt;'[1]Methods write-up'!$S$20,'[1]observations-276632'!X1128&lt;'[1]Methods write-up'!$T$20),"Temperate seasonal","")</f>
        <v>Temperate seasonal</v>
      </c>
      <c r="BC1128" s="22" t="str">
        <f>IF(AND('[1]observations-276632'!W1128&gt;'[1]Methods write-up'!$Q$21,'[1]observations-276632'!W1128&lt;'[1]Methods write-up'!$R$21,'[1]observations-276632'!X1128&gt;'[1]Methods write-up'!$S$21,'[1]observations-276632'!X1128&lt;'[1]Methods write-up'!$T$21),"Desert and high aridity","")</f>
        <v/>
      </c>
      <c r="BD1128" s="23" t="str">
        <f t="shared" si="86"/>
        <v>Temperate seasonal</v>
      </c>
      <c r="BE1128" s="24">
        <f t="shared" si="84"/>
        <v>22</v>
      </c>
      <c r="BF1128" s="24">
        <f t="shared" si="85"/>
        <v>7</v>
      </c>
    </row>
    <row r="1129" spans="1:58" ht="16.25" customHeight="1" x14ac:dyDescent="0.2">
      <c r="A1129">
        <v>130906866</v>
      </c>
      <c r="B1129" s="25">
        <v>43953.580555555556</v>
      </c>
      <c r="C1129" s="14">
        <v>43953</v>
      </c>
      <c r="D1129" t="s">
        <v>8350</v>
      </c>
      <c r="E1129" t="s">
        <v>113</v>
      </c>
      <c r="F1129">
        <v>3151177</v>
      </c>
      <c r="G1129" t="s">
        <v>3903</v>
      </c>
      <c r="H1129" t="s">
        <v>3904</v>
      </c>
      <c r="I1129" t="s">
        <v>8351</v>
      </c>
      <c r="J1129" t="s">
        <v>8352</v>
      </c>
      <c r="K1129" t="s">
        <v>62</v>
      </c>
      <c r="L1129" t="s">
        <v>63</v>
      </c>
      <c r="M1129" t="s">
        <v>8353</v>
      </c>
      <c r="N1129" t="s">
        <v>8354</v>
      </c>
      <c r="R1129">
        <v>2</v>
      </c>
      <c r="S1129">
        <v>0</v>
      </c>
      <c r="T1129" t="b">
        <v>0</v>
      </c>
      <c r="V1129" t="s">
        <v>2928</v>
      </c>
      <c r="W1129" s="15">
        <v>-30.273213519999999</v>
      </c>
      <c r="X1129" s="15">
        <v>30.73803362</v>
      </c>
      <c r="Y1129">
        <v>31</v>
      </c>
      <c r="AC1129">
        <v>31</v>
      </c>
      <c r="AF1129" t="b">
        <v>0</v>
      </c>
      <c r="AI1129" t="s">
        <v>71</v>
      </c>
      <c r="AJ1129" t="s">
        <v>70</v>
      </c>
      <c r="AK1129" t="s">
        <v>71</v>
      </c>
      <c r="AL1129" t="s">
        <v>72</v>
      </c>
      <c r="AM1129">
        <v>346053</v>
      </c>
      <c r="AO1129" s="16" t="s">
        <v>73</v>
      </c>
      <c r="AP1129" s="17" t="str">
        <f t="shared" si="89"/>
        <v>Off-nest female</v>
      </c>
      <c r="AX1129" s="22" t="str">
        <f>IF(AND('[1]observations-276632'!W1129&gt;'[1]Methods write-up'!$Q$16,'[1]observations-276632'!W1129&lt;'[1]Methods write-up'!$R$16,'[1]observations-276632'!X1129&gt;'[1]Methods write-up'!$S$16,'[1]observations-276632'!X1129&lt;'[1]Methods write-up'!$T$16),"West and Central Africa","")</f>
        <v/>
      </c>
      <c r="AY1129" s="22" t="str">
        <f>IF(AND('[1]observations-276632'!W1129&gt;'[1]Methods write-up'!$Q$17,'[1]observations-276632'!W1129&lt;'[1]Methods write-up'!$R$17,'[1]observations-276632'!X1129&gt;'[1]Methods write-up'!$S$17,'[1]observations-276632'!X1129&lt;'[1]Methods write-up'!$T$17),"Equatorial tropical forest","")</f>
        <v/>
      </c>
      <c r="AZ1129" s="22" t="str">
        <f>IF(AND('[1]observations-276632'!W1129&gt;'[1]Methods write-up'!$Q$18,'[1]observations-276632'!W1129&lt;'[1]Methods write-up'!$R$18,'[1]observations-276632'!X1129&gt;'[1]Methods write-up'!$S$18,'[1]observations-276632'!X1129&lt;'[1]Methods write-up'!$T$18),"Somali peninsula","")</f>
        <v/>
      </c>
      <c r="BA1129" s="22" t="str">
        <f>IF(AND('[1]observations-276632'!W1129&gt;'[1]Methods write-up'!$Q$19,'[1]observations-276632'!W1129&lt;'[1]Methods write-up'!$R$19,'[1]observations-276632'!X1129&gt;'[1]Methods write-up'!$S$19,'[1]observations-276632'!X1129&lt;'[1]Methods write-up'!$T$19),"East Africa","")</f>
        <v/>
      </c>
      <c r="BB1129" s="22" t="str">
        <f>IF(AND('[1]observations-276632'!W1129&gt;'[1]Methods write-up'!$Q$20,'[1]observations-276632'!W1129&lt;'[1]Methods write-up'!$R$20,'[1]observations-276632'!X1129&gt;'[1]Methods write-up'!$S$20,'[1]observations-276632'!X1129&lt;'[1]Methods write-up'!$T$20),"Temperate seasonal","")</f>
        <v>Temperate seasonal</v>
      </c>
      <c r="BC1129" s="22" t="str">
        <f>IF(AND('[1]observations-276632'!W1129&gt;'[1]Methods write-up'!$Q$21,'[1]observations-276632'!W1129&lt;'[1]Methods write-up'!$R$21,'[1]observations-276632'!X1129&gt;'[1]Methods write-up'!$S$21,'[1]observations-276632'!X1129&lt;'[1]Methods write-up'!$T$21),"Desert and high aridity","")</f>
        <v/>
      </c>
      <c r="BD1129" s="23" t="str">
        <f t="shared" si="86"/>
        <v>Temperate seasonal</v>
      </c>
      <c r="BE1129" s="24">
        <f t="shared" si="84"/>
        <v>2</v>
      </c>
      <c r="BF1129" s="24">
        <f t="shared" si="85"/>
        <v>5</v>
      </c>
    </row>
    <row r="1130" spans="1:58" ht="16.25" customHeight="1" x14ac:dyDescent="0.2">
      <c r="A1130">
        <v>130922112</v>
      </c>
      <c r="B1130" t="s">
        <v>8355</v>
      </c>
      <c r="C1130" s="14">
        <v>44782</v>
      </c>
      <c r="D1130" t="s">
        <v>8356</v>
      </c>
      <c r="E1130" t="s">
        <v>74</v>
      </c>
      <c r="F1130">
        <v>4381686</v>
      </c>
      <c r="G1130" t="s">
        <v>8357</v>
      </c>
      <c r="I1130" t="s">
        <v>8358</v>
      </c>
      <c r="J1130" t="s">
        <v>8359</v>
      </c>
      <c r="K1130" t="s">
        <v>62</v>
      </c>
      <c r="L1130" t="s">
        <v>63</v>
      </c>
      <c r="M1130" t="s">
        <v>8360</v>
      </c>
      <c r="N1130" t="s">
        <v>8361</v>
      </c>
      <c r="R1130">
        <v>2</v>
      </c>
      <c r="S1130">
        <v>0</v>
      </c>
      <c r="T1130" t="b">
        <v>0</v>
      </c>
      <c r="U1130">
        <v>3</v>
      </c>
      <c r="V1130" t="s">
        <v>8362</v>
      </c>
      <c r="W1130" s="15">
        <v>-17.979988330000001</v>
      </c>
      <c r="X1130" s="15">
        <v>25.80621167</v>
      </c>
      <c r="Y1130">
        <v>4</v>
      </c>
      <c r="AC1130">
        <v>4</v>
      </c>
      <c r="AF1130" t="b">
        <v>0</v>
      </c>
      <c r="AI1130" t="s">
        <v>71</v>
      </c>
      <c r="AJ1130" t="s">
        <v>70</v>
      </c>
      <c r="AK1130" t="s">
        <v>71</v>
      </c>
      <c r="AL1130" t="s">
        <v>72</v>
      </c>
      <c r="AM1130">
        <v>346053</v>
      </c>
      <c r="AO1130" s="16" t="s">
        <v>442</v>
      </c>
      <c r="AP1130" s="17" t="str">
        <f t="shared" si="89"/>
        <v>Dead female</v>
      </c>
      <c r="AX1130" s="22" t="str">
        <f>IF(AND('[1]observations-276632'!W1130&gt;'[1]Methods write-up'!$Q$16,'[1]observations-276632'!W1130&lt;'[1]Methods write-up'!$R$16,'[1]observations-276632'!X1130&gt;'[1]Methods write-up'!$S$16,'[1]observations-276632'!X1130&lt;'[1]Methods write-up'!$T$16),"West and Central Africa","")</f>
        <v>West and Central Africa</v>
      </c>
      <c r="AY1130" s="22" t="str">
        <f>IF(AND('[1]observations-276632'!W1130&gt;'[1]Methods write-up'!$Q$17,'[1]observations-276632'!W1130&lt;'[1]Methods write-up'!$R$17,'[1]observations-276632'!X1130&gt;'[1]Methods write-up'!$S$17,'[1]observations-276632'!X1130&lt;'[1]Methods write-up'!$T$17),"Equatorial tropical forest","")</f>
        <v/>
      </c>
      <c r="AZ1130" s="22" t="str">
        <f>IF(AND('[1]observations-276632'!W1130&gt;'[1]Methods write-up'!$Q$18,'[1]observations-276632'!W1130&lt;'[1]Methods write-up'!$R$18,'[1]observations-276632'!X1130&gt;'[1]Methods write-up'!$S$18,'[1]observations-276632'!X1130&lt;'[1]Methods write-up'!$T$18),"Somali peninsula","")</f>
        <v/>
      </c>
      <c r="BA1130" s="22" t="str">
        <f>IF(AND('[1]observations-276632'!W1130&gt;'[1]Methods write-up'!$Q$19,'[1]observations-276632'!W1130&lt;'[1]Methods write-up'!$R$19,'[1]observations-276632'!X1130&gt;'[1]Methods write-up'!$S$19,'[1]observations-276632'!X1130&lt;'[1]Methods write-up'!$T$19),"East Africa","")</f>
        <v/>
      </c>
      <c r="BB1130" s="22" t="str">
        <f>IF(AND('[1]observations-276632'!W1130&gt;'[1]Methods write-up'!$Q$20,'[1]observations-276632'!W1130&lt;'[1]Methods write-up'!$R$20,'[1]observations-276632'!X1130&gt;'[1]Methods write-up'!$S$20,'[1]observations-276632'!X1130&lt;'[1]Methods write-up'!$T$20),"Temperate seasonal","")</f>
        <v/>
      </c>
      <c r="BC1130" s="22" t="str">
        <f>IF(AND('[1]observations-276632'!W1130&gt;'[1]Methods write-up'!$Q$21,'[1]observations-276632'!W1130&lt;'[1]Methods write-up'!$R$21,'[1]observations-276632'!X1130&gt;'[1]Methods write-up'!$S$21,'[1]observations-276632'!X1130&lt;'[1]Methods write-up'!$T$21),"Desert and high aridity","")</f>
        <v/>
      </c>
      <c r="BD1130" s="23" t="str">
        <f t="shared" si="86"/>
        <v>West and Central Africa</v>
      </c>
      <c r="BE1130" s="24">
        <f t="shared" si="84"/>
        <v>9</v>
      </c>
      <c r="BF1130" s="24">
        <f t="shared" si="85"/>
        <v>8</v>
      </c>
    </row>
    <row r="1131" spans="1:58" ht="16.25" customHeight="1" x14ac:dyDescent="0.2">
      <c r="A1131">
        <v>131115548</v>
      </c>
      <c r="B1131" s="25">
        <v>42687.715277777781</v>
      </c>
      <c r="C1131" s="14">
        <v>42687</v>
      </c>
      <c r="D1131" t="s">
        <v>8363</v>
      </c>
      <c r="E1131" t="s">
        <v>8364</v>
      </c>
      <c r="F1131">
        <v>1578847</v>
      </c>
      <c r="G1131" t="s">
        <v>8365</v>
      </c>
      <c r="H1131" t="s">
        <v>8366</v>
      </c>
      <c r="I1131" t="s">
        <v>8367</v>
      </c>
      <c r="J1131" t="s">
        <v>8368</v>
      </c>
      <c r="K1131" t="s">
        <v>62</v>
      </c>
      <c r="L1131" t="s">
        <v>63</v>
      </c>
      <c r="M1131" t="s">
        <v>8369</v>
      </c>
      <c r="N1131" t="s">
        <v>8370</v>
      </c>
      <c r="R1131">
        <v>1</v>
      </c>
      <c r="S1131">
        <v>0</v>
      </c>
      <c r="T1131" t="b">
        <v>0</v>
      </c>
      <c r="V1131" t="s">
        <v>8371</v>
      </c>
      <c r="W1131" s="15">
        <v>-12.3835333</v>
      </c>
      <c r="X1131" s="15">
        <v>35.335266699999998</v>
      </c>
      <c r="Y1131">
        <v>844</v>
      </c>
      <c r="AC1131">
        <v>844</v>
      </c>
      <c r="AF1131" t="b">
        <v>0</v>
      </c>
      <c r="AI1131" t="s">
        <v>71</v>
      </c>
      <c r="AJ1131" t="s">
        <v>70</v>
      </c>
      <c r="AK1131" t="s">
        <v>71</v>
      </c>
      <c r="AL1131" t="s">
        <v>72</v>
      </c>
      <c r="AM1131">
        <v>346053</v>
      </c>
      <c r="AO1131" s="16" t="s">
        <v>73</v>
      </c>
      <c r="AP1131" s="17" t="str">
        <f t="shared" si="89"/>
        <v>Off-nest female</v>
      </c>
      <c r="AX1131" s="22" t="str">
        <f>IF(AND('[1]observations-276632'!W1131&gt;'[1]Methods write-up'!$Q$16,'[1]observations-276632'!W1131&lt;'[1]Methods write-up'!$R$16,'[1]observations-276632'!X1131&gt;'[1]Methods write-up'!$S$16,'[1]observations-276632'!X1131&lt;'[1]Methods write-up'!$T$16),"West and Central Africa","")</f>
        <v/>
      </c>
      <c r="AY1131" s="22" t="str">
        <f>IF(AND('[1]observations-276632'!W1131&gt;'[1]Methods write-up'!$Q$17,'[1]observations-276632'!W1131&lt;'[1]Methods write-up'!$R$17,'[1]observations-276632'!X1131&gt;'[1]Methods write-up'!$S$17,'[1]observations-276632'!X1131&lt;'[1]Methods write-up'!$T$17),"Equatorial tropical forest","")</f>
        <v/>
      </c>
      <c r="AZ1131" s="22" t="str">
        <f>IF(AND('[1]observations-276632'!W1131&gt;'[1]Methods write-up'!$Q$18,'[1]observations-276632'!W1131&lt;'[1]Methods write-up'!$R$18,'[1]observations-276632'!X1131&gt;'[1]Methods write-up'!$S$18,'[1]observations-276632'!X1131&lt;'[1]Methods write-up'!$T$18),"Somali peninsula","")</f>
        <v/>
      </c>
      <c r="BA1131" s="22" t="str">
        <f>IF(AND('[1]observations-276632'!W1131&gt;'[1]Methods write-up'!$Q$19,'[1]observations-276632'!W1131&lt;'[1]Methods write-up'!$R$19,'[1]observations-276632'!X1131&gt;'[1]Methods write-up'!$S$19,'[1]observations-276632'!X1131&lt;'[1]Methods write-up'!$T$19),"East Africa","")</f>
        <v/>
      </c>
      <c r="BB1131" s="22" t="str">
        <f>IF(AND('[1]observations-276632'!W1131&gt;'[1]Methods write-up'!$Q$20,'[1]observations-276632'!W1131&lt;'[1]Methods write-up'!$R$20,'[1]observations-276632'!X1131&gt;'[1]Methods write-up'!$S$20,'[1]observations-276632'!X1131&lt;'[1]Methods write-up'!$T$20),"Temperate seasonal","")</f>
        <v/>
      </c>
      <c r="BC1131" s="22" t="str">
        <f>IF(AND('[1]observations-276632'!W1131&gt;'[1]Methods write-up'!$Q$21,'[1]observations-276632'!W1131&lt;'[1]Methods write-up'!$R$21,'[1]observations-276632'!X1131&gt;'[1]Methods write-up'!$S$21,'[1]observations-276632'!X1131&lt;'[1]Methods write-up'!$T$21),"Desert and high aridity","")</f>
        <v/>
      </c>
      <c r="BD1131" s="23" t="str">
        <f t="shared" si="86"/>
        <v/>
      </c>
      <c r="BE1131" s="24">
        <f t="shared" si="84"/>
        <v>13</v>
      </c>
      <c r="BF1131" s="24">
        <f t="shared" si="85"/>
        <v>11</v>
      </c>
    </row>
    <row r="1132" spans="1:58" ht="16.25" customHeight="1" x14ac:dyDescent="0.2">
      <c r="A1132">
        <v>131115551</v>
      </c>
      <c r="B1132" s="25">
        <v>42699.477777777778</v>
      </c>
      <c r="C1132" s="14">
        <v>42699</v>
      </c>
      <c r="D1132" t="s">
        <v>8372</v>
      </c>
      <c r="E1132" t="s">
        <v>8364</v>
      </c>
      <c r="F1132">
        <v>1578847</v>
      </c>
      <c r="G1132" t="s">
        <v>8365</v>
      </c>
      <c r="H1132" t="s">
        <v>8366</v>
      </c>
      <c r="I1132" t="s">
        <v>8373</v>
      </c>
      <c r="J1132" t="s">
        <v>8374</v>
      </c>
      <c r="K1132" t="s">
        <v>62</v>
      </c>
      <c r="L1132" t="s">
        <v>63</v>
      </c>
      <c r="M1132" t="s">
        <v>8375</v>
      </c>
      <c r="N1132" t="s">
        <v>8376</v>
      </c>
      <c r="R1132">
        <v>1</v>
      </c>
      <c r="S1132">
        <v>0</v>
      </c>
      <c r="T1132" t="b">
        <v>0</v>
      </c>
      <c r="V1132" t="s">
        <v>8371</v>
      </c>
      <c r="W1132" s="15">
        <v>-12.8324333</v>
      </c>
      <c r="X1132" s="15">
        <v>35.186666700000004</v>
      </c>
      <c r="Y1132">
        <v>1662</v>
      </c>
      <c r="AC1132">
        <v>1662</v>
      </c>
      <c r="AF1132" t="b">
        <v>0</v>
      </c>
      <c r="AI1132" t="s">
        <v>71</v>
      </c>
      <c r="AJ1132" t="s">
        <v>70</v>
      </c>
      <c r="AK1132" t="s">
        <v>71</v>
      </c>
      <c r="AL1132" t="s">
        <v>72</v>
      </c>
      <c r="AM1132">
        <v>346053</v>
      </c>
      <c r="AO1132" s="16" t="s">
        <v>73</v>
      </c>
      <c r="AP1132" s="17" t="str">
        <f t="shared" si="89"/>
        <v>Off-nest female</v>
      </c>
      <c r="AX1132" s="22" t="str">
        <f>IF(AND('[1]observations-276632'!W1132&gt;'[1]Methods write-up'!$Q$16,'[1]observations-276632'!W1132&lt;'[1]Methods write-up'!$R$16,'[1]observations-276632'!X1132&gt;'[1]Methods write-up'!$S$16,'[1]observations-276632'!X1132&lt;'[1]Methods write-up'!$T$16),"West and Central Africa","")</f>
        <v/>
      </c>
      <c r="AY1132" s="22" t="str">
        <f>IF(AND('[1]observations-276632'!W1132&gt;'[1]Methods write-up'!$Q$17,'[1]observations-276632'!W1132&lt;'[1]Methods write-up'!$R$17,'[1]observations-276632'!X1132&gt;'[1]Methods write-up'!$S$17,'[1]observations-276632'!X1132&lt;'[1]Methods write-up'!$T$17),"Equatorial tropical forest","")</f>
        <v/>
      </c>
      <c r="AZ1132" s="22" t="str">
        <f>IF(AND('[1]observations-276632'!W1132&gt;'[1]Methods write-up'!$Q$18,'[1]observations-276632'!W1132&lt;'[1]Methods write-up'!$R$18,'[1]observations-276632'!X1132&gt;'[1]Methods write-up'!$S$18,'[1]observations-276632'!X1132&lt;'[1]Methods write-up'!$T$18),"Somali peninsula","")</f>
        <v/>
      </c>
      <c r="BA1132" s="22" t="str">
        <f>IF(AND('[1]observations-276632'!W1132&gt;'[1]Methods write-up'!$Q$19,'[1]observations-276632'!W1132&lt;'[1]Methods write-up'!$R$19,'[1]observations-276632'!X1132&gt;'[1]Methods write-up'!$S$19,'[1]observations-276632'!X1132&lt;'[1]Methods write-up'!$T$19),"East Africa","")</f>
        <v/>
      </c>
      <c r="BB1132" s="22" t="str">
        <f>IF(AND('[1]observations-276632'!W1132&gt;'[1]Methods write-up'!$Q$20,'[1]observations-276632'!W1132&lt;'[1]Methods write-up'!$R$20,'[1]observations-276632'!X1132&gt;'[1]Methods write-up'!$S$20,'[1]observations-276632'!X1132&lt;'[1]Methods write-up'!$T$20),"Temperate seasonal","")</f>
        <v/>
      </c>
      <c r="BC1132" s="22" t="str">
        <f>IF(AND('[1]observations-276632'!W1132&gt;'[1]Methods write-up'!$Q$21,'[1]observations-276632'!W1132&lt;'[1]Methods write-up'!$R$21,'[1]observations-276632'!X1132&gt;'[1]Methods write-up'!$S$21,'[1]observations-276632'!X1132&lt;'[1]Methods write-up'!$T$21),"Desert and high aridity","")</f>
        <v/>
      </c>
      <c r="BD1132" s="23" t="str">
        <f t="shared" si="86"/>
        <v/>
      </c>
      <c r="BE1132" s="24">
        <f t="shared" si="84"/>
        <v>25</v>
      </c>
      <c r="BF1132" s="24">
        <f t="shared" si="85"/>
        <v>11</v>
      </c>
    </row>
    <row r="1133" spans="1:58" ht="16.25" customHeight="1" x14ac:dyDescent="0.2">
      <c r="A1133">
        <v>131309426</v>
      </c>
      <c r="B1133" s="25">
        <v>44791.450694444444</v>
      </c>
      <c r="C1133" s="14">
        <v>44791</v>
      </c>
      <c r="D1133" t="s">
        <v>8377</v>
      </c>
      <c r="E1133" t="s">
        <v>7539</v>
      </c>
      <c r="F1133">
        <v>5988777</v>
      </c>
      <c r="G1133" t="s">
        <v>8378</v>
      </c>
      <c r="I1133" t="s">
        <v>8379</v>
      </c>
      <c r="J1133" t="s">
        <v>8380</v>
      </c>
      <c r="K1133" t="s">
        <v>62</v>
      </c>
      <c r="L1133" t="s">
        <v>63</v>
      </c>
      <c r="M1133" t="s">
        <v>8381</v>
      </c>
      <c r="N1133" t="s">
        <v>8382</v>
      </c>
      <c r="R1133">
        <v>3</v>
      </c>
      <c r="S1133">
        <v>0</v>
      </c>
      <c r="T1133" t="b">
        <v>0</v>
      </c>
      <c r="U1133">
        <v>2</v>
      </c>
      <c r="V1133" t="s">
        <v>8383</v>
      </c>
      <c r="W1133" s="15">
        <v>-17.793418460000002</v>
      </c>
      <c r="X1133" s="15">
        <v>25.155002029999999</v>
      </c>
      <c r="Y1133">
        <v>20</v>
      </c>
      <c r="AC1133">
        <v>20</v>
      </c>
      <c r="AF1133" t="b">
        <v>0</v>
      </c>
      <c r="AG1133" t="s">
        <v>350</v>
      </c>
      <c r="AH1133" t="s">
        <v>350</v>
      </c>
      <c r="AI1133" t="s">
        <v>71</v>
      </c>
      <c r="AJ1133" t="s">
        <v>70</v>
      </c>
      <c r="AK1133" t="s">
        <v>71</v>
      </c>
      <c r="AL1133" t="s">
        <v>72</v>
      </c>
      <c r="AM1133">
        <v>346053</v>
      </c>
      <c r="AO1133" s="16" t="s">
        <v>253</v>
      </c>
      <c r="AP1133" s="17" t="str">
        <f t="shared" si="89"/>
        <v>Aggregation of females off-nest</v>
      </c>
      <c r="AQ1133" s="18">
        <v>6</v>
      </c>
      <c r="AV1133" s="21" t="s">
        <v>8384</v>
      </c>
      <c r="AX1133" s="22" t="str">
        <f>IF(AND('[1]observations-276632'!W1133&gt;'[1]Methods write-up'!$Q$16,'[1]observations-276632'!W1133&lt;'[1]Methods write-up'!$R$16,'[1]observations-276632'!X1133&gt;'[1]Methods write-up'!$S$16,'[1]observations-276632'!X1133&lt;'[1]Methods write-up'!$T$16),"West and Central Africa","")</f>
        <v>West and Central Africa</v>
      </c>
      <c r="AY1133" s="22" t="str">
        <f>IF(AND('[1]observations-276632'!W1133&gt;'[1]Methods write-up'!$Q$17,'[1]observations-276632'!W1133&lt;'[1]Methods write-up'!$R$17,'[1]observations-276632'!X1133&gt;'[1]Methods write-up'!$S$17,'[1]observations-276632'!X1133&lt;'[1]Methods write-up'!$T$17),"Equatorial tropical forest","")</f>
        <v/>
      </c>
      <c r="AZ1133" s="22" t="str">
        <f>IF(AND('[1]observations-276632'!W1133&gt;'[1]Methods write-up'!$Q$18,'[1]observations-276632'!W1133&lt;'[1]Methods write-up'!$R$18,'[1]observations-276632'!X1133&gt;'[1]Methods write-up'!$S$18,'[1]observations-276632'!X1133&lt;'[1]Methods write-up'!$T$18),"Somali peninsula","")</f>
        <v/>
      </c>
      <c r="BA1133" s="22" t="str">
        <f>IF(AND('[1]observations-276632'!W1133&gt;'[1]Methods write-up'!$Q$19,'[1]observations-276632'!W1133&lt;'[1]Methods write-up'!$R$19,'[1]observations-276632'!X1133&gt;'[1]Methods write-up'!$S$19,'[1]observations-276632'!X1133&lt;'[1]Methods write-up'!$T$19),"East Africa","")</f>
        <v/>
      </c>
      <c r="BB1133" s="22" t="str">
        <f>IF(AND('[1]observations-276632'!W1133&gt;'[1]Methods write-up'!$Q$20,'[1]observations-276632'!W1133&lt;'[1]Methods write-up'!$R$20,'[1]observations-276632'!X1133&gt;'[1]Methods write-up'!$S$20,'[1]observations-276632'!X1133&lt;'[1]Methods write-up'!$T$20),"Temperate seasonal","")</f>
        <v/>
      </c>
      <c r="BC1133" s="22" t="str">
        <f>IF(AND('[1]observations-276632'!W1133&gt;'[1]Methods write-up'!$Q$21,'[1]observations-276632'!W1133&lt;'[1]Methods write-up'!$R$21,'[1]observations-276632'!X1133&gt;'[1]Methods write-up'!$S$21,'[1]observations-276632'!X1133&lt;'[1]Methods write-up'!$T$21),"Desert and high aridity","")</f>
        <v/>
      </c>
      <c r="BD1133" s="23" t="str">
        <f t="shared" si="86"/>
        <v>West and Central Africa</v>
      </c>
      <c r="BE1133" s="24">
        <f t="shared" si="84"/>
        <v>18</v>
      </c>
      <c r="BF1133" s="24">
        <f t="shared" si="85"/>
        <v>8</v>
      </c>
    </row>
    <row r="1134" spans="1:58" ht="16.25" customHeight="1" x14ac:dyDescent="0.2">
      <c r="A1134">
        <v>131318915</v>
      </c>
      <c r="B1134" t="s">
        <v>8385</v>
      </c>
      <c r="C1134" s="14">
        <v>44791</v>
      </c>
      <c r="D1134" t="s">
        <v>8386</v>
      </c>
      <c r="E1134" t="s">
        <v>113</v>
      </c>
      <c r="F1134">
        <v>3849484</v>
      </c>
      <c r="G1134" t="s">
        <v>8387</v>
      </c>
      <c r="I1134" t="s">
        <v>8388</v>
      </c>
      <c r="J1134" t="s">
        <v>8389</v>
      </c>
      <c r="K1134" t="s">
        <v>62</v>
      </c>
      <c r="L1134" t="s">
        <v>63</v>
      </c>
      <c r="M1134" t="s">
        <v>8390</v>
      </c>
      <c r="N1134" t="s">
        <v>8391</v>
      </c>
      <c r="R1134">
        <v>2</v>
      </c>
      <c r="S1134">
        <v>0</v>
      </c>
      <c r="T1134" t="b">
        <v>0</v>
      </c>
      <c r="U1134">
        <v>3</v>
      </c>
      <c r="V1134" t="s">
        <v>8392</v>
      </c>
      <c r="W1134" s="15">
        <v>-25.386578329999999</v>
      </c>
      <c r="X1134" s="15">
        <v>28.310116669999999</v>
      </c>
      <c r="Y1134">
        <v>10</v>
      </c>
      <c r="AC1134">
        <v>10</v>
      </c>
      <c r="AF1134" t="b">
        <v>0</v>
      </c>
      <c r="AI1134" t="s">
        <v>71</v>
      </c>
      <c r="AJ1134" t="s">
        <v>70</v>
      </c>
      <c r="AK1134" t="s">
        <v>71</v>
      </c>
      <c r="AL1134" t="s">
        <v>72</v>
      </c>
      <c r="AM1134">
        <v>346053</v>
      </c>
      <c r="AO1134" s="16" t="s">
        <v>110</v>
      </c>
      <c r="AP1134" s="17" t="str">
        <f t="shared" si="89"/>
        <v>Nest (foundress)</v>
      </c>
      <c r="AQ1134" s="18">
        <v>2</v>
      </c>
      <c r="AT1134" s="19" t="s">
        <v>104</v>
      </c>
      <c r="AX1134" s="22" t="str">
        <f>IF(AND('[1]observations-276632'!W1134&gt;'[1]Methods write-up'!$Q$16,'[1]observations-276632'!W1134&lt;'[1]Methods write-up'!$R$16,'[1]observations-276632'!X1134&gt;'[1]Methods write-up'!$S$16,'[1]observations-276632'!X1134&lt;'[1]Methods write-up'!$T$16),"West and Central Africa","")</f>
        <v/>
      </c>
      <c r="AY1134" s="22" t="str">
        <f>IF(AND('[1]observations-276632'!W1134&gt;'[1]Methods write-up'!$Q$17,'[1]observations-276632'!W1134&lt;'[1]Methods write-up'!$R$17,'[1]observations-276632'!X1134&gt;'[1]Methods write-up'!$S$17,'[1]observations-276632'!X1134&lt;'[1]Methods write-up'!$T$17),"Equatorial tropical forest","")</f>
        <v/>
      </c>
      <c r="AZ1134" s="22" t="str">
        <f>IF(AND('[1]observations-276632'!W1134&gt;'[1]Methods write-up'!$Q$18,'[1]observations-276632'!W1134&lt;'[1]Methods write-up'!$R$18,'[1]observations-276632'!X1134&gt;'[1]Methods write-up'!$S$18,'[1]observations-276632'!X1134&lt;'[1]Methods write-up'!$T$18),"Somali peninsula","")</f>
        <v/>
      </c>
      <c r="BA1134" s="22" t="str">
        <f>IF(AND('[1]observations-276632'!W1134&gt;'[1]Methods write-up'!$Q$19,'[1]observations-276632'!W1134&lt;'[1]Methods write-up'!$R$19,'[1]observations-276632'!X1134&gt;'[1]Methods write-up'!$S$19,'[1]observations-276632'!X1134&lt;'[1]Methods write-up'!$T$19),"East Africa","")</f>
        <v/>
      </c>
      <c r="BB1134" s="22" t="str">
        <f>IF(AND('[1]observations-276632'!W1134&gt;'[1]Methods write-up'!$Q$20,'[1]observations-276632'!W1134&lt;'[1]Methods write-up'!$R$20,'[1]observations-276632'!X1134&gt;'[1]Methods write-up'!$S$20,'[1]observations-276632'!X1134&lt;'[1]Methods write-up'!$T$20),"Temperate seasonal","")</f>
        <v>Temperate seasonal</v>
      </c>
      <c r="BC1134" s="22" t="str">
        <f>IF(AND('[1]observations-276632'!W1134&gt;'[1]Methods write-up'!$Q$21,'[1]observations-276632'!W1134&lt;'[1]Methods write-up'!$R$21,'[1]observations-276632'!X1134&gt;'[1]Methods write-up'!$S$21,'[1]observations-276632'!X1134&lt;'[1]Methods write-up'!$T$21),"Desert and high aridity","")</f>
        <v/>
      </c>
      <c r="BD1134" s="23" t="str">
        <f t="shared" si="86"/>
        <v>Temperate seasonal</v>
      </c>
      <c r="BE1134" s="24">
        <f t="shared" si="84"/>
        <v>18</v>
      </c>
      <c r="BF1134" s="24">
        <f t="shared" si="85"/>
        <v>8</v>
      </c>
    </row>
    <row r="1135" spans="1:58" ht="16.25" customHeight="1" x14ac:dyDescent="0.2">
      <c r="A1135">
        <v>131444451</v>
      </c>
      <c r="B1135" s="25">
        <v>44792.63958333333</v>
      </c>
      <c r="C1135" s="14">
        <v>44792</v>
      </c>
      <c r="D1135" t="s">
        <v>8393</v>
      </c>
      <c r="E1135" t="s">
        <v>84</v>
      </c>
      <c r="F1135">
        <v>3936314</v>
      </c>
      <c r="G1135" t="s">
        <v>8394</v>
      </c>
      <c r="H1135" t="s">
        <v>8395</v>
      </c>
      <c r="I1135" t="s">
        <v>8396</v>
      </c>
      <c r="J1135" t="s">
        <v>8397</v>
      </c>
      <c r="K1135" t="s">
        <v>62</v>
      </c>
      <c r="M1135" t="s">
        <v>8398</v>
      </c>
      <c r="N1135" t="s">
        <v>8399</v>
      </c>
      <c r="R1135">
        <v>1</v>
      </c>
      <c r="S1135">
        <v>0</v>
      </c>
      <c r="T1135" t="b">
        <v>0</v>
      </c>
      <c r="U1135">
        <v>2</v>
      </c>
      <c r="V1135" t="s">
        <v>8400</v>
      </c>
      <c r="W1135" s="15">
        <v>-1.4432472869999999</v>
      </c>
      <c r="X1135" s="15">
        <v>35.20809878</v>
      </c>
      <c r="Y1135">
        <v>214</v>
      </c>
      <c r="AC1135">
        <v>214</v>
      </c>
      <c r="AF1135" t="b">
        <v>0</v>
      </c>
      <c r="AG1135" t="s">
        <v>350</v>
      </c>
      <c r="AH1135" t="s">
        <v>350</v>
      </c>
      <c r="AI1135" t="s">
        <v>71</v>
      </c>
      <c r="AJ1135" t="s">
        <v>70</v>
      </c>
      <c r="AK1135" t="s">
        <v>71</v>
      </c>
      <c r="AL1135" t="s">
        <v>72</v>
      </c>
      <c r="AM1135">
        <v>346053</v>
      </c>
      <c r="AO1135" s="16" t="s">
        <v>2421</v>
      </c>
      <c r="AP1135" s="16"/>
      <c r="AX1135" s="22" t="str">
        <f>IF(AND('[1]observations-276632'!W1135&gt;'[1]Methods write-up'!$Q$16,'[1]observations-276632'!W1135&lt;'[1]Methods write-up'!$R$16,'[1]observations-276632'!X1135&gt;'[1]Methods write-up'!$S$16,'[1]observations-276632'!X1135&lt;'[1]Methods write-up'!$T$16),"West Africa","")</f>
        <v/>
      </c>
      <c r="AY1135" s="22" t="str">
        <f>IF(AND('[1]observations-276632'!W1135&gt;'[1]Methods write-up'!$Q$17,'[1]observations-276632'!W1135&lt;'[1]Methods write-up'!$R$17,'[1]observations-276632'!X1135&gt;'[1]Methods write-up'!$S$17,'[1]observations-276632'!X1135&lt;'[1]Methods write-up'!$T$17),"Equatorial tropical forest","")</f>
        <v/>
      </c>
      <c r="AZ1135" s="22" t="str">
        <f>IF(AND('[1]observations-276632'!W1135&gt;'[1]Methods write-up'!$Q$18,'[1]observations-276632'!W1135&lt;'[1]Methods write-up'!$R$18,'[1]observations-276632'!X1135&gt;'[1]Methods write-up'!$S$18,'[1]observations-276632'!X1135&lt;'[1]Methods write-up'!$T$18),"Somali peninsula","")</f>
        <v/>
      </c>
      <c r="BA1135" s="22" t="str">
        <f>IF(AND('[1]observations-276632'!W1135&gt;'[1]Methods write-up'!$Q$19,'[1]observations-276632'!W1135&lt;'[1]Methods write-up'!$R$19,'[1]observations-276632'!X1135&gt;'[1]Methods write-up'!$S$19,'[1]observations-276632'!X1135&lt;'[1]Methods write-up'!$T$19),"East Africa","")</f>
        <v>East Africa</v>
      </c>
      <c r="BB1135" s="22" t="str">
        <f>IF(AND('[1]observations-276632'!W1135&gt;'[1]Methods write-up'!$Q$20,'[1]observations-276632'!W1135&lt;'[1]Methods write-up'!$R$20,'[1]observations-276632'!X1135&gt;'[1]Methods write-up'!$S$20,'[1]observations-276632'!X1135&lt;'[1]Methods write-up'!$T$20),"Temperate seasonal","")</f>
        <v/>
      </c>
      <c r="BC1135" s="22" t="str">
        <f>IF(AND('[1]observations-276632'!W1135&gt;'[1]Methods write-up'!$Q$21,'[1]observations-276632'!W1135&lt;'[1]Methods write-up'!$R$21,'[1]observations-276632'!X1135&gt;'[1]Methods write-up'!$S$21,'[1]observations-276632'!X1135&lt;'[1]Methods write-up'!$T$21),"Desert and high aridity","")</f>
        <v/>
      </c>
      <c r="BD1135" s="23" t="str">
        <f t="shared" si="86"/>
        <v>East Africa</v>
      </c>
      <c r="BE1135" s="24">
        <f t="shared" si="84"/>
        <v>19</v>
      </c>
      <c r="BF1135" s="24">
        <f t="shared" si="85"/>
        <v>8</v>
      </c>
    </row>
    <row r="1136" spans="1:58" ht="16.25" customHeight="1" x14ac:dyDescent="0.2">
      <c r="A1136">
        <v>131489848</v>
      </c>
      <c r="B1136" s="25">
        <v>44792.709722222222</v>
      </c>
      <c r="C1136" s="14">
        <v>44792</v>
      </c>
      <c r="D1136" t="s">
        <v>8401</v>
      </c>
      <c r="E1136" t="s">
        <v>113</v>
      </c>
      <c r="F1136">
        <v>5171908</v>
      </c>
      <c r="G1136" t="s">
        <v>8402</v>
      </c>
      <c r="H1136" t="s">
        <v>8403</v>
      </c>
      <c r="I1136" t="s">
        <v>8404</v>
      </c>
      <c r="J1136" t="s">
        <v>8405</v>
      </c>
      <c r="K1136" t="s">
        <v>62</v>
      </c>
      <c r="L1136" t="s">
        <v>63</v>
      </c>
      <c r="M1136" t="s">
        <v>8406</v>
      </c>
      <c r="N1136" t="s">
        <v>8407</v>
      </c>
      <c r="R1136">
        <v>3</v>
      </c>
      <c r="S1136">
        <v>0</v>
      </c>
      <c r="T1136" t="b">
        <v>0</v>
      </c>
      <c r="U1136">
        <v>2</v>
      </c>
      <c r="V1136" t="s">
        <v>8408</v>
      </c>
      <c r="W1136" s="15">
        <v>-26.36810097</v>
      </c>
      <c r="X1136" s="15">
        <v>27.40924897</v>
      </c>
      <c r="AF1136" t="b">
        <v>0</v>
      </c>
      <c r="AG1136" t="s">
        <v>350</v>
      </c>
      <c r="AH1136" t="s">
        <v>350</v>
      </c>
      <c r="AI1136" t="s">
        <v>71</v>
      </c>
      <c r="AJ1136" t="s">
        <v>70</v>
      </c>
      <c r="AK1136" t="s">
        <v>71</v>
      </c>
      <c r="AL1136" t="s">
        <v>72</v>
      </c>
      <c r="AM1136">
        <v>346053</v>
      </c>
      <c r="AO1136" s="16" t="s">
        <v>73</v>
      </c>
      <c r="AP1136" s="17" t="str">
        <f t="shared" ref="AP1136:AP1199" si="90">IF(COUNTIF(AO1136,"*foundress*"),"Nest (foundress)",AO1136)</f>
        <v>Off-nest female</v>
      </c>
      <c r="AX1136" s="22" t="str">
        <f>IF(AND('[1]observations-276632'!W1136&gt;'[1]Methods write-up'!$Q$16,'[1]observations-276632'!W1136&lt;'[1]Methods write-up'!$R$16,'[1]observations-276632'!X1136&gt;'[1]Methods write-up'!$S$16,'[1]observations-276632'!X1136&lt;'[1]Methods write-up'!$T$16),"West and Central Africa","")</f>
        <v/>
      </c>
      <c r="AY1136" s="22" t="str">
        <f>IF(AND('[1]observations-276632'!W1136&gt;'[1]Methods write-up'!$Q$17,'[1]observations-276632'!W1136&lt;'[1]Methods write-up'!$R$17,'[1]observations-276632'!X1136&gt;'[1]Methods write-up'!$S$17,'[1]observations-276632'!X1136&lt;'[1]Methods write-up'!$T$17),"Equatorial tropical forest","")</f>
        <v/>
      </c>
      <c r="AZ1136" s="22" t="str">
        <f>IF(AND('[1]observations-276632'!W1136&gt;'[1]Methods write-up'!$Q$18,'[1]observations-276632'!W1136&lt;'[1]Methods write-up'!$R$18,'[1]observations-276632'!X1136&gt;'[1]Methods write-up'!$S$18,'[1]observations-276632'!X1136&lt;'[1]Methods write-up'!$T$18),"Somali peninsula","")</f>
        <v/>
      </c>
      <c r="BA1136" s="22" t="str">
        <f>IF(AND('[1]observations-276632'!W1136&gt;'[1]Methods write-up'!$Q$19,'[1]observations-276632'!W1136&lt;'[1]Methods write-up'!$R$19,'[1]observations-276632'!X1136&gt;'[1]Methods write-up'!$S$19,'[1]observations-276632'!X1136&lt;'[1]Methods write-up'!$T$19),"East Africa","")</f>
        <v/>
      </c>
      <c r="BB1136" s="22" t="str">
        <f>IF(AND('[1]observations-276632'!W1136&gt;'[1]Methods write-up'!$Q$20,'[1]observations-276632'!W1136&lt;'[1]Methods write-up'!$R$20,'[1]observations-276632'!X1136&gt;'[1]Methods write-up'!$S$20,'[1]observations-276632'!X1136&lt;'[1]Methods write-up'!$T$20),"Temperate seasonal","")</f>
        <v>Temperate seasonal</v>
      </c>
      <c r="BC1136" s="22" t="str">
        <f>IF(AND('[1]observations-276632'!W1136&gt;'[1]Methods write-up'!$Q$21,'[1]observations-276632'!W1136&lt;'[1]Methods write-up'!$R$21,'[1]observations-276632'!X1136&gt;'[1]Methods write-up'!$S$21,'[1]observations-276632'!X1136&lt;'[1]Methods write-up'!$T$21),"Desert and high aridity","")</f>
        <v/>
      </c>
      <c r="BD1136" s="23" t="str">
        <f t="shared" si="86"/>
        <v>Temperate seasonal</v>
      </c>
      <c r="BE1136" s="24">
        <f t="shared" si="84"/>
        <v>19</v>
      </c>
      <c r="BF1136" s="24">
        <f t="shared" si="85"/>
        <v>8</v>
      </c>
    </row>
    <row r="1137" spans="1:58" ht="16.25" customHeight="1" x14ac:dyDescent="0.2">
      <c r="A1137">
        <v>131583208</v>
      </c>
      <c r="B1137" t="s">
        <v>8409</v>
      </c>
      <c r="C1137" s="14">
        <v>44793</v>
      </c>
      <c r="D1137" t="s">
        <v>8410</v>
      </c>
      <c r="E1137" t="s">
        <v>84</v>
      </c>
      <c r="F1137">
        <v>5437214</v>
      </c>
      <c r="G1137" t="s">
        <v>8411</v>
      </c>
      <c r="H1137" t="s">
        <v>8412</v>
      </c>
      <c r="I1137" t="s">
        <v>8413</v>
      </c>
      <c r="J1137" t="s">
        <v>8414</v>
      </c>
      <c r="K1137" t="s">
        <v>62</v>
      </c>
      <c r="M1137" t="s">
        <v>8415</v>
      </c>
      <c r="N1137" t="s">
        <v>8416</v>
      </c>
      <c r="R1137">
        <v>1</v>
      </c>
      <c r="S1137">
        <v>0</v>
      </c>
      <c r="T1137" t="b">
        <v>0</v>
      </c>
      <c r="U1137">
        <v>3</v>
      </c>
      <c r="V1137" t="s">
        <v>8417</v>
      </c>
      <c r="W1137" s="15">
        <v>-1.402661581</v>
      </c>
      <c r="X1137" s="15">
        <v>36.79137841</v>
      </c>
      <c r="Y1137">
        <v>8</v>
      </c>
      <c r="AC1137">
        <v>8</v>
      </c>
      <c r="AF1137" t="b">
        <v>0</v>
      </c>
      <c r="AI1137" t="s">
        <v>71</v>
      </c>
      <c r="AJ1137" t="s">
        <v>70</v>
      </c>
      <c r="AK1137" t="s">
        <v>71</v>
      </c>
      <c r="AL1137" t="s">
        <v>72</v>
      </c>
      <c r="AM1137">
        <v>346053</v>
      </c>
      <c r="AO1137" s="16" t="s">
        <v>442</v>
      </c>
      <c r="AP1137" s="17" t="str">
        <f t="shared" si="90"/>
        <v>Dead female</v>
      </c>
      <c r="AX1137" s="22" t="str">
        <f>IF(AND('[1]observations-276632'!W1137&gt;'[1]Methods write-up'!$Q$16,'[1]observations-276632'!W1137&lt;'[1]Methods write-up'!$R$16,'[1]observations-276632'!X1137&gt;'[1]Methods write-up'!$S$16,'[1]observations-276632'!X1137&lt;'[1]Methods write-up'!$T$16),"West and Central Africa","")</f>
        <v/>
      </c>
      <c r="AY1137" s="22" t="str">
        <f>IF(AND('[1]observations-276632'!W1137&gt;'[1]Methods write-up'!$Q$17,'[1]observations-276632'!W1137&lt;'[1]Methods write-up'!$R$17,'[1]observations-276632'!X1137&gt;'[1]Methods write-up'!$S$17,'[1]observations-276632'!X1137&lt;'[1]Methods write-up'!$T$17),"Equatorial tropical forest","")</f>
        <v/>
      </c>
      <c r="AZ1137" s="22" t="str">
        <f>IF(AND('[1]observations-276632'!W1137&gt;'[1]Methods write-up'!$Q$18,'[1]observations-276632'!W1137&lt;'[1]Methods write-up'!$R$18,'[1]observations-276632'!X1137&gt;'[1]Methods write-up'!$S$18,'[1]observations-276632'!X1137&lt;'[1]Methods write-up'!$T$18),"Somali peninsula","")</f>
        <v/>
      </c>
      <c r="BA1137" s="22" t="str">
        <f>IF(AND('[1]observations-276632'!W1137&gt;'[1]Methods write-up'!$Q$19,'[1]observations-276632'!W1137&lt;'[1]Methods write-up'!$R$19,'[1]observations-276632'!X1137&gt;'[1]Methods write-up'!$S$19,'[1]observations-276632'!X1137&lt;'[1]Methods write-up'!$T$19),"East Africa","")</f>
        <v>East Africa</v>
      </c>
      <c r="BB1137" s="22" t="str">
        <f>IF(AND('[1]observations-276632'!W1137&gt;'[1]Methods write-up'!$Q$20,'[1]observations-276632'!W1137&lt;'[1]Methods write-up'!$R$20,'[1]observations-276632'!X1137&gt;'[1]Methods write-up'!$S$20,'[1]observations-276632'!X1137&lt;'[1]Methods write-up'!$T$20),"Temperate seasonal","")</f>
        <v/>
      </c>
      <c r="BC1137" s="22" t="str">
        <f>IF(AND('[1]observations-276632'!W1137&gt;'[1]Methods write-up'!$Q$21,'[1]observations-276632'!W1137&lt;'[1]Methods write-up'!$R$21,'[1]observations-276632'!X1137&gt;'[1]Methods write-up'!$S$21,'[1]observations-276632'!X1137&lt;'[1]Methods write-up'!$T$21),"Desert and high aridity","")</f>
        <v/>
      </c>
      <c r="BD1137" s="23" t="str">
        <f t="shared" si="86"/>
        <v>East Africa</v>
      </c>
      <c r="BE1137" s="24">
        <f t="shared" si="84"/>
        <v>20</v>
      </c>
      <c r="BF1137" s="24">
        <f t="shared" si="85"/>
        <v>8</v>
      </c>
    </row>
    <row r="1138" spans="1:58" ht="16.25" customHeight="1" x14ac:dyDescent="0.2">
      <c r="A1138">
        <v>131727868</v>
      </c>
      <c r="B1138" t="s">
        <v>8418</v>
      </c>
      <c r="C1138" s="14">
        <v>44761</v>
      </c>
      <c r="D1138" t="s">
        <v>8419</v>
      </c>
      <c r="E1138" t="s">
        <v>7450</v>
      </c>
      <c r="F1138">
        <v>5257008</v>
      </c>
      <c r="G1138" t="s">
        <v>8420</v>
      </c>
      <c r="H1138" t="s">
        <v>8421</v>
      </c>
      <c r="I1138" t="s">
        <v>8422</v>
      </c>
      <c r="J1138" t="s">
        <v>8423</v>
      </c>
      <c r="K1138" t="s">
        <v>62</v>
      </c>
      <c r="L1138" t="s">
        <v>63</v>
      </c>
      <c r="M1138" t="s">
        <v>8424</v>
      </c>
      <c r="N1138" t="s">
        <v>8425</v>
      </c>
      <c r="R1138">
        <v>2</v>
      </c>
      <c r="S1138">
        <v>0</v>
      </c>
      <c r="T1138" t="b">
        <v>0</v>
      </c>
      <c r="U1138">
        <v>3</v>
      </c>
      <c r="V1138" t="s">
        <v>8426</v>
      </c>
      <c r="W1138" s="15">
        <v>4.1708510150000002</v>
      </c>
      <c r="X1138" s="15">
        <v>9.5912618859999998</v>
      </c>
      <c r="Y1138">
        <v>1178</v>
      </c>
      <c r="AC1138">
        <v>1178</v>
      </c>
      <c r="AF1138" t="b">
        <v>0</v>
      </c>
      <c r="AI1138" t="s">
        <v>71</v>
      </c>
      <c r="AJ1138" t="s">
        <v>70</v>
      </c>
      <c r="AK1138" t="s">
        <v>71</v>
      </c>
      <c r="AL1138" t="s">
        <v>72</v>
      </c>
      <c r="AM1138">
        <v>346053</v>
      </c>
      <c r="AO1138" s="16" t="s">
        <v>150</v>
      </c>
      <c r="AP1138" s="17" t="str">
        <f t="shared" si="90"/>
        <v>Male (off nest)</v>
      </c>
      <c r="AX1138" s="22" t="str">
        <f>IF(AND('[1]observations-276632'!W1138&gt;'[1]Methods write-up'!$Q$16,'[1]observations-276632'!W1138&lt;'[1]Methods write-up'!$R$16,'[1]observations-276632'!X1138&gt;'[1]Methods write-up'!$S$16,'[1]observations-276632'!X1138&lt;'[1]Methods write-up'!$T$16),"West and Central Africa","")</f>
        <v>West and Central Africa</v>
      </c>
      <c r="AY1138" s="22" t="str">
        <f>IF(AND('[1]observations-276632'!W1138&gt;'[1]Methods write-up'!$Q$17,'[1]observations-276632'!W1138&lt;'[1]Methods write-up'!$R$17,'[1]observations-276632'!X1138&gt;'[1]Methods write-up'!$S$17,'[1]observations-276632'!X1138&lt;'[1]Methods write-up'!$T$17),"Equatorial tropical forest","")</f>
        <v/>
      </c>
      <c r="AZ1138" s="22" t="str">
        <f>IF(AND('[1]observations-276632'!W1138&gt;'[1]Methods write-up'!$Q$18,'[1]observations-276632'!W1138&lt;'[1]Methods write-up'!$R$18,'[1]observations-276632'!X1138&gt;'[1]Methods write-up'!$S$18,'[1]observations-276632'!X1138&lt;'[1]Methods write-up'!$T$18),"Somali peninsula","")</f>
        <v/>
      </c>
      <c r="BA1138" s="22" t="str">
        <f>IF(AND('[1]observations-276632'!W1138&gt;'[1]Methods write-up'!$Q$19,'[1]observations-276632'!W1138&lt;'[1]Methods write-up'!$R$19,'[1]observations-276632'!X1138&gt;'[1]Methods write-up'!$S$19,'[1]observations-276632'!X1138&lt;'[1]Methods write-up'!$T$19),"East Africa","")</f>
        <v/>
      </c>
      <c r="BB1138" s="22" t="str">
        <f>IF(AND('[1]observations-276632'!W1138&gt;'[1]Methods write-up'!$Q$20,'[1]observations-276632'!W1138&lt;'[1]Methods write-up'!$R$20,'[1]observations-276632'!X1138&gt;'[1]Methods write-up'!$S$20,'[1]observations-276632'!X1138&lt;'[1]Methods write-up'!$T$20),"Temperate seasonal","")</f>
        <v/>
      </c>
      <c r="BC1138" s="22" t="str">
        <f>IF(AND('[1]observations-276632'!W1138&gt;'[1]Methods write-up'!$Q$21,'[1]observations-276632'!W1138&lt;'[1]Methods write-up'!$R$21,'[1]observations-276632'!X1138&gt;'[1]Methods write-up'!$S$21,'[1]observations-276632'!X1138&lt;'[1]Methods write-up'!$T$21),"Desert and high aridity","")</f>
        <v/>
      </c>
      <c r="BD1138" s="23" t="str">
        <f t="shared" si="86"/>
        <v>West and Central Africa</v>
      </c>
      <c r="BE1138" s="24">
        <f t="shared" si="84"/>
        <v>19</v>
      </c>
      <c r="BF1138" s="24">
        <f t="shared" si="85"/>
        <v>7</v>
      </c>
    </row>
    <row r="1139" spans="1:58" ht="16.25" customHeight="1" x14ac:dyDescent="0.2">
      <c r="A1139">
        <v>132020702</v>
      </c>
      <c r="B1139" t="s">
        <v>8427</v>
      </c>
      <c r="C1139" s="14">
        <v>44793</v>
      </c>
      <c r="D1139" t="s">
        <v>8428</v>
      </c>
      <c r="E1139" t="s">
        <v>84</v>
      </c>
      <c r="F1139">
        <v>1819181</v>
      </c>
      <c r="G1139" t="s">
        <v>8429</v>
      </c>
      <c r="I1139" t="s">
        <v>8430</v>
      </c>
      <c r="J1139" t="s">
        <v>8431</v>
      </c>
      <c r="K1139" t="s">
        <v>62</v>
      </c>
      <c r="L1139" t="s">
        <v>63</v>
      </c>
      <c r="M1139" t="s">
        <v>8432</v>
      </c>
      <c r="N1139" t="s">
        <v>8433</v>
      </c>
      <c r="R1139">
        <v>2</v>
      </c>
      <c r="S1139">
        <v>0</v>
      </c>
      <c r="T1139" t="b">
        <v>0</v>
      </c>
      <c r="U1139">
        <v>3</v>
      </c>
      <c r="V1139" t="s">
        <v>8434</v>
      </c>
      <c r="W1139" s="15">
        <v>-14.06473883</v>
      </c>
      <c r="X1139" s="15">
        <v>33.466628329999999</v>
      </c>
      <c r="Y1139">
        <v>35</v>
      </c>
      <c r="AC1139">
        <v>35</v>
      </c>
      <c r="AF1139" t="b">
        <v>0</v>
      </c>
      <c r="AI1139" t="s">
        <v>71</v>
      </c>
      <c r="AJ1139" t="s">
        <v>70</v>
      </c>
      <c r="AK1139" t="s">
        <v>71</v>
      </c>
      <c r="AL1139" t="s">
        <v>72</v>
      </c>
      <c r="AM1139">
        <v>346053</v>
      </c>
      <c r="AO1139" s="16" t="s">
        <v>110</v>
      </c>
      <c r="AP1139" s="17" t="str">
        <f t="shared" si="90"/>
        <v>Nest (foundress)</v>
      </c>
      <c r="AQ1139" s="18">
        <v>1</v>
      </c>
      <c r="AT1139" s="19" t="s">
        <v>104</v>
      </c>
      <c r="AX1139" s="22" t="str">
        <f>IF(AND('[1]observations-276632'!W1139&gt;'[1]Methods write-up'!$Q$16,'[1]observations-276632'!W1139&lt;'[1]Methods write-up'!$R$16,'[1]observations-276632'!X1139&gt;'[1]Methods write-up'!$S$16,'[1]observations-276632'!X1139&lt;'[1]Methods write-up'!$T$16),"West and Central Africa","")</f>
        <v/>
      </c>
      <c r="AY1139" s="22" t="str">
        <f>IF(AND('[1]observations-276632'!W1139&gt;'[1]Methods write-up'!$Q$17,'[1]observations-276632'!W1139&lt;'[1]Methods write-up'!$R$17,'[1]observations-276632'!X1139&gt;'[1]Methods write-up'!$S$17,'[1]observations-276632'!X1139&lt;'[1]Methods write-up'!$T$17),"Equatorial tropical forest","")</f>
        <v/>
      </c>
      <c r="AZ1139" s="22" t="str">
        <f>IF(AND('[1]observations-276632'!W1139&gt;'[1]Methods write-up'!$Q$18,'[1]observations-276632'!W1139&lt;'[1]Methods write-up'!$R$18,'[1]observations-276632'!X1139&gt;'[1]Methods write-up'!$S$18,'[1]observations-276632'!X1139&lt;'[1]Methods write-up'!$T$18),"Somali peninsula","")</f>
        <v/>
      </c>
      <c r="BA1139" s="22" t="str">
        <f>IF(AND('[1]observations-276632'!W1139&gt;'[1]Methods write-up'!$Q$19,'[1]observations-276632'!W1139&lt;'[1]Methods write-up'!$R$19,'[1]observations-276632'!X1139&gt;'[1]Methods write-up'!$S$19,'[1]observations-276632'!X1139&lt;'[1]Methods write-up'!$T$19),"East Africa","")</f>
        <v/>
      </c>
      <c r="BB1139" s="22" t="str">
        <f>IF(AND('[1]observations-276632'!W1139&gt;'[1]Methods write-up'!$Q$20,'[1]observations-276632'!W1139&lt;'[1]Methods write-up'!$R$20,'[1]observations-276632'!X1139&gt;'[1]Methods write-up'!$S$20,'[1]observations-276632'!X1139&lt;'[1]Methods write-up'!$T$20),"Temperate seasonal","")</f>
        <v/>
      </c>
      <c r="BC1139" s="22" t="str">
        <f>IF(AND('[1]observations-276632'!W1139&gt;'[1]Methods write-up'!$Q$21,'[1]observations-276632'!W1139&lt;'[1]Methods write-up'!$R$21,'[1]observations-276632'!X1139&gt;'[1]Methods write-up'!$S$21,'[1]observations-276632'!X1139&lt;'[1]Methods write-up'!$T$21),"Desert and high aridity","")</f>
        <v/>
      </c>
      <c r="BD1139" s="23" t="str">
        <f t="shared" si="86"/>
        <v/>
      </c>
      <c r="BE1139" s="24">
        <f t="shared" si="84"/>
        <v>20</v>
      </c>
      <c r="BF1139" s="24">
        <f t="shared" si="85"/>
        <v>8</v>
      </c>
    </row>
    <row r="1140" spans="1:58" ht="16.25" customHeight="1" x14ac:dyDescent="0.2">
      <c r="A1140">
        <v>132151128</v>
      </c>
      <c r="B1140" s="25">
        <v>43254.473611111112</v>
      </c>
      <c r="C1140" s="14">
        <v>43254</v>
      </c>
      <c r="D1140" t="s">
        <v>8435</v>
      </c>
      <c r="E1140" t="s">
        <v>7810</v>
      </c>
      <c r="F1140">
        <v>384877</v>
      </c>
      <c r="G1140" t="s">
        <v>334</v>
      </c>
      <c r="H1140" t="s">
        <v>335</v>
      </c>
      <c r="I1140" t="s">
        <v>8436</v>
      </c>
      <c r="J1140" t="s">
        <v>8437</v>
      </c>
      <c r="K1140" t="s">
        <v>62</v>
      </c>
      <c r="L1140" t="s">
        <v>261</v>
      </c>
      <c r="M1140" t="s">
        <v>8438</v>
      </c>
      <c r="N1140" t="s">
        <v>8439</v>
      </c>
      <c r="R1140">
        <v>1</v>
      </c>
      <c r="S1140">
        <v>0</v>
      </c>
      <c r="T1140" t="b">
        <v>0</v>
      </c>
      <c r="V1140" t="s">
        <v>8440</v>
      </c>
      <c r="W1140" s="15">
        <v>6.9220350000000002</v>
      </c>
      <c r="X1140" s="15">
        <v>2.4151950000000002</v>
      </c>
      <c r="AF1140" t="b">
        <v>0</v>
      </c>
      <c r="AI1140" t="s">
        <v>71</v>
      </c>
      <c r="AJ1140" t="s">
        <v>70</v>
      </c>
      <c r="AK1140" t="s">
        <v>71</v>
      </c>
      <c r="AL1140" t="s">
        <v>72</v>
      </c>
      <c r="AM1140">
        <v>346053</v>
      </c>
      <c r="AO1140" s="16" t="s">
        <v>442</v>
      </c>
      <c r="AP1140" s="17" t="str">
        <f t="shared" si="90"/>
        <v>Dead female</v>
      </c>
      <c r="AX1140" s="22" t="str">
        <f>IF(AND('[1]observations-276632'!W1140&gt;'[1]Methods write-up'!$Q$16,'[1]observations-276632'!W1140&lt;'[1]Methods write-up'!$R$16,'[1]observations-276632'!X1140&gt;'[1]Methods write-up'!$S$16,'[1]observations-276632'!X1140&lt;'[1]Methods write-up'!$T$16),"West and Central Africa","")</f>
        <v>West and Central Africa</v>
      </c>
      <c r="AY1140" s="22" t="str">
        <f>IF(AND('[1]observations-276632'!W1140&gt;'[1]Methods write-up'!$Q$17,'[1]observations-276632'!W1140&lt;'[1]Methods write-up'!$R$17,'[1]observations-276632'!X1140&gt;'[1]Methods write-up'!$S$17,'[1]observations-276632'!X1140&lt;'[1]Methods write-up'!$T$17),"Equatorial tropical forest","")</f>
        <v/>
      </c>
      <c r="AZ1140" s="22" t="str">
        <f>IF(AND('[1]observations-276632'!W1140&gt;'[1]Methods write-up'!$Q$18,'[1]observations-276632'!W1140&lt;'[1]Methods write-up'!$R$18,'[1]observations-276632'!X1140&gt;'[1]Methods write-up'!$S$18,'[1]observations-276632'!X1140&lt;'[1]Methods write-up'!$T$18),"Somali peninsula","")</f>
        <v/>
      </c>
      <c r="BA1140" s="22" t="str">
        <f>IF(AND('[1]observations-276632'!W1140&gt;'[1]Methods write-up'!$Q$19,'[1]observations-276632'!W1140&lt;'[1]Methods write-up'!$R$19,'[1]observations-276632'!X1140&gt;'[1]Methods write-up'!$S$19,'[1]observations-276632'!X1140&lt;'[1]Methods write-up'!$T$19),"East Africa","")</f>
        <v/>
      </c>
      <c r="BB1140" s="22" t="str">
        <f>IF(AND('[1]observations-276632'!W1140&gt;'[1]Methods write-up'!$Q$20,'[1]observations-276632'!W1140&lt;'[1]Methods write-up'!$R$20,'[1]observations-276632'!X1140&gt;'[1]Methods write-up'!$S$20,'[1]observations-276632'!X1140&lt;'[1]Methods write-up'!$T$20),"Temperate seasonal","")</f>
        <v/>
      </c>
      <c r="BC1140" s="22" t="str">
        <f>IF(AND('[1]observations-276632'!W1140&gt;'[1]Methods write-up'!$Q$21,'[1]observations-276632'!W1140&lt;'[1]Methods write-up'!$R$21,'[1]observations-276632'!X1140&gt;'[1]Methods write-up'!$S$21,'[1]observations-276632'!X1140&lt;'[1]Methods write-up'!$T$21),"Desert and high aridity","")</f>
        <v/>
      </c>
      <c r="BD1140" s="23" t="str">
        <f t="shared" si="86"/>
        <v>West and Central Africa</v>
      </c>
      <c r="BE1140" s="24">
        <f t="shared" si="84"/>
        <v>3</v>
      </c>
      <c r="BF1140" s="24">
        <f t="shared" si="85"/>
        <v>6</v>
      </c>
    </row>
    <row r="1141" spans="1:58" ht="16.25" customHeight="1" x14ac:dyDescent="0.2">
      <c r="A1141">
        <v>132181825</v>
      </c>
      <c r="B1141" t="s">
        <v>8441</v>
      </c>
      <c r="C1141" s="14">
        <v>44797</v>
      </c>
      <c r="D1141" t="s">
        <v>8442</v>
      </c>
      <c r="E1141" t="s">
        <v>84</v>
      </c>
      <c r="F1141">
        <v>3737403</v>
      </c>
      <c r="G1141" t="s">
        <v>8443</v>
      </c>
      <c r="I1141" t="s">
        <v>8444</v>
      </c>
      <c r="J1141" t="s">
        <v>8445</v>
      </c>
      <c r="K1141" t="s">
        <v>62</v>
      </c>
      <c r="L1141" t="s">
        <v>63</v>
      </c>
      <c r="M1141" t="s">
        <v>8446</v>
      </c>
      <c r="N1141" t="s">
        <v>8447</v>
      </c>
      <c r="R1141">
        <v>1</v>
      </c>
      <c r="S1141">
        <v>0</v>
      </c>
      <c r="T1141" t="b">
        <v>0</v>
      </c>
      <c r="U1141">
        <v>3</v>
      </c>
      <c r="V1141" t="s">
        <v>8448</v>
      </c>
      <c r="W1141" s="15">
        <v>-7.8515166670000003</v>
      </c>
      <c r="X1141" s="15">
        <v>36.886678330000002</v>
      </c>
      <c r="Y1141">
        <v>3001</v>
      </c>
      <c r="AC1141">
        <v>3001</v>
      </c>
      <c r="AF1141" t="b">
        <v>0</v>
      </c>
      <c r="AI1141" t="s">
        <v>71</v>
      </c>
      <c r="AJ1141" t="s">
        <v>70</v>
      </c>
      <c r="AK1141" t="s">
        <v>71</v>
      </c>
      <c r="AL1141" t="s">
        <v>72</v>
      </c>
      <c r="AM1141">
        <v>346053</v>
      </c>
      <c r="AO1141" s="16" t="s">
        <v>73</v>
      </c>
      <c r="AP1141" s="17" t="str">
        <f t="shared" si="90"/>
        <v>Off-nest female</v>
      </c>
      <c r="AX1141" s="22" t="str">
        <f>IF(AND('[1]observations-276632'!W1141&gt;'[1]Methods write-up'!$Q$16,'[1]observations-276632'!W1141&lt;'[1]Methods write-up'!$R$16,'[1]observations-276632'!X1141&gt;'[1]Methods write-up'!$S$16,'[1]observations-276632'!X1141&lt;'[1]Methods write-up'!$T$16),"West and Central Africa","")</f>
        <v/>
      </c>
      <c r="AY1141" s="22" t="str">
        <f>IF(AND('[1]observations-276632'!W1141&gt;'[1]Methods write-up'!$Q$17,'[1]observations-276632'!W1141&lt;'[1]Methods write-up'!$R$17,'[1]observations-276632'!X1141&gt;'[1]Methods write-up'!$S$17,'[1]observations-276632'!X1141&lt;'[1]Methods write-up'!$T$17),"Equatorial tropical forest","")</f>
        <v/>
      </c>
      <c r="AZ1141" s="22" t="str">
        <f>IF(AND('[1]observations-276632'!W1141&gt;'[1]Methods write-up'!$Q$18,'[1]observations-276632'!W1141&lt;'[1]Methods write-up'!$R$18,'[1]observations-276632'!X1141&gt;'[1]Methods write-up'!$S$18,'[1]observations-276632'!X1141&lt;'[1]Methods write-up'!$T$18),"Somali peninsula","")</f>
        <v/>
      </c>
      <c r="BA1141" s="22" t="str">
        <f>IF(AND('[1]observations-276632'!W1141&gt;'[1]Methods write-up'!$Q$19,'[1]observations-276632'!W1141&lt;'[1]Methods write-up'!$R$19,'[1]observations-276632'!X1141&gt;'[1]Methods write-up'!$S$19,'[1]observations-276632'!X1141&lt;'[1]Methods write-up'!$T$19),"East Africa","")</f>
        <v>East Africa</v>
      </c>
      <c r="BB1141" s="22" t="str">
        <f>IF(AND('[1]observations-276632'!W1141&gt;'[1]Methods write-up'!$Q$20,'[1]observations-276632'!W1141&lt;'[1]Methods write-up'!$R$20,'[1]observations-276632'!X1141&gt;'[1]Methods write-up'!$S$20,'[1]observations-276632'!X1141&lt;'[1]Methods write-up'!$T$20),"Temperate seasonal","")</f>
        <v/>
      </c>
      <c r="BC1141" s="22" t="str">
        <f>IF(AND('[1]observations-276632'!W1141&gt;'[1]Methods write-up'!$Q$21,'[1]observations-276632'!W1141&lt;'[1]Methods write-up'!$R$21,'[1]observations-276632'!X1141&gt;'[1]Methods write-up'!$S$21,'[1]observations-276632'!X1141&lt;'[1]Methods write-up'!$T$21),"Desert and high aridity","")</f>
        <v/>
      </c>
      <c r="BD1141" s="23" t="str">
        <f t="shared" si="86"/>
        <v>East Africa</v>
      </c>
      <c r="BE1141" s="24">
        <f t="shared" si="84"/>
        <v>24</v>
      </c>
      <c r="BF1141" s="24">
        <f t="shared" si="85"/>
        <v>8</v>
      </c>
    </row>
    <row r="1142" spans="1:58" ht="16.25" customHeight="1" x14ac:dyDescent="0.2">
      <c r="A1142">
        <v>132255776</v>
      </c>
      <c r="B1142" s="25">
        <v>43430.45208333333</v>
      </c>
      <c r="C1142" s="14">
        <v>43430</v>
      </c>
      <c r="D1142" t="s">
        <v>8449</v>
      </c>
      <c r="E1142" t="s">
        <v>7810</v>
      </c>
      <c r="F1142">
        <v>384877</v>
      </c>
      <c r="G1142" t="s">
        <v>334</v>
      </c>
      <c r="H1142" t="s">
        <v>335</v>
      </c>
      <c r="I1142" t="s">
        <v>8450</v>
      </c>
      <c r="J1142" t="s">
        <v>8451</v>
      </c>
      <c r="K1142" t="s">
        <v>62</v>
      </c>
      <c r="L1142" t="s">
        <v>261</v>
      </c>
      <c r="M1142" t="s">
        <v>8452</v>
      </c>
      <c r="N1142" t="s">
        <v>8453</v>
      </c>
      <c r="R1142">
        <v>1</v>
      </c>
      <c r="S1142">
        <v>0</v>
      </c>
      <c r="T1142" t="b">
        <v>0</v>
      </c>
      <c r="V1142" t="s">
        <v>8454</v>
      </c>
      <c r="W1142" s="15">
        <v>6.5823679999999998</v>
      </c>
      <c r="X1142" s="15">
        <v>2.5563799999999999</v>
      </c>
      <c r="AF1142" t="b">
        <v>0</v>
      </c>
      <c r="AI1142" t="s">
        <v>71</v>
      </c>
      <c r="AJ1142" t="s">
        <v>70</v>
      </c>
      <c r="AK1142" t="s">
        <v>71</v>
      </c>
      <c r="AL1142" t="s">
        <v>72</v>
      </c>
      <c r="AM1142">
        <v>346053</v>
      </c>
      <c r="AO1142" s="16" t="s">
        <v>73</v>
      </c>
      <c r="AP1142" s="17" t="str">
        <f t="shared" si="90"/>
        <v>Off-nest female</v>
      </c>
      <c r="AX1142" s="22" t="str">
        <f>IF(AND('[1]observations-276632'!W1142&gt;'[1]Methods write-up'!$Q$16,'[1]observations-276632'!W1142&lt;'[1]Methods write-up'!$R$16,'[1]observations-276632'!X1142&gt;'[1]Methods write-up'!$S$16,'[1]observations-276632'!X1142&lt;'[1]Methods write-up'!$T$16),"West and Central Africa","")</f>
        <v>West and Central Africa</v>
      </c>
      <c r="AY1142" s="22" t="str">
        <f>IF(AND('[1]observations-276632'!W1142&gt;'[1]Methods write-up'!$Q$17,'[1]observations-276632'!W1142&lt;'[1]Methods write-up'!$R$17,'[1]observations-276632'!X1142&gt;'[1]Methods write-up'!$S$17,'[1]observations-276632'!X1142&lt;'[1]Methods write-up'!$T$17),"Equatorial tropical forest","")</f>
        <v/>
      </c>
      <c r="AZ1142" s="22" t="str">
        <f>IF(AND('[1]observations-276632'!W1142&gt;'[1]Methods write-up'!$Q$18,'[1]observations-276632'!W1142&lt;'[1]Methods write-up'!$R$18,'[1]observations-276632'!X1142&gt;'[1]Methods write-up'!$S$18,'[1]observations-276632'!X1142&lt;'[1]Methods write-up'!$T$18),"Somali peninsula","")</f>
        <v/>
      </c>
      <c r="BA1142" s="22" t="str">
        <f>IF(AND('[1]observations-276632'!W1142&gt;'[1]Methods write-up'!$Q$19,'[1]observations-276632'!W1142&lt;'[1]Methods write-up'!$R$19,'[1]observations-276632'!X1142&gt;'[1]Methods write-up'!$S$19,'[1]observations-276632'!X1142&lt;'[1]Methods write-up'!$T$19),"East Africa","")</f>
        <v/>
      </c>
      <c r="BB1142" s="22" t="str">
        <f>IF(AND('[1]observations-276632'!W1142&gt;'[1]Methods write-up'!$Q$20,'[1]observations-276632'!W1142&lt;'[1]Methods write-up'!$R$20,'[1]observations-276632'!X1142&gt;'[1]Methods write-up'!$S$20,'[1]observations-276632'!X1142&lt;'[1]Methods write-up'!$T$20),"Temperate seasonal","")</f>
        <v/>
      </c>
      <c r="BC1142" s="22" t="str">
        <f>IF(AND('[1]observations-276632'!W1142&gt;'[1]Methods write-up'!$Q$21,'[1]observations-276632'!W1142&lt;'[1]Methods write-up'!$R$21,'[1]observations-276632'!X1142&gt;'[1]Methods write-up'!$S$21,'[1]observations-276632'!X1142&lt;'[1]Methods write-up'!$T$21),"Desert and high aridity","")</f>
        <v/>
      </c>
      <c r="BD1142" s="23" t="str">
        <f t="shared" si="86"/>
        <v>West and Central Africa</v>
      </c>
      <c r="BE1142" s="24">
        <f t="shared" si="84"/>
        <v>26</v>
      </c>
      <c r="BF1142" s="24">
        <f t="shared" si="85"/>
        <v>11</v>
      </c>
    </row>
    <row r="1143" spans="1:58" ht="16.25" customHeight="1" x14ac:dyDescent="0.2">
      <c r="A1143">
        <v>132273697</v>
      </c>
      <c r="B1143" s="25">
        <v>44798.62777777778</v>
      </c>
      <c r="C1143" s="14">
        <v>44798</v>
      </c>
      <c r="D1143" t="s">
        <v>8455</v>
      </c>
      <c r="E1143" t="s">
        <v>113</v>
      </c>
      <c r="F1143">
        <v>3814194</v>
      </c>
      <c r="G1143" t="s">
        <v>5242</v>
      </c>
      <c r="H1143" t="s">
        <v>5243</v>
      </c>
      <c r="I1143" t="s">
        <v>8456</v>
      </c>
      <c r="J1143" t="s">
        <v>8457</v>
      </c>
      <c r="K1143" t="s">
        <v>62</v>
      </c>
      <c r="L1143" t="s">
        <v>63</v>
      </c>
      <c r="M1143" t="s">
        <v>8458</v>
      </c>
      <c r="N1143" t="s">
        <v>8459</v>
      </c>
      <c r="P1143" t="s">
        <v>7952</v>
      </c>
      <c r="Q1143" t="s">
        <v>6344</v>
      </c>
      <c r="R1143">
        <v>2</v>
      </c>
      <c r="S1143">
        <v>0</v>
      </c>
      <c r="T1143" t="b">
        <v>0</v>
      </c>
      <c r="V1143" t="s">
        <v>5250</v>
      </c>
      <c r="W1143" s="15">
        <v>-26.0585816</v>
      </c>
      <c r="X1143" s="15">
        <v>27.975387999999999</v>
      </c>
      <c r="Y1143">
        <v>1769</v>
      </c>
      <c r="AC1143">
        <v>1769</v>
      </c>
      <c r="AF1143" t="b">
        <v>0</v>
      </c>
      <c r="AI1143" t="s">
        <v>71</v>
      </c>
      <c r="AJ1143" t="s">
        <v>70</v>
      </c>
      <c r="AK1143" t="s">
        <v>71</v>
      </c>
      <c r="AL1143" t="s">
        <v>72</v>
      </c>
      <c r="AM1143">
        <v>346053</v>
      </c>
      <c r="AO1143" s="16" t="s">
        <v>73</v>
      </c>
      <c r="AP1143" s="17" t="str">
        <f t="shared" si="90"/>
        <v>Off-nest female</v>
      </c>
      <c r="AX1143" s="22" t="str">
        <f>IF(AND('[1]observations-276632'!W1143&gt;'[1]Methods write-up'!$Q$16,'[1]observations-276632'!W1143&lt;'[1]Methods write-up'!$R$16,'[1]observations-276632'!X1143&gt;'[1]Methods write-up'!$S$16,'[1]observations-276632'!X1143&lt;'[1]Methods write-up'!$T$16),"West and Central Africa","")</f>
        <v/>
      </c>
      <c r="AY1143" s="22" t="str">
        <f>IF(AND('[1]observations-276632'!W1143&gt;'[1]Methods write-up'!$Q$17,'[1]observations-276632'!W1143&lt;'[1]Methods write-up'!$R$17,'[1]observations-276632'!X1143&gt;'[1]Methods write-up'!$S$17,'[1]observations-276632'!X1143&lt;'[1]Methods write-up'!$T$17),"Equatorial tropical forest","")</f>
        <v/>
      </c>
      <c r="AZ1143" s="22" t="str">
        <f>IF(AND('[1]observations-276632'!W1143&gt;'[1]Methods write-up'!$Q$18,'[1]observations-276632'!W1143&lt;'[1]Methods write-up'!$R$18,'[1]observations-276632'!X1143&gt;'[1]Methods write-up'!$S$18,'[1]observations-276632'!X1143&lt;'[1]Methods write-up'!$T$18),"Somali peninsula","")</f>
        <v/>
      </c>
      <c r="BA1143" s="22" t="str">
        <f>IF(AND('[1]observations-276632'!W1143&gt;'[1]Methods write-up'!$Q$19,'[1]observations-276632'!W1143&lt;'[1]Methods write-up'!$R$19,'[1]observations-276632'!X1143&gt;'[1]Methods write-up'!$S$19,'[1]observations-276632'!X1143&lt;'[1]Methods write-up'!$T$19),"East Africa","")</f>
        <v/>
      </c>
      <c r="BB1143" s="22" t="str">
        <f>IF(AND('[1]observations-276632'!W1143&gt;'[1]Methods write-up'!$Q$20,'[1]observations-276632'!W1143&lt;'[1]Methods write-up'!$R$20,'[1]observations-276632'!X1143&gt;'[1]Methods write-up'!$S$20,'[1]observations-276632'!X1143&lt;'[1]Methods write-up'!$T$20),"Temperate seasonal","")</f>
        <v>Temperate seasonal</v>
      </c>
      <c r="BC1143" s="22" t="str">
        <f>IF(AND('[1]observations-276632'!W1143&gt;'[1]Methods write-up'!$Q$21,'[1]observations-276632'!W1143&lt;'[1]Methods write-up'!$R$21,'[1]observations-276632'!X1143&gt;'[1]Methods write-up'!$S$21,'[1]observations-276632'!X1143&lt;'[1]Methods write-up'!$T$21),"Desert and high aridity","")</f>
        <v/>
      </c>
      <c r="BD1143" s="23" t="str">
        <f t="shared" si="86"/>
        <v>Temperate seasonal</v>
      </c>
      <c r="BE1143" s="24">
        <f t="shared" si="84"/>
        <v>25</v>
      </c>
      <c r="BF1143" s="24">
        <f t="shared" si="85"/>
        <v>8</v>
      </c>
    </row>
    <row r="1144" spans="1:58" ht="16.25" customHeight="1" x14ac:dyDescent="0.2">
      <c r="A1144">
        <v>132592094</v>
      </c>
      <c r="B1144" s="25">
        <v>44801.039583333331</v>
      </c>
      <c r="C1144" s="14">
        <v>44801</v>
      </c>
      <c r="D1144" t="s">
        <v>8460</v>
      </c>
      <c r="E1144" t="s">
        <v>74</v>
      </c>
      <c r="F1144">
        <v>3929073</v>
      </c>
      <c r="G1144" t="s">
        <v>7562</v>
      </c>
      <c r="H1144" t="s">
        <v>7563</v>
      </c>
      <c r="I1144" t="s">
        <v>8461</v>
      </c>
      <c r="J1144" t="s">
        <v>8462</v>
      </c>
      <c r="K1144" t="s">
        <v>62</v>
      </c>
      <c r="M1144" t="s">
        <v>8463</v>
      </c>
      <c r="N1144" t="s">
        <v>8464</v>
      </c>
      <c r="R1144">
        <v>3</v>
      </c>
      <c r="S1144">
        <v>0</v>
      </c>
      <c r="T1144" t="b">
        <v>0</v>
      </c>
      <c r="U1144">
        <v>2</v>
      </c>
      <c r="V1144" t="s">
        <v>8465</v>
      </c>
      <c r="W1144" s="15">
        <v>-20.14977</v>
      </c>
      <c r="X1144" s="15">
        <v>28.623950000000001</v>
      </c>
      <c r="Y1144">
        <v>8</v>
      </c>
      <c r="AC1144">
        <v>8</v>
      </c>
      <c r="AF1144" t="b">
        <v>0</v>
      </c>
      <c r="AI1144" t="s">
        <v>71</v>
      </c>
      <c r="AJ1144" t="s">
        <v>70</v>
      </c>
      <c r="AK1144" t="s">
        <v>71</v>
      </c>
      <c r="AL1144" t="s">
        <v>72</v>
      </c>
      <c r="AM1144">
        <v>346053</v>
      </c>
      <c r="AO1144" s="16" t="s">
        <v>73</v>
      </c>
      <c r="AP1144" s="17" t="str">
        <f t="shared" si="90"/>
        <v>Off-nest female</v>
      </c>
      <c r="AX1144" s="22" t="str">
        <f>IF(AND('[1]observations-276632'!W1144&gt;'[1]Methods write-up'!$Q$16,'[1]observations-276632'!W1144&lt;'[1]Methods write-up'!$R$16,'[1]observations-276632'!X1144&gt;'[1]Methods write-up'!$S$16,'[1]observations-276632'!X1144&lt;'[1]Methods write-up'!$T$16),"West and Central Africa","")</f>
        <v/>
      </c>
      <c r="AY1144" s="22" t="str">
        <f>IF(AND('[1]observations-276632'!W1144&gt;'[1]Methods write-up'!$Q$17,'[1]observations-276632'!W1144&lt;'[1]Methods write-up'!$R$17,'[1]observations-276632'!X1144&gt;'[1]Methods write-up'!$S$17,'[1]observations-276632'!X1144&lt;'[1]Methods write-up'!$T$17),"Equatorial tropical forest","")</f>
        <v/>
      </c>
      <c r="AZ1144" s="22" t="str">
        <f>IF(AND('[1]observations-276632'!W1144&gt;'[1]Methods write-up'!$Q$18,'[1]observations-276632'!W1144&lt;'[1]Methods write-up'!$R$18,'[1]observations-276632'!X1144&gt;'[1]Methods write-up'!$S$18,'[1]observations-276632'!X1144&lt;'[1]Methods write-up'!$T$18),"Somali peninsula","")</f>
        <v/>
      </c>
      <c r="BA1144" s="22" t="str">
        <f>IF(AND('[1]observations-276632'!W1144&gt;'[1]Methods write-up'!$Q$19,'[1]observations-276632'!W1144&lt;'[1]Methods write-up'!$R$19,'[1]observations-276632'!X1144&gt;'[1]Methods write-up'!$S$19,'[1]observations-276632'!X1144&lt;'[1]Methods write-up'!$T$19),"East Africa","")</f>
        <v/>
      </c>
      <c r="BB1144" s="22" t="str">
        <f>IF(AND('[1]observations-276632'!W1144&gt;'[1]Methods write-up'!$Q$20,'[1]observations-276632'!W1144&lt;'[1]Methods write-up'!$R$20,'[1]observations-276632'!X1144&gt;'[1]Methods write-up'!$S$20,'[1]observations-276632'!X1144&lt;'[1]Methods write-up'!$T$20),"Temperate seasonal","")</f>
        <v/>
      </c>
      <c r="BC1144" s="22" t="str">
        <f>IF(AND('[1]observations-276632'!W1144&gt;'[1]Methods write-up'!$Q$21,'[1]observations-276632'!W1144&lt;'[1]Methods write-up'!$R$21,'[1]observations-276632'!X1144&gt;'[1]Methods write-up'!$S$21,'[1]observations-276632'!X1144&lt;'[1]Methods write-up'!$T$21),"Desert and high aridity","")</f>
        <v/>
      </c>
      <c r="BD1144" s="23" t="str">
        <f t="shared" si="86"/>
        <v/>
      </c>
      <c r="BE1144" s="24">
        <f t="shared" si="84"/>
        <v>28</v>
      </c>
      <c r="BF1144" s="24">
        <f t="shared" si="85"/>
        <v>8</v>
      </c>
    </row>
    <row r="1145" spans="1:58" ht="16.25" customHeight="1" x14ac:dyDescent="0.2">
      <c r="A1145">
        <v>132808504</v>
      </c>
      <c r="B1145" s="25">
        <v>44802.613888888889</v>
      </c>
      <c r="C1145" s="14">
        <v>44802</v>
      </c>
      <c r="D1145" t="s">
        <v>8466</v>
      </c>
      <c r="E1145" t="s">
        <v>113</v>
      </c>
      <c r="F1145">
        <v>4186079</v>
      </c>
      <c r="G1145" t="s">
        <v>8467</v>
      </c>
      <c r="H1145" t="s">
        <v>8468</v>
      </c>
      <c r="I1145" t="s">
        <v>8469</v>
      </c>
      <c r="J1145" t="s">
        <v>8470</v>
      </c>
      <c r="K1145" t="s">
        <v>62</v>
      </c>
      <c r="L1145" t="s">
        <v>63</v>
      </c>
      <c r="M1145" t="s">
        <v>8471</v>
      </c>
      <c r="N1145" t="s">
        <v>8472</v>
      </c>
      <c r="R1145">
        <v>3</v>
      </c>
      <c r="S1145">
        <v>1</v>
      </c>
      <c r="T1145" t="b">
        <v>0</v>
      </c>
      <c r="U1145">
        <v>2</v>
      </c>
      <c r="V1145" t="s">
        <v>8473</v>
      </c>
      <c r="W1145" s="15">
        <v>-33.986350000000002</v>
      </c>
      <c r="X1145" s="15">
        <v>18.437386109999998</v>
      </c>
      <c r="AF1145" t="b">
        <v>0</v>
      </c>
      <c r="AI1145" t="s">
        <v>71</v>
      </c>
      <c r="AJ1145" t="s">
        <v>70</v>
      </c>
      <c r="AK1145" t="s">
        <v>71</v>
      </c>
      <c r="AL1145" t="s">
        <v>72</v>
      </c>
      <c r="AM1145">
        <v>346053</v>
      </c>
      <c r="AO1145" s="16" t="s">
        <v>73</v>
      </c>
      <c r="AP1145" s="17" t="str">
        <f t="shared" si="90"/>
        <v>Off-nest female</v>
      </c>
      <c r="AX1145" s="22" t="str">
        <f>IF(AND('[1]observations-276632'!W1145&gt;'[1]Methods write-up'!$Q$16,'[1]observations-276632'!W1145&lt;'[1]Methods write-up'!$R$16,'[1]observations-276632'!X1145&gt;'[1]Methods write-up'!$S$16,'[1]observations-276632'!X1145&lt;'[1]Methods write-up'!$T$16),"West and Central Africa","")</f>
        <v/>
      </c>
      <c r="AY1145" s="22" t="str">
        <f>IF(AND('[1]observations-276632'!W1145&gt;'[1]Methods write-up'!$Q$17,'[1]observations-276632'!W1145&lt;'[1]Methods write-up'!$R$17,'[1]observations-276632'!X1145&gt;'[1]Methods write-up'!$S$17,'[1]observations-276632'!X1145&lt;'[1]Methods write-up'!$T$17),"Equatorial tropical forest","")</f>
        <v/>
      </c>
      <c r="AZ1145" s="22" t="str">
        <f>IF(AND('[1]observations-276632'!W1145&gt;'[1]Methods write-up'!$Q$18,'[1]observations-276632'!W1145&lt;'[1]Methods write-up'!$R$18,'[1]observations-276632'!X1145&gt;'[1]Methods write-up'!$S$18,'[1]observations-276632'!X1145&lt;'[1]Methods write-up'!$T$18),"Somali peninsula","")</f>
        <v/>
      </c>
      <c r="BA1145" s="22" t="str">
        <f>IF(AND('[1]observations-276632'!W1145&gt;'[1]Methods write-up'!$Q$19,'[1]observations-276632'!W1145&lt;'[1]Methods write-up'!$R$19,'[1]observations-276632'!X1145&gt;'[1]Methods write-up'!$S$19,'[1]observations-276632'!X1145&lt;'[1]Methods write-up'!$T$19),"East Africa","")</f>
        <v/>
      </c>
      <c r="BB1145" s="22" t="str">
        <f>IF(AND('[1]observations-276632'!W1145&gt;'[1]Methods write-up'!$Q$20,'[1]observations-276632'!W1145&lt;'[1]Methods write-up'!$R$20,'[1]observations-276632'!X1145&gt;'[1]Methods write-up'!$S$20,'[1]observations-276632'!X1145&lt;'[1]Methods write-up'!$T$20),"Temperate seasonal","")</f>
        <v/>
      </c>
      <c r="BC1145" s="22" t="str">
        <f>IF(AND('[1]observations-276632'!W1145&gt;'[1]Methods write-up'!$Q$21,'[1]observations-276632'!W1145&lt;'[1]Methods write-up'!$R$21,'[1]observations-276632'!X1145&gt;'[1]Methods write-up'!$S$21,'[1]observations-276632'!X1145&lt;'[1]Methods write-up'!$T$21),"Desert and high aridity","")</f>
        <v/>
      </c>
      <c r="BD1145" s="23" t="str">
        <f t="shared" si="86"/>
        <v/>
      </c>
      <c r="BE1145" s="24">
        <f t="shared" si="84"/>
        <v>29</v>
      </c>
      <c r="BF1145" s="24">
        <f t="shared" si="85"/>
        <v>8</v>
      </c>
    </row>
    <row r="1146" spans="1:58" ht="16.25" customHeight="1" x14ac:dyDescent="0.2">
      <c r="A1146">
        <v>132916452</v>
      </c>
      <c r="B1146" s="25">
        <v>44800.332638888889</v>
      </c>
      <c r="C1146" s="14">
        <v>44800</v>
      </c>
      <c r="D1146" t="s">
        <v>8474</v>
      </c>
      <c r="E1146" t="s">
        <v>84</v>
      </c>
      <c r="F1146">
        <v>5082001</v>
      </c>
      <c r="G1146" t="s">
        <v>8475</v>
      </c>
      <c r="I1146" t="s">
        <v>8476</v>
      </c>
      <c r="J1146" t="s">
        <v>8477</v>
      </c>
      <c r="K1146" t="s">
        <v>62</v>
      </c>
      <c r="L1146" t="s">
        <v>63</v>
      </c>
      <c r="M1146" t="s">
        <v>8478</v>
      </c>
      <c r="N1146" t="s">
        <v>8479</v>
      </c>
      <c r="R1146">
        <v>2</v>
      </c>
      <c r="S1146">
        <v>0</v>
      </c>
      <c r="T1146" t="b">
        <v>0</v>
      </c>
      <c r="U1146">
        <v>2</v>
      </c>
      <c r="V1146" t="s">
        <v>8480</v>
      </c>
      <c r="W1146" s="15">
        <v>3.7283499999999998</v>
      </c>
      <c r="X1146" s="15">
        <v>33.710380559999997</v>
      </c>
      <c r="AF1146" t="b">
        <v>0</v>
      </c>
      <c r="AG1146" t="s">
        <v>350</v>
      </c>
      <c r="AH1146" t="s">
        <v>350</v>
      </c>
      <c r="AI1146" t="s">
        <v>70</v>
      </c>
      <c r="AJ1146" t="s">
        <v>70</v>
      </c>
      <c r="AK1146" t="s">
        <v>71</v>
      </c>
      <c r="AL1146" t="s">
        <v>72</v>
      </c>
      <c r="AM1146">
        <v>346053</v>
      </c>
      <c r="AO1146" s="16" t="s">
        <v>73</v>
      </c>
      <c r="AP1146" s="17" t="str">
        <f t="shared" si="90"/>
        <v>Off-nest female</v>
      </c>
      <c r="AX1146" s="22" t="str">
        <f>IF(AND('[1]observations-276632'!W1146&gt;'[1]Methods write-up'!$Q$16,'[1]observations-276632'!W1146&lt;'[1]Methods write-up'!$R$16,'[1]observations-276632'!X1146&gt;'[1]Methods write-up'!$S$16,'[1]observations-276632'!X1146&lt;'[1]Methods write-up'!$T$16),"West and Central Africa","")</f>
        <v/>
      </c>
      <c r="AY1146" s="22" t="str">
        <f>IF(AND('[1]observations-276632'!W1146&gt;'[1]Methods write-up'!$Q$17,'[1]observations-276632'!W1146&lt;'[1]Methods write-up'!$R$17,'[1]observations-276632'!X1146&gt;'[1]Methods write-up'!$S$17,'[1]observations-276632'!X1146&lt;'[1]Methods write-up'!$T$17),"Equatorial tropical forest","")</f>
        <v/>
      </c>
      <c r="AZ1146" s="22" t="str">
        <f>IF(AND('[1]observations-276632'!W1146&gt;'[1]Methods write-up'!$Q$18,'[1]observations-276632'!W1146&lt;'[1]Methods write-up'!$R$18,'[1]observations-276632'!X1146&gt;'[1]Methods write-up'!$S$18,'[1]observations-276632'!X1146&lt;'[1]Methods write-up'!$T$18),"Somali peninsula","")</f>
        <v/>
      </c>
      <c r="BA1146" s="22" t="str">
        <f>IF(AND('[1]observations-276632'!W1146&gt;'[1]Methods write-up'!$Q$19,'[1]observations-276632'!W1146&lt;'[1]Methods write-up'!$R$19,'[1]observations-276632'!X1146&gt;'[1]Methods write-up'!$S$19,'[1]observations-276632'!X1146&lt;'[1]Methods write-up'!$T$19),"East Africa","")</f>
        <v>East Africa</v>
      </c>
      <c r="BB1146" s="22" t="str">
        <f>IF(AND('[1]observations-276632'!W1146&gt;'[1]Methods write-up'!$Q$20,'[1]observations-276632'!W1146&lt;'[1]Methods write-up'!$R$20,'[1]observations-276632'!X1146&gt;'[1]Methods write-up'!$S$20,'[1]observations-276632'!X1146&lt;'[1]Methods write-up'!$T$20),"Temperate seasonal","")</f>
        <v/>
      </c>
      <c r="BC1146" s="22" t="str">
        <f>IF(AND('[1]observations-276632'!W1146&gt;'[1]Methods write-up'!$Q$21,'[1]observations-276632'!W1146&lt;'[1]Methods write-up'!$R$21,'[1]observations-276632'!X1146&gt;'[1]Methods write-up'!$S$21,'[1]observations-276632'!X1146&lt;'[1]Methods write-up'!$T$21),"Desert and high aridity","")</f>
        <v/>
      </c>
      <c r="BD1146" s="23" t="str">
        <f t="shared" si="86"/>
        <v>East Africa</v>
      </c>
      <c r="BE1146" s="24">
        <f t="shared" si="84"/>
        <v>27</v>
      </c>
      <c r="BF1146" s="24">
        <f t="shared" si="85"/>
        <v>8</v>
      </c>
    </row>
    <row r="1147" spans="1:58" ht="16.25" customHeight="1" x14ac:dyDescent="0.2">
      <c r="A1147">
        <v>133603859</v>
      </c>
      <c r="B1147" s="25">
        <v>44808.6</v>
      </c>
      <c r="C1147" s="14">
        <v>44808</v>
      </c>
      <c r="D1147" t="s">
        <v>8481</v>
      </c>
      <c r="E1147" t="s">
        <v>113</v>
      </c>
      <c r="F1147">
        <v>4023157</v>
      </c>
      <c r="G1147" t="s">
        <v>4891</v>
      </c>
      <c r="H1147" t="s">
        <v>4892</v>
      </c>
      <c r="I1147" t="s">
        <v>8482</v>
      </c>
      <c r="J1147" t="s">
        <v>8483</v>
      </c>
      <c r="K1147" t="s">
        <v>62</v>
      </c>
      <c r="M1147" t="s">
        <v>8484</v>
      </c>
      <c r="N1147" t="s">
        <v>8485</v>
      </c>
      <c r="R1147">
        <v>3</v>
      </c>
      <c r="S1147">
        <v>0</v>
      </c>
      <c r="T1147" t="b">
        <v>0</v>
      </c>
      <c r="U1147">
        <v>2</v>
      </c>
      <c r="V1147" t="s">
        <v>4898</v>
      </c>
      <c r="W1147" s="15">
        <v>-25.79744492</v>
      </c>
      <c r="X1147" s="15">
        <v>28.298322670000001</v>
      </c>
      <c r="Y1147">
        <v>200</v>
      </c>
      <c r="AC1147">
        <v>200</v>
      </c>
      <c r="AF1147" t="b">
        <v>0</v>
      </c>
      <c r="AG1147" t="s">
        <v>350</v>
      </c>
      <c r="AH1147" t="s">
        <v>350</v>
      </c>
      <c r="AI1147" t="s">
        <v>71</v>
      </c>
      <c r="AJ1147" t="s">
        <v>70</v>
      </c>
      <c r="AK1147" t="s">
        <v>71</v>
      </c>
      <c r="AL1147" t="s">
        <v>72</v>
      </c>
      <c r="AM1147">
        <v>346053</v>
      </c>
      <c r="AO1147" s="16" t="s">
        <v>73</v>
      </c>
      <c r="AP1147" s="17" t="str">
        <f t="shared" si="90"/>
        <v>Off-nest female</v>
      </c>
      <c r="AX1147" s="22" t="str">
        <f>IF(AND('[1]observations-276632'!W1147&gt;'[1]Methods write-up'!$Q$16,'[1]observations-276632'!W1147&lt;'[1]Methods write-up'!$R$16,'[1]observations-276632'!X1147&gt;'[1]Methods write-up'!$S$16,'[1]observations-276632'!X1147&lt;'[1]Methods write-up'!$T$16),"West and Central Africa","")</f>
        <v/>
      </c>
      <c r="AY1147" s="22" t="str">
        <f>IF(AND('[1]observations-276632'!W1147&gt;'[1]Methods write-up'!$Q$17,'[1]observations-276632'!W1147&lt;'[1]Methods write-up'!$R$17,'[1]observations-276632'!X1147&gt;'[1]Methods write-up'!$S$17,'[1]observations-276632'!X1147&lt;'[1]Methods write-up'!$T$17),"Equatorial tropical forest","")</f>
        <v/>
      </c>
      <c r="AZ1147" s="22" t="str">
        <f>IF(AND('[1]observations-276632'!W1147&gt;'[1]Methods write-up'!$Q$18,'[1]observations-276632'!W1147&lt;'[1]Methods write-up'!$R$18,'[1]observations-276632'!X1147&gt;'[1]Methods write-up'!$S$18,'[1]observations-276632'!X1147&lt;'[1]Methods write-up'!$T$18),"Somali peninsula","")</f>
        <v/>
      </c>
      <c r="BA1147" s="22" t="str">
        <f>IF(AND('[1]observations-276632'!W1147&gt;'[1]Methods write-up'!$Q$19,'[1]observations-276632'!W1147&lt;'[1]Methods write-up'!$R$19,'[1]observations-276632'!X1147&gt;'[1]Methods write-up'!$S$19,'[1]observations-276632'!X1147&lt;'[1]Methods write-up'!$T$19),"East Africa","")</f>
        <v/>
      </c>
      <c r="BB1147" s="22" t="str">
        <f>IF(AND('[1]observations-276632'!W1147&gt;'[1]Methods write-up'!$Q$20,'[1]observations-276632'!W1147&lt;'[1]Methods write-up'!$R$20,'[1]observations-276632'!X1147&gt;'[1]Methods write-up'!$S$20,'[1]observations-276632'!X1147&lt;'[1]Methods write-up'!$T$20),"Temperate seasonal","")</f>
        <v>Temperate seasonal</v>
      </c>
      <c r="BC1147" s="22" t="str">
        <f>IF(AND('[1]observations-276632'!W1147&gt;'[1]Methods write-up'!$Q$21,'[1]observations-276632'!W1147&lt;'[1]Methods write-up'!$R$21,'[1]observations-276632'!X1147&gt;'[1]Methods write-up'!$S$21,'[1]observations-276632'!X1147&lt;'[1]Methods write-up'!$T$21),"Desert and high aridity","")</f>
        <v/>
      </c>
      <c r="BD1147" s="23" t="str">
        <f t="shared" si="86"/>
        <v>Temperate seasonal</v>
      </c>
      <c r="BE1147" s="24">
        <f t="shared" si="84"/>
        <v>4</v>
      </c>
      <c r="BF1147" s="24">
        <f t="shared" si="85"/>
        <v>9</v>
      </c>
    </row>
    <row r="1148" spans="1:58" ht="16.25" customHeight="1" x14ac:dyDescent="0.2">
      <c r="A1148">
        <v>133621579</v>
      </c>
      <c r="B1148" s="25">
        <v>44808.490972222222</v>
      </c>
      <c r="C1148" s="14">
        <v>44808</v>
      </c>
      <c r="D1148" t="s">
        <v>8486</v>
      </c>
      <c r="E1148" t="s">
        <v>113</v>
      </c>
      <c r="F1148">
        <v>748380</v>
      </c>
      <c r="G1148" t="s">
        <v>7764</v>
      </c>
      <c r="I1148" t="s">
        <v>8487</v>
      </c>
      <c r="J1148" t="s">
        <v>8488</v>
      </c>
      <c r="K1148" t="s">
        <v>62</v>
      </c>
      <c r="L1148" t="s">
        <v>63</v>
      </c>
      <c r="M1148" t="s">
        <v>8489</v>
      </c>
      <c r="N1148" t="s">
        <v>8490</v>
      </c>
      <c r="R1148">
        <v>1</v>
      </c>
      <c r="S1148">
        <v>0</v>
      </c>
      <c r="T1148" t="b">
        <v>0</v>
      </c>
      <c r="V1148" t="s">
        <v>8491</v>
      </c>
      <c r="W1148" s="15">
        <v>-30.246787990000001</v>
      </c>
      <c r="X1148" s="15">
        <v>30.752444990000001</v>
      </c>
      <c r="Y1148">
        <v>400</v>
      </c>
      <c r="AC1148">
        <v>400</v>
      </c>
      <c r="AF1148" t="b">
        <v>0</v>
      </c>
      <c r="AI1148" t="s">
        <v>71</v>
      </c>
      <c r="AJ1148" t="s">
        <v>70</v>
      </c>
      <c r="AK1148" t="s">
        <v>71</v>
      </c>
      <c r="AL1148" t="s">
        <v>72</v>
      </c>
      <c r="AM1148">
        <v>346053</v>
      </c>
      <c r="AO1148" s="16" t="s">
        <v>73</v>
      </c>
      <c r="AP1148" s="17" t="str">
        <f t="shared" si="90"/>
        <v>Off-nest female</v>
      </c>
      <c r="AX1148" s="22" t="str">
        <f>IF(AND('[1]observations-276632'!W1148&gt;'[1]Methods write-up'!$Q$16,'[1]observations-276632'!W1148&lt;'[1]Methods write-up'!$R$16,'[1]observations-276632'!X1148&gt;'[1]Methods write-up'!$S$16,'[1]observations-276632'!X1148&lt;'[1]Methods write-up'!$T$16),"West and Central Africa","")</f>
        <v/>
      </c>
      <c r="AY1148" s="22" t="str">
        <f>IF(AND('[1]observations-276632'!W1148&gt;'[1]Methods write-up'!$Q$17,'[1]observations-276632'!W1148&lt;'[1]Methods write-up'!$R$17,'[1]observations-276632'!X1148&gt;'[1]Methods write-up'!$S$17,'[1]observations-276632'!X1148&lt;'[1]Methods write-up'!$T$17),"Equatorial tropical forest","")</f>
        <v/>
      </c>
      <c r="AZ1148" s="22" t="str">
        <f>IF(AND('[1]observations-276632'!W1148&gt;'[1]Methods write-up'!$Q$18,'[1]observations-276632'!W1148&lt;'[1]Methods write-up'!$R$18,'[1]observations-276632'!X1148&gt;'[1]Methods write-up'!$S$18,'[1]observations-276632'!X1148&lt;'[1]Methods write-up'!$T$18),"Somali peninsula","")</f>
        <v/>
      </c>
      <c r="BA1148" s="22" t="str">
        <f>IF(AND('[1]observations-276632'!W1148&gt;'[1]Methods write-up'!$Q$19,'[1]observations-276632'!W1148&lt;'[1]Methods write-up'!$R$19,'[1]observations-276632'!X1148&gt;'[1]Methods write-up'!$S$19,'[1]observations-276632'!X1148&lt;'[1]Methods write-up'!$T$19),"East Africa","")</f>
        <v/>
      </c>
      <c r="BB1148" s="22" t="str">
        <f>IF(AND('[1]observations-276632'!W1148&gt;'[1]Methods write-up'!$Q$20,'[1]observations-276632'!W1148&lt;'[1]Methods write-up'!$R$20,'[1]observations-276632'!X1148&gt;'[1]Methods write-up'!$S$20,'[1]observations-276632'!X1148&lt;'[1]Methods write-up'!$T$20),"Temperate seasonal","")</f>
        <v>Temperate seasonal</v>
      </c>
      <c r="BC1148" s="22" t="str">
        <f>IF(AND('[1]observations-276632'!W1148&gt;'[1]Methods write-up'!$Q$21,'[1]observations-276632'!W1148&lt;'[1]Methods write-up'!$R$21,'[1]observations-276632'!X1148&gt;'[1]Methods write-up'!$S$21,'[1]observations-276632'!X1148&lt;'[1]Methods write-up'!$T$21),"Desert and high aridity","")</f>
        <v/>
      </c>
      <c r="BD1148" s="23" t="str">
        <f t="shared" si="86"/>
        <v>Temperate seasonal</v>
      </c>
      <c r="BE1148" s="24">
        <f t="shared" si="84"/>
        <v>4</v>
      </c>
      <c r="BF1148" s="24">
        <f t="shared" si="85"/>
        <v>9</v>
      </c>
    </row>
    <row r="1149" spans="1:58" ht="16.25" customHeight="1" x14ac:dyDescent="0.2">
      <c r="A1149">
        <v>133736289</v>
      </c>
      <c r="B1149" s="25">
        <v>44808.424305555556</v>
      </c>
      <c r="C1149" s="14">
        <v>44808</v>
      </c>
      <c r="D1149" t="s">
        <v>8492</v>
      </c>
      <c r="E1149" t="s">
        <v>113</v>
      </c>
      <c r="F1149">
        <v>1635928</v>
      </c>
      <c r="G1149" t="s">
        <v>8493</v>
      </c>
      <c r="I1149" t="s">
        <v>8494</v>
      </c>
      <c r="J1149" t="s">
        <v>8495</v>
      </c>
      <c r="K1149" t="s">
        <v>62</v>
      </c>
      <c r="L1149" t="s">
        <v>63</v>
      </c>
      <c r="M1149" t="s">
        <v>8496</v>
      </c>
      <c r="N1149" t="s">
        <v>8497</v>
      </c>
      <c r="R1149">
        <v>3</v>
      </c>
      <c r="S1149">
        <v>0</v>
      </c>
      <c r="T1149" t="b">
        <v>0</v>
      </c>
      <c r="V1149" t="s">
        <v>8498</v>
      </c>
      <c r="W1149" s="15">
        <v>-34.006819530000001</v>
      </c>
      <c r="X1149" s="15">
        <v>25.53670425</v>
      </c>
      <c r="Y1149">
        <v>61</v>
      </c>
      <c r="AC1149">
        <v>61</v>
      </c>
      <c r="AF1149" t="b">
        <v>0</v>
      </c>
      <c r="AI1149" t="s">
        <v>71</v>
      </c>
      <c r="AJ1149" t="s">
        <v>70</v>
      </c>
      <c r="AK1149" t="s">
        <v>71</v>
      </c>
      <c r="AL1149" t="s">
        <v>72</v>
      </c>
      <c r="AM1149">
        <v>346053</v>
      </c>
      <c r="AO1149" s="16" t="s">
        <v>8499</v>
      </c>
      <c r="AP1149" s="17" t="str">
        <f t="shared" si="90"/>
        <v>Declining post-emergence nest</v>
      </c>
      <c r="AQ1149" s="18">
        <v>12</v>
      </c>
      <c r="AT1149" s="19" t="s">
        <v>141</v>
      </c>
      <c r="AU1149" s="20" t="s">
        <v>104</v>
      </c>
      <c r="AV1149" s="21" t="s">
        <v>8500</v>
      </c>
      <c r="AX1149" s="22" t="str">
        <f>IF(AND('[1]observations-276632'!W1149&gt;'[1]Methods write-up'!$Q$16,'[1]observations-276632'!W1149&lt;'[1]Methods write-up'!$R$16,'[1]observations-276632'!X1149&gt;'[1]Methods write-up'!$S$16,'[1]observations-276632'!X1149&lt;'[1]Methods write-up'!$T$16),"West and Central Africa","")</f>
        <v/>
      </c>
      <c r="AY1149" s="22" t="str">
        <f>IF(AND('[1]observations-276632'!W1149&gt;'[1]Methods write-up'!$Q$17,'[1]observations-276632'!W1149&lt;'[1]Methods write-up'!$R$17,'[1]observations-276632'!X1149&gt;'[1]Methods write-up'!$S$17,'[1]observations-276632'!X1149&lt;'[1]Methods write-up'!$T$17),"Equatorial tropical forest","")</f>
        <v/>
      </c>
      <c r="AZ1149" s="22" t="str">
        <f>IF(AND('[1]observations-276632'!W1149&gt;'[1]Methods write-up'!$Q$18,'[1]observations-276632'!W1149&lt;'[1]Methods write-up'!$R$18,'[1]observations-276632'!X1149&gt;'[1]Methods write-up'!$S$18,'[1]observations-276632'!X1149&lt;'[1]Methods write-up'!$T$18),"Somali peninsula","")</f>
        <v/>
      </c>
      <c r="BA1149" s="22" t="str">
        <f>IF(AND('[1]observations-276632'!W1149&gt;'[1]Methods write-up'!$Q$19,'[1]observations-276632'!W1149&lt;'[1]Methods write-up'!$R$19,'[1]observations-276632'!X1149&gt;'[1]Methods write-up'!$S$19,'[1]observations-276632'!X1149&lt;'[1]Methods write-up'!$T$19),"East Africa","")</f>
        <v/>
      </c>
      <c r="BB1149" s="22" t="str">
        <f>IF(AND('[1]observations-276632'!W1149&gt;'[1]Methods write-up'!$Q$20,'[1]observations-276632'!W1149&lt;'[1]Methods write-up'!$R$20,'[1]observations-276632'!X1149&gt;'[1]Methods write-up'!$S$20,'[1]observations-276632'!X1149&lt;'[1]Methods write-up'!$T$20),"Temperate seasonal","")</f>
        <v/>
      </c>
      <c r="BC1149" s="22" t="str">
        <f>IF(AND('[1]observations-276632'!W1149&gt;'[1]Methods write-up'!$Q$21,'[1]observations-276632'!W1149&lt;'[1]Methods write-up'!$R$21,'[1]observations-276632'!X1149&gt;'[1]Methods write-up'!$S$21,'[1]observations-276632'!X1149&lt;'[1]Methods write-up'!$T$21),"Desert and high aridity","")</f>
        <v/>
      </c>
      <c r="BD1149" s="23" t="str">
        <f t="shared" si="86"/>
        <v/>
      </c>
      <c r="BE1149" s="24">
        <f t="shared" si="84"/>
        <v>4</v>
      </c>
      <c r="BF1149" s="24">
        <f t="shared" si="85"/>
        <v>9</v>
      </c>
    </row>
    <row r="1150" spans="1:58" ht="16.25" customHeight="1" x14ac:dyDescent="0.2">
      <c r="A1150">
        <v>133782068</v>
      </c>
      <c r="B1150" s="25">
        <v>44788.431944444441</v>
      </c>
      <c r="C1150" s="14">
        <v>44788</v>
      </c>
      <c r="D1150" t="s">
        <v>8501</v>
      </c>
      <c r="E1150" t="s">
        <v>7934</v>
      </c>
      <c r="F1150">
        <v>5250414</v>
      </c>
      <c r="G1150" t="s">
        <v>6532</v>
      </c>
      <c r="H1150" t="s">
        <v>6533</v>
      </c>
      <c r="I1150" t="s">
        <v>8502</v>
      </c>
      <c r="J1150" t="s">
        <v>8503</v>
      </c>
      <c r="K1150" t="s">
        <v>62</v>
      </c>
      <c r="L1150" t="s">
        <v>63</v>
      </c>
      <c r="M1150" t="s">
        <v>8504</v>
      </c>
      <c r="N1150" t="s">
        <v>8505</v>
      </c>
      <c r="R1150">
        <v>1</v>
      </c>
      <c r="S1150">
        <v>0</v>
      </c>
      <c r="T1150" t="b">
        <v>0</v>
      </c>
      <c r="V1150" t="s">
        <v>8506</v>
      </c>
      <c r="W1150" s="15">
        <v>-27.726315889999999</v>
      </c>
      <c r="X1150" s="15">
        <v>17.577094800000001</v>
      </c>
      <c r="Y1150">
        <v>6</v>
      </c>
      <c r="AC1150">
        <v>6</v>
      </c>
      <c r="AF1150" t="b">
        <v>0</v>
      </c>
      <c r="AI1150" t="s">
        <v>71</v>
      </c>
      <c r="AJ1150" t="s">
        <v>756</v>
      </c>
      <c r="AL1150" t="s">
        <v>72</v>
      </c>
      <c r="AM1150">
        <v>652800</v>
      </c>
      <c r="AO1150" s="16" t="s">
        <v>140</v>
      </c>
      <c r="AP1150" s="17" t="str">
        <f t="shared" si="90"/>
        <v>Post-emergence nest</v>
      </c>
      <c r="AQ1150" s="18">
        <v>18</v>
      </c>
      <c r="AT1150" s="19" t="s">
        <v>141</v>
      </c>
      <c r="AU1150" s="20" t="s">
        <v>104</v>
      </c>
      <c r="AX1150" s="22" t="str">
        <f>IF(AND('[1]observations-276632'!W1150&gt;'[1]Methods write-up'!$Q$16,'[1]observations-276632'!W1150&lt;'[1]Methods write-up'!$R$16,'[1]observations-276632'!X1150&gt;'[1]Methods write-up'!$S$16,'[1]observations-276632'!X1150&lt;'[1]Methods write-up'!$T$16),"West and Central Africa","")</f>
        <v/>
      </c>
      <c r="AY1150" s="22" t="str">
        <f>IF(AND('[1]observations-276632'!W1150&gt;'[1]Methods write-up'!$Q$17,'[1]observations-276632'!W1150&lt;'[1]Methods write-up'!$R$17,'[1]observations-276632'!X1150&gt;'[1]Methods write-up'!$S$17,'[1]observations-276632'!X1150&lt;'[1]Methods write-up'!$T$17),"Equatorial tropical forest","")</f>
        <v/>
      </c>
      <c r="AZ1150" s="22" t="str">
        <f>IF(AND('[1]observations-276632'!W1150&gt;'[1]Methods write-up'!$Q$18,'[1]observations-276632'!W1150&lt;'[1]Methods write-up'!$R$18,'[1]observations-276632'!X1150&gt;'[1]Methods write-up'!$S$18,'[1]observations-276632'!X1150&lt;'[1]Methods write-up'!$T$18),"Somali peninsula","")</f>
        <v/>
      </c>
      <c r="BA1150" s="22" t="str">
        <f>IF(AND('[1]observations-276632'!W1150&gt;'[1]Methods write-up'!$Q$19,'[1]observations-276632'!W1150&lt;'[1]Methods write-up'!$R$19,'[1]observations-276632'!X1150&gt;'[1]Methods write-up'!$S$19,'[1]observations-276632'!X1150&lt;'[1]Methods write-up'!$T$19),"East Africa","")</f>
        <v/>
      </c>
      <c r="BB1150" s="22" t="str">
        <f>IF(AND('[1]observations-276632'!W1150&gt;'[1]Methods write-up'!$Q$20,'[1]observations-276632'!W1150&lt;'[1]Methods write-up'!$R$20,'[1]observations-276632'!X1150&gt;'[1]Methods write-up'!$S$20,'[1]observations-276632'!X1150&lt;'[1]Methods write-up'!$T$20),"Temperate seasonal","")</f>
        <v/>
      </c>
      <c r="BC1150" s="22" t="str">
        <f>IF(AND('[1]observations-276632'!W1150&gt;'[1]Methods write-up'!$Q$21,'[1]observations-276632'!W1150&lt;'[1]Methods write-up'!$R$21,'[1]observations-276632'!X1150&gt;'[1]Methods write-up'!$S$21,'[1]observations-276632'!X1150&lt;'[1]Methods write-up'!$T$21),"Desert and high aridity","")</f>
        <v>Desert and high aridity</v>
      </c>
      <c r="BD1150" s="23" t="str">
        <f t="shared" si="86"/>
        <v>Desert and high aridity</v>
      </c>
      <c r="BE1150" s="24">
        <f t="shared" si="84"/>
        <v>15</v>
      </c>
      <c r="BF1150" s="24">
        <f t="shared" si="85"/>
        <v>8</v>
      </c>
    </row>
    <row r="1151" spans="1:58" ht="16.25" customHeight="1" x14ac:dyDescent="0.2">
      <c r="A1151">
        <v>133782113</v>
      </c>
      <c r="B1151" s="25">
        <v>44788.506944444445</v>
      </c>
      <c r="C1151" s="14">
        <v>44788</v>
      </c>
      <c r="D1151" t="s">
        <v>8507</v>
      </c>
      <c r="E1151" t="s">
        <v>7934</v>
      </c>
      <c r="F1151">
        <v>5250414</v>
      </c>
      <c r="G1151" t="s">
        <v>6532</v>
      </c>
      <c r="H1151" t="s">
        <v>6533</v>
      </c>
      <c r="I1151" t="s">
        <v>8508</v>
      </c>
      <c r="J1151" t="s">
        <v>8503</v>
      </c>
      <c r="K1151" t="s">
        <v>62</v>
      </c>
      <c r="L1151" t="s">
        <v>63</v>
      </c>
      <c r="M1151" t="s">
        <v>8509</v>
      </c>
      <c r="N1151" t="s">
        <v>8510</v>
      </c>
      <c r="R1151">
        <v>1</v>
      </c>
      <c r="S1151">
        <v>0</v>
      </c>
      <c r="T1151" t="b">
        <v>0</v>
      </c>
      <c r="V1151" t="s">
        <v>3703</v>
      </c>
      <c r="W1151" s="15">
        <v>-27.741788280000002</v>
      </c>
      <c r="X1151" s="15">
        <v>17.573287149999999</v>
      </c>
      <c r="Y1151">
        <v>20</v>
      </c>
      <c r="AC1151">
        <v>20</v>
      </c>
      <c r="AF1151" t="b">
        <v>0</v>
      </c>
      <c r="AI1151" t="s">
        <v>71</v>
      </c>
      <c r="AJ1151" t="s">
        <v>756</v>
      </c>
      <c r="AL1151" t="s">
        <v>72</v>
      </c>
      <c r="AM1151">
        <v>652800</v>
      </c>
      <c r="AO1151" s="16" t="s">
        <v>73</v>
      </c>
      <c r="AP1151" s="17" t="str">
        <f t="shared" si="90"/>
        <v>Off-nest female</v>
      </c>
      <c r="AX1151" s="22" t="str">
        <f>IF(AND('[1]observations-276632'!W1151&gt;'[1]Methods write-up'!$Q$16,'[1]observations-276632'!W1151&lt;'[1]Methods write-up'!$R$16,'[1]observations-276632'!X1151&gt;'[1]Methods write-up'!$S$16,'[1]observations-276632'!X1151&lt;'[1]Methods write-up'!$T$16),"West and Central Africa","")</f>
        <v/>
      </c>
      <c r="AY1151" s="22" t="str">
        <f>IF(AND('[1]observations-276632'!W1151&gt;'[1]Methods write-up'!$Q$17,'[1]observations-276632'!W1151&lt;'[1]Methods write-up'!$R$17,'[1]observations-276632'!X1151&gt;'[1]Methods write-up'!$S$17,'[1]observations-276632'!X1151&lt;'[1]Methods write-up'!$T$17),"Equatorial tropical forest","")</f>
        <v/>
      </c>
      <c r="AZ1151" s="22" t="str">
        <f>IF(AND('[1]observations-276632'!W1151&gt;'[1]Methods write-up'!$Q$18,'[1]observations-276632'!W1151&lt;'[1]Methods write-up'!$R$18,'[1]observations-276632'!X1151&gt;'[1]Methods write-up'!$S$18,'[1]observations-276632'!X1151&lt;'[1]Methods write-up'!$T$18),"Somali peninsula","")</f>
        <v/>
      </c>
      <c r="BA1151" s="22" t="str">
        <f>IF(AND('[1]observations-276632'!W1151&gt;'[1]Methods write-up'!$Q$19,'[1]observations-276632'!W1151&lt;'[1]Methods write-up'!$R$19,'[1]observations-276632'!X1151&gt;'[1]Methods write-up'!$S$19,'[1]observations-276632'!X1151&lt;'[1]Methods write-up'!$T$19),"East Africa","")</f>
        <v/>
      </c>
      <c r="BB1151" s="22" t="str">
        <f>IF(AND('[1]observations-276632'!W1151&gt;'[1]Methods write-up'!$Q$20,'[1]observations-276632'!W1151&lt;'[1]Methods write-up'!$R$20,'[1]observations-276632'!X1151&gt;'[1]Methods write-up'!$S$20,'[1]observations-276632'!X1151&lt;'[1]Methods write-up'!$T$20),"Temperate seasonal","")</f>
        <v/>
      </c>
      <c r="BC1151" s="22" t="str">
        <f>IF(AND('[1]observations-276632'!W1151&gt;'[1]Methods write-up'!$Q$21,'[1]observations-276632'!W1151&lt;'[1]Methods write-up'!$R$21,'[1]observations-276632'!X1151&gt;'[1]Methods write-up'!$S$21,'[1]observations-276632'!X1151&lt;'[1]Methods write-up'!$T$21),"Desert and high aridity","")</f>
        <v>Desert and high aridity</v>
      </c>
      <c r="BD1151" s="23" t="str">
        <f t="shared" si="86"/>
        <v>Desert and high aridity</v>
      </c>
      <c r="BE1151" s="24">
        <f t="shared" si="84"/>
        <v>15</v>
      </c>
      <c r="BF1151" s="24">
        <f t="shared" si="85"/>
        <v>8</v>
      </c>
    </row>
    <row r="1152" spans="1:58" ht="16.25" customHeight="1" x14ac:dyDescent="0.2">
      <c r="A1152">
        <v>133814634</v>
      </c>
      <c r="B1152" s="25">
        <v>44807.474305555559</v>
      </c>
      <c r="C1152" s="14">
        <v>44807</v>
      </c>
      <c r="D1152" t="s">
        <v>8511</v>
      </c>
      <c r="E1152" t="s">
        <v>113</v>
      </c>
      <c r="F1152">
        <v>659922</v>
      </c>
      <c r="G1152" t="s">
        <v>918</v>
      </c>
      <c r="I1152" t="s">
        <v>8512</v>
      </c>
      <c r="J1152" t="s">
        <v>8513</v>
      </c>
      <c r="K1152" t="s">
        <v>62</v>
      </c>
      <c r="L1152" t="s">
        <v>63</v>
      </c>
      <c r="M1152" t="s">
        <v>8514</v>
      </c>
      <c r="N1152" t="s">
        <v>8515</v>
      </c>
      <c r="Q1152" t="s">
        <v>8516</v>
      </c>
      <c r="R1152">
        <v>2</v>
      </c>
      <c r="S1152">
        <v>0</v>
      </c>
      <c r="T1152" t="b">
        <v>0</v>
      </c>
      <c r="V1152" t="s">
        <v>5856</v>
      </c>
      <c r="W1152" s="15">
        <v>-28.383099999999999</v>
      </c>
      <c r="X1152" s="15">
        <v>32.419199999999996</v>
      </c>
      <c r="Y1152">
        <v>100</v>
      </c>
      <c r="AC1152">
        <v>100</v>
      </c>
      <c r="AF1152" t="b">
        <v>0</v>
      </c>
      <c r="AI1152" t="s">
        <v>71</v>
      </c>
      <c r="AJ1152" t="s">
        <v>70</v>
      </c>
      <c r="AK1152" t="s">
        <v>71</v>
      </c>
      <c r="AL1152" t="s">
        <v>72</v>
      </c>
      <c r="AM1152">
        <v>346053</v>
      </c>
      <c r="AO1152" s="16" t="s">
        <v>73</v>
      </c>
      <c r="AP1152" s="17" t="str">
        <f t="shared" si="90"/>
        <v>Off-nest female</v>
      </c>
      <c r="AX1152" s="22" t="str">
        <f>IF(AND('[1]observations-276632'!W1152&gt;'[1]Methods write-up'!$Q$16,'[1]observations-276632'!W1152&lt;'[1]Methods write-up'!$R$16,'[1]observations-276632'!X1152&gt;'[1]Methods write-up'!$S$16,'[1]observations-276632'!X1152&lt;'[1]Methods write-up'!$T$16),"West and Central Africa","")</f>
        <v/>
      </c>
      <c r="AY1152" s="22" t="str">
        <f>IF(AND('[1]observations-276632'!W1152&gt;'[1]Methods write-up'!$Q$17,'[1]observations-276632'!W1152&lt;'[1]Methods write-up'!$R$17,'[1]observations-276632'!X1152&gt;'[1]Methods write-up'!$S$17,'[1]observations-276632'!X1152&lt;'[1]Methods write-up'!$T$17),"Equatorial tropical forest","")</f>
        <v/>
      </c>
      <c r="AZ1152" s="22" t="str">
        <f>IF(AND('[1]observations-276632'!W1152&gt;'[1]Methods write-up'!$Q$18,'[1]observations-276632'!W1152&lt;'[1]Methods write-up'!$R$18,'[1]observations-276632'!X1152&gt;'[1]Methods write-up'!$S$18,'[1]observations-276632'!X1152&lt;'[1]Methods write-up'!$T$18),"Somali peninsula","")</f>
        <v/>
      </c>
      <c r="BA1152" s="22" t="str">
        <f>IF(AND('[1]observations-276632'!W1152&gt;'[1]Methods write-up'!$Q$19,'[1]observations-276632'!W1152&lt;'[1]Methods write-up'!$R$19,'[1]observations-276632'!X1152&gt;'[1]Methods write-up'!$S$19,'[1]observations-276632'!X1152&lt;'[1]Methods write-up'!$T$19),"East Africa","")</f>
        <v/>
      </c>
      <c r="BB1152" s="22" t="str">
        <f>IF(AND('[1]observations-276632'!W1152&gt;'[1]Methods write-up'!$Q$20,'[1]observations-276632'!W1152&lt;'[1]Methods write-up'!$R$20,'[1]observations-276632'!X1152&gt;'[1]Methods write-up'!$S$20,'[1]observations-276632'!X1152&lt;'[1]Methods write-up'!$T$20),"Temperate seasonal","")</f>
        <v>Temperate seasonal</v>
      </c>
      <c r="BC1152" s="22" t="str">
        <f>IF(AND('[1]observations-276632'!W1152&gt;'[1]Methods write-up'!$Q$21,'[1]observations-276632'!W1152&lt;'[1]Methods write-up'!$R$21,'[1]observations-276632'!X1152&gt;'[1]Methods write-up'!$S$21,'[1]observations-276632'!X1152&lt;'[1]Methods write-up'!$T$21),"Desert and high aridity","")</f>
        <v/>
      </c>
      <c r="BD1152" s="23" t="str">
        <f t="shared" si="86"/>
        <v>Temperate seasonal</v>
      </c>
      <c r="BE1152" s="24">
        <f t="shared" si="84"/>
        <v>3</v>
      </c>
      <c r="BF1152" s="24">
        <f t="shared" si="85"/>
        <v>9</v>
      </c>
    </row>
    <row r="1153" spans="1:58" ht="16.25" customHeight="1" x14ac:dyDescent="0.2">
      <c r="A1153">
        <v>133814724</v>
      </c>
      <c r="B1153" s="25">
        <v>44807.517361111109</v>
      </c>
      <c r="C1153" s="14">
        <v>44807</v>
      </c>
      <c r="D1153" t="s">
        <v>8517</v>
      </c>
      <c r="E1153" t="s">
        <v>113</v>
      </c>
      <c r="F1153">
        <v>659922</v>
      </c>
      <c r="G1153" t="s">
        <v>918</v>
      </c>
      <c r="I1153" t="s">
        <v>8518</v>
      </c>
      <c r="J1153" t="s">
        <v>8519</v>
      </c>
      <c r="K1153" t="s">
        <v>62</v>
      </c>
      <c r="L1153" t="s">
        <v>63</v>
      </c>
      <c r="M1153" t="s">
        <v>8520</v>
      </c>
      <c r="N1153" t="s">
        <v>8521</v>
      </c>
      <c r="R1153">
        <v>2</v>
      </c>
      <c r="S1153">
        <v>0</v>
      </c>
      <c r="T1153" t="b">
        <v>0</v>
      </c>
      <c r="V1153" t="s">
        <v>5856</v>
      </c>
      <c r="W1153" s="15">
        <v>-28.385000000000002</v>
      </c>
      <c r="X1153" s="15">
        <v>32.415399999999998</v>
      </c>
      <c r="Y1153">
        <v>250</v>
      </c>
      <c r="AC1153">
        <v>250</v>
      </c>
      <c r="AF1153" t="b">
        <v>0</v>
      </c>
      <c r="AI1153" t="s">
        <v>71</v>
      </c>
      <c r="AJ1153" t="s">
        <v>70</v>
      </c>
      <c r="AK1153" t="s">
        <v>71</v>
      </c>
      <c r="AL1153" t="s">
        <v>72</v>
      </c>
      <c r="AM1153">
        <v>346053</v>
      </c>
      <c r="AO1153" s="16" t="s">
        <v>253</v>
      </c>
      <c r="AP1153" s="17" t="str">
        <f t="shared" si="90"/>
        <v>Aggregation of females off-nest</v>
      </c>
      <c r="AQ1153" s="18">
        <v>6</v>
      </c>
      <c r="AV1153" s="21" t="s">
        <v>8522</v>
      </c>
      <c r="AX1153" s="22" t="str">
        <f>IF(AND('[1]observations-276632'!W1153&gt;'[1]Methods write-up'!$Q$16,'[1]observations-276632'!W1153&lt;'[1]Methods write-up'!$R$16,'[1]observations-276632'!X1153&gt;'[1]Methods write-up'!$S$16,'[1]observations-276632'!X1153&lt;'[1]Methods write-up'!$T$16),"West and Central Africa","")</f>
        <v/>
      </c>
      <c r="AY1153" s="22" t="str">
        <f>IF(AND('[1]observations-276632'!W1153&gt;'[1]Methods write-up'!$Q$17,'[1]observations-276632'!W1153&lt;'[1]Methods write-up'!$R$17,'[1]observations-276632'!X1153&gt;'[1]Methods write-up'!$S$17,'[1]observations-276632'!X1153&lt;'[1]Methods write-up'!$T$17),"Equatorial tropical forest","")</f>
        <v/>
      </c>
      <c r="AZ1153" s="22" t="str">
        <f>IF(AND('[1]observations-276632'!W1153&gt;'[1]Methods write-up'!$Q$18,'[1]observations-276632'!W1153&lt;'[1]Methods write-up'!$R$18,'[1]observations-276632'!X1153&gt;'[1]Methods write-up'!$S$18,'[1]observations-276632'!X1153&lt;'[1]Methods write-up'!$T$18),"Somali peninsula","")</f>
        <v/>
      </c>
      <c r="BA1153" s="22" t="str">
        <f>IF(AND('[1]observations-276632'!W1153&gt;'[1]Methods write-up'!$Q$19,'[1]observations-276632'!W1153&lt;'[1]Methods write-up'!$R$19,'[1]observations-276632'!X1153&gt;'[1]Methods write-up'!$S$19,'[1]observations-276632'!X1153&lt;'[1]Methods write-up'!$T$19),"East Africa","")</f>
        <v/>
      </c>
      <c r="BB1153" s="22" t="str">
        <f>IF(AND('[1]observations-276632'!W1153&gt;'[1]Methods write-up'!$Q$20,'[1]observations-276632'!W1153&lt;'[1]Methods write-up'!$R$20,'[1]observations-276632'!X1153&gt;'[1]Methods write-up'!$S$20,'[1]observations-276632'!X1153&lt;'[1]Methods write-up'!$T$20),"Temperate seasonal","")</f>
        <v>Temperate seasonal</v>
      </c>
      <c r="BC1153" s="22" t="str">
        <f>IF(AND('[1]observations-276632'!W1153&gt;'[1]Methods write-up'!$Q$21,'[1]observations-276632'!W1153&lt;'[1]Methods write-up'!$R$21,'[1]observations-276632'!X1153&gt;'[1]Methods write-up'!$S$21,'[1]observations-276632'!X1153&lt;'[1]Methods write-up'!$T$21),"Desert and high aridity","")</f>
        <v/>
      </c>
      <c r="BD1153" s="23" t="str">
        <f t="shared" si="86"/>
        <v>Temperate seasonal</v>
      </c>
      <c r="BE1153" s="24">
        <f t="shared" si="84"/>
        <v>3</v>
      </c>
      <c r="BF1153" s="24">
        <f t="shared" si="85"/>
        <v>9</v>
      </c>
    </row>
    <row r="1154" spans="1:58" ht="16.25" customHeight="1" x14ac:dyDescent="0.2">
      <c r="A1154">
        <v>134026773</v>
      </c>
      <c r="B1154" s="25">
        <v>44807.661111111112</v>
      </c>
      <c r="C1154" s="14">
        <v>44807</v>
      </c>
      <c r="D1154" t="s">
        <v>8523</v>
      </c>
      <c r="E1154" t="s">
        <v>8296</v>
      </c>
      <c r="F1154">
        <v>678008</v>
      </c>
      <c r="G1154" t="s">
        <v>2315</v>
      </c>
      <c r="I1154" t="s">
        <v>8524</v>
      </c>
      <c r="J1154" t="s">
        <v>8525</v>
      </c>
      <c r="K1154" t="s">
        <v>62</v>
      </c>
      <c r="L1154" t="s">
        <v>63</v>
      </c>
      <c r="M1154" t="s">
        <v>8526</v>
      </c>
      <c r="N1154" t="s">
        <v>8527</v>
      </c>
      <c r="R1154">
        <v>1</v>
      </c>
      <c r="S1154">
        <v>0</v>
      </c>
      <c r="T1154" t="b">
        <v>0</v>
      </c>
      <c r="V1154" t="s">
        <v>2320</v>
      </c>
      <c r="W1154" s="15">
        <v>-15.36985702</v>
      </c>
      <c r="X1154" s="15">
        <v>28.315754519999999</v>
      </c>
      <c r="Y1154">
        <v>46</v>
      </c>
      <c r="AC1154">
        <v>46</v>
      </c>
      <c r="AF1154" t="b">
        <v>0</v>
      </c>
      <c r="AI1154" t="s">
        <v>71</v>
      </c>
      <c r="AJ1154" t="s">
        <v>70</v>
      </c>
      <c r="AK1154" t="s">
        <v>71</v>
      </c>
      <c r="AL1154" t="s">
        <v>72</v>
      </c>
      <c r="AM1154">
        <v>346053</v>
      </c>
      <c r="AO1154" s="16" t="s">
        <v>73</v>
      </c>
      <c r="AP1154" s="17" t="str">
        <f t="shared" si="90"/>
        <v>Off-nest female</v>
      </c>
      <c r="AX1154" s="22" t="str">
        <f>IF(AND('[1]observations-276632'!W1154&gt;'[1]Methods write-up'!$Q$16,'[1]observations-276632'!W1154&lt;'[1]Methods write-up'!$R$16,'[1]observations-276632'!X1154&gt;'[1]Methods write-up'!$S$16,'[1]observations-276632'!X1154&lt;'[1]Methods write-up'!$T$16),"West and Central Africa","")</f>
        <v>West and Central Africa</v>
      </c>
      <c r="AY1154" s="22" t="str">
        <f>IF(AND('[1]observations-276632'!W1154&gt;'[1]Methods write-up'!$Q$17,'[1]observations-276632'!W1154&lt;'[1]Methods write-up'!$R$17,'[1]observations-276632'!X1154&gt;'[1]Methods write-up'!$S$17,'[1]observations-276632'!X1154&lt;'[1]Methods write-up'!$T$17),"Equatorial tropical forest","")</f>
        <v/>
      </c>
      <c r="AZ1154" s="22" t="str">
        <f>IF(AND('[1]observations-276632'!W1154&gt;'[1]Methods write-up'!$Q$18,'[1]observations-276632'!W1154&lt;'[1]Methods write-up'!$R$18,'[1]observations-276632'!X1154&gt;'[1]Methods write-up'!$S$18,'[1]observations-276632'!X1154&lt;'[1]Methods write-up'!$T$18),"Somali peninsula","")</f>
        <v/>
      </c>
      <c r="BA1154" s="22" t="str">
        <f>IF(AND('[1]observations-276632'!W1154&gt;'[1]Methods write-up'!$Q$19,'[1]observations-276632'!W1154&lt;'[1]Methods write-up'!$R$19,'[1]observations-276632'!X1154&gt;'[1]Methods write-up'!$S$19,'[1]observations-276632'!X1154&lt;'[1]Methods write-up'!$T$19),"East Africa","")</f>
        <v/>
      </c>
      <c r="BB1154" s="22" t="str">
        <f>IF(AND('[1]observations-276632'!W1154&gt;'[1]Methods write-up'!$Q$20,'[1]observations-276632'!W1154&lt;'[1]Methods write-up'!$R$20,'[1]observations-276632'!X1154&gt;'[1]Methods write-up'!$S$20,'[1]observations-276632'!X1154&lt;'[1]Methods write-up'!$T$20),"Temperate seasonal","")</f>
        <v/>
      </c>
      <c r="BC1154" s="22" t="str">
        <f>IF(AND('[1]observations-276632'!W1154&gt;'[1]Methods write-up'!$Q$21,'[1]observations-276632'!W1154&lt;'[1]Methods write-up'!$R$21,'[1]observations-276632'!X1154&gt;'[1]Methods write-up'!$S$21,'[1]observations-276632'!X1154&lt;'[1]Methods write-up'!$T$21),"Desert and high aridity","")</f>
        <v/>
      </c>
      <c r="BD1154" s="23" t="str">
        <f t="shared" si="86"/>
        <v>West and Central Africa</v>
      </c>
      <c r="BE1154" s="24">
        <f t="shared" ref="BE1154:BE1217" si="91">DAY(C1154)</f>
        <v>3</v>
      </c>
      <c r="BF1154" s="24">
        <f t="shared" ref="BF1154:BF1217" si="92">MONTH(C1154)</f>
        <v>9</v>
      </c>
    </row>
    <row r="1155" spans="1:58" ht="16.25" customHeight="1" x14ac:dyDescent="0.2">
      <c r="A1155">
        <v>134137540</v>
      </c>
      <c r="B1155" s="25">
        <v>44801.413194444445</v>
      </c>
      <c r="C1155" s="14">
        <v>44801</v>
      </c>
      <c r="D1155" t="s">
        <v>8528</v>
      </c>
      <c r="E1155" t="s">
        <v>8296</v>
      </c>
      <c r="F1155">
        <v>678008</v>
      </c>
      <c r="G1155" t="s">
        <v>2315</v>
      </c>
      <c r="I1155" t="s">
        <v>8529</v>
      </c>
      <c r="J1155" t="s">
        <v>8530</v>
      </c>
      <c r="K1155" t="s">
        <v>62</v>
      </c>
      <c r="L1155" t="s">
        <v>63</v>
      </c>
      <c r="M1155" t="s">
        <v>8531</v>
      </c>
      <c r="N1155" t="s">
        <v>8532</v>
      </c>
      <c r="R1155">
        <v>1</v>
      </c>
      <c r="S1155">
        <v>0</v>
      </c>
      <c r="T1155" t="b">
        <v>0</v>
      </c>
      <c r="V1155" t="s">
        <v>2320</v>
      </c>
      <c r="W1155" s="15">
        <v>-15.36985702</v>
      </c>
      <c r="X1155" s="15">
        <v>28.315754519999999</v>
      </c>
      <c r="Y1155">
        <v>46</v>
      </c>
      <c r="AC1155">
        <v>46</v>
      </c>
      <c r="AF1155" t="b">
        <v>0</v>
      </c>
      <c r="AI1155" t="s">
        <v>71</v>
      </c>
      <c r="AJ1155" t="s">
        <v>70</v>
      </c>
      <c r="AK1155" t="s">
        <v>71</v>
      </c>
      <c r="AL1155" t="s">
        <v>72</v>
      </c>
      <c r="AM1155">
        <v>346053</v>
      </c>
      <c r="AO1155" s="16" t="s">
        <v>442</v>
      </c>
      <c r="AP1155" s="17" t="str">
        <f t="shared" si="90"/>
        <v>Dead female</v>
      </c>
      <c r="AX1155" s="22" t="str">
        <f>IF(AND('[1]observations-276632'!W1155&gt;'[1]Methods write-up'!$Q$16,'[1]observations-276632'!W1155&lt;'[1]Methods write-up'!$R$16,'[1]observations-276632'!X1155&gt;'[1]Methods write-up'!$S$16,'[1]observations-276632'!X1155&lt;'[1]Methods write-up'!$T$16),"West and Central Africa","")</f>
        <v>West and Central Africa</v>
      </c>
      <c r="AY1155" s="22" t="str">
        <f>IF(AND('[1]observations-276632'!W1155&gt;'[1]Methods write-up'!$Q$17,'[1]observations-276632'!W1155&lt;'[1]Methods write-up'!$R$17,'[1]observations-276632'!X1155&gt;'[1]Methods write-up'!$S$17,'[1]observations-276632'!X1155&lt;'[1]Methods write-up'!$T$17),"Equatorial tropical forest","")</f>
        <v/>
      </c>
      <c r="AZ1155" s="22" t="str">
        <f>IF(AND('[1]observations-276632'!W1155&gt;'[1]Methods write-up'!$Q$18,'[1]observations-276632'!W1155&lt;'[1]Methods write-up'!$R$18,'[1]observations-276632'!X1155&gt;'[1]Methods write-up'!$S$18,'[1]observations-276632'!X1155&lt;'[1]Methods write-up'!$T$18),"Somali peninsula","")</f>
        <v/>
      </c>
      <c r="BA1155" s="22" t="str">
        <f>IF(AND('[1]observations-276632'!W1155&gt;'[1]Methods write-up'!$Q$19,'[1]observations-276632'!W1155&lt;'[1]Methods write-up'!$R$19,'[1]observations-276632'!X1155&gt;'[1]Methods write-up'!$S$19,'[1]observations-276632'!X1155&lt;'[1]Methods write-up'!$T$19),"East Africa","")</f>
        <v/>
      </c>
      <c r="BB1155" s="22" t="str">
        <f>IF(AND('[1]observations-276632'!W1155&gt;'[1]Methods write-up'!$Q$20,'[1]observations-276632'!W1155&lt;'[1]Methods write-up'!$R$20,'[1]observations-276632'!X1155&gt;'[1]Methods write-up'!$S$20,'[1]observations-276632'!X1155&lt;'[1]Methods write-up'!$T$20),"Temperate seasonal","")</f>
        <v/>
      </c>
      <c r="BC1155" s="22" t="str">
        <f>IF(AND('[1]observations-276632'!W1155&gt;'[1]Methods write-up'!$Q$21,'[1]observations-276632'!W1155&lt;'[1]Methods write-up'!$R$21,'[1]observations-276632'!X1155&gt;'[1]Methods write-up'!$S$21,'[1]observations-276632'!X1155&lt;'[1]Methods write-up'!$T$21),"Desert and high aridity","")</f>
        <v/>
      </c>
      <c r="BD1155" s="23" t="str">
        <f t="shared" ref="BD1155:BD1218" si="93">AX1155&amp;AY1155&amp;AZ1155&amp;BA1155&amp;BB1155&amp;BC1155</f>
        <v>West and Central Africa</v>
      </c>
      <c r="BE1155" s="24">
        <f t="shared" si="91"/>
        <v>28</v>
      </c>
      <c r="BF1155" s="24">
        <f t="shared" si="92"/>
        <v>8</v>
      </c>
    </row>
    <row r="1156" spans="1:58" ht="16.25" customHeight="1" x14ac:dyDescent="0.2">
      <c r="A1156">
        <v>134280949</v>
      </c>
      <c r="B1156" s="25">
        <v>44810.651388888888</v>
      </c>
      <c r="C1156" s="14">
        <v>44810</v>
      </c>
      <c r="D1156" t="s">
        <v>8533</v>
      </c>
      <c r="E1156" t="s">
        <v>84</v>
      </c>
      <c r="F1156">
        <v>1114896</v>
      </c>
      <c r="G1156" t="s">
        <v>8534</v>
      </c>
      <c r="H1156" t="s">
        <v>8535</v>
      </c>
      <c r="I1156" t="s">
        <v>8536</v>
      </c>
      <c r="J1156" t="s">
        <v>8537</v>
      </c>
      <c r="K1156" t="s">
        <v>62</v>
      </c>
      <c r="L1156" t="s">
        <v>98</v>
      </c>
      <c r="M1156" t="s">
        <v>8538</v>
      </c>
      <c r="N1156" t="s">
        <v>8539</v>
      </c>
      <c r="R1156">
        <v>1</v>
      </c>
      <c r="S1156">
        <v>0</v>
      </c>
      <c r="T1156" t="b">
        <v>0</v>
      </c>
      <c r="U1156">
        <v>2</v>
      </c>
      <c r="V1156" t="s">
        <v>8540</v>
      </c>
      <c r="W1156" s="15">
        <v>1.2946548040000001</v>
      </c>
      <c r="X1156" s="15">
        <v>30.997671</v>
      </c>
      <c r="Y1156">
        <v>5</v>
      </c>
      <c r="AC1156">
        <v>5</v>
      </c>
      <c r="AF1156" t="b">
        <v>0</v>
      </c>
      <c r="AG1156" t="s">
        <v>350</v>
      </c>
      <c r="AH1156" t="s">
        <v>350</v>
      </c>
      <c r="AI1156" t="s">
        <v>71</v>
      </c>
      <c r="AJ1156" t="s">
        <v>70</v>
      </c>
      <c r="AK1156" t="s">
        <v>71</v>
      </c>
      <c r="AL1156" t="s">
        <v>72</v>
      </c>
      <c r="AM1156">
        <v>346053</v>
      </c>
      <c r="AO1156" s="16" t="s">
        <v>73</v>
      </c>
      <c r="AP1156" s="17" t="str">
        <f t="shared" si="90"/>
        <v>Off-nest female</v>
      </c>
      <c r="AX1156" s="22" t="str">
        <f>IF(AND('[1]observations-276632'!W1156&gt;'[1]Methods write-up'!$Q$16,'[1]observations-276632'!W1156&lt;'[1]Methods write-up'!$R$16,'[1]observations-276632'!X1156&gt;'[1]Methods write-up'!$S$16,'[1]observations-276632'!X1156&lt;'[1]Methods write-up'!$T$16),"West and Central Africa","")</f>
        <v>West and Central Africa</v>
      </c>
      <c r="AY1156" s="22" t="str">
        <f>IF(AND('[1]observations-276632'!W1156&gt;'[1]Methods write-up'!$Q$17,'[1]observations-276632'!W1156&lt;'[1]Methods write-up'!$R$17,'[1]observations-276632'!X1156&gt;'[1]Methods write-up'!$S$17,'[1]observations-276632'!X1156&lt;'[1]Methods write-up'!$T$17),"Equatorial tropical forest","")</f>
        <v/>
      </c>
      <c r="AZ1156" s="22" t="str">
        <f>IF(AND('[1]observations-276632'!W1156&gt;'[1]Methods write-up'!$Q$18,'[1]observations-276632'!W1156&lt;'[1]Methods write-up'!$R$18,'[1]observations-276632'!X1156&gt;'[1]Methods write-up'!$S$18,'[1]observations-276632'!X1156&lt;'[1]Methods write-up'!$T$18),"Somali peninsula","")</f>
        <v/>
      </c>
      <c r="BA1156" s="22" t="str">
        <f>IF(AND('[1]observations-276632'!W1156&gt;'[1]Methods write-up'!$Q$19,'[1]observations-276632'!W1156&lt;'[1]Methods write-up'!$R$19,'[1]observations-276632'!X1156&gt;'[1]Methods write-up'!$S$19,'[1]observations-276632'!X1156&lt;'[1]Methods write-up'!$T$19),"East Africa","")</f>
        <v/>
      </c>
      <c r="BB1156" s="22" t="str">
        <f>IF(AND('[1]observations-276632'!W1156&gt;'[1]Methods write-up'!$Q$20,'[1]observations-276632'!W1156&lt;'[1]Methods write-up'!$R$20,'[1]observations-276632'!X1156&gt;'[1]Methods write-up'!$S$20,'[1]observations-276632'!X1156&lt;'[1]Methods write-up'!$T$20),"Temperate seasonal","")</f>
        <v/>
      </c>
      <c r="BC1156" s="22" t="str">
        <f>IF(AND('[1]observations-276632'!W1156&gt;'[1]Methods write-up'!$Q$21,'[1]observations-276632'!W1156&lt;'[1]Methods write-up'!$R$21,'[1]observations-276632'!X1156&gt;'[1]Methods write-up'!$S$21,'[1]observations-276632'!X1156&lt;'[1]Methods write-up'!$T$21),"Desert and high aridity","")</f>
        <v/>
      </c>
      <c r="BD1156" s="23" t="str">
        <f t="shared" si="93"/>
        <v>West and Central Africa</v>
      </c>
      <c r="BE1156" s="24">
        <f t="shared" si="91"/>
        <v>6</v>
      </c>
      <c r="BF1156" s="24">
        <f t="shared" si="92"/>
        <v>9</v>
      </c>
    </row>
    <row r="1157" spans="1:58" ht="16.25" customHeight="1" x14ac:dyDescent="0.2">
      <c r="A1157">
        <v>134280982</v>
      </c>
      <c r="B1157" s="25">
        <v>44810.796527777777</v>
      </c>
      <c r="C1157" s="14">
        <v>44810</v>
      </c>
      <c r="D1157" t="s">
        <v>8541</v>
      </c>
      <c r="E1157" t="s">
        <v>84</v>
      </c>
      <c r="F1157">
        <v>1114896</v>
      </c>
      <c r="G1157" t="s">
        <v>8534</v>
      </c>
      <c r="H1157" t="s">
        <v>8535</v>
      </c>
      <c r="I1157" t="s">
        <v>8542</v>
      </c>
      <c r="J1157" t="s">
        <v>8537</v>
      </c>
      <c r="K1157" t="s">
        <v>62</v>
      </c>
      <c r="L1157" t="s">
        <v>98</v>
      </c>
      <c r="M1157" t="s">
        <v>8543</v>
      </c>
      <c r="N1157" t="s">
        <v>8544</v>
      </c>
      <c r="R1157">
        <v>1</v>
      </c>
      <c r="S1157">
        <v>0</v>
      </c>
      <c r="T1157" t="b">
        <v>0</v>
      </c>
      <c r="U1157">
        <v>2</v>
      </c>
      <c r="V1157" t="s">
        <v>8540</v>
      </c>
      <c r="W1157" s="15">
        <v>1.294665865</v>
      </c>
      <c r="X1157" s="15">
        <v>30.997716929999999</v>
      </c>
      <c r="Y1157">
        <v>5</v>
      </c>
      <c r="AC1157">
        <v>5</v>
      </c>
      <c r="AF1157" t="b">
        <v>0</v>
      </c>
      <c r="AG1157" t="s">
        <v>350</v>
      </c>
      <c r="AH1157" t="s">
        <v>350</v>
      </c>
      <c r="AI1157" t="s">
        <v>71</v>
      </c>
      <c r="AJ1157" t="s">
        <v>70</v>
      </c>
      <c r="AK1157" t="s">
        <v>71</v>
      </c>
      <c r="AL1157" t="s">
        <v>72</v>
      </c>
      <c r="AM1157">
        <v>346053</v>
      </c>
      <c r="AO1157" s="16" t="s">
        <v>110</v>
      </c>
      <c r="AP1157" s="17" t="str">
        <f t="shared" si="90"/>
        <v>Nest (foundress)</v>
      </c>
      <c r="AQ1157" s="18">
        <v>1</v>
      </c>
      <c r="AT1157" s="19" t="s">
        <v>104</v>
      </c>
      <c r="AX1157" s="22" t="str">
        <f>IF(AND('[1]observations-276632'!W1157&gt;'[1]Methods write-up'!$Q$16,'[1]observations-276632'!W1157&lt;'[1]Methods write-up'!$R$16,'[1]observations-276632'!X1157&gt;'[1]Methods write-up'!$S$16,'[1]observations-276632'!X1157&lt;'[1]Methods write-up'!$T$16),"West and Central Africa","")</f>
        <v>West and Central Africa</v>
      </c>
      <c r="AY1157" s="22" t="str">
        <f>IF(AND('[1]observations-276632'!W1157&gt;'[1]Methods write-up'!$Q$17,'[1]observations-276632'!W1157&lt;'[1]Methods write-up'!$R$17,'[1]observations-276632'!X1157&gt;'[1]Methods write-up'!$S$17,'[1]observations-276632'!X1157&lt;'[1]Methods write-up'!$T$17),"Equatorial tropical forest","")</f>
        <v/>
      </c>
      <c r="AZ1157" s="22" t="str">
        <f>IF(AND('[1]observations-276632'!W1157&gt;'[1]Methods write-up'!$Q$18,'[1]observations-276632'!W1157&lt;'[1]Methods write-up'!$R$18,'[1]observations-276632'!X1157&gt;'[1]Methods write-up'!$S$18,'[1]observations-276632'!X1157&lt;'[1]Methods write-up'!$T$18),"Somali peninsula","")</f>
        <v/>
      </c>
      <c r="BA1157" s="22" t="str">
        <f>IF(AND('[1]observations-276632'!W1157&gt;'[1]Methods write-up'!$Q$19,'[1]observations-276632'!W1157&lt;'[1]Methods write-up'!$R$19,'[1]observations-276632'!X1157&gt;'[1]Methods write-up'!$S$19,'[1]observations-276632'!X1157&lt;'[1]Methods write-up'!$T$19),"East Africa","")</f>
        <v/>
      </c>
      <c r="BB1157" s="22" t="str">
        <f>IF(AND('[1]observations-276632'!W1157&gt;'[1]Methods write-up'!$Q$20,'[1]observations-276632'!W1157&lt;'[1]Methods write-up'!$R$20,'[1]observations-276632'!X1157&gt;'[1]Methods write-up'!$S$20,'[1]observations-276632'!X1157&lt;'[1]Methods write-up'!$T$20),"Temperate seasonal","")</f>
        <v/>
      </c>
      <c r="BC1157" s="22" t="str">
        <f>IF(AND('[1]observations-276632'!W1157&gt;'[1]Methods write-up'!$Q$21,'[1]observations-276632'!W1157&lt;'[1]Methods write-up'!$R$21,'[1]observations-276632'!X1157&gt;'[1]Methods write-up'!$S$21,'[1]observations-276632'!X1157&lt;'[1]Methods write-up'!$T$21),"Desert and high aridity","")</f>
        <v/>
      </c>
      <c r="BD1157" s="23" t="str">
        <f t="shared" si="93"/>
        <v>West and Central Africa</v>
      </c>
      <c r="BE1157" s="24">
        <f t="shared" si="91"/>
        <v>6</v>
      </c>
      <c r="BF1157" s="24">
        <f t="shared" si="92"/>
        <v>9</v>
      </c>
    </row>
    <row r="1158" spans="1:58" ht="16.25" customHeight="1" x14ac:dyDescent="0.2">
      <c r="A1158">
        <v>134398978</v>
      </c>
      <c r="B1158" s="25">
        <v>44813.680555555555</v>
      </c>
      <c r="C1158" s="14">
        <v>44813</v>
      </c>
      <c r="D1158" t="s">
        <v>8545</v>
      </c>
      <c r="E1158" t="s">
        <v>113</v>
      </c>
      <c r="F1158">
        <v>2697567</v>
      </c>
      <c r="G1158" t="s">
        <v>6087</v>
      </c>
      <c r="I1158" t="s">
        <v>8546</v>
      </c>
      <c r="J1158" t="s">
        <v>8547</v>
      </c>
      <c r="K1158" t="s">
        <v>62</v>
      </c>
      <c r="L1158" t="s">
        <v>63</v>
      </c>
      <c r="M1158" t="s">
        <v>8548</v>
      </c>
      <c r="N1158" t="s">
        <v>8549</v>
      </c>
      <c r="R1158">
        <v>3</v>
      </c>
      <c r="S1158">
        <v>0</v>
      </c>
      <c r="T1158" t="b">
        <v>0</v>
      </c>
      <c r="V1158" t="s">
        <v>8550</v>
      </c>
      <c r="W1158" s="15">
        <v>-26.05687447</v>
      </c>
      <c r="X1158" s="15">
        <v>28.237693199999999</v>
      </c>
      <c r="Y1158">
        <v>122</v>
      </c>
      <c r="AC1158">
        <v>122</v>
      </c>
      <c r="AF1158" t="b">
        <v>0</v>
      </c>
      <c r="AI1158" t="s">
        <v>71</v>
      </c>
      <c r="AJ1158" t="s">
        <v>70</v>
      </c>
      <c r="AK1158" t="s">
        <v>71</v>
      </c>
      <c r="AL1158" t="s">
        <v>72</v>
      </c>
      <c r="AM1158">
        <v>346053</v>
      </c>
      <c r="AO1158" s="16" t="s">
        <v>110</v>
      </c>
      <c r="AP1158" s="17" t="str">
        <f t="shared" si="90"/>
        <v>Nest (foundress)</v>
      </c>
      <c r="AQ1158" s="18">
        <v>1</v>
      </c>
      <c r="AT1158" s="19" t="s">
        <v>104</v>
      </c>
      <c r="AV1158" s="21" t="s">
        <v>8551</v>
      </c>
      <c r="AX1158" s="22" t="str">
        <f>IF(AND('[1]observations-276632'!W1158&gt;'[1]Methods write-up'!$Q$16,'[1]observations-276632'!W1158&lt;'[1]Methods write-up'!$R$16,'[1]observations-276632'!X1158&gt;'[1]Methods write-up'!$S$16,'[1]observations-276632'!X1158&lt;'[1]Methods write-up'!$T$16),"West and Central Africa","")</f>
        <v/>
      </c>
      <c r="AY1158" s="22" t="str">
        <f>IF(AND('[1]observations-276632'!W1158&gt;'[1]Methods write-up'!$Q$17,'[1]observations-276632'!W1158&lt;'[1]Methods write-up'!$R$17,'[1]observations-276632'!X1158&gt;'[1]Methods write-up'!$S$17,'[1]observations-276632'!X1158&lt;'[1]Methods write-up'!$T$17),"Equatorial tropical forest","")</f>
        <v/>
      </c>
      <c r="AZ1158" s="22" t="str">
        <f>IF(AND('[1]observations-276632'!W1158&gt;'[1]Methods write-up'!$Q$18,'[1]observations-276632'!W1158&lt;'[1]Methods write-up'!$R$18,'[1]observations-276632'!X1158&gt;'[1]Methods write-up'!$S$18,'[1]observations-276632'!X1158&lt;'[1]Methods write-up'!$T$18),"Somali peninsula","")</f>
        <v/>
      </c>
      <c r="BA1158" s="22" t="str">
        <f>IF(AND('[1]observations-276632'!W1158&gt;'[1]Methods write-up'!$Q$19,'[1]observations-276632'!W1158&lt;'[1]Methods write-up'!$R$19,'[1]observations-276632'!X1158&gt;'[1]Methods write-up'!$S$19,'[1]observations-276632'!X1158&lt;'[1]Methods write-up'!$T$19),"East Africa","")</f>
        <v/>
      </c>
      <c r="BB1158" s="22" t="str">
        <f>IF(AND('[1]observations-276632'!W1158&gt;'[1]Methods write-up'!$Q$20,'[1]observations-276632'!W1158&lt;'[1]Methods write-up'!$R$20,'[1]observations-276632'!X1158&gt;'[1]Methods write-up'!$S$20,'[1]observations-276632'!X1158&lt;'[1]Methods write-up'!$T$20),"Temperate seasonal","")</f>
        <v>Temperate seasonal</v>
      </c>
      <c r="BC1158" s="22" t="str">
        <f>IF(AND('[1]observations-276632'!W1158&gt;'[1]Methods write-up'!$Q$21,'[1]observations-276632'!W1158&lt;'[1]Methods write-up'!$R$21,'[1]observations-276632'!X1158&gt;'[1]Methods write-up'!$S$21,'[1]observations-276632'!X1158&lt;'[1]Methods write-up'!$T$21),"Desert and high aridity","")</f>
        <v/>
      </c>
      <c r="BD1158" s="23" t="str">
        <f t="shared" si="93"/>
        <v>Temperate seasonal</v>
      </c>
      <c r="BE1158" s="24">
        <f t="shared" si="91"/>
        <v>9</v>
      </c>
      <c r="BF1158" s="24">
        <f t="shared" si="92"/>
        <v>9</v>
      </c>
    </row>
    <row r="1159" spans="1:58" ht="16.25" customHeight="1" x14ac:dyDescent="0.2">
      <c r="A1159">
        <v>134433168</v>
      </c>
      <c r="B1159" s="25">
        <v>44814.508333333331</v>
      </c>
      <c r="C1159" s="14">
        <v>44814</v>
      </c>
      <c r="D1159" t="s">
        <v>8552</v>
      </c>
      <c r="E1159" t="s">
        <v>84</v>
      </c>
      <c r="F1159">
        <v>3760595</v>
      </c>
      <c r="G1159" t="s">
        <v>8553</v>
      </c>
      <c r="I1159" t="s">
        <v>8554</v>
      </c>
      <c r="J1159" t="s">
        <v>8555</v>
      </c>
      <c r="K1159" t="s">
        <v>62</v>
      </c>
      <c r="L1159" t="s">
        <v>63</v>
      </c>
      <c r="M1159" t="s">
        <v>8556</v>
      </c>
      <c r="N1159" t="s">
        <v>8557</v>
      </c>
      <c r="R1159">
        <v>1</v>
      </c>
      <c r="S1159">
        <v>0</v>
      </c>
      <c r="T1159" t="b">
        <v>0</v>
      </c>
      <c r="U1159">
        <v>2</v>
      </c>
      <c r="V1159" t="s">
        <v>8558</v>
      </c>
      <c r="W1159" s="15">
        <v>-3.2569430000000001</v>
      </c>
      <c r="X1159" s="15">
        <v>37.396042000000001</v>
      </c>
      <c r="AF1159" t="b">
        <v>0</v>
      </c>
      <c r="AG1159" t="s">
        <v>350</v>
      </c>
      <c r="AH1159" t="s">
        <v>350</v>
      </c>
      <c r="AI1159" t="s">
        <v>71</v>
      </c>
      <c r="AJ1159" t="s">
        <v>70</v>
      </c>
      <c r="AK1159" t="s">
        <v>71</v>
      </c>
      <c r="AL1159" t="s">
        <v>72</v>
      </c>
      <c r="AM1159">
        <v>346053</v>
      </c>
      <c r="AO1159" s="16" t="s">
        <v>73</v>
      </c>
      <c r="AP1159" s="17" t="str">
        <f t="shared" si="90"/>
        <v>Off-nest female</v>
      </c>
      <c r="AX1159" s="22" t="str">
        <f>IF(AND('[1]observations-276632'!W1159&gt;'[1]Methods write-up'!$Q$16,'[1]observations-276632'!W1159&lt;'[1]Methods write-up'!$R$16,'[1]observations-276632'!X1159&gt;'[1]Methods write-up'!$S$16,'[1]observations-276632'!X1159&lt;'[1]Methods write-up'!$T$16),"West and Central Africa","")</f>
        <v/>
      </c>
      <c r="AY1159" s="22" t="str">
        <f>IF(AND('[1]observations-276632'!W1159&gt;'[1]Methods write-up'!$Q$17,'[1]observations-276632'!W1159&lt;'[1]Methods write-up'!$R$17,'[1]observations-276632'!X1159&gt;'[1]Methods write-up'!$S$17,'[1]observations-276632'!X1159&lt;'[1]Methods write-up'!$T$17),"Equatorial tropical forest","")</f>
        <v/>
      </c>
      <c r="AZ1159" s="22" t="str">
        <f>IF(AND('[1]observations-276632'!W1159&gt;'[1]Methods write-up'!$Q$18,'[1]observations-276632'!W1159&lt;'[1]Methods write-up'!$R$18,'[1]observations-276632'!X1159&gt;'[1]Methods write-up'!$S$18,'[1]observations-276632'!X1159&lt;'[1]Methods write-up'!$T$18),"Somali peninsula","")</f>
        <v/>
      </c>
      <c r="BA1159" s="22" t="str">
        <f>IF(AND('[1]observations-276632'!W1159&gt;'[1]Methods write-up'!$Q$19,'[1]observations-276632'!W1159&lt;'[1]Methods write-up'!$R$19,'[1]observations-276632'!X1159&gt;'[1]Methods write-up'!$S$19,'[1]observations-276632'!X1159&lt;'[1]Methods write-up'!$T$19),"East Africa","")</f>
        <v>East Africa</v>
      </c>
      <c r="BB1159" s="22" t="str">
        <f>IF(AND('[1]observations-276632'!W1159&gt;'[1]Methods write-up'!$Q$20,'[1]observations-276632'!W1159&lt;'[1]Methods write-up'!$R$20,'[1]observations-276632'!X1159&gt;'[1]Methods write-up'!$S$20,'[1]observations-276632'!X1159&lt;'[1]Methods write-up'!$T$20),"Temperate seasonal","")</f>
        <v/>
      </c>
      <c r="BC1159" s="22" t="str">
        <f>IF(AND('[1]observations-276632'!W1159&gt;'[1]Methods write-up'!$Q$21,'[1]observations-276632'!W1159&lt;'[1]Methods write-up'!$R$21,'[1]observations-276632'!X1159&gt;'[1]Methods write-up'!$S$21,'[1]observations-276632'!X1159&lt;'[1]Methods write-up'!$T$21),"Desert and high aridity","")</f>
        <v/>
      </c>
      <c r="BD1159" s="23" t="str">
        <f t="shared" si="93"/>
        <v>East Africa</v>
      </c>
      <c r="BE1159" s="24">
        <f t="shared" si="91"/>
        <v>10</v>
      </c>
      <c r="BF1159" s="24">
        <f t="shared" si="92"/>
        <v>9</v>
      </c>
    </row>
    <row r="1160" spans="1:58" ht="16.25" customHeight="1" x14ac:dyDescent="0.2">
      <c r="A1160">
        <v>134625267</v>
      </c>
      <c r="B1160" s="25">
        <v>44815.520138888889</v>
      </c>
      <c r="C1160" s="14">
        <v>44815</v>
      </c>
      <c r="D1160" t="s">
        <v>8559</v>
      </c>
      <c r="E1160" t="s">
        <v>84</v>
      </c>
      <c r="F1160">
        <v>1429474</v>
      </c>
      <c r="G1160" t="s">
        <v>5895</v>
      </c>
      <c r="H1160" t="s">
        <v>5896</v>
      </c>
      <c r="I1160" t="s">
        <v>8560</v>
      </c>
      <c r="J1160" t="s">
        <v>8561</v>
      </c>
      <c r="K1160" t="s">
        <v>62</v>
      </c>
      <c r="L1160" t="s">
        <v>63</v>
      </c>
      <c r="M1160" t="s">
        <v>8562</v>
      </c>
      <c r="N1160" t="s">
        <v>8563</v>
      </c>
      <c r="R1160">
        <v>1</v>
      </c>
      <c r="S1160">
        <v>0</v>
      </c>
      <c r="T1160" t="b">
        <v>0</v>
      </c>
      <c r="V1160" t="s">
        <v>603</v>
      </c>
      <c r="W1160" s="15">
        <v>-15.36675917</v>
      </c>
      <c r="X1160" s="15">
        <v>35.267471950000001</v>
      </c>
      <c r="AF1160" t="b">
        <v>0</v>
      </c>
      <c r="AI1160" t="s">
        <v>71</v>
      </c>
      <c r="AJ1160" t="s">
        <v>70</v>
      </c>
      <c r="AK1160" t="s">
        <v>71</v>
      </c>
      <c r="AL1160" t="s">
        <v>72</v>
      </c>
      <c r="AM1160">
        <v>346053</v>
      </c>
      <c r="AO1160" s="16" t="s">
        <v>73</v>
      </c>
      <c r="AP1160" s="17" t="str">
        <f t="shared" si="90"/>
        <v>Off-nest female</v>
      </c>
      <c r="AX1160" s="22" t="str">
        <f>IF(AND('[1]observations-276632'!W1160&gt;'[1]Methods write-up'!$Q$16,'[1]observations-276632'!W1160&lt;'[1]Methods write-up'!$R$16,'[1]observations-276632'!X1160&gt;'[1]Methods write-up'!$S$16,'[1]observations-276632'!X1160&lt;'[1]Methods write-up'!$T$16),"West and Central Africa","")</f>
        <v/>
      </c>
      <c r="AY1160" s="22" t="str">
        <f>IF(AND('[1]observations-276632'!W1160&gt;'[1]Methods write-up'!$Q$17,'[1]observations-276632'!W1160&lt;'[1]Methods write-up'!$R$17,'[1]observations-276632'!X1160&gt;'[1]Methods write-up'!$S$17,'[1]observations-276632'!X1160&lt;'[1]Methods write-up'!$T$17),"Equatorial tropical forest","")</f>
        <v/>
      </c>
      <c r="AZ1160" s="22" t="str">
        <f>IF(AND('[1]observations-276632'!W1160&gt;'[1]Methods write-up'!$Q$18,'[1]observations-276632'!W1160&lt;'[1]Methods write-up'!$R$18,'[1]observations-276632'!X1160&gt;'[1]Methods write-up'!$S$18,'[1]observations-276632'!X1160&lt;'[1]Methods write-up'!$T$18),"Somali peninsula","")</f>
        <v/>
      </c>
      <c r="BA1160" s="22" t="str">
        <f>IF(AND('[1]observations-276632'!W1160&gt;'[1]Methods write-up'!$Q$19,'[1]observations-276632'!W1160&lt;'[1]Methods write-up'!$R$19,'[1]observations-276632'!X1160&gt;'[1]Methods write-up'!$S$19,'[1]observations-276632'!X1160&lt;'[1]Methods write-up'!$T$19),"East Africa","")</f>
        <v/>
      </c>
      <c r="BB1160" s="22" t="str">
        <f>IF(AND('[1]observations-276632'!W1160&gt;'[1]Methods write-up'!$Q$20,'[1]observations-276632'!W1160&lt;'[1]Methods write-up'!$R$20,'[1]observations-276632'!X1160&gt;'[1]Methods write-up'!$S$20,'[1]observations-276632'!X1160&lt;'[1]Methods write-up'!$T$20),"Temperate seasonal","")</f>
        <v/>
      </c>
      <c r="BC1160" s="22" t="str">
        <f>IF(AND('[1]observations-276632'!W1160&gt;'[1]Methods write-up'!$Q$21,'[1]observations-276632'!W1160&lt;'[1]Methods write-up'!$R$21,'[1]observations-276632'!X1160&gt;'[1]Methods write-up'!$S$21,'[1]observations-276632'!X1160&lt;'[1]Methods write-up'!$T$21),"Desert and high aridity","")</f>
        <v/>
      </c>
      <c r="BD1160" s="23" t="str">
        <f t="shared" si="93"/>
        <v/>
      </c>
      <c r="BE1160" s="24">
        <f t="shared" si="91"/>
        <v>11</v>
      </c>
      <c r="BF1160" s="24">
        <f t="shared" si="92"/>
        <v>9</v>
      </c>
    </row>
    <row r="1161" spans="1:58" ht="16.25" customHeight="1" x14ac:dyDescent="0.2">
      <c r="A1161">
        <v>134699759</v>
      </c>
      <c r="B1161" s="25">
        <v>44799.729861111111</v>
      </c>
      <c r="C1161" s="14">
        <v>44799</v>
      </c>
      <c r="D1161" t="s">
        <v>8564</v>
      </c>
      <c r="E1161" t="s">
        <v>8296</v>
      </c>
      <c r="F1161">
        <v>678008</v>
      </c>
      <c r="G1161" t="s">
        <v>2315</v>
      </c>
      <c r="I1161" t="s">
        <v>8565</v>
      </c>
      <c r="J1161" t="s">
        <v>8566</v>
      </c>
      <c r="K1161" t="s">
        <v>62</v>
      </c>
      <c r="L1161" t="s">
        <v>63</v>
      </c>
      <c r="M1161" t="s">
        <v>8567</v>
      </c>
      <c r="N1161" t="s">
        <v>8568</v>
      </c>
      <c r="R1161">
        <v>1</v>
      </c>
      <c r="S1161">
        <v>0</v>
      </c>
      <c r="T1161" t="b">
        <v>0</v>
      </c>
      <c r="V1161" t="s">
        <v>2320</v>
      </c>
      <c r="W1161" s="15">
        <v>-15.36985702</v>
      </c>
      <c r="X1161" s="15">
        <v>28.315754519999999</v>
      </c>
      <c r="Y1161">
        <v>46</v>
      </c>
      <c r="AC1161">
        <v>46</v>
      </c>
      <c r="AF1161" t="b">
        <v>0</v>
      </c>
      <c r="AI1161" t="s">
        <v>71</v>
      </c>
      <c r="AJ1161" t="s">
        <v>70</v>
      </c>
      <c r="AK1161" t="s">
        <v>71</v>
      </c>
      <c r="AL1161" t="s">
        <v>72</v>
      </c>
      <c r="AM1161">
        <v>346053</v>
      </c>
      <c r="AO1161" s="16" t="s">
        <v>73</v>
      </c>
      <c r="AP1161" s="17" t="str">
        <f t="shared" si="90"/>
        <v>Off-nest female</v>
      </c>
      <c r="AX1161" s="22" t="str">
        <f>IF(AND('[1]observations-276632'!W1161&gt;'[1]Methods write-up'!$Q$16,'[1]observations-276632'!W1161&lt;'[1]Methods write-up'!$R$16,'[1]observations-276632'!X1161&gt;'[1]Methods write-up'!$S$16,'[1]observations-276632'!X1161&lt;'[1]Methods write-up'!$T$16),"West and Central Africa","")</f>
        <v>West and Central Africa</v>
      </c>
      <c r="AY1161" s="22" t="str">
        <f>IF(AND('[1]observations-276632'!W1161&gt;'[1]Methods write-up'!$Q$17,'[1]observations-276632'!W1161&lt;'[1]Methods write-up'!$R$17,'[1]observations-276632'!X1161&gt;'[1]Methods write-up'!$S$17,'[1]observations-276632'!X1161&lt;'[1]Methods write-up'!$T$17),"Equatorial tropical forest","")</f>
        <v/>
      </c>
      <c r="AZ1161" s="22" t="str">
        <f>IF(AND('[1]observations-276632'!W1161&gt;'[1]Methods write-up'!$Q$18,'[1]observations-276632'!W1161&lt;'[1]Methods write-up'!$R$18,'[1]observations-276632'!X1161&gt;'[1]Methods write-up'!$S$18,'[1]observations-276632'!X1161&lt;'[1]Methods write-up'!$T$18),"Somali peninsula","")</f>
        <v/>
      </c>
      <c r="BA1161" s="22" t="str">
        <f>IF(AND('[1]observations-276632'!W1161&gt;'[1]Methods write-up'!$Q$19,'[1]observations-276632'!W1161&lt;'[1]Methods write-up'!$R$19,'[1]observations-276632'!X1161&gt;'[1]Methods write-up'!$S$19,'[1]observations-276632'!X1161&lt;'[1]Methods write-up'!$T$19),"East Africa","")</f>
        <v/>
      </c>
      <c r="BB1161" s="22" t="str">
        <f>IF(AND('[1]observations-276632'!W1161&gt;'[1]Methods write-up'!$Q$20,'[1]observations-276632'!W1161&lt;'[1]Methods write-up'!$R$20,'[1]observations-276632'!X1161&gt;'[1]Methods write-up'!$S$20,'[1]observations-276632'!X1161&lt;'[1]Methods write-up'!$T$20),"Temperate seasonal","")</f>
        <v/>
      </c>
      <c r="BC1161" s="22" t="str">
        <f>IF(AND('[1]observations-276632'!W1161&gt;'[1]Methods write-up'!$Q$21,'[1]observations-276632'!W1161&lt;'[1]Methods write-up'!$R$21,'[1]observations-276632'!X1161&gt;'[1]Methods write-up'!$S$21,'[1]observations-276632'!X1161&lt;'[1]Methods write-up'!$T$21),"Desert and high aridity","")</f>
        <v/>
      </c>
      <c r="BD1161" s="23" t="str">
        <f t="shared" si="93"/>
        <v>West and Central Africa</v>
      </c>
      <c r="BE1161" s="24">
        <f t="shared" si="91"/>
        <v>26</v>
      </c>
      <c r="BF1161" s="24">
        <f t="shared" si="92"/>
        <v>8</v>
      </c>
    </row>
    <row r="1162" spans="1:58" ht="16.25" customHeight="1" x14ac:dyDescent="0.2">
      <c r="A1162">
        <v>134701217</v>
      </c>
      <c r="B1162" s="25">
        <v>44816.276388888888</v>
      </c>
      <c r="C1162" s="14">
        <v>44816</v>
      </c>
      <c r="D1162" t="s">
        <v>8569</v>
      </c>
      <c r="E1162" t="s">
        <v>84</v>
      </c>
      <c r="F1162">
        <v>3804804</v>
      </c>
      <c r="G1162" t="s">
        <v>6795</v>
      </c>
      <c r="H1162" t="s">
        <v>6796</v>
      </c>
      <c r="I1162" t="s">
        <v>8570</v>
      </c>
      <c r="J1162" t="s">
        <v>8571</v>
      </c>
      <c r="K1162" t="s">
        <v>62</v>
      </c>
      <c r="L1162" t="s">
        <v>63</v>
      </c>
      <c r="M1162" t="s">
        <v>8572</v>
      </c>
      <c r="N1162" t="s">
        <v>8573</v>
      </c>
      <c r="R1162">
        <v>1</v>
      </c>
      <c r="S1162">
        <v>0</v>
      </c>
      <c r="T1162" t="b">
        <v>0</v>
      </c>
      <c r="U1162">
        <v>2</v>
      </c>
      <c r="V1162" t="s">
        <v>8574</v>
      </c>
      <c r="W1162" s="15">
        <v>2.9959209740000001</v>
      </c>
      <c r="X1162" s="15">
        <v>30.90051703</v>
      </c>
      <c r="Y1162">
        <v>32</v>
      </c>
      <c r="AC1162">
        <v>32</v>
      </c>
      <c r="AF1162" t="b">
        <v>0</v>
      </c>
      <c r="AG1162" t="s">
        <v>350</v>
      </c>
      <c r="AH1162" t="s">
        <v>350</v>
      </c>
      <c r="AI1162" t="s">
        <v>71</v>
      </c>
      <c r="AJ1162" t="s">
        <v>70</v>
      </c>
      <c r="AK1162" t="s">
        <v>71</v>
      </c>
      <c r="AL1162" t="s">
        <v>72</v>
      </c>
      <c r="AM1162">
        <v>346053</v>
      </c>
      <c r="AO1162" s="16" t="s">
        <v>110</v>
      </c>
      <c r="AP1162" s="17" t="str">
        <f t="shared" si="90"/>
        <v>Nest (foundress)</v>
      </c>
      <c r="AQ1162" s="18">
        <v>1</v>
      </c>
      <c r="AT1162" s="19" t="s">
        <v>104</v>
      </c>
      <c r="AX1162" s="22" t="str">
        <f>IF(AND('[1]observations-276632'!W1162&gt;'[1]Methods write-up'!$Q$16,'[1]observations-276632'!W1162&lt;'[1]Methods write-up'!$R$16,'[1]observations-276632'!X1162&gt;'[1]Methods write-up'!$S$16,'[1]observations-276632'!X1162&lt;'[1]Methods write-up'!$T$16),"West and Central Africa","")</f>
        <v>West and Central Africa</v>
      </c>
      <c r="AY1162" s="22" t="str">
        <f>IF(AND('[1]observations-276632'!W1162&gt;'[1]Methods write-up'!$Q$17,'[1]observations-276632'!W1162&lt;'[1]Methods write-up'!$R$17,'[1]observations-276632'!X1162&gt;'[1]Methods write-up'!$S$17,'[1]observations-276632'!X1162&lt;'[1]Methods write-up'!$T$17),"Equatorial tropical forest","")</f>
        <v/>
      </c>
      <c r="AZ1162" s="22" t="str">
        <f>IF(AND('[1]observations-276632'!W1162&gt;'[1]Methods write-up'!$Q$18,'[1]observations-276632'!W1162&lt;'[1]Methods write-up'!$R$18,'[1]observations-276632'!X1162&gt;'[1]Methods write-up'!$S$18,'[1]observations-276632'!X1162&lt;'[1]Methods write-up'!$T$18),"Somali peninsula","")</f>
        <v/>
      </c>
      <c r="BA1162" s="22" t="str">
        <f>IF(AND('[1]observations-276632'!W1162&gt;'[1]Methods write-up'!$Q$19,'[1]observations-276632'!W1162&lt;'[1]Methods write-up'!$R$19,'[1]observations-276632'!X1162&gt;'[1]Methods write-up'!$S$19,'[1]observations-276632'!X1162&lt;'[1]Methods write-up'!$T$19),"East Africa","")</f>
        <v/>
      </c>
      <c r="BB1162" s="22" t="str">
        <f>IF(AND('[1]observations-276632'!W1162&gt;'[1]Methods write-up'!$Q$20,'[1]observations-276632'!W1162&lt;'[1]Methods write-up'!$R$20,'[1]observations-276632'!X1162&gt;'[1]Methods write-up'!$S$20,'[1]observations-276632'!X1162&lt;'[1]Methods write-up'!$T$20),"Temperate seasonal","")</f>
        <v/>
      </c>
      <c r="BC1162" s="22" t="str">
        <f>IF(AND('[1]observations-276632'!W1162&gt;'[1]Methods write-up'!$Q$21,'[1]observations-276632'!W1162&lt;'[1]Methods write-up'!$R$21,'[1]observations-276632'!X1162&gt;'[1]Methods write-up'!$S$21,'[1]observations-276632'!X1162&lt;'[1]Methods write-up'!$T$21),"Desert and high aridity","")</f>
        <v/>
      </c>
      <c r="BD1162" s="23" t="str">
        <f t="shared" si="93"/>
        <v>West and Central Africa</v>
      </c>
      <c r="BE1162" s="24">
        <f t="shared" si="91"/>
        <v>12</v>
      </c>
      <c r="BF1162" s="24">
        <f t="shared" si="92"/>
        <v>9</v>
      </c>
    </row>
    <row r="1163" spans="1:58" ht="16.25" customHeight="1" x14ac:dyDescent="0.2">
      <c r="A1163">
        <v>134788333</v>
      </c>
      <c r="B1163" s="25">
        <v>44789.638888888891</v>
      </c>
      <c r="C1163" s="14">
        <v>44789</v>
      </c>
      <c r="D1163" t="s">
        <v>8575</v>
      </c>
      <c r="E1163" t="s">
        <v>7934</v>
      </c>
      <c r="F1163">
        <v>383144</v>
      </c>
      <c r="G1163" t="s">
        <v>702</v>
      </c>
      <c r="H1163" t="s">
        <v>703</v>
      </c>
      <c r="I1163" t="s">
        <v>8576</v>
      </c>
      <c r="J1163" t="s">
        <v>8577</v>
      </c>
      <c r="K1163" t="s">
        <v>62</v>
      </c>
      <c r="L1163" t="s">
        <v>118</v>
      </c>
      <c r="M1163" t="s">
        <v>8578</v>
      </c>
      <c r="N1163" t="s">
        <v>8579</v>
      </c>
      <c r="R1163">
        <v>1</v>
      </c>
      <c r="S1163">
        <v>0</v>
      </c>
      <c r="T1163" t="b">
        <v>0</v>
      </c>
      <c r="V1163" t="s">
        <v>8580</v>
      </c>
      <c r="W1163" s="15">
        <v>-18.118588970000001</v>
      </c>
      <c r="X1163" s="15">
        <v>21.67172347</v>
      </c>
      <c r="Y1163">
        <v>10</v>
      </c>
      <c r="AC1163">
        <v>10</v>
      </c>
      <c r="AF1163" t="b">
        <v>0</v>
      </c>
      <c r="AI1163" t="s">
        <v>71</v>
      </c>
      <c r="AJ1163" t="s">
        <v>70</v>
      </c>
      <c r="AK1163" t="s">
        <v>71</v>
      </c>
      <c r="AL1163" t="s">
        <v>72</v>
      </c>
      <c r="AM1163">
        <v>346053</v>
      </c>
      <c r="AO1163" s="16" t="s">
        <v>73</v>
      </c>
      <c r="AP1163" s="17" t="str">
        <f t="shared" si="90"/>
        <v>Off-nest female</v>
      </c>
      <c r="AX1163" s="22" t="str">
        <f>IF(AND('[1]observations-276632'!W1163&gt;'[1]Methods write-up'!$Q$16,'[1]observations-276632'!W1163&lt;'[1]Methods write-up'!$R$16,'[1]observations-276632'!X1163&gt;'[1]Methods write-up'!$S$16,'[1]observations-276632'!X1163&lt;'[1]Methods write-up'!$T$16),"West and Central Africa","")</f>
        <v>West and Central Africa</v>
      </c>
      <c r="AY1163" s="22" t="str">
        <f>IF(AND('[1]observations-276632'!W1163&gt;'[1]Methods write-up'!$Q$17,'[1]observations-276632'!W1163&lt;'[1]Methods write-up'!$R$17,'[1]observations-276632'!X1163&gt;'[1]Methods write-up'!$S$17,'[1]observations-276632'!X1163&lt;'[1]Methods write-up'!$T$17),"Equatorial tropical forest","")</f>
        <v/>
      </c>
      <c r="AZ1163" s="22" t="str">
        <f>IF(AND('[1]observations-276632'!W1163&gt;'[1]Methods write-up'!$Q$18,'[1]observations-276632'!W1163&lt;'[1]Methods write-up'!$R$18,'[1]observations-276632'!X1163&gt;'[1]Methods write-up'!$S$18,'[1]observations-276632'!X1163&lt;'[1]Methods write-up'!$T$18),"Somali peninsula","")</f>
        <v/>
      </c>
      <c r="BA1163" s="22" t="str">
        <f>IF(AND('[1]observations-276632'!W1163&gt;'[1]Methods write-up'!$Q$19,'[1]observations-276632'!W1163&lt;'[1]Methods write-up'!$R$19,'[1]observations-276632'!X1163&gt;'[1]Methods write-up'!$S$19,'[1]observations-276632'!X1163&lt;'[1]Methods write-up'!$T$19),"East Africa","")</f>
        <v/>
      </c>
      <c r="BB1163" s="22" t="str">
        <f>IF(AND('[1]observations-276632'!W1163&gt;'[1]Methods write-up'!$Q$20,'[1]observations-276632'!W1163&lt;'[1]Methods write-up'!$R$20,'[1]observations-276632'!X1163&gt;'[1]Methods write-up'!$S$20,'[1]observations-276632'!X1163&lt;'[1]Methods write-up'!$T$20),"Temperate seasonal","")</f>
        <v/>
      </c>
      <c r="BC1163" s="22" t="str">
        <f>IF(AND('[1]observations-276632'!W1163&gt;'[1]Methods write-up'!$Q$21,'[1]observations-276632'!W1163&lt;'[1]Methods write-up'!$R$21,'[1]observations-276632'!X1163&gt;'[1]Methods write-up'!$S$21,'[1]observations-276632'!X1163&lt;'[1]Methods write-up'!$T$21),"Desert and high aridity","")</f>
        <v>Desert and high aridity</v>
      </c>
      <c r="BD1163" s="23" t="str">
        <f t="shared" si="93"/>
        <v>West and Central AfricaDesert and high aridity</v>
      </c>
      <c r="BE1163" s="24">
        <f t="shared" si="91"/>
        <v>16</v>
      </c>
      <c r="BF1163" s="24">
        <f t="shared" si="92"/>
        <v>8</v>
      </c>
    </row>
    <row r="1164" spans="1:58" ht="16.25" customHeight="1" x14ac:dyDescent="0.2">
      <c r="A1164">
        <v>134845056</v>
      </c>
      <c r="B1164" s="25">
        <v>44807.67083333333</v>
      </c>
      <c r="C1164" s="14">
        <v>44807</v>
      </c>
      <c r="D1164" t="s">
        <v>8581</v>
      </c>
      <c r="E1164" t="s">
        <v>8296</v>
      </c>
      <c r="F1164">
        <v>678008</v>
      </c>
      <c r="G1164" t="s">
        <v>2315</v>
      </c>
      <c r="I1164" t="s">
        <v>8582</v>
      </c>
      <c r="J1164" t="s">
        <v>8583</v>
      </c>
      <c r="K1164" t="s">
        <v>62</v>
      </c>
      <c r="L1164" t="s">
        <v>63</v>
      </c>
      <c r="M1164" t="s">
        <v>8584</v>
      </c>
      <c r="N1164" t="s">
        <v>8585</v>
      </c>
      <c r="R1164">
        <v>1</v>
      </c>
      <c r="S1164">
        <v>0</v>
      </c>
      <c r="T1164" t="b">
        <v>0</v>
      </c>
      <c r="V1164" t="s">
        <v>2320</v>
      </c>
      <c r="W1164" s="15">
        <v>-15.36985702</v>
      </c>
      <c r="X1164" s="15">
        <v>28.315754519999999</v>
      </c>
      <c r="Y1164">
        <v>46</v>
      </c>
      <c r="AC1164">
        <v>46</v>
      </c>
      <c r="AF1164" t="b">
        <v>0</v>
      </c>
      <c r="AI1164" t="s">
        <v>71</v>
      </c>
      <c r="AJ1164" t="s">
        <v>70</v>
      </c>
      <c r="AK1164" t="s">
        <v>71</v>
      </c>
      <c r="AL1164" t="s">
        <v>72</v>
      </c>
      <c r="AM1164">
        <v>346053</v>
      </c>
      <c r="AO1164" s="16" t="s">
        <v>442</v>
      </c>
      <c r="AP1164" s="17" t="str">
        <f t="shared" si="90"/>
        <v>Dead female</v>
      </c>
      <c r="AX1164" s="22" t="str">
        <f>IF(AND('[1]observations-276632'!W1164&gt;'[1]Methods write-up'!$Q$16,'[1]observations-276632'!W1164&lt;'[1]Methods write-up'!$R$16,'[1]observations-276632'!X1164&gt;'[1]Methods write-up'!$S$16,'[1]observations-276632'!X1164&lt;'[1]Methods write-up'!$T$16),"West and Central Africa","")</f>
        <v>West and Central Africa</v>
      </c>
      <c r="AY1164" s="22" t="str">
        <f>IF(AND('[1]observations-276632'!W1164&gt;'[1]Methods write-up'!$Q$17,'[1]observations-276632'!W1164&lt;'[1]Methods write-up'!$R$17,'[1]observations-276632'!X1164&gt;'[1]Methods write-up'!$S$17,'[1]observations-276632'!X1164&lt;'[1]Methods write-up'!$T$17),"Equatorial tropical forest","")</f>
        <v/>
      </c>
      <c r="AZ1164" s="22" t="str">
        <f>IF(AND('[1]observations-276632'!W1164&gt;'[1]Methods write-up'!$Q$18,'[1]observations-276632'!W1164&lt;'[1]Methods write-up'!$R$18,'[1]observations-276632'!X1164&gt;'[1]Methods write-up'!$S$18,'[1]observations-276632'!X1164&lt;'[1]Methods write-up'!$T$18),"Somali peninsula","")</f>
        <v/>
      </c>
      <c r="BA1164" s="22" t="str">
        <f>IF(AND('[1]observations-276632'!W1164&gt;'[1]Methods write-up'!$Q$19,'[1]observations-276632'!W1164&lt;'[1]Methods write-up'!$R$19,'[1]observations-276632'!X1164&gt;'[1]Methods write-up'!$S$19,'[1]observations-276632'!X1164&lt;'[1]Methods write-up'!$T$19),"East Africa","")</f>
        <v/>
      </c>
      <c r="BB1164" s="22" t="str">
        <f>IF(AND('[1]observations-276632'!W1164&gt;'[1]Methods write-up'!$Q$20,'[1]observations-276632'!W1164&lt;'[1]Methods write-up'!$R$20,'[1]observations-276632'!X1164&gt;'[1]Methods write-up'!$S$20,'[1]observations-276632'!X1164&lt;'[1]Methods write-up'!$T$20),"Temperate seasonal","")</f>
        <v/>
      </c>
      <c r="BC1164" s="22" t="str">
        <f>IF(AND('[1]observations-276632'!W1164&gt;'[1]Methods write-up'!$Q$21,'[1]observations-276632'!W1164&lt;'[1]Methods write-up'!$R$21,'[1]observations-276632'!X1164&gt;'[1]Methods write-up'!$S$21,'[1]observations-276632'!X1164&lt;'[1]Methods write-up'!$T$21),"Desert and high aridity","")</f>
        <v/>
      </c>
      <c r="BD1164" s="23" t="str">
        <f t="shared" si="93"/>
        <v>West and Central Africa</v>
      </c>
      <c r="BE1164" s="24">
        <f t="shared" si="91"/>
        <v>3</v>
      </c>
      <c r="BF1164" s="24">
        <f t="shared" si="92"/>
        <v>9</v>
      </c>
    </row>
    <row r="1165" spans="1:58" ht="16.25" customHeight="1" x14ac:dyDescent="0.2">
      <c r="A1165">
        <v>134866027</v>
      </c>
      <c r="B1165" s="13">
        <v>44817</v>
      </c>
      <c r="C1165" s="14">
        <v>44817</v>
      </c>
      <c r="E1165" t="s">
        <v>74</v>
      </c>
      <c r="F1165">
        <v>6039650</v>
      </c>
      <c r="G1165" t="s">
        <v>8586</v>
      </c>
      <c r="I1165" t="s">
        <v>8587</v>
      </c>
      <c r="J1165" t="s">
        <v>8588</v>
      </c>
      <c r="K1165" t="s">
        <v>62</v>
      </c>
      <c r="L1165" t="s">
        <v>63</v>
      </c>
      <c r="M1165" t="s">
        <v>8589</v>
      </c>
      <c r="N1165" t="s">
        <v>8590</v>
      </c>
      <c r="R1165">
        <v>0</v>
      </c>
      <c r="S1165">
        <v>0</v>
      </c>
      <c r="T1165" t="b">
        <v>0</v>
      </c>
      <c r="U1165">
        <v>2</v>
      </c>
      <c r="V1165" t="s">
        <v>7568</v>
      </c>
      <c r="W1165" s="15">
        <v>-20.202777780000002</v>
      </c>
      <c r="X1165" s="15">
        <v>28.641666669999999</v>
      </c>
      <c r="AF1165" t="b">
        <v>0</v>
      </c>
      <c r="AG1165" t="s">
        <v>350</v>
      </c>
      <c r="AH1165" t="s">
        <v>350</v>
      </c>
      <c r="AI1165" t="s">
        <v>161</v>
      </c>
      <c r="AJ1165" t="s">
        <v>161</v>
      </c>
      <c r="AL1165" t="s">
        <v>72</v>
      </c>
      <c r="AM1165">
        <v>366867</v>
      </c>
      <c r="AO1165" s="16" t="s">
        <v>110</v>
      </c>
      <c r="AP1165" s="17" t="str">
        <f t="shared" si="90"/>
        <v>Nest (foundress)</v>
      </c>
      <c r="AQ1165" s="18">
        <v>2</v>
      </c>
      <c r="AT1165" s="19" t="s">
        <v>104</v>
      </c>
      <c r="AX1165" s="22" t="str">
        <f>IF(AND('[1]observations-276632'!W1165&gt;'[1]Methods write-up'!$Q$16,'[1]observations-276632'!W1165&lt;'[1]Methods write-up'!$R$16,'[1]observations-276632'!X1165&gt;'[1]Methods write-up'!$S$16,'[1]observations-276632'!X1165&lt;'[1]Methods write-up'!$T$16),"West and Central Africa","")</f>
        <v/>
      </c>
      <c r="AY1165" s="22" t="str">
        <f>IF(AND('[1]observations-276632'!W1165&gt;'[1]Methods write-up'!$Q$17,'[1]observations-276632'!W1165&lt;'[1]Methods write-up'!$R$17,'[1]observations-276632'!X1165&gt;'[1]Methods write-up'!$S$17,'[1]observations-276632'!X1165&lt;'[1]Methods write-up'!$T$17),"Equatorial tropical forest","")</f>
        <v/>
      </c>
      <c r="AZ1165" s="22" t="str">
        <f>IF(AND('[1]observations-276632'!W1165&gt;'[1]Methods write-up'!$Q$18,'[1]observations-276632'!W1165&lt;'[1]Methods write-up'!$R$18,'[1]observations-276632'!X1165&gt;'[1]Methods write-up'!$S$18,'[1]observations-276632'!X1165&lt;'[1]Methods write-up'!$T$18),"Somali peninsula","")</f>
        <v/>
      </c>
      <c r="BA1165" s="22" t="str">
        <f>IF(AND('[1]observations-276632'!W1165&gt;'[1]Methods write-up'!$Q$19,'[1]observations-276632'!W1165&lt;'[1]Methods write-up'!$R$19,'[1]observations-276632'!X1165&gt;'[1]Methods write-up'!$S$19,'[1]observations-276632'!X1165&lt;'[1]Methods write-up'!$T$19),"East Africa","")</f>
        <v/>
      </c>
      <c r="BB1165" s="22" t="str">
        <f>IF(AND('[1]observations-276632'!W1165&gt;'[1]Methods write-up'!$Q$20,'[1]observations-276632'!W1165&lt;'[1]Methods write-up'!$R$20,'[1]observations-276632'!X1165&gt;'[1]Methods write-up'!$S$20,'[1]observations-276632'!X1165&lt;'[1]Methods write-up'!$T$20),"Temperate seasonal","")</f>
        <v/>
      </c>
      <c r="BC1165" s="22" t="str">
        <f>IF(AND('[1]observations-276632'!W1165&gt;'[1]Methods write-up'!$Q$21,'[1]observations-276632'!W1165&lt;'[1]Methods write-up'!$R$21,'[1]observations-276632'!X1165&gt;'[1]Methods write-up'!$S$21,'[1]observations-276632'!X1165&lt;'[1]Methods write-up'!$T$21),"Desert and high aridity","")</f>
        <v/>
      </c>
      <c r="BD1165" s="23" t="str">
        <f t="shared" si="93"/>
        <v/>
      </c>
      <c r="BE1165" s="24">
        <f t="shared" si="91"/>
        <v>13</v>
      </c>
      <c r="BF1165" s="24">
        <f t="shared" si="92"/>
        <v>9</v>
      </c>
    </row>
    <row r="1166" spans="1:58" ht="16.25" customHeight="1" x14ac:dyDescent="0.2">
      <c r="A1166">
        <v>134983877</v>
      </c>
      <c r="B1166" t="s">
        <v>8591</v>
      </c>
      <c r="C1166" s="14">
        <v>44818</v>
      </c>
      <c r="D1166" t="s">
        <v>8592</v>
      </c>
      <c r="E1166" t="s">
        <v>7831</v>
      </c>
      <c r="F1166">
        <v>4423226</v>
      </c>
      <c r="G1166" t="s">
        <v>8593</v>
      </c>
      <c r="H1166" t="s">
        <v>8594</v>
      </c>
      <c r="I1166" t="s">
        <v>8595</v>
      </c>
      <c r="J1166" t="s">
        <v>8596</v>
      </c>
      <c r="K1166" t="s">
        <v>62</v>
      </c>
      <c r="L1166" t="s">
        <v>63</v>
      </c>
      <c r="M1166" t="s">
        <v>8597</v>
      </c>
      <c r="N1166" t="s">
        <v>8598</v>
      </c>
      <c r="R1166">
        <v>2</v>
      </c>
      <c r="S1166">
        <v>0</v>
      </c>
      <c r="T1166" t="b">
        <v>0</v>
      </c>
      <c r="U1166">
        <v>3</v>
      </c>
      <c r="V1166" t="s">
        <v>8599</v>
      </c>
      <c r="W1166" s="15">
        <v>-2.6203664209999999</v>
      </c>
      <c r="X1166" s="15">
        <v>29.741437680000001</v>
      </c>
      <c r="Y1166">
        <v>66</v>
      </c>
      <c r="AC1166">
        <v>66</v>
      </c>
      <c r="AF1166" t="b">
        <v>0</v>
      </c>
      <c r="AI1166" t="s">
        <v>71</v>
      </c>
      <c r="AJ1166" t="s">
        <v>70</v>
      </c>
      <c r="AK1166" t="s">
        <v>71</v>
      </c>
      <c r="AL1166" t="s">
        <v>72</v>
      </c>
      <c r="AM1166">
        <v>346053</v>
      </c>
      <c r="AO1166" s="16" t="s">
        <v>73</v>
      </c>
      <c r="AP1166" s="17" t="str">
        <f t="shared" si="90"/>
        <v>Off-nest female</v>
      </c>
      <c r="AX1166" s="22" t="str">
        <f>IF(AND('[1]observations-276632'!W1166&gt;'[1]Methods write-up'!$Q$16,'[1]observations-276632'!W1166&lt;'[1]Methods write-up'!$R$16,'[1]observations-276632'!X1166&gt;'[1]Methods write-up'!$S$16,'[1]observations-276632'!X1166&lt;'[1]Methods write-up'!$T$16),"West and Central Africa","")</f>
        <v>West and Central Africa</v>
      </c>
      <c r="AY1166" s="22" t="str">
        <f>IF(AND('[1]observations-276632'!W1166&gt;'[1]Methods write-up'!$Q$17,'[1]observations-276632'!W1166&lt;'[1]Methods write-up'!$R$17,'[1]observations-276632'!X1166&gt;'[1]Methods write-up'!$S$17,'[1]observations-276632'!X1166&lt;'[1]Methods write-up'!$T$17),"Equatorial tropical forest","")</f>
        <v/>
      </c>
      <c r="AZ1166" s="22" t="str">
        <f>IF(AND('[1]observations-276632'!W1166&gt;'[1]Methods write-up'!$Q$18,'[1]observations-276632'!W1166&lt;'[1]Methods write-up'!$R$18,'[1]observations-276632'!X1166&gt;'[1]Methods write-up'!$S$18,'[1]observations-276632'!X1166&lt;'[1]Methods write-up'!$T$18),"Somali peninsula","")</f>
        <v/>
      </c>
      <c r="BA1166" s="22" t="str">
        <f>IF(AND('[1]observations-276632'!W1166&gt;'[1]Methods write-up'!$Q$19,'[1]observations-276632'!W1166&lt;'[1]Methods write-up'!$R$19,'[1]observations-276632'!X1166&gt;'[1]Methods write-up'!$S$19,'[1]observations-276632'!X1166&lt;'[1]Methods write-up'!$T$19),"East Africa","")</f>
        <v/>
      </c>
      <c r="BB1166" s="22" t="str">
        <f>IF(AND('[1]observations-276632'!W1166&gt;'[1]Methods write-up'!$Q$20,'[1]observations-276632'!W1166&lt;'[1]Methods write-up'!$R$20,'[1]observations-276632'!X1166&gt;'[1]Methods write-up'!$S$20,'[1]observations-276632'!X1166&lt;'[1]Methods write-up'!$T$20),"Temperate seasonal","")</f>
        <v/>
      </c>
      <c r="BC1166" s="22" t="str">
        <f>IF(AND('[1]observations-276632'!W1166&gt;'[1]Methods write-up'!$Q$21,'[1]observations-276632'!W1166&lt;'[1]Methods write-up'!$R$21,'[1]observations-276632'!X1166&gt;'[1]Methods write-up'!$S$21,'[1]observations-276632'!X1166&lt;'[1]Methods write-up'!$T$21),"Desert and high aridity","")</f>
        <v/>
      </c>
      <c r="BD1166" s="23" t="str">
        <f t="shared" si="93"/>
        <v>West and Central Africa</v>
      </c>
      <c r="BE1166" s="24">
        <f t="shared" si="91"/>
        <v>14</v>
      </c>
      <c r="BF1166" s="24">
        <f t="shared" si="92"/>
        <v>9</v>
      </c>
    </row>
    <row r="1167" spans="1:58" ht="16.25" customHeight="1" x14ac:dyDescent="0.2">
      <c r="A1167">
        <v>135354360</v>
      </c>
      <c r="B1167" s="25">
        <v>44817.887499999997</v>
      </c>
      <c r="C1167" s="14">
        <v>44817</v>
      </c>
      <c r="D1167" t="s">
        <v>8600</v>
      </c>
      <c r="E1167" t="s">
        <v>84</v>
      </c>
      <c r="F1167">
        <v>1114896</v>
      </c>
      <c r="G1167" t="s">
        <v>8534</v>
      </c>
      <c r="H1167" t="s">
        <v>8535</v>
      </c>
      <c r="I1167" t="s">
        <v>8601</v>
      </c>
      <c r="J1167" t="s">
        <v>8537</v>
      </c>
      <c r="K1167" t="s">
        <v>62</v>
      </c>
      <c r="L1167" t="s">
        <v>98</v>
      </c>
      <c r="M1167" t="s">
        <v>8602</v>
      </c>
      <c r="N1167" t="s">
        <v>8603</v>
      </c>
      <c r="R1167">
        <v>1</v>
      </c>
      <c r="S1167">
        <v>0</v>
      </c>
      <c r="T1167" t="b">
        <v>0</v>
      </c>
      <c r="V1167" t="s">
        <v>8604</v>
      </c>
      <c r="W1167" s="15">
        <v>1.2946679999999999</v>
      </c>
      <c r="X1167" s="15">
        <v>30.99766</v>
      </c>
      <c r="AF1167" t="b">
        <v>0</v>
      </c>
      <c r="AI1167" t="s">
        <v>71</v>
      </c>
      <c r="AJ1167" t="s">
        <v>70</v>
      </c>
      <c r="AK1167" t="s">
        <v>71</v>
      </c>
      <c r="AL1167" t="s">
        <v>72</v>
      </c>
      <c r="AM1167">
        <v>346053</v>
      </c>
      <c r="AO1167" s="16" t="s">
        <v>110</v>
      </c>
      <c r="AP1167" s="17" t="str">
        <f t="shared" si="90"/>
        <v>Nest (foundress)</v>
      </c>
      <c r="AQ1167" s="18">
        <v>1</v>
      </c>
      <c r="AT1167" s="19" t="s">
        <v>104</v>
      </c>
      <c r="AX1167" s="22" t="str">
        <f>IF(AND('[1]observations-276632'!W1167&gt;'[1]Methods write-up'!$Q$16,'[1]observations-276632'!W1167&lt;'[1]Methods write-up'!$R$16,'[1]observations-276632'!X1167&gt;'[1]Methods write-up'!$S$16,'[1]observations-276632'!X1167&lt;'[1]Methods write-up'!$T$16),"West and Central Africa","")</f>
        <v>West and Central Africa</v>
      </c>
      <c r="AY1167" s="22" t="str">
        <f>IF(AND('[1]observations-276632'!W1167&gt;'[1]Methods write-up'!$Q$17,'[1]observations-276632'!W1167&lt;'[1]Methods write-up'!$R$17,'[1]observations-276632'!X1167&gt;'[1]Methods write-up'!$S$17,'[1]observations-276632'!X1167&lt;'[1]Methods write-up'!$T$17),"Equatorial tropical forest","")</f>
        <v/>
      </c>
      <c r="AZ1167" s="22" t="str">
        <f>IF(AND('[1]observations-276632'!W1167&gt;'[1]Methods write-up'!$Q$18,'[1]observations-276632'!W1167&lt;'[1]Methods write-up'!$R$18,'[1]observations-276632'!X1167&gt;'[1]Methods write-up'!$S$18,'[1]observations-276632'!X1167&lt;'[1]Methods write-up'!$T$18),"Somali peninsula","")</f>
        <v/>
      </c>
      <c r="BA1167" s="22" t="str">
        <f>IF(AND('[1]observations-276632'!W1167&gt;'[1]Methods write-up'!$Q$19,'[1]observations-276632'!W1167&lt;'[1]Methods write-up'!$R$19,'[1]observations-276632'!X1167&gt;'[1]Methods write-up'!$S$19,'[1]observations-276632'!X1167&lt;'[1]Methods write-up'!$T$19),"East Africa","")</f>
        <v/>
      </c>
      <c r="BB1167" s="22" t="str">
        <f>IF(AND('[1]observations-276632'!W1167&gt;'[1]Methods write-up'!$Q$20,'[1]observations-276632'!W1167&lt;'[1]Methods write-up'!$R$20,'[1]observations-276632'!X1167&gt;'[1]Methods write-up'!$S$20,'[1]observations-276632'!X1167&lt;'[1]Methods write-up'!$T$20),"Temperate seasonal","")</f>
        <v/>
      </c>
      <c r="BC1167" s="22" t="str">
        <f>IF(AND('[1]observations-276632'!W1167&gt;'[1]Methods write-up'!$Q$21,'[1]observations-276632'!W1167&lt;'[1]Methods write-up'!$R$21,'[1]observations-276632'!X1167&gt;'[1]Methods write-up'!$S$21,'[1]observations-276632'!X1167&lt;'[1]Methods write-up'!$T$21),"Desert and high aridity","")</f>
        <v/>
      </c>
      <c r="BD1167" s="23" t="str">
        <f t="shared" si="93"/>
        <v>West and Central Africa</v>
      </c>
      <c r="BE1167" s="24">
        <f t="shared" si="91"/>
        <v>13</v>
      </c>
      <c r="BF1167" s="24">
        <f t="shared" si="92"/>
        <v>9</v>
      </c>
    </row>
    <row r="1168" spans="1:58" ht="16.25" customHeight="1" x14ac:dyDescent="0.2">
      <c r="A1168">
        <v>135479980</v>
      </c>
      <c r="B1168" t="s">
        <v>8605</v>
      </c>
      <c r="C1168" s="14">
        <v>44813</v>
      </c>
      <c r="D1168" t="s">
        <v>8606</v>
      </c>
      <c r="E1168" t="s">
        <v>74</v>
      </c>
      <c r="F1168">
        <v>5393357</v>
      </c>
      <c r="G1168" t="s">
        <v>8607</v>
      </c>
      <c r="H1168" t="s">
        <v>8608</v>
      </c>
      <c r="I1168" t="s">
        <v>8609</v>
      </c>
      <c r="J1168" t="s">
        <v>8610</v>
      </c>
      <c r="K1168" t="s">
        <v>62</v>
      </c>
      <c r="L1168" t="s">
        <v>63</v>
      </c>
      <c r="M1168" t="s">
        <v>8611</v>
      </c>
      <c r="N1168" t="s">
        <v>8612</v>
      </c>
      <c r="R1168">
        <v>3</v>
      </c>
      <c r="S1168">
        <v>0</v>
      </c>
      <c r="T1168" t="b">
        <v>0</v>
      </c>
      <c r="U1168">
        <v>3</v>
      </c>
      <c r="V1168" t="s">
        <v>8613</v>
      </c>
      <c r="W1168" s="15">
        <v>-19.705440599999999</v>
      </c>
      <c r="X1168" s="15">
        <v>28.354162980000002</v>
      </c>
      <c r="Y1168">
        <v>21</v>
      </c>
      <c r="AC1168">
        <v>21</v>
      </c>
      <c r="AF1168" t="b">
        <v>0</v>
      </c>
      <c r="AI1168" t="s">
        <v>71</v>
      </c>
      <c r="AJ1168" t="s">
        <v>70</v>
      </c>
      <c r="AK1168" t="s">
        <v>71</v>
      </c>
      <c r="AL1168" t="s">
        <v>72</v>
      </c>
      <c r="AM1168">
        <v>346053</v>
      </c>
      <c r="AO1168" s="16" t="s">
        <v>73</v>
      </c>
      <c r="AP1168" s="17" t="str">
        <f t="shared" si="90"/>
        <v>Off-nest female</v>
      </c>
      <c r="AX1168" s="22" t="str">
        <f>IF(AND('[1]observations-276632'!W1168&gt;'[1]Methods write-up'!$Q$16,'[1]observations-276632'!W1168&lt;'[1]Methods write-up'!$R$16,'[1]observations-276632'!X1168&gt;'[1]Methods write-up'!$S$16,'[1]observations-276632'!X1168&lt;'[1]Methods write-up'!$T$16),"West and Central Africa","")</f>
        <v>West and Central Africa</v>
      </c>
      <c r="AY1168" s="22" t="str">
        <f>IF(AND('[1]observations-276632'!W1168&gt;'[1]Methods write-up'!$Q$17,'[1]observations-276632'!W1168&lt;'[1]Methods write-up'!$R$17,'[1]observations-276632'!X1168&gt;'[1]Methods write-up'!$S$17,'[1]observations-276632'!X1168&lt;'[1]Methods write-up'!$T$17),"Equatorial tropical forest","")</f>
        <v/>
      </c>
      <c r="AZ1168" s="22" t="str">
        <f>IF(AND('[1]observations-276632'!W1168&gt;'[1]Methods write-up'!$Q$18,'[1]observations-276632'!W1168&lt;'[1]Methods write-up'!$R$18,'[1]observations-276632'!X1168&gt;'[1]Methods write-up'!$S$18,'[1]observations-276632'!X1168&lt;'[1]Methods write-up'!$T$18),"Somali peninsula","")</f>
        <v/>
      </c>
      <c r="BA1168" s="22" t="str">
        <f>IF(AND('[1]observations-276632'!W1168&gt;'[1]Methods write-up'!$Q$19,'[1]observations-276632'!W1168&lt;'[1]Methods write-up'!$R$19,'[1]observations-276632'!X1168&gt;'[1]Methods write-up'!$S$19,'[1]observations-276632'!X1168&lt;'[1]Methods write-up'!$T$19),"East Africa","")</f>
        <v/>
      </c>
      <c r="BB1168" s="22" t="str">
        <f>IF(AND('[1]observations-276632'!W1168&gt;'[1]Methods write-up'!$Q$20,'[1]observations-276632'!W1168&lt;'[1]Methods write-up'!$R$20,'[1]observations-276632'!X1168&gt;'[1]Methods write-up'!$S$20,'[1]observations-276632'!X1168&lt;'[1]Methods write-up'!$T$20),"Temperate seasonal","")</f>
        <v/>
      </c>
      <c r="BC1168" s="22" t="str">
        <f>IF(AND('[1]observations-276632'!W1168&gt;'[1]Methods write-up'!$Q$21,'[1]observations-276632'!W1168&lt;'[1]Methods write-up'!$R$21,'[1]observations-276632'!X1168&gt;'[1]Methods write-up'!$S$21,'[1]observations-276632'!X1168&lt;'[1]Methods write-up'!$T$21),"Desert and high aridity","")</f>
        <v/>
      </c>
      <c r="BD1168" s="23" t="str">
        <f t="shared" si="93"/>
        <v>West and Central Africa</v>
      </c>
      <c r="BE1168" s="24">
        <f t="shared" si="91"/>
        <v>9</v>
      </c>
      <c r="BF1168" s="24">
        <f t="shared" si="92"/>
        <v>9</v>
      </c>
    </row>
    <row r="1169" spans="1:58" ht="16.25" customHeight="1" x14ac:dyDescent="0.2">
      <c r="A1169">
        <v>135580739</v>
      </c>
      <c r="B1169" t="s">
        <v>8614</v>
      </c>
      <c r="C1169" s="14">
        <v>44822</v>
      </c>
      <c r="D1169" t="s">
        <v>8615</v>
      </c>
      <c r="E1169" t="s">
        <v>113</v>
      </c>
      <c r="F1169">
        <v>710131</v>
      </c>
      <c r="G1169" t="s">
        <v>4333</v>
      </c>
      <c r="H1169" t="s">
        <v>4334</v>
      </c>
      <c r="I1169" t="s">
        <v>8616</v>
      </c>
      <c r="J1169" t="s">
        <v>8617</v>
      </c>
      <c r="K1169" t="s">
        <v>62</v>
      </c>
      <c r="L1169" t="s">
        <v>98</v>
      </c>
      <c r="M1169" t="s">
        <v>8618</v>
      </c>
      <c r="N1169" t="s">
        <v>8619</v>
      </c>
      <c r="R1169">
        <v>4</v>
      </c>
      <c r="S1169">
        <v>0</v>
      </c>
      <c r="T1169" t="b">
        <v>0</v>
      </c>
      <c r="U1169">
        <v>3</v>
      </c>
      <c r="V1169" t="s">
        <v>8620</v>
      </c>
      <c r="W1169" s="15">
        <v>-34.061352829999997</v>
      </c>
      <c r="X1169" s="15">
        <v>23.078516669999999</v>
      </c>
      <c r="Y1169">
        <v>6</v>
      </c>
      <c r="AC1169">
        <v>6</v>
      </c>
      <c r="AF1169" t="b">
        <v>0</v>
      </c>
      <c r="AI1169" t="s">
        <v>71</v>
      </c>
      <c r="AJ1169" t="s">
        <v>70</v>
      </c>
      <c r="AK1169" t="s">
        <v>71</v>
      </c>
      <c r="AL1169" t="s">
        <v>72</v>
      </c>
      <c r="AM1169">
        <v>346053</v>
      </c>
      <c r="AO1169" s="16" t="s">
        <v>73</v>
      </c>
      <c r="AP1169" s="17" t="str">
        <f t="shared" si="90"/>
        <v>Off-nest female</v>
      </c>
      <c r="AX1169" s="22" t="str">
        <f>IF(AND('[1]observations-276632'!W1169&gt;'[1]Methods write-up'!$Q$16,'[1]observations-276632'!W1169&lt;'[1]Methods write-up'!$R$16,'[1]observations-276632'!X1169&gt;'[1]Methods write-up'!$S$16,'[1]observations-276632'!X1169&lt;'[1]Methods write-up'!$T$16),"West and Central Africa","")</f>
        <v/>
      </c>
      <c r="AY1169" s="22" t="str">
        <f>IF(AND('[1]observations-276632'!W1169&gt;'[1]Methods write-up'!$Q$17,'[1]observations-276632'!W1169&lt;'[1]Methods write-up'!$R$17,'[1]observations-276632'!X1169&gt;'[1]Methods write-up'!$S$17,'[1]observations-276632'!X1169&lt;'[1]Methods write-up'!$T$17),"Equatorial tropical forest","")</f>
        <v/>
      </c>
      <c r="AZ1169" s="22" t="str">
        <f>IF(AND('[1]observations-276632'!W1169&gt;'[1]Methods write-up'!$Q$18,'[1]observations-276632'!W1169&lt;'[1]Methods write-up'!$R$18,'[1]observations-276632'!X1169&gt;'[1]Methods write-up'!$S$18,'[1]observations-276632'!X1169&lt;'[1]Methods write-up'!$T$18),"Somali peninsula","")</f>
        <v/>
      </c>
      <c r="BA1169" s="22" t="str">
        <f>IF(AND('[1]observations-276632'!W1169&gt;'[1]Methods write-up'!$Q$19,'[1]observations-276632'!W1169&lt;'[1]Methods write-up'!$R$19,'[1]observations-276632'!X1169&gt;'[1]Methods write-up'!$S$19,'[1]observations-276632'!X1169&lt;'[1]Methods write-up'!$T$19),"East Africa","")</f>
        <v/>
      </c>
      <c r="BB1169" s="22" t="str">
        <f>IF(AND('[1]observations-276632'!W1169&gt;'[1]Methods write-up'!$Q$20,'[1]observations-276632'!W1169&lt;'[1]Methods write-up'!$R$20,'[1]observations-276632'!X1169&gt;'[1]Methods write-up'!$S$20,'[1]observations-276632'!X1169&lt;'[1]Methods write-up'!$T$20),"Temperate seasonal","")</f>
        <v/>
      </c>
      <c r="BC1169" s="22" t="str">
        <f>IF(AND('[1]observations-276632'!W1169&gt;'[1]Methods write-up'!$Q$21,'[1]observations-276632'!W1169&lt;'[1]Methods write-up'!$R$21,'[1]observations-276632'!X1169&gt;'[1]Methods write-up'!$S$21,'[1]observations-276632'!X1169&lt;'[1]Methods write-up'!$T$21),"Desert and high aridity","")</f>
        <v/>
      </c>
      <c r="BD1169" s="23" t="str">
        <f t="shared" si="93"/>
        <v/>
      </c>
      <c r="BE1169" s="24">
        <f t="shared" si="91"/>
        <v>18</v>
      </c>
      <c r="BF1169" s="24">
        <f t="shared" si="92"/>
        <v>9</v>
      </c>
    </row>
    <row r="1170" spans="1:58" ht="16.25" customHeight="1" x14ac:dyDescent="0.2">
      <c r="A1170">
        <v>135724004</v>
      </c>
      <c r="B1170" t="s">
        <v>8621</v>
      </c>
      <c r="C1170" s="14">
        <v>44792</v>
      </c>
      <c r="D1170" t="s">
        <v>8622</v>
      </c>
      <c r="E1170" t="s">
        <v>8296</v>
      </c>
      <c r="F1170">
        <v>913101</v>
      </c>
      <c r="G1170" t="s">
        <v>8623</v>
      </c>
      <c r="H1170" t="s">
        <v>8624</v>
      </c>
      <c r="I1170" t="s">
        <v>8625</v>
      </c>
      <c r="J1170" t="s">
        <v>8626</v>
      </c>
      <c r="K1170" t="s">
        <v>62</v>
      </c>
      <c r="M1170" t="s">
        <v>8627</v>
      </c>
      <c r="N1170" t="s">
        <v>8628</v>
      </c>
      <c r="R1170">
        <v>2</v>
      </c>
      <c r="S1170">
        <v>0</v>
      </c>
      <c r="T1170" t="b">
        <v>0</v>
      </c>
      <c r="U1170">
        <v>3</v>
      </c>
      <c r="V1170" t="s">
        <v>8629</v>
      </c>
      <c r="W1170" s="15">
        <v>-13.72132167</v>
      </c>
      <c r="X1170" s="15">
        <v>29.157180499999999</v>
      </c>
      <c r="Y1170">
        <v>11</v>
      </c>
      <c r="AC1170">
        <v>11</v>
      </c>
      <c r="AF1170" t="b">
        <v>0</v>
      </c>
      <c r="AI1170" t="s">
        <v>71</v>
      </c>
      <c r="AJ1170" t="s">
        <v>70</v>
      </c>
      <c r="AK1170" t="s">
        <v>71</v>
      </c>
      <c r="AL1170" t="s">
        <v>72</v>
      </c>
      <c r="AM1170">
        <v>346053</v>
      </c>
      <c r="AO1170" s="16" t="s">
        <v>253</v>
      </c>
      <c r="AP1170" s="17" t="str">
        <f t="shared" si="90"/>
        <v>Aggregation of females off-nest</v>
      </c>
      <c r="AQ1170" s="18">
        <v>3</v>
      </c>
      <c r="AV1170" s="21" t="s">
        <v>8522</v>
      </c>
      <c r="AX1170" s="22" t="str">
        <f>IF(AND('[1]observations-276632'!W1170&gt;'[1]Methods write-up'!$Q$16,'[1]observations-276632'!W1170&lt;'[1]Methods write-up'!$R$16,'[1]observations-276632'!X1170&gt;'[1]Methods write-up'!$S$16,'[1]observations-276632'!X1170&lt;'[1]Methods write-up'!$T$16),"West and Central Africa","")</f>
        <v>West and Central Africa</v>
      </c>
      <c r="AY1170" s="22" t="str">
        <f>IF(AND('[1]observations-276632'!W1170&gt;'[1]Methods write-up'!$Q$17,'[1]observations-276632'!W1170&lt;'[1]Methods write-up'!$R$17,'[1]observations-276632'!X1170&gt;'[1]Methods write-up'!$S$17,'[1]observations-276632'!X1170&lt;'[1]Methods write-up'!$T$17),"Equatorial tropical forest","")</f>
        <v/>
      </c>
      <c r="AZ1170" s="22" t="str">
        <f>IF(AND('[1]observations-276632'!W1170&gt;'[1]Methods write-up'!$Q$18,'[1]observations-276632'!W1170&lt;'[1]Methods write-up'!$R$18,'[1]observations-276632'!X1170&gt;'[1]Methods write-up'!$S$18,'[1]observations-276632'!X1170&lt;'[1]Methods write-up'!$T$18),"Somali peninsula","")</f>
        <v/>
      </c>
      <c r="BA1170" s="22" t="str">
        <f>IF(AND('[1]observations-276632'!W1170&gt;'[1]Methods write-up'!$Q$19,'[1]observations-276632'!W1170&lt;'[1]Methods write-up'!$R$19,'[1]observations-276632'!X1170&gt;'[1]Methods write-up'!$S$19,'[1]observations-276632'!X1170&lt;'[1]Methods write-up'!$T$19),"East Africa","")</f>
        <v/>
      </c>
      <c r="BB1170" s="22" t="str">
        <f>IF(AND('[1]observations-276632'!W1170&gt;'[1]Methods write-up'!$Q$20,'[1]observations-276632'!W1170&lt;'[1]Methods write-up'!$R$20,'[1]observations-276632'!X1170&gt;'[1]Methods write-up'!$S$20,'[1]observations-276632'!X1170&lt;'[1]Methods write-up'!$T$20),"Temperate seasonal","")</f>
        <v/>
      </c>
      <c r="BC1170" s="22" t="str">
        <f>IF(AND('[1]observations-276632'!W1170&gt;'[1]Methods write-up'!$Q$21,'[1]observations-276632'!W1170&lt;'[1]Methods write-up'!$R$21,'[1]observations-276632'!X1170&gt;'[1]Methods write-up'!$S$21,'[1]observations-276632'!X1170&lt;'[1]Methods write-up'!$T$21),"Desert and high aridity","")</f>
        <v/>
      </c>
      <c r="BD1170" s="23" t="str">
        <f t="shared" si="93"/>
        <v>West and Central Africa</v>
      </c>
      <c r="BE1170" s="24">
        <f t="shared" si="91"/>
        <v>19</v>
      </c>
      <c r="BF1170" s="24">
        <f t="shared" si="92"/>
        <v>8</v>
      </c>
    </row>
    <row r="1171" spans="1:58" ht="16.25" customHeight="1" x14ac:dyDescent="0.2">
      <c r="A1171">
        <v>135759587</v>
      </c>
      <c r="B1171" s="25">
        <v>44807.652083333334</v>
      </c>
      <c r="C1171" s="14">
        <v>44807</v>
      </c>
      <c r="D1171" t="s">
        <v>8630</v>
      </c>
      <c r="E1171" t="s">
        <v>74</v>
      </c>
      <c r="F1171">
        <v>1113555</v>
      </c>
      <c r="G1171" t="s">
        <v>8631</v>
      </c>
      <c r="I1171" t="s">
        <v>8632</v>
      </c>
      <c r="J1171" t="s">
        <v>8633</v>
      </c>
      <c r="K1171" t="s">
        <v>62</v>
      </c>
      <c r="L1171" t="s">
        <v>63</v>
      </c>
      <c r="M1171" t="s">
        <v>8634</v>
      </c>
      <c r="N1171" t="s">
        <v>8635</v>
      </c>
      <c r="R1171">
        <v>3</v>
      </c>
      <c r="S1171">
        <v>0</v>
      </c>
      <c r="T1171" t="b">
        <v>0</v>
      </c>
      <c r="V1171" t="s">
        <v>8636</v>
      </c>
      <c r="W1171" s="15">
        <v>-17.918119999999998</v>
      </c>
      <c r="X1171" s="15">
        <v>25.818491999999999</v>
      </c>
      <c r="AF1171" t="b">
        <v>0</v>
      </c>
      <c r="AI1171" t="s">
        <v>71</v>
      </c>
      <c r="AJ1171" t="s">
        <v>70</v>
      </c>
      <c r="AK1171" t="s">
        <v>71</v>
      </c>
      <c r="AL1171" t="s">
        <v>72</v>
      </c>
      <c r="AM1171">
        <v>346053</v>
      </c>
      <c r="AO1171" s="16" t="s">
        <v>73</v>
      </c>
      <c r="AP1171" s="17" t="str">
        <f t="shared" si="90"/>
        <v>Off-nest female</v>
      </c>
      <c r="AX1171" s="22" t="str">
        <f>IF(AND('[1]observations-276632'!W1171&gt;'[1]Methods write-up'!$Q$16,'[1]observations-276632'!W1171&lt;'[1]Methods write-up'!$R$16,'[1]observations-276632'!X1171&gt;'[1]Methods write-up'!$S$16,'[1]observations-276632'!X1171&lt;'[1]Methods write-up'!$T$16),"West and Central Africa","")</f>
        <v>West and Central Africa</v>
      </c>
      <c r="AY1171" s="22" t="str">
        <f>IF(AND('[1]observations-276632'!W1171&gt;'[1]Methods write-up'!$Q$17,'[1]observations-276632'!W1171&lt;'[1]Methods write-up'!$R$17,'[1]observations-276632'!X1171&gt;'[1]Methods write-up'!$S$17,'[1]observations-276632'!X1171&lt;'[1]Methods write-up'!$T$17),"Equatorial tropical forest","")</f>
        <v/>
      </c>
      <c r="AZ1171" s="22" t="str">
        <f>IF(AND('[1]observations-276632'!W1171&gt;'[1]Methods write-up'!$Q$18,'[1]observations-276632'!W1171&lt;'[1]Methods write-up'!$R$18,'[1]observations-276632'!X1171&gt;'[1]Methods write-up'!$S$18,'[1]observations-276632'!X1171&lt;'[1]Methods write-up'!$T$18),"Somali peninsula","")</f>
        <v/>
      </c>
      <c r="BA1171" s="22" t="str">
        <f>IF(AND('[1]observations-276632'!W1171&gt;'[1]Methods write-up'!$Q$19,'[1]observations-276632'!W1171&lt;'[1]Methods write-up'!$R$19,'[1]observations-276632'!X1171&gt;'[1]Methods write-up'!$S$19,'[1]observations-276632'!X1171&lt;'[1]Methods write-up'!$T$19),"East Africa","")</f>
        <v/>
      </c>
      <c r="BB1171" s="22" t="str">
        <f>IF(AND('[1]observations-276632'!W1171&gt;'[1]Methods write-up'!$Q$20,'[1]observations-276632'!W1171&lt;'[1]Methods write-up'!$R$20,'[1]observations-276632'!X1171&gt;'[1]Methods write-up'!$S$20,'[1]observations-276632'!X1171&lt;'[1]Methods write-up'!$T$20),"Temperate seasonal","")</f>
        <v/>
      </c>
      <c r="BC1171" s="22" t="str">
        <f>IF(AND('[1]observations-276632'!W1171&gt;'[1]Methods write-up'!$Q$21,'[1]observations-276632'!W1171&lt;'[1]Methods write-up'!$R$21,'[1]observations-276632'!X1171&gt;'[1]Methods write-up'!$S$21,'[1]observations-276632'!X1171&lt;'[1]Methods write-up'!$T$21),"Desert and high aridity","")</f>
        <v/>
      </c>
      <c r="BD1171" s="23" t="str">
        <f t="shared" si="93"/>
        <v>West and Central Africa</v>
      </c>
      <c r="BE1171" s="24">
        <f t="shared" si="91"/>
        <v>3</v>
      </c>
      <c r="BF1171" s="24">
        <f t="shared" si="92"/>
        <v>9</v>
      </c>
    </row>
    <row r="1172" spans="1:58" ht="16.25" customHeight="1" x14ac:dyDescent="0.2">
      <c r="A1172">
        <v>135766342</v>
      </c>
      <c r="B1172" s="25">
        <v>44824.50277777778</v>
      </c>
      <c r="C1172" s="14">
        <v>44824</v>
      </c>
      <c r="D1172" t="s">
        <v>8637</v>
      </c>
      <c r="E1172" t="s">
        <v>84</v>
      </c>
      <c r="F1172">
        <v>3087997</v>
      </c>
      <c r="G1172" t="s">
        <v>5047</v>
      </c>
      <c r="H1172" t="s">
        <v>5048</v>
      </c>
      <c r="I1172" t="s">
        <v>8638</v>
      </c>
      <c r="J1172" t="s">
        <v>8639</v>
      </c>
      <c r="K1172" t="s">
        <v>62</v>
      </c>
      <c r="L1172" t="s">
        <v>63</v>
      </c>
      <c r="M1172" t="s">
        <v>8640</v>
      </c>
      <c r="N1172" t="s">
        <v>8641</v>
      </c>
      <c r="R1172">
        <v>1</v>
      </c>
      <c r="S1172">
        <v>0</v>
      </c>
      <c r="T1172" t="b">
        <v>0</v>
      </c>
      <c r="U1172">
        <v>2</v>
      </c>
      <c r="V1172" t="s">
        <v>8642</v>
      </c>
      <c r="W1172" s="15">
        <v>-1.2246167960000001</v>
      </c>
      <c r="X1172" s="15">
        <v>36.803503190000001</v>
      </c>
      <c r="Y1172">
        <v>9</v>
      </c>
      <c r="AC1172">
        <v>9</v>
      </c>
      <c r="AF1172" t="b">
        <v>0</v>
      </c>
      <c r="AG1172" t="s">
        <v>350</v>
      </c>
      <c r="AH1172" t="s">
        <v>350</v>
      </c>
      <c r="AI1172" t="s">
        <v>71</v>
      </c>
      <c r="AJ1172" t="s">
        <v>70</v>
      </c>
      <c r="AK1172" t="s">
        <v>71</v>
      </c>
      <c r="AL1172" t="s">
        <v>72</v>
      </c>
      <c r="AM1172">
        <v>346053</v>
      </c>
      <c r="AO1172" s="16" t="s">
        <v>110</v>
      </c>
      <c r="AP1172" s="17" t="str">
        <f t="shared" si="90"/>
        <v>Nest (foundress)</v>
      </c>
      <c r="AQ1172" s="18">
        <v>1</v>
      </c>
      <c r="AT1172" s="19" t="s">
        <v>104</v>
      </c>
      <c r="AX1172" s="22" t="str">
        <f>IF(AND('[1]observations-276632'!W1172&gt;'[1]Methods write-up'!$Q$16,'[1]observations-276632'!W1172&lt;'[1]Methods write-up'!$R$16,'[1]observations-276632'!X1172&gt;'[1]Methods write-up'!$S$16,'[1]observations-276632'!X1172&lt;'[1]Methods write-up'!$T$16),"West and Central Africa","")</f>
        <v/>
      </c>
      <c r="AY1172" s="22" t="str">
        <f>IF(AND('[1]observations-276632'!W1172&gt;'[1]Methods write-up'!$Q$17,'[1]observations-276632'!W1172&lt;'[1]Methods write-up'!$R$17,'[1]observations-276632'!X1172&gt;'[1]Methods write-up'!$S$17,'[1]observations-276632'!X1172&lt;'[1]Methods write-up'!$T$17),"Equatorial tropical forest","")</f>
        <v/>
      </c>
      <c r="AZ1172" s="22" t="str">
        <f>IF(AND('[1]observations-276632'!W1172&gt;'[1]Methods write-up'!$Q$18,'[1]observations-276632'!W1172&lt;'[1]Methods write-up'!$R$18,'[1]observations-276632'!X1172&gt;'[1]Methods write-up'!$S$18,'[1]observations-276632'!X1172&lt;'[1]Methods write-up'!$T$18),"Somali peninsula","")</f>
        <v/>
      </c>
      <c r="BA1172" s="22" t="str">
        <f>IF(AND('[1]observations-276632'!W1172&gt;'[1]Methods write-up'!$Q$19,'[1]observations-276632'!W1172&lt;'[1]Methods write-up'!$R$19,'[1]observations-276632'!X1172&gt;'[1]Methods write-up'!$S$19,'[1]observations-276632'!X1172&lt;'[1]Methods write-up'!$T$19),"East Africa","")</f>
        <v>East Africa</v>
      </c>
      <c r="BB1172" s="22" t="str">
        <f>IF(AND('[1]observations-276632'!W1172&gt;'[1]Methods write-up'!$Q$20,'[1]observations-276632'!W1172&lt;'[1]Methods write-up'!$R$20,'[1]observations-276632'!X1172&gt;'[1]Methods write-up'!$S$20,'[1]observations-276632'!X1172&lt;'[1]Methods write-up'!$T$20),"Temperate seasonal","")</f>
        <v/>
      </c>
      <c r="BC1172" s="22" t="str">
        <f>IF(AND('[1]observations-276632'!W1172&gt;'[1]Methods write-up'!$Q$21,'[1]observations-276632'!W1172&lt;'[1]Methods write-up'!$R$21,'[1]observations-276632'!X1172&gt;'[1]Methods write-up'!$S$21,'[1]observations-276632'!X1172&lt;'[1]Methods write-up'!$T$21),"Desert and high aridity","")</f>
        <v/>
      </c>
      <c r="BD1172" s="23" t="str">
        <f t="shared" si="93"/>
        <v>East Africa</v>
      </c>
      <c r="BE1172" s="24">
        <f t="shared" si="91"/>
        <v>20</v>
      </c>
      <c r="BF1172" s="24">
        <f t="shared" si="92"/>
        <v>9</v>
      </c>
    </row>
    <row r="1173" spans="1:58" ht="16.25" customHeight="1" x14ac:dyDescent="0.2">
      <c r="A1173">
        <v>135879446</v>
      </c>
      <c r="B1173" s="25">
        <v>44814.388888888891</v>
      </c>
      <c r="C1173" s="14">
        <v>44814</v>
      </c>
      <c r="D1173" t="s">
        <v>8643</v>
      </c>
      <c r="E1173" t="s">
        <v>7934</v>
      </c>
      <c r="F1173">
        <v>5385114</v>
      </c>
      <c r="G1173" t="s">
        <v>8644</v>
      </c>
      <c r="H1173" t="s">
        <v>8645</v>
      </c>
      <c r="I1173" t="s">
        <v>8646</v>
      </c>
      <c r="J1173" t="s">
        <v>8647</v>
      </c>
      <c r="K1173" t="s">
        <v>157</v>
      </c>
      <c r="L1173" t="s">
        <v>63</v>
      </c>
      <c r="M1173" t="s">
        <v>8648</v>
      </c>
      <c r="N1173" t="s">
        <v>8649</v>
      </c>
      <c r="R1173">
        <v>1</v>
      </c>
      <c r="S1173">
        <v>0</v>
      </c>
      <c r="T1173" t="b">
        <v>0</v>
      </c>
      <c r="V1173" t="s">
        <v>8650</v>
      </c>
      <c r="W1173" s="15">
        <v>-22.488991200000001</v>
      </c>
      <c r="X1173" s="15">
        <v>17.46125653</v>
      </c>
      <c r="Y1173">
        <v>15</v>
      </c>
      <c r="AC1173">
        <v>15</v>
      </c>
      <c r="AF1173" t="b">
        <v>0</v>
      </c>
      <c r="AI1173" t="s">
        <v>756</v>
      </c>
      <c r="AJ1173" t="s">
        <v>756</v>
      </c>
      <c r="AL1173" t="s">
        <v>72</v>
      </c>
      <c r="AM1173">
        <v>652800</v>
      </c>
      <c r="AO1173" s="16" t="s">
        <v>73</v>
      </c>
      <c r="AP1173" s="17" t="str">
        <f t="shared" si="90"/>
        <v>Off-nest female</v>
      </c>
      <c r="AX1173" s="22" t="str">
        <f>IF(AND('[1]observations-276632'!W1173&gt;'[1]Methods write-up'!$Q$16,'[1]observations-276632'!W1173&lt;'[1]Methods write-up'!$R$16,'[1]observations-276632'!X1173&gt;'[1]Methods write-up'!$S$16,'[1]observations-276632'!X1173&lt;'[1]Methods write-up'!$T$16),"West and Central Africa","")</f>
        <v/>
      </c>
      <c r="AY1173" s="22" t="str">
        <f>IF(AND('[1]observations-276632'!W1173&gt;'[1]Methods write-up'!$Q$17,'[1]observations-276632'!W1173&lt;'[1]Methods write-up'!$R$17,'[1]observations-276632'!X1173&gt;'[1]Methods write-up'!$S$17,'[1]observations-276632'!X1173&lt;'[1]Methods write-up'!$T$17),"Equatorial tropical forest","")</f>
        <v/>
      </c>
      <c r="AZ1173" s="22" t="str">
        <f>IF(AND('[1]observations-276632'!W1173&gt;'[1]Methods write-up'!$Q$18,'[1]observations-276632'!W1173&lt;'[1]Methods write-up'!$R$18,'[1]observations-276632'!X1173&gt;'[1]Methods write-up'!$S$18,'[1]observations-276632'!X1173&lt;'[1]Methods write-up'!$T$18),"Somali peninsula","")</f>
        <v/>
      </c>
      <c r="BA1173" s="22" t="str">
        <f>IF(AND('[1]observations-276632'!W1173&gt;'[1]Methods write-up'!$Q$19,'[1]observations-276632'!W1173&lt;'[1]Methods write-up'!$R$19,'[1]observations-276632'!X1173&gt;'[1]Methods write-up'!$S$19,'[1]observations-276632'!X1173&lt;'[1]Methods write-up'!$T$19),"East Africa","")</f>
        <v/>
      </c>
      <c r="BB1173" s="22" t="str">
        <f>IF(AND('[1]observations-276632'!W1173&gt;'[1]Methods write-up'!$Q$20,'[1]observations-276632'!W1173&lt;'[1]Methods write-up'!$R$20,'[1]observations-276632'!X1173&gt;'[1]Methods write-up'!$S$20,'[1]observations-276632'!X1173&lt;'[1]Methods write-up'!$T$20),"Temperate seasonal","")</f>
        <v/>
      </c>
      <c r="BC1173" s="22" t="str">
        <f>IF(AND('[1]observations-276632'!W1173&gt;'[1]Methods write-up'!$Q$21,'[1]observations-276632'!W1173&lt;'[1]Methods write-up'!$R$21,'[1]observations-276632'!X1173&gt;'[1]Methods write-up'!$S$21,'[1]observations-276632'!X1173&lt;'[1]Methods write-up'!$T$21),"Desert and high aridity","")</f>
        <v>Desert and high aridity</v>
      </c>
      <c r="BD1173" s="23" t="str">
        <f t="shared" si="93"/>
        <v>Desert and high aridity</v>
      </c>
      <c r="BE1173" s="24">
        <f t="shared" si="91"/>
        <v>10</v>
      </c>
      <c r="BF1173" s="24">
        <f t="shared" si="92"/>
        <v>9</v>
      </c>
    </row>
    <row r="1174" spans="1:58" ht="16.25" customHeight="1" x14ac:dyDescent="0.2">
      <c r="A1174">
        <v>135920541</v>
      </c>
      <c r="B1174" s="25">
        <v>44824.554166666669</v>
      </c>
      <c r="C1174" s="14">
        <v>44824</v>
      </c>
      <c r="D1174" t="s">
        <v>8651</v>
      </c>
      <c r="E1174" t="s">
        <v>113</v>
      </c>
      <c r="F1174">
        <v>4174068</v>
      </c>
      <c r="G1174" t="s">
        <v>8652</v>
      </c>
      <c r="H1174" t="s">
        <v>8653</v>
      </c>
      <c r="I1174" t="s">
        <v>8654</v>
      </c>
      <c r="J1174" t="s">
        <v>8655</v>
      </c>
      <c r="K1174" t="s">
        <v>62</v>
      </c>
      <c r="M1174" t="s">
        <v>8656</v>
      </c>
      <c r="N1174" t="s">
        <v>8657</v>
      </c>
      <c r="R1174">
        <v>3</v>
      </c>
      <c r="S1174">
        <v>0</v>
      </c>
      <c r="T1174" t="b">
        <v>0</v>
      </c>
      <c r="V1174" t="s">
        <v>8658</v>
      </c>
      <c r="W1174" s="15">
        <v>-29.826571860000001</v>
      </c>
      <c r="X1174" s="15">
        <v>30.900245559999998</v>
      </c>
      <c r="Y1174">
        <v>163</v>
      </c>
      <c r="AC1174">
        <v>163</v>
      </c>
      <c r="AF1174" t="b">
        <v>0</v>
      </c>
      <c r="AI1174" t="s">
        <v>71</v>
      </c>
      <c r="AJ1174" t="s">
        <v>70</v>
      </c>
      <c r="AK1174" t="s">
        <v>71</v>
      </c>
      <c r="AL1174" t="s">
        <v>72</v>
      </c>
      <c r="AM1174">
        <v>346053</v>
      </c>
      <c r="AO1174" s="16" t="s">
        <v>73</v>
      </c>
      <c r="AP1174" s="17" t="str">
        <f t="shared" si="90"/>
        <v>Off-nest female</v>
      </c>
      <c r="AX1174" s="22" t="str">
        <f>IF(AND('[1]observations-276632'!W1174&gt;'[1]Methods write-up'!$Q$16,'[1]observations-276632'!W1174&lt;'[1]Methods write-up'!$R$16,'[1]observations-276632'!X1174&gt;'[1]Methods write-up'!$S$16,'[1]observations-276632'!X1174&lt;'[1]Methods write-up'!$T$16),"West and Central Africa","")</f>
        <v/>
      </c>
      <c r="AY1174" s="22" t="str">
        <f>IF(AND('[1]observations-276632'!W1174&gt;'[1]Methods write-up'!$Q$17,'[1]observations-276632'!W1174&lt;'[1]Methods write-up'!$R$17,'[1]observations-276632'!X1174&gt;'[1]Methods write-up'!$S$17,'[1]observations-276632'!X1174&lt;'[1]Methods write-up'!$T$17),"Equatorial tropical forest","")</f>
        <v/>
      </c>
      <c r="AZ1174" s="22" t="str">
        <f>IF(AND('[1]observations-276632'!W1174&gt;'[1]Methods write-up'!$Q$18,'[1]observations-276632'!W1174&lt;'[1]Methods write-up'!$R$18,'[1]observations-276632'!X1174&gt;'[1]Methods write-up'!$S$18,'[1]observations-276632'!X1174&lt;'[1]Methods write-up'!$T$18),"Somali peninsula","")</f>
        <v/>
      </c>
      <c r="BA1174" s="22" t="str">
        <f>IF(AND('[1]observations-276632'!W1174&gt;'[1]Methods write-up'!$Q$19,'[1]observations-276632'!W1174&lt;'[1]Methods write-up'!$R$19,'[1]observations-276632'!X1174&gt;'[1]Methods write-up'!$S$19,'[1]observations-276632'!X1174&lt;'[1]Methods write-up'!$T$19),"East Africa","")</f>
        <v/>
      </c>
      <c r="BB1174" s="22" t="str">
        <f>IF(AND('[1]observations-276632'!W1174&gt;'[1]Methods write-up'!$Q$20,'[1]observations-276632'!W1174&lt;'[1]Methods write-up'!$R$20,'[1]observations-276632'!X1174&gt;'[1]Methods write-up'!$S$20,'[1]observations-276632'!X1174&lt;'[1]Methods write-up'!$T$20),"Temperate seasonal","")</f>
        <v>Temperate seasonal</v>
      </c>
      <c r="BC1174" s="22" t="str">
        <f>IF(AND('[1]observations-276632'!W1174&gt;'[1]Methods write-up'!$Q$21,'[1]observations-276632'!W1174&lt;'[1]Methods write-up'!$R$21,'[1]observations-276632'!X1174&gt;'[1]Methods write-up'!$S$21,'[1]observations-276632'!X1174&lt;'[1]Methods write-up'!$T$21),"Desert and high aridity","")</f>
        <v/>
      </c>
      <c r="BD1174" s="23" t="str">
        <f t="shared" si="93"/>
        <v>Temperate seasonal</v>
      </c>
      <c r="BE1174" s="24">
        <f t="shared" si="91"/>
        <v>20</v>
      </c>
      <c r="BF1174" s="24">
        <f t="shared" si="92"/>
        <v>9</v>
      </c>
    </row>
    <row r="1175" spans="1:58" ht="16.25" customHeight="1" x14ac:dyDescent="0.2">
      <c r="A1175">
        <v>136156351</v>
      </c>
      <c r="B1175" t="s">
        <v>8659</v>
      </c>
      <c r="C1175" s="14">
        <v>44827</v>
      </c>
      <c r="D1175" t="s">
        <v>8660</v>
      </c>
      <c r="E1175" t="s">
        <v>84</v>
      </c>
      <c r="F1175">
        <v>4752960</v>
      </c>
      <c r="G1175" t="s">
        <v>8661</v>
      </c>
      <c r="H1175" t="s">
        <v>8661</v>
      </c>
      <c r="I1175" t="s">
        <v>8662</v>
      </c>
      <c r="J1175" t="s">
        <v>8663</v>
      </c>
      <c r="K1175" t="s">
        <v>62</v>
      </c>
      <c r="L1175" t="s">
        <v>63</v>
      </c>
      <c r="M1175" t="s">
        <v>8664</v>
      </c>
      <c r="N1175" t="s">
        <v>8665</v>
      </c>
      <c r="R1175">
        <v>1</v>
      </c>
      <c r="S1175">
        <v>0</v>
      </c>
      <c r="T1175" t="b">
        <v>0</v>
      </c>
      <c r="U1175">
        <v>333</v>
      </c>
      <c r="V1175" t="s">
        <v>8666</v>
      </c>
      <c r="W1175" s="15">
        <v>-4.3370580670000001</v>
      </c>
      <c r="X1175" s="15">
        <v>39.569091800000002</v>
      </c>
      <c r="Y1175">
        <v>74</v>
      </c>
      <c r="AC1175">
        <v>74</v>
      </c>
      <c r="AF1175" t="b">
        <v>0</v>
      </c>
      <c r="AI1175" t="s">
        <v>71</v>
      </c>
      <c r="AJ1175" t="s">
        <v>70</v>
      </c>
      <c r="AK1175" t="s">
        <v>71</v>
      </c>
      <c r="AL1175" t="s">
        <v>72</v>
      </c>
      <c r="AM1175">
        <v>346053</v>
      </c>
      <c r="AO1175" s="16" t="s">
        <v>150</v>
      </c>
      <c r="AP1175" s="17" t="str">
        <f t="shared" si="90"/>
        <v>Male (off nest)</v>
      </c>
      <c r="AX1175" s="22" t="str">
        <f>IF(AND('[1]observations-276632'!W1175&gt;'[1]Methods write-up'!$Q$16,'[1]observations-276632'!W1175&lt;'[1]Methods write-up'!$R$16,'[1]observations-276632'!X1175&gt;'[1]Methods write-up'!$S$16,'[1]observations-276632'!X1175&lt;'[1]Methods write-up'!$T$16),"West and Central Africa","")</f>
        <v/>
      </c>
      <c r="AY1175" s="22" t="str">
        <f>IF(AND('[1]observations-276632'!W1175&gt;'[1]Methods write-up'!$Q$17,'[1]observations-276632'!W1175&lt;'[1]Methods write-up'!$R$17,'[1]observations-276632'!X1175&gt;'[1]Methods write-up'!$S$17,'[1]observations-276632'!X1175&lt;'[1]Methods write-up'!$T$17),"Equatorial tropical forest","")</f>
        <v/>
      </c>
      <c r="AZ1175" s="22" t="str">
        <f>IF(AND('[1]observations-276632'!W1175&gt;'[1]Methods write-up'!$Q$18,'[1]observations-276632'!W1175&lt;'[1]Methods write-up'!$R$18,'[1]observations-276632'!X1175&gt;'[1]Methods write-up'!$S$18,'[1]observations-276632'!X1175&lt;'[1]Methods write-up'!$T$18),"Somali peninsula","")</f>
        <v/>
      </c>
      <c r="BA1175" s="22" t="str">
        <f>IF(AND('[1]observations-276632'!W1175&gt;'[1]Methods write-up'!$Q$19,'[1]observations-276632'!W1175&lt;'[1]Methods write-up'!$R$19,'[1]observations-276632'!X1175&gt;'[1]Methods write-up'!$S$19,'[1]observations-276632'!X1175&lt;'[1]Methods write-up'!$T$19),"East Africa","")</f>
        <v>East Africa</v>
      </c>
      <c r="BB1175" s="22" t="str">
        <f>IF(AND('[1]observations-276632'!W1175&gt;'[1]Methods write-up'!$Q$20,'[1]observations-276632'!W1175&lt;'[1]Methods write-up'!$R$20,'[1]observations-276632'!X1175&gt;'[1]Methods write-up'!$S$20,'[1]observations-276632'!X1175&lt;'[1]Methods write-up'!$T$20),"Temperate seasonal","")</f>
        <v/>
      </c>
      <c r="BC1175" s="22" t="str">
        <f>IF(AND('[1]observations-276632'!W1175&gt;'[1]Methods write-up'!$Q$21,'[1]observations-276632'!W1175&lt;'[1]Methods write-up'!$R$21,'[1]observations-276632'!X1175&gt;'[1]Methods write-up'!$S$21,'[1]observations-276632'!X1175&lt;'[1]Methods write-up'!$T$21),"Desert and high aridity","")</f>
        <v/>
      </c>
      <c r="BD1175" s="23" t="str">
        <f t="shared" si="93"/>
        <v>East Africa</v>
      </c>
      <c r="BE1175" s="24">
        <f t="shared" si="91"/>
        <v>23</v>
      </c>
      <c r="BF1175" s="24">
        <f t="shared" si="92"/>
        <v>9</v>
      </c>
    </row>
    <row r="1176" spans="1:58" ht="16.25" customHeight="1" x14ac:dyDescent="0.2">
      <c r="A1176">
        <v>136171621</v>
      </c>
      <c r="B1176" s="25">
        <v>44826.668749999997</v>
      </c>
      <c r="C1176" s="14">
        <v>44826</v>
      </c>
      <c r="D1176" t="s">
        <v>8667</v>
      </c>
      <c r="E1176" t="s">
        <v>113</v>
      </c>
      <c r="F1176">
        <v>4923904</v>
      </c>
      <c r="G1176" t="s">
        <v>6279</v>
      </c>
      <c r="H1176" t="s">
        <v>6280</v>
      </c>
      <c r="I1176" t="s">
        <v>8668</v>
      </c>
      <c r="J1176" t="s">
        <v>8669</v>
      </c>
      <c r="K1176" t="s">
        <v>62</v>
      </c>
      <c r="M1176" t="s">
        <v>8670</v>
      </c>
      <c r="N1176" t="s">
        <v>8671</v>
      </c>
      <c r="R1176">
        <v>4</v>
      </c>
      <c r="S1176">
        <v>0</v>
      </c>
      <c r="T1176" t="b">
        <v>0</v>
      </c>
      <c r="U1176">
        <v>2</v>
      </c>
      <c r="V1176" t="s">
        <v>1186</v>
      </c>
      <c r="W1176" s="15">
        <v>-28.95958353</v>
      </c>
      <c r="X1176" s="15">
        <v>31.750077569999998</v>
      </c>
      <c r="Y1176">
        <v>4175</v>
      </c>
      <c r="AC1176">
        <v>4175</v>
      </c>
      <c r="AF1176" t="b">
        <v>0</v>
      </c>
      <c r="AG1176" t="s">
        <v>350</v>
      </c>
      <c r="AH1176" t="s">
        <v>350</v>
      </c>
      <c r="AI1176" t="s">
        <v>71</v>
      </c>
      <c r="AJ1176" t="s">
        <v>70</v>
      </c>
      <c r="AK1176" t="s">
        <v>71</v>
      </c>
      <c r="AL1176" t="s">
        <v>72</v>
      </c>
      <c r="AM1176">
        <v>346053</v>
      </c>
      <c r="AO1176" s="16" t="s">
        <v>73</v>
      </c>
      <c r="AP1176" s="17" t="str">
        <f t="shared" si="90"/>
        <v>Off-nest female</v>
      </c>
      <c r="AX1176" s="22" t="str">
        <f>IF(AND('[1]observations-276632'!W1176&gt;'[1]Methods write-up'!$Q$16,'[1]observations-276632'!W1176&lt;'[1]Methods write-up'!$R$16,'[1]observations-276632'!X1176&gt;'[1]Methods write-up'!$S$16,'[1]observations-276632'!X1176&lt;'[1]Methods write-up'!$T$16),"West and Central Africa","")</f>
        <v/>
      </c>
      <c r="AY1176" s="22" t="str">
        <f>IF(AND('[1]observations-276632'!W1176&gt;'[1]Methods write-up'!$Q$17,'[1]observations-276632'!W1176&lt;'[1]Methods write-up'!$R$17,'[1]observations-276632'!X1176&gt;'[1]Methods write-up'!$S$17,'[1]observations-276632'!X1176&lt;'[1]Methods write-up'!$T$17),"Equatorial tropical forest","")</f>
        <v/>
      </c>
      <c r="AZ1176" s="22" t="str">
        <f>IF(AND('[1]observations-276632'!W1176&gt;'[1]Methods write-up'!$Q$18,'[1]observations-276632'!W1176&lt;'[1]Methods write-up'!$R$18,'[1]observations-276632'!X1176&gt;'[1]Methods write-up'!$S$18,'[1]observations-276632'!X1176&lt;'[1]Methods write-up'!$T$18),"Somali peninsula","")</f>
        <v/>
      </c>
      <c r="BA1176" s="22" t="str">
        <f>IF(AND('[1]observations-276632'!W1176&gt;'[1]Methods write-up'!$Q$19,'[1]observations-276632'!W1176&lt;'[1]Methods write-up'!$R$19,'[1]observations-276632'!X1176&gt;'[1]Methods write-up'!$S$19,'[1]observations-276632'!X1176&lt;'[1]Methods write-up'!$T$19),"East Africa","")</f>
        <v/>
      </c>
      <c r="BB1176" s="22" t="str">
        <f>IF(AND('[1]observations-276632'!W1176&gt;'[1]Methods write-up'!$Q$20,'[1]observations-276632'!W1176&lt;'[1]Methods write-up'!$R$20,'[1]observations-276632'!X1176&gt;'[1]Methods write-up'!$S$20,'[1]observations-276632'!X1176&lt;'[1]Methods write-up'!$T$20),"Temperate seasonal","")</f>
        <v>Temperate seasonal</v>
      </c>
      <c r="BC1176" s="22" t="str">
        <f>IF(AND('[1]observations-276632'!W1176&gt;'[1]Methods write-up'!$Q$21,'[1]observations-276632'!W1176&lt;'[1]Methods write-up'!$R$21,'[1]observations-276632'!X1176&gt;'[1]Methods write-up'!$S$21,'[1]observations-276632'!X1176&lt;'[1]Methods write-up'!$T$21),"Desert and high aridity","")</f>
        <v/>
      </c>
      <c r="BD1176" s="23" t="str">
        <f t="shared" si="93"/>
        <v>Temperate seasonal</v>
      </c>
      <c r="BE1176" s="24">
        <f t="shared" si="91"/>
        <v>22</v>
      </c>
      <c r="BF1176" s="24">
        <f t="shared" si="92"/>
        <v>9</v>
      </c>
    </row>
    <row r="1177" spans="1:58" ht="16.25" customHeight="1" x14ac:dyDescent="0.2">
      <c r="A1177">
        <v>136477221</v>
      </c>
      <c r="B1177" s="25">
        <v>44814.493750000001</v>
      </c>
      <c r="C1177" s="14">
        <v>44814</v>
      </c>
      <c r="D1177" t="s">
        <v>8672</v>
      </c>
      <c r="E1177" t="s">
        <v>7810</v>
      </c>
      <c r="F1177">
        <v>2125723</v>
      </c>
      <c r="G1177" t="s">
        <v>8673</v>
      </c>
      <c r="I1177" t="s">
        <v>8674</v>
      </c>
      <c r="J1177" t="s">
        <v>8675</v>
      </c>
      <c r="K1177" t="s">
        <v>62</v>
      </c>
      <c r="L1177" t="s">
        <v>63</v>
      </c>
      <c r="M1177" t="s">
        <v>8676</v>
      </c>
      <c r="N1177" t="s">
        <v>8677</v>
      </c>
      <c r="R1177">
        <v>1</v>
      </c>
      <c r="S1177">
        <v>0</v>
      </c>
      <c r="T1177" t="b">
        <v>0</v>
      </c>
      <c r="U1177">
        <v>2</v>
      </c>
      <c r="V1177" t="s">
        <v>8678</v>
      </c>
      <c r="W1177" s="15">
        <v>10.29377472</v>
      </c>
      <c r="X1177" s="15">
        <v>1.327026389</v>
      </c>
      <c r="AF1177" t="b">
        <v>0</v>
      </c>
      <c r="AG1177" t="s">
        <v>350</v>
      </c>
      <c r="AH1177" t="s">
        <v>350</v>
      </c>
      <c r="AI1177" t="s">
        <v>71</v>
      </c>
      <c r="AJ1177" t="s">
        <v>70</v>
      </c>
      <c r="AK1177" t="s">
        <v>71</v>
      </c>
      <c r="AL1177" t="s">
        <v>72</v>
      </c>
      <c r="AM1177">
        <v>346053</v>
      </c>
      <c r="AO1177" s="16" t="s">
        <v>140</v>
      </c>
      <c r="AP1177" s="17" t="str">
        <f t="shared" si="90"/>
        <v>Post-emergence nest</v>
      </c>
      <c r="AQ1177" s="18">
        <v>4</v>
      </c>
      <c r="AT1177" s="19" t="s">
        <v>141</v>
      </c>
      <c r="AU1177" s="20" t="s">
        <v>104</v>
      </c>
      <c r="AX1177" s="22" t="str">
        <f>IF(AND('[1]observations-276632'!W1177&gt;'[1]Methods write-up'!$Q$16,'[1]observations-276632'!W1177&lt;'[1]Methods write-up'!$R$16,'[1]observations-276632'!X1177&gt;'[1]Methods write-up'!$S$16,'[1]observations-276632'!X1177&lt;'[1]Methods write-up'!$T$16),"West and Central Africa","")</f>
        <v>West and Central Africa</v>
      </c>
      <c r="AY1177" s="22" t="str">
        <f>IF(AND('[1]observations-276632'!W1177&gt;'[1]Methods write-up'!$Q$17,'[1]observations-276632'!W1177&lt;'[1]Methods write-up'!$R$17,'[1]observations-276632'!X1177&gt;'[1]Methods write-up'!$S$17,'[1]observations-276632'!X1177&lt;'[1]Methods write-up'!$T$17),"Equatorial tropical forest","")</f>
        <v/>
      </c>
      <c r="AZ1177" s="22" t="str">
        <f>IF(AND('[1]observations-276632'!W1177&gt;'[1]Methods write-up'!$Q$18,'[1]observations-276632'!W1177&lt;'[1]Methods write-up'!$R$18,'[1]observations-276632'!X1177&gt;'[1]Methods write-up'!$S$18,'[1]observations-276632'!X1177&lt;'[1]Methods write-up'!$T$18),"Somali peninsula","")</f>
        <v/>
      </c>
      <c r="BA1177" s="22" t="str">
        <f>IF(AND('[1]observations-276632'!W1177&gt;'[1]Methods write-up'!$Q$19,'[1]observations-276632'!W1177&lt;'[1]Methods write-up'!$R$19,'[1]observations-276632'!X1177&gt;'[1]Methods write-up'!$S$19,'[1]observations-276632'!X1177&lt;'[1]Methods write-up'!$T$19),"East Africa","")</f>
        <v/>
      </c>
      <c r="BB1177" s="22" t="str">
        <f>IF(AND('[1]observations-276632'!W1177&gt;'[1]Methods write-up'!$Q$20,'[1]observations-276632'!W1177&lt;'[1]Methods write-up'!$R$20,'[1]observations-276632'!X1177&gt;'[1]Methods write-up'!$S$20,'[1]observations-276632'!X1177&lt;'[1]Methods write-up'!$T$20),"Temperate seasonal","")</f>
        <v/>
      </c>
      <c r="BC1177" s="22" t="str">
        <f>IF(AND('[1]observations-276632'!W1177&gt;'[1]Methods write-up'!$Q$21,'[1]observations-276632'!W1177&lt;'[1]Methods write-up'!$R$21,'[1]observations-276632'!X1177&gt;'[1]Methods write-up'!$S$21,'[1]observations-276632'!X1177&lt;'[1]Methods write-up'!$T$21),"Desert and high aridity","")</f>
        <v/>
      </c>
      <c r="BD1177" s="23" t="str">
        <f t="shared" si="93"/>
        <v>West and Central Africa</v>
      </c>
      <c r="BE1177" s="24">
        <f t="shared" si="91"/>
        <v>10</v>
      </c>
      <c r="BF1177" s="24">
        <f t="shared" si="92"/>
        <v>9</v>
      </c>
    </row>
    <row r="1178" spans="1:58" ht="16.25" customHeight="1" x14ac:dyDescent="0.2">
      <c r="A1178">
        <v>136547148</v>
      </c>
      <c r="B1178" s="25">
        <v>44830.430555555555</v>
      </c>
      <c r="C1178" s="14">
        <v>44830</v>
      </c>
      <c r="D1178" t="s">
        <v>8679</v>
      </c>
      <c r="E1178" t="s">
        <v>84</v>
      </c>
      <c r="F1178">
        <v>3087997</v>
      </c>
      <c r="G1178" t="s">
        <v>5047</v>
      </c>
      <c r="H1178" t="s">
        <v>5048</v>
      </c>
      <c r="I1178" t="s">
        <v>8680</v>
      </c>
      <c r="J1178" t="s">
        <v>8681</v>
      </c>
      <c r="K1178" t="s">
        <v>62</v>
      </c>
      <c r="L1178" t="s">
        <v>63</v>
      </c>
      <c r="M1178" t="s">
        <v>8682</v>
      </c>
      <c r="N1178" t="s">
        <v>8683</v>
      </c>
      <c r="R1178">
        <v>1</v>
      </c>
      <c r="S1178">
        <v>0</v>
      </c>
      <c r="T1178" t="b">
        <v>0</v>
      </c>
      <c r="V1178" t="s">
        <v>8276</v>
      </c>
      <c r="W1178" s="15">
        <v>-1.222697004</v>
      </c>
      <c r="X1178" s="15">
        <v>36.897291729999999</v>
      </c>
      <c r="Y1178">
        <v>2</v>
      </c>
      <c r="AC1178">
        <v>2</v>
      </c>
      <c r="AF1178" t="b">
        <v>0</v>
      </c>
      <c r="AI1178" t="s">
        <v>71</v>
      </c>
      <c r="AJ1178" t="s">
        <v>70</v>
      </c>
      <c r="AK1178" t="s">
        <v>71</v>
      </c>
      <c r="AL1178" t="s">
        <v>72</v>
      </c>
      <c r="AM1178">
        <v>346053</v>
      </c>
      <c r="AO1178" s="16" t="s">
        <v>73</v>
      </c>
      <c r="AP1178" s="17" t="str">
        <f t="shared" si="90"/>
        <v>Off-nest female</v>
      </c>
      <c r="AX1178" s="22" t="str">
        <f>IF(AND('[1]observations-276632'!W1178&gt;'[1]Methods write-up'!$Q$16,'[1]observations-276632'!W1178&lt;'[1]Methods write-up'!$R$16,'[1]observations-276632'!X1178&gt;'[1]Methods write-up'!$S$16,'[1]observations-276632'!X1178&lt;'[1]Methods write-up'!$T$16),"West and Central Africa","")</f>
        <v/>
      </c>
      <c r="AY1178" s="22" t="str">
        <f>IF(AND('[1]observations-276632'!W1178&gt;'[1]Methods write-up'!$Q$17,'[1]observations-276632'!W1178&lt;'[1]Methods write-up'!$R$17,'[1]observations-276632'!X1178&gt;'[1]Methods write-up'!$S$17,'[1]observations-276632'!X1178&lt;'[1]Methods write-up'!$T$17),"Equatorial tropical forest","")</f>
        <v/>
      </c>
      <c r="AZ1178" s="22" t="str">
        <f>IF(AND('[1]observations-276632'!W1178&gt;'[1]Methods write-up'!$Q$18,'[1]observations-276632'!W1178&lt;'[1]Methods write-up'!$R$18,'[1]observations-276632'!X1178&gt;'[1]Methods write-up'!$S$18,'[1]observations-276632'!X1178&lt;'[1]Methods write-up'!$T$18),"Somali peninsula","")</f>
        <v/>
      </c>
      <c r="BA1178" s="22" t="str">
        <f>IF(AND('[1]observations-276632'!W1178&gt;'[1]Methods write-up'!$Q$19,'[1]observations-276632'!W1178&lt;'[1]Methods write-up'!$R$19,'[1]observations-276632'!X1178&gt;'[1]Methods write-up'!$S$19,'[1]observations-276632'!X1178&lt;'[1]Methods write-up'!$T$19),"East Africa","")</f>
        <v>East Africa</v>
      </c>
      <c r="BB1178" s="22" t="str">
        <f>IF(AND('[1]observations-276632'!W1178&gt;'[1]Methods write-up'!$Q$20,'[1]observations-276632'!W1178&lt;'[1]Methods write-up'!$R$20,'[1]observations-276632'!X1178&gt;'[1]Methods write-up'!$S$20,'[1]observations-276632'!X1178&lt;'[1]Methods write-up'!$T$20),"Temperate seasonal","")</f>
        <v/>
      </c>
      <c r="BC1178" s="22" t="str">
        <f>IF(AND('[1]observations-276632'!W1178&gt;'[1]Methods write-up'!$Q$21,'[1]observations-276632'!W1178&lt;'[1]Methods write-up'!$R$21,'[1]observations-276632'!X1178&gt;'[1]Methods write-up'!$S$21,'[1]observations-276632'!X1178&lt;'[1]Methods write-up'!$T$21),"Desert and high aridity","")</f>
        <v/>
      </c>
      <c r="BD1178" s="23" t="str">
        <f t="shared" si="93"/>
        <v>East Africa</v>
      </c>
      <c r="BE1178" s="24">
        <f t="shared" si="91"/>
        <v>26</v>
      </c>
      <c r="BF1178" s="24">
        <f t="shared" si="92"/>
        <v>9</v>
      </c>
    </row>
    <row r="1179" spans="1:58" ht="16.25" customHeight="1" x14ac:dyDescent="0.2">
      <c r="A1179">
        <v>136551738</v>
      </c>
      <c r="B1179" s="25">
        <v>44830.347916666666</v>
      </c>
      <c r="C1179" s="14">
        <v>44830</v>
      </c>
      <c r="D1179" t="s">
        <v>8684</v>
      </c>
      <c r="E1179" t="s">
        <v>113</v>
      </c>
      <c r="F1179">
        <v>6191996</v>
      </c>
      <c r="G1179" t="s">
        <v>8685</v>
      </c>
      <c r="I1179" t="s">
        <v>8686</v>
      </c>
      <c r="J1179" t="s">
        <v>8686</v>
      </c>
      <c r="K1179" t="s">
        <v>62</v>
      </c>
      <c r="L1179" t="s">
        <v>63</v>
      </c>
      <c r="M1179" t="s">
        <v>8687</v>
      </c>
      <c r="N1179" t="s">
        <v>8688</v>
      </c>
      <c r="R1179">
        <v>0</v>
      </c>
      <c r="S1179">
        <v>0</v>
      </c>
      <c r="T1179" t="b">
        <v>0</v>
      </c>
      <c r="V1179" t="s">
        <v>8689</v>
      </c>
      <c r="W1179" s="15">
        <v>-24.20502342</v>
      </c>
      <c r="X1179" s="15">
        <v>30.543583120000001</v>
      </c>
      <c r="Y1179">
        <v>438</v>
      </c>
      <c r="AC1179">
        <v>438</v>
      </c>
      <c r="AF1179" t="b">
        <v>0</v>
      </c>
      <c r="AI1179" t="s">
        <v>102</v>
      </c>
      <c r="AJ1179" t="s">
        <v>102</v>
      </c>
      <c r="AL1179" t="s">
        <v>72</v>
      </c>
      <c r="AM1179">
        <v>1070939</v>
      </c>
      <c r="AO1179" s="16" t="s">
        <v>73</v>
      </c>
      <c r="AP1179" s="17" t="str">
        <f t="shared" si="90"/>
        <v>Off-nest female</v>
      </c>
      <c r="AX1179" s="22" t="str">
        <f>IF(AND('[1]observations-276632'!W1179&gt;'[1]Methods write-up'!$Q$16,'[1]observations-276632'!W1179&lt;'[1]Methods write-up'!$R$16,'[1]observations-276632'!X1179&gt;'[1]Methods write-up'!$S$16,'[1]observations-276632'!X1179&lt;'[1]Methods write-up'!$T$16),"West and Central Africa","")</f>
        <v/>
      </c>
      <c r="AY1179" s="22" t="str">
        <f>IF(AND('[1]observations-276632'!W1179&gt;'[1]Methods write-up'!$Q$17,'[1]observations-276632'!W1179&lt;'[1]Methods write-up'!$R$17,'[1]observations-276632'!X1179&gt;'[1]Methods write-up'!$S$17,'[1]observations-276632'!X1179&lt;'[1]Methods write-up'!$T$17),"Equatorial tropical forest","")</f>
        <v/>
      </c>
      <c r="AZ1179" s="22" t="str">
        <f>IF(AND('[1]observations-276632'!W1179&gt;'[1]Methods write-up'!$Q$18,'[1]observations-276632'!W1179&lt;'[1]Methods write-up'!$R$18,'[1]observations-276632'!X1179&gt;'[1]Methods write-up'!$S$18,'[1]observations-276632'!X1179&lt;'[1]Methods write-up'!$T$18),"Somali peninsula","")</f>
        <v/>
      </c>
      <c r="BA1179" s="22" t="str">
        <f>IF(AND('[1]observations-276632'!W1179&gt;'[1]Methods write-up'!$Q$19,'[1]observations-276632'!W1179&lt;'[1]Methods write-up'!$R$19,'[1]observations-276632'!X1179&gt;'[1]Methods write-up'!$S$19,'[1]observations-276632'!X1179&lt;'[1]Methods write-up'!$T$19),"East Africa","")</f>
        <v/>
      </c>
      <c r="BB1179" s="22" t="str">
        <f>IF(AND('[1]observations-276632'!W1179&gt;'[1]Methods write-up'!$Q$20,'[1]observations-276632'!W1179&lt;'[1]Methods write-up'!$R$20,'[1]observations-276632'!X1179&gt;'[1]Methods write-up'!$S$20,'[1]observations-276632'!X1179&lt;'[1]Methods write-up'!$T$20),"Temperate seasonal","")</f>
        <v/>
      </c>
      <c r="BC1179" s="22" t="str">
        <f>IF(AND('[1]observations-276632'!W1179&gt;'[1]Methods write-up'!$Q$21,'[1]observations-276632'!W1179&lt;'[1]Methods write-up'!$R$21,'[1]observations-276632'!X1179&gt;'[1]Methods write-up'!$S$21,'[1]observations-276632'!X1179&lt;'[1]Methods write-up'!$T$21),"Desert and high aridity","")</f>
        <v/>
      </c>
      <c r="BD1179" s="23" t="str">
        <f t="shared" si="93"/>
        <v/>
      </c>
      <c r="BE1179" s="24">
        <f t="shared" si="91"/>
        <v>26</v>
      </c>
      <c r="BF1179" s="24">
        <f t="shared" si="92"/>
        <v>9</v>
      </c>
    </row>
    <row r="1180" spans="1:58" ht="16.25" customHeight="1" x14ac:dyDescent="0.2">
      <c r="A1180">
        <v>136692797</v>
      </c>
      <c r="B1180" s="25">
        <v>44831.660416666666</v>
      </c>
      <c r="C1180" s="14">
        <v>44831</v>
      </c>
      <c r="D1180" t="s">
        <v>8690</v>
      </c>
      <c r="E1180" t="s">
        <v>113</v>
      </c>
      <c r="F1180">
        <v>6145881</v>
      </c>
      <c r="G1180" t="s">
        <v>8691</v>
      </c>
      <c r="I1180" t="s">
        <v>8692</v>
      </c>
      <c r="J1180" t="s">
        <v>8693</v>
      </c>
      <c r="K1180" t="s">
        <v>62</v>
      </c>
      <c r="L1180" t="s">
        <v>63</v>
      </c>
      <c r="M1180" t="s">
        <v>8694</v>
      </c>
      <c r="N1180" t="s">
        <v>8695</v>
      </c>
      <c r="R1180">
        <v>3</v>
      </c>
      <c r="S1180">
        <v>0</v>
      </c>
      <c r="T1180" t="b">
        <v>0</v>
      </c>
      <c r="V1180" t="s">
        <v>2928</v>
      </c>
      <c r="W1180" s="15">
        <v>-30.273830929999999</v>
      </c>
      <c r="X1180" s="15">
        <v>30.739269950000001</v>
      </c>
      <c r="Y1180">
        <v>2</v>
      </c>
      <c r="AC1180">
        <v>2</v>
      </c>
      <c r="AF1180" t="b">
        <v>0</v>
      </c>
      <c r="AI1180" t="s">
        <v>71</v>
      </c>
      <c r="AJ1180" t="s">
        <v>70</v>
      </c>
      <c r="AK1180" t="s">
        <v>71</v>
      </c>
      <c r="AL1180" t="s">
        <v>72</v>
      </c>
      <c r="AM1180">
        <v>346053</v>
      </c>
      <c r="AO1180" s="16" t="s">
        <v>73</v>
      </c>
      <c r="AP1180" s="17" t="str">
        <f t="shared" si="90"/>
        <v>Off-nest female</v>
      </c>
      <c r="AX1180" s="22" t="str">
        <f>IF(AND('[1]observations-276632'!W1180&gt;'[1]Methods write-up'!$Q$16,'[1]observations-276632'!W1180&lt;'[1]Methods write-up'!$R$16,'[1]observations-276632'!X1180&gt;'[1]Methods write-up'!$S$16,'[1]observations-276632'!X1180&lt;'[1]Methods write-up'!$T$16),"West and Central Africa","")</f>
        <v/>
      </c>
      <c r="AY1180" s="22" t="str">
        <f>IF(AND('[1]observations-276632'!W1180&gt;'[1]Methods write-up'!$Q$17,'[1]observations-276632'!W1180&lt;'[1]Methods write-up'!$R$17,'[1]observations-276632'!X1180&gt;'[1]Methods write-up'!$S$17,'[1]observations-276632'!X1180&lt;'[1]Methods write-up'!$T$17),"Equatorial tropical forest","")</f>
        <v/>
      </c>
      <c r="AZ1180" s="22" t="str">
        <f>IF(AND('[1]observations-276632'!W1180&gt;'[1]Methods write-up'!$Q$18,'[1]observations-276632'!W1180&lt;'[1]Methods write-up'!$R$18,'[1]observations-276632'!X1180&gt;'[1]Methods write-up'!$S$18,'[1]observations-276632'!X1180&lt;'[1]Methods write-up'!$T$18),"Somali peninsula","")</f>
        <v/>
      </c>
      <c r="BA1180" s="22" t="str">
        <f>IF(AND('[1]observations-276632'!W1180&gt;'[1]Methods write-up'!$Q$19,'[1]observations-276632'!W1180&lt;'[1]Methods write-up'!$R$19,'[1]observations-276632'!X1180&gt;'[1]Methods write-up'!$S$19,'[1]observations-276632'!X1180&lt;'[1]Methods write-up'!$T$19),"East Africa","")</f>
        <v/>
      </c>
      <c r="BB1180" s="22" t="str">
        <f>IF(AND('[1]observations-276632'!W1180&gt;'[1]Methods write-up'!$Q$20,'[1]observations-276632'!W1180&lt;'[1]Methods write-up'!$R$20,'[1]observations-276632'!X1180&gt;'[1]Methods write-up'!$S$20,'[1]observations-276632'!X1180&lt;'[1]Methods write-up'!$T$20),"Temperate seasonal","")</f>
        <v>Temperate seasonal</v>
      </c>
      <c r="BC1180" s="22" t="str">
        <f>IF(AND('[1]observations-276632'!W1180&gt;'[1]Methods write-up'!$Q$21,'[1]observations-276632'!W1180&lt;'[1]Methods write-up'!$R$21,'[1]observations-276632'!X1180&gt;'[1]Methods write-up'!$S$21,'[1]observations-276632'!X1180&lt;'[1]Methods write-up'!$T$21),"Desert and high aridity","")</f>
        <v/>
      </c>
      <c r="BD1180" s="23" t="str">
        <f t="shared" si="93"/>
        <v>Temperate seasonal</v>
      </c>
      <c r="BE1180" s="24">
        <f t="shared" si="91"/>
        <v>27</v>
      </c>
      <c r="BF1180" s="24">
        <f t="shared" si="92"/>
        <v>9</v>
      </c>
    </row>
    <row r="1181" spans="1:58" ht="16.25" customHeight="1" x14ac:dyDescent="0.2">
      <c r="A1181">
        <v>136727874</v>
      </c>
      <c r="B1181" s="25">
        <v>43869.686805555553</v>
      </c>
      <c r="C1181" s="14">
        <v>43869</v>
      </c>
      <c r="D1181" t="s">
        <v>8696</v>
      </c>
      <c r="E1181" t="s">
        <v>7934</v>
      </c>
      <c r="F1181">
        <v>2220902</v>
      </c>
      <c r="G1181" t="s">
        <v>8697</v>
      </c>
      <c r="H1181" t="s">
        <v>8698</v>
      </c>
      <c r="I1181" t="s">
        <v>8699</v>
      </c>
      <c r="J1181" t="s">
        <v>8700</v>
      </c>
      <c r="K1181" t="s">
        <v>62</v>
      </c>
      <c r="L1181" t="s">
        <v>63</v>
      </c>
      <c r="M1181" t="s">
        <v>8701</v>
      </c>
      <c r="N1181" t="s">
        <v>8702</v>
      </c>
      <c r="R1181">
        <v>3</v>
      </c>
      <c r="S1181">
        <v>0</v>
      </c>
      <c r="T1181" t="b">
        <v>0</v>
      </c>
      <c r="V1181" t="s">
        <v>8703</v>
      </c>
      <c r="W1181" s="15">
        <v>-20.508208329999999</v>
      </c>
      <c r="X1181" s="15">
        <v>17.241634999999999</v>
      </c>
      <c r="AF1181" t="b">
        <v>0</v>
      </c>
      <c r="AI1181" t="s">
        <v>71</v>
      </c>
      <c r="AJ1181" t="s">
        <v>70</v>
      </c>
      <c r="AK1181" t="s">
        <v>71</v>
      </c>
      <c r="AL1181" t="s">
        <v>72</v>
      </c>
      <c r="AM1181">
        <v>346053</v>
      </c>
      <c r="AO1181" s="16" t="s">
        <v>73</v>
      </c>
      <c r="AP1181" s="17" t="str">
        <f t="shared" si="90"/>
        <v>Off-nest female</v>
      </c>
      <c r="AX1181" s="22" t="str">
        <f>IF(AND('[1]observations-276632'!W1181&gt;'[1]Methods write-up'!$Q$16,'[1]observations-276632'!W1181&lt;'[1]Methods write-up'!$R$16,'[1]observations-276632'!X1181&gt;'[1]Methods write-up'!$S$16,'[1]observations-276632'!X1181&lt;'[1]Methods write-up'!$T$16),"West and Central Africa","")</f>
        <v/>
      </c>
      <c r="AY1181" s="22" t="str">
        <f>IF(AND('[1]observations-276632'!W1181&gt;'[1]Methods write-up'!$Q$17,'[1]observations-276632'!W1181&lt;'[1]Methods write-up'!$R$17,'[1]observations-276632'!X1181&gt;'[1]Methods write-up'!$S$17,'[1]observations-276632'!X1181&lt;'[1]Methods write-up'!$T$17),"Equatorial tropical forest","")</f>
        <v/>
      </c>
      <c r="AZ1181" s="22" t="str">
        <f>IF(AND('[1]observations-276632'!W1181&gt;'[1]Methods write-up'!$Q$18,'[1]observations-276632'!W1181&lt;'[1]Methods write-up'!$R$18,'[1]observations-276632'!X1181&gt;'[1]Methods write-up'!$S$18,'[1]observations-276632'!X1181&lt;'[1]Methods write-up'!$T$18),"Somali peninsula","")</f>
        <v/>
      </c>
      <c r="BA1181" s="22" t="str">
        <f>IF(AND('[1]observations-276632'!W1181&gt;'[1]Methods write-up'!$Q$19,'[1]observations-276632'!W1181&lt;'[1]Methods write-up'!$R$19,'[1]observations-276632'!X1181&gt;'[1]Methods write-up'!$S$19,'[1]observations-276632'!X1181&lt;'[1]Methods write-up'!$T$19),"East Africa","")</f>
        <v/>
      </c>
      <c r="BB1181" s="22" t="str">
        <f>IF(AND('[1]observations-276632'!W1181&gt;'[1]Methods write-up'!$Q$20,'[1]observations-276632'!W1181&lt;'[1]Methods write-up'!$R$20,'[1]observations-276632'!X1181&gt;'[1]Methods write-up'!$S$20,'[1]observations-276632'!X1181&lt;'[1]Methods write-up'!$T$20),"Temperate seasonal","")</f>
        <v/>
      </c>
      <c r="BC1181" s="22" t="str">
        <f>IF(AND('[1]observations-276632'!W1181&gt;'[1]Methods write-up'!$Q$21,'[1]observations-276632'!W1181&lt;'[1]Methods write-up'!$R$21,'[1]observations-276632'!X1181&gt;'[1]Methods write-up'!$S$21,'[1]observations-276632'!X1181&lt;'[1]Methods write-up'!$T$21),"Desert and high aridity","")</f>
        <v>Desert and high aridity</v>
      </c>
      <c r="BD1181" s="23" t="str">
        <f t="shared" si="93"/>
        <v>Desert and high aridity</v>
      </c>
      <c r="BE1181" s="24">
        <f t="shared" si="91"/>
        <v>8</v>
      </c>
      <c r="BF1181" s="24">
        <f t="shared" si="92"/>
        <v>2</v>
      </c>
    </row>
    <row r="1182" spans="1:58" ht="16.25" customHeight="1" x14ac:dyDescent="0.2">
      <c r="A1182">
        <v>136789708</v>
      </c>
      <c r="B1182" t="s">
        <v>8704</v>
      </c>
      <c r="C1182" s="14">
        <v>44832</v>
      </c>
      <c r="D1182" t="s">
        <v>8705</v>
      </c>
      <c r="E1182" t="s">
        <v>84</v>
      </c>
      <c r="F1182">
        <v>5151930</v>
      </c>
      <c r="G1182" t="s">
        <v>8706</v>
      </c>
      <c r="I1182" t="s">
        <v>8707</v>
      </c>
      <c r="J1182" t="s">
        <v>8708</v>
      </c>
      <c r="K1182" t="s">
        <v>62</v>
      </c>
      <c r="L1182" t="s">
        <v>63</v>
      </c>
      <c r="M1182" t="s">
        <v>8709</v>
      </c>
      <c r="N1182" t="s">
        <v>8710</v>
      </c>
      <c r="R1182">
        <v>1</v>
      </c>
      <c r="S1182">
        <v>0</v>
      </c>
      <c r="T1182" t="b">
        <v>0</v>
      </c>
      <c r="U1182">
        <v>3</v>
      </c>
      <c r="V1182" t="s">
        <v>8711</v>
      </c>
      <c r="W1182" s="15">
        <v>-11.13467136</v>
      </c>
      <c r="X1182" s="15">
        <v>33.65448198</v>
      </c>
      <c r="Y1182">
        <v>92</v>
      </c>
      <c r="AC1182">
        <v>92</v>
      </c>
      <c r="AF1182" t="b">
        <v>0</v>
      </c>
      <c r="AI1182" t="s">
        <v>71</v>
      </c>
      <c r="AJ1182" t="s">
        <v>70</v>
      </c>
      <c r="AK1182" t="s">
        <v>71</v>
      </c>
      <c r="AL1182" t="s">
        <v>72</v>
      </c>
      <c r="AM1182">
        <v>346053</v>
      </c>
      <c r="AO1182" s="16" t="s">
        <v>110</v>
      </c>
      <c r="AP1182" s="17" t="str">
        <f t="shared" si="90"/>
        <v>Nest (foundress)</v>
      </c>
      <c r="AQ1182" s="18">
        <v>1</v>
      </c>
      <c r="AT1182" s="19" t="s">
        <v>104</v>
      </c>
      <c r="AX1182" s="22" t="str">
        <f>IF(AND('[1]observations-276632'!W1182&gt;'[1]Methods write-up'!$Q$16,'[1]observations-276632'!W1182&lt;'[1]Methods write-up'!$R$16,'[1]observations-276632'!X1182&gt;'[1]Methods write-up'!$S$16,'[1]observations-276632'!X1182&lt;'[1]Methods write-up'!$T$16),"West and Central Africa","")</f>
        <v/>
      </c>
      <c r="AY1182" s="22" t="str">
        <f>IF(AND('[1]observations-276632'!W1182&gt;'[1]Methods write-up'!$Q$17,'[1]observations-276632'!W1182&lt;'[1]Methods write-up'!$R$17,'[1]observations-276632'!X1182&gt;'[1]Methods write-up'!$S$17,'[1]observations-276632'!X1182&lt;'[1]Methods write-up'!$T$17),"Equatorial tropical forest","")</f>
        <v/>
      </c>
      <c r="AZ1182" s="22" t="str">
        <f>IF(AND('[1]observations-276632'!W1182&gt;'[1]Methods write-up'!$Q$18,'[1]observations-276632'!W1182&lt;'[1]Methods write-up'!$R$18,'[1]observations-276632'!X1182&gt;'[1]Methods write-up'!$S$18,'[1]observations-276632'!X1182&lt;'[1]Methods write-up'!$T$18),"Somali peninsula","")</f>
        <v/>
      </c>
      <c r="BA1182" s="22" t="str">
        <f>IF(AND('[1]observations-276632'!W1182&gt;'[1]Methods write-up'!$Q$19,'[1]observations-276632'!W1182&lt;'[1]Methods write-up'!$R$19,'[1]observations-276632'!X1182&gt;'[1]Methods write-up'!$S$19,'[1]observations-276632'!X1182&lt;'[1]Methods write-up'!$T$19),"East Africa","")</f>
        <v/>
      </c>
      <c r="BB1182" s="22" t="str">
        <f>IF(AND('[1]observations-276632'!W1182&gt;'[1]Methods write-up'!$Q$20,'[1]observations-276632'!W1182&lt;'[1]Methods write-up'!$R$20,'[1]observations-276632'!X1182&gt;'[1]Methods write-up'!$S$20,'[1]observations-276632'!X1182&lt;'[1]Methods write-up'!$T$20),"Temperate seasonal","")</f>
        <v/>
      </c>
      <c r="BC1182" s="22" t="str">
        <f>IF(AND('[1]observations-276632'!W1182&gt;'[1]Methods write-up'!$Q$21,'[1]observations-276632'!W1182&lt;'[1]Methods write-up'!$R$21,'[1]observations-276632'!X1182&gt;'[1]Methods write-up'!$S$21,'[1]observations-276632'!X1182&lt;'[1]Methods write-up'!$T$21),"Desert and high aridity","")</f>
        <v/>
      </c>
      <c r="BD1182" s="23" t="str">
        <f t="shared" si="93"/>
        <v/>
      </c>
      <c r="BE1182" s="24">
        <f t="shared" si="91"/>
        <v>28</v>
      </c>
      <c r="BF1182" s="24">
        <f t="shared" si="92"/>
        <v>9</v>
      </c>
    </row>
    <row r="1183" spans="1:58" ht="16.25" customHeight="1" x14ac:dyDescent="0.2">
      <c r="A1183">
        <v>136852774</v>
      </c>
      <c r="B1183" s="25">
        <v>44832.404861111114</v>
      </c>
      <c r="C1183" s="14">
        <v>44832</v>
      </c>
      <c r="D1183" t="s">
        <v>8712</v>
      </c>
      <c r="E1183" t="s">
        <v>113</v>
      </c>
      <c r="F1183">
        <v>773887</v>
      </c>
      <c r="G1183" t="s">
        <v>8713</v>
      </c>
      <c r="H1183" t="s">
        <v>8714</v>
      </c>
      <c r="I1183" t="s">
        <v>8715</v>
      </c>
      <c r="J1183" t="s">
        <v>8716</v>
      </c>
      <c r="K1183" t="s">
        <v>62</v>
      </c>
      <c r="L1183" t="s">
        <v>98</v>
      </c>
      <c r="M1183" t="s">
        <v>8717</v>
      </c>
      <c r="N1183" t="s">
        <v>8718</v>
      </c>
      <c r="R1183">
        <v>4</v>
      </c>
      <c r="S1183">
        <v>0</v>
      </c>
      <c r="T1183" t="b">
        <v>0</v>
      </c>
      <c r="V1183" t="s">
        <v>8719</v>
      </c>
      <c r="W1183" s="15">
        <v>-29.80545021</v>
      </c>
      <c r="X1183" s="15">
        <v>30.656939300000001</v>
      </c>
      <c r="Y1183">
        <v>4</v>
      </c>
      <c r="AC1183">
        <v>4</v>
      </c>
      <c r="AF1183" t="b">
        <v>0</v>
      </c>
      <c r="AI1183" t="s">
        <v>71</v>
      </c>
      <c r="AJ1183" t="s">
        <v>70</v>
      </c>
      <c r="AK1183" t="s">
        <v>71</v>
      </c>
      <c r="AL1183" t="s">
        <v>72</v>
      </c>
      <c r="AM1183">
        <v>346053</v>
      </c>
      <c r="AO1183" s="16" t="s">
        <v>73</v>
      </c>
      <c r="AP1183" s="17" t="str">
        <f t="shared" si="90"/>
        <v>Off-nest female</v>
      </c>
      <c r="AX1183" s="22" t="str">
        <f>IF(AND('[1]observations-276632'!W1183&gt;'[1]Methods write-up'!$Q$16,'[1]observations-276632'!W1183&lt;'[1]Methods write-up'!$R$16,'[1]observations-276632'!X1183&gt;'[1]Methods write-up'!$S$16,'[1]observations-276632'!X1183&lt;'[1]Methods write-up'!$T$16),"West and Central Africa","")</f>
        <v/>
      </c>
      <c r="AY1183" s="22" t="str">
        <f>IF(AND('[1]observations-276632'!W1183&gt;'[1]Methods write-up'!$Q$17,'[1]observations-276632'!W1183&lt;'[1]Methods write-up'!$R$17,'[1]observations-276632'!X1183&gt;'[1]Methods write-up'!$S$17,'[1]observations-276632'!X1183&lt;'[1]Methods write-up'!$T$17),"Equatorial tropical forest","")</f>
        <v/>
      </c>
      <c r="AZ1183" s="22" t="str">
        <f>IF(AND('[1]observations-276632'!W1183&gt;'[1]Methods write-up'!$Q$18,'[1]observations-276632'!W1183&lt;'[1]Methods write-up'!$R$18,'[1]observations-276632'!X1183&gt;'[1]Methods write-up'!$S$18,'[1]observations-276632'!X1183&lt;'[1]Methods write-up'!$T$18),"Somali peninsula","")</f>
        <v/>
      </c>
      <c r="BA1183" s="22" t="str">
        <f>IF(AND('[1]observations-276632'!W1183&gt;'[1]Methods write-up'!$Q$19,'[1]observations-276632'!W1183&lt;'[1]Methods write-up'!$R$19,'[1]observations-276632'!X1183&gt;'[1]Methods write-up'!$S$19,'[1]observations-276632'!X1183&lt;'[1]Methods write-up'!$T$19),"East Africa","")</f>
        <v/>
      </c>
      <c r="BB1183" s="22" t="str">
        <f>IF(AND('[1]observations-276632'!W1183&gt;'[1]Methods write-up'!$Q$20,'[1]observations-276632'!W1183&lt;'[1]Methods write-up'!$R$20,'[1]observations-276632'!X1183&gt;'[1]Methods write-up'!$S$20,'[1]observations-276632'!X1183&lt;'[1]Methods write-up'!$T$20),"Temperate seasonal","")</f>
        <v>Temperate seasonal</v>
      </c>
      <c r="BC1183" s="22" t="str">
        <f>IF(AND('[1]observations-276632'!W1183&gt;'[1]Methods write-up'!$Q$21,'[1]observations-276632'!W1183&lt;'[1]Methods write-up'!$R$21,'[1]observations-276632'!X1183&gt;'[1]Methods write-up'!$S$21,'[1]observations-276632'!X1183&lt;'[1]Methods write-up'!$T$21),"Desert and high aridity","")</f>
        <v/>
      </c>
      <c r="BD1183" s="23" t="str">
        <f t="shared" si="93"/>
        <v>Temperate seasonal</v>
      </c>
      <c r="BE1183" s="24">
        <f t="shared" si="91"/>
        <v>28</v>
      </c>
      <c r="BF1183" s="24">
        <f t="shared" si="92"/>
        <v>9</v>
      </c>
    </row>
    <row r="1184" spans="1:58" ht="16.25" customHeight="1" x14ac:dyDescent="0.2">
      <c r="A1184">
        <v>136889785</v>
      </c>
      <c r="B1184" s="25">
        <v>42922.588888888888</v>
      </c>
      <c r="C1184" s="14">
        <v>42922</v>
      </c>
      <c r="D1184" t="s">
        <v>8720</v>
      </c>
      <c r="E1184" t="s">
        <v>113</v>
      </c>
      <c r="F1184">
        <v>4907339</v>
      </c>
      <c r="G1184" t="s">
        <v>7975</v>
      </c>
      <c r="I1184" t="s">
        <v>8721</v>
      </c>
      <c r="J1184" t="s">
        <v>8722</v>
      </c>
      <c r="K1184" t="s">
        <v>62</v>
      </c>
      <c r="L1184" t="s">
        <v>63</v>
      </c>
      <c r="M1184" t="s">
        <v>8723</v>
      </c>
      <c r="N1184" t="s">
        <v>8724</v>
      </c>
      <c r="R1184">
        <v>3</v>
      </c>
      <c r="S1184">
        <v>0</v>
      </c>
      <c r="T1184" t="b">
        <v>0</v>
      </c>
      <c r="V1184" t="s">
        <v>7980</v>
      </c>
      <c r="W1184" s="15">
        <v>-26.088610849999998</v>
      </c>
      <c r="X1184" s="15">
        <v>27.843463060000001</v>
      </c>
      <c r="Y1184">
        <v>2</v>
      </c>
      <c r="AC1184">
        <v>2</v>
      </c>
      <c r="AF1184" t="b">
        <v>0</v>
      </c>
      <c r="AI1184" t="s">
        <v>71</v>
      </c>
      <c r="AJ1184" t="s">
        <v>70</v>
      </c>
      <c r="AK1184" t="s">
        <v>71</v>
      </c>
      <c r="AL1184" t="s">
        <v>72</v>
      </c>
      <c r="AM1184">
        <v>346053</v>
      </c>
      <c r="AO1184" s="16" t="s">
        <v>73</v>
      </c>
      <c r="AP1184" s="17" t="str">
        <f t="shared" si="90"/>
        <v>Off-nest female</v>
      </c>
      <c r="AX1184" s="22" t="str">
        <f>IF(AND('[1]observations-276632'!W1184&gt;'[1]Methods write-up'!$Q$16,'[1]observations-276632'!W1184&lt;'[1]Methods write-up'!$R$16,'[1]observations-276632'!X1184&gt;'[1]Methods write-up'!$S$16,'[1]observations-276632'!X1184&lt;'[1]Methods write-up'!$T$16),"West and Central Africa","")</f>
        <v/>
      </c>
      <c r="AY1184" s="22" t="str">
        <f>IF(AND('[1]observations-276632'!W1184&gt;'[1]Methods write-up'!$Q$17,'[1]observations-276632'!W1184&lt;'[1]Methods write-up'!$R$17,'[1]observations-276632'!X1184&gt;'[1]Methods write-up'!$S$17,'[1]observations-276632'!X1184&lt;'[1]Methods write-up'!$T$17),"Equatorial tropical forest","")</f>
        <v/>
      </c>
      <c r="AZ1184" s="22" t="str">
        <f>IF(AND('[1]observations-276632'!W1184&gt;'[1]Methods write-up'!$Q$18,'[1]observations-276632'!W1184&lt;'[1]Methods write-up'!$R$18,'[1]observations-276632'!X1184&gt;'[1]Methods write-up'!$S$18,'[1]observations-276632'!X1184&lt;'[1]Methods write-up'!$T$18),"Somali peninsula","")</f>
        <v/>
      </c>
      <c r="BA1184" s="22" t="str">
        <f>IF(AND('[1]observations-276632'!W1184&gt;'[1]Methods write-up'!$Q$19,'[1]observations-276632'!W1184&lt;'[1]Methods write-up'!$R$19,'[1]observations-276632'!X1184&gt;'[1]Methods write-up'!$S$19,'[1]observations-276632'!X1184&lt;'[1]Methods write-up'!$T$19),"East Africa","")</f>
        <v/>
      </c>
      <c r="BB1184" s="22" t="str">
        <f>IF(AND('[1]observations-276632'!W1184&gt;'[1]Methods write-up'!$Q$20,'[1]observations-276632'!W1184&lt;'[1]Methods write-up'!$R$20,'[1]observations-276632'!X1184&gt;'[1]Methods write-up'!$S$20,'[1]observations-276632'!X1184&lt;'[1]Methods write-up'!$T$20),"Temperate seasonal","")</f>
        <v>Temperate seasonal</v>
      </c>
      <c r="BC1184" s="22" t="str">
        <f>IF(AND('[1]observations-276632'!W1184&gt;'[1]Methods write-up'!$Q$21,'[1]observations-276632'!W1184&lt;'[1]Methods write-up'!$R$21,'[1]observations-276632'!X1184&gt;'[1]Methods write-up'!$S$21,'[1]observations-276632'!X1184&lt;'[1]Methods write-up'!$T$21),"Desert and high aridity","")</f>
        <v/>
      </c>
      <c r="BD1184" s="23" t="str">
        <f t="shared" si="93"/>
        <v>Temperate seasonal</v>
      </c>
      <c r="BE1184" s="24">
        <f t="shared" si="91"/>
        <v>6</v>
      </c>
      <c r="BF1184" s="24">
        <f t="shared" si="92"/>
        <v>7</v>
      </c>
    </row>
    <row r="1185" spans="1:58" ht="16.25" customHeight="1" x14ac:dyDescent="0.2">
      <c r="A1185">
        <v>137130936</v>
      </c>
      <c r="B1185" s="25">
        <v>44834.236805555556</v>
      </c>
      <c r="C1185" s="14">
        <v>44834</v>
      </c>
      <c r="D1185" t="s">
        <v>8725</v>
      </c>
      <c r="E1185" t="s">
        <v>84</v>
      </c>
      <c r="F1185">
        <v>3444</v>
      </c>
      <c r="G1185" t="s">
        <v>7720</v>
      </c>
      <c r="H1185" t="s">
        <v>7721</v>
      </c>
      <c r="I1185" t="s">
        <v>8726</v>
      </c>
      <c r="J1185" t="s">
        <v>8727</v>
      </c>
      <c r="K1185" t="s">
        <v>62</v>
      </c>
      <c r="M1185" t="s">
        <v>8728</v>
      </c>
      <c r="N1185" t="s">
        <v>8729</v>
      </c>
      <c r="R1185">
        <v>1</v>
      </c>
      <c r="S1185">
        <v>0</v>
      </c>
      <c r="T1185" t="b">
        <v>0</v>
      </c>
      <c r="V1185" t="s">
        <v>8730</v>
      </c>
      <c r="W1185" s="15">
        <v>-18.192463650000001</v>
      </c>
      <c r="X1185" s="15">
        <v>47.289512809999998</v>
      </c>
      <c r="Y1185">
        <v>122</v>
      </c>
      <c r="AC1185">
        <v>122</v>
      </c>
      <c r="AF1185" t="b">
        <v>0</v>
      </c>
      <c r="AI1185" t="s">
        <v>71</v>
      </c>
      <c r="AJ1185" t="s">
        <v>70</v>
      </c>
      <c r="AK1185" t="s">
        <v>71</v>
      </c>
      <c r="AL1185" t="s">
        <v>72</v>
      </c>
      <c r="AM1185">
        <v>346053</v>
      </c>
      <c r="AO1185" s="16" t="s">
        <v>110</v>
      </c>
      <c r="AP1185" s="17" t="str">
        <f t="shared" si="90"/>
        <v>Nest (foundress)</v>
      </c>
      <c r="AQ1185" s="18">
        <v>3</v>
      </c>
      <c r="AT1185" s="19" t="s">
        <v>104</v>
      </c>
      <c r="AX1185" s="22" t="str">
        <f>IF(AND('[1]observations-276632'!W1185&gt;'[1]Methods write-up'!$Q$16,'[1]observations-276632'!W1185&lt;'[1]Methods write-up'!$R$16,'[1]observations-276632'!X1185&gt;'[1]Methods write-up'!$S$16,'[1]observations-276632'!X1185&lt;'[1]Methods write-up'!$T$16),"West and Central Africa","")</f>
        <v/>
      </c>
      <c r="AY1185" s="22" t="str">
        <f>IF(AND('[1]observations-276632'!W1185&gt;'[1]Methods write-up'!$Q$17,'[1]observations-276632'!W1185&lt;'[1]Methods write-up'!$R$17,'[1]observations-276632'!X1185&gt;'[1]Methods write-up'!$S$17,'[1]observations-276632'!X1185&lt;'[1]Methods write-up'!$T$17),"Equatorial tropical forest","")</f>
        <v/>
      </c>
      <c r="AZ1185" s="22" t="str">
        <f>IF(AND('[1]observations-276632'!W1185&gt;'[1]Methods write-up'!$Q$18,'[1]observations-276632'!W1185&lt;'[1]Methods write-up'!$R$18,'[1]observations-276632'!X1185&gt;'[1]Methods write-up'!$S$18,'[1]observations-276632'!X1185&lt;'[1]Methods write-up'!$T$18),"Somali peninsula","")</f>
        <v/>
      </c>
      <c r="BA1185" s="22" t="str">
        <f>IF(AND('[1]observations-276632'!W1185&gt;'[1]Methods write-up'!$Q$19,'[1]observations-276632'!W1185&lt;'[1]Methods write-up'!$R$19,'[1]observations-276632'!X1185&gt;'[1]Methods write-up'!$S$19,'[1]observations-276632'!X1185&lt;'[1]Methods write-up'!$T$19),"East Africa","")</f>
        <v/>
      </c>
      <c r="BB1185" s="22" t="str">
        <f>IF(AND('[1]observations-276632'!W1185&gt;'[1]Methods write-up'!$Q$20,'[1]observations-276632'!W1185&lt;'[1]Methods write-up'!$R$20,'[1]observations-276632'!X1185&gt;'[1]Methods write-up'!$S$20,'[1]observations-276632'!X1185&lt;'[1]Methods write-up'!$T$20),"Temperate seasonal","")</f>
        <v/>
      </c>
      <c r="BC1185" s="22" t="str">
        <f>IF(AND('[1]observations-276632'!W1185&gt;'[1]Methods write-up'!$Q$21,'[1]observations-276632'!W1185&lt;'[1]Methods write-up'!$R$21,'[1]observations-276632'!X1185&gt;'[1]Methods write-up'!$S$21,'[1]observations-276632'!X1185&lt;'[1]Methods write-up'!$T$21),"Desert and high aridity","")</f>
        <v/>
      </c>
      <c r="BD1185" s="23" t="str">
        <f t="shared" si="93"/>
        <v/>
      </c>
      <c r="BE1185" s="24">
        <f t="shared" si="91"/>
        <v>30</v>
      </c>
      <c r="BF1185" s="24">
        <f t="shared" si="92"/>
        <v>9</v>
      </c>
    </row>
    <row r="1186" spans="1:58" ht="16.25" customHeight="1" x14ac:dyDescent="0.2">
      <c r="A1186">
        <v>137147915</v>
      </c>
      <c r="B1186" s="25">
        <v>44829.813888888886</v>
      </c>
      <c r="C1186" s="14">
        <v>44829</v>
      </c>
      <c r="D1186" t="s">
        <v>8731</v>
      </c>
      <c r="E1186" t="s">
        <v>84</v>
      </c>
      <c r="F1186">
        <v>1114896</v>
      </c>
      <c r="G1186" t="s">
        <v>8534</v>
      </c>
      <c r="H1186" t="s">
        <v>8535</v>
      </c>
      <c r="I1186" t="s">
        <v>8732</v>
      </c>
      <c r="J1186" t="s">
        <v>8537</v>
      </c>
      <c r="K1186" t="s">
        <v>62</v>
      </c>
      <c r="L1186" t="s">
        <v>98</v>
      </c>
      <c r="M1186" t="s">
        <v>8733</v>
      </c>
      <c r="N1186" t="s">
        <v>8734</v>
      </c>
      <c r="R1186">
        <v>1</v>
      </c>
      <c r="S1186">
        <v>0</v>
      </c>
      <c r="T1186" t="b">
        <v>0</v>
      </c>
      <c r="V1186" t="s">
        <v>8735</v>
      </c>
      <c r="W1186" s="15">
        <v>1.293789171</v>
      </c>
      <c r="X1186" s="15">
        <v>30.997738510000001</v>
      </c>
      <c r="Y1186">
        <v>4</v>
      </c>
      <c r="AC1186">
        <v>4</v>
      </c>
      <c r="AF1186" t="b">
        <v>0</v>
      </c>
      <c r="AI1186" t="s">
        <v>71</v>
      </c>
      <c r="AJ1186" t="s">
        <v>70</v>
      </c>
      <c r="AK1186" t="s">
        <v>71</v>
      </c>
      <c r="AL1186" t="s">
        <v>72</v>
      </c>
      <c r="AM1186">
        <v>346053</v>
      </c>
      <c r="AO1186" s="16" t="s">
        <v>110</v>
      </c>
      <c r="AP1186" s="17" t="str">
        <f t="shared" si="90"/>
        <v>Nest (foundress)</v>
      </c>
      <c r="AQ1186" s="18">
        <v>1</v>
      </c>
      <c r="AT1186" s="19" t="s">
        <v>104</v>
      </c>
      <c r="AX1186" s="22" t="str">
        <f>IF(AND('[1]observations-276632'!W1186&gt;'[1]Methods write-up'!$Q$16,'[1]observations-276632'!W1186&lt;'[1]Methods write-up'!$R$16,'[1]observations-276632'!X1186&gt;'[1]Methods write-up'!$S$16,'[1]observations-276632'!X1186&lt;'[1]Methods write-up'!$T$16),"West and Central Africa","")</f>
        <v>West and Central Africa</v>
      </c>
      <c r="AY1186" s="22" t="str">
        <f>IF(AND('[1]observations-276632'!W1186&gt;'[1]Methods write-up'!$Q$17,'[1]observations-276632'!W1186&lt;'[1]Methods write-up'!$R$17,'[1]observations-276632'!X1186&gt;'[1]Methods write-up'!$S$17,'[1]observations-276632'!X1186&lt;'[1]Methods write-up'!$T$17),"Equatorial tropical forest","")</f>
        <v/>
      </c>
      <c r="AZ1186" s="22" t="str">
        <f>IF(AND('[1]observations-276632'!W1186&gt;'[1]Methods write-up'!$Q$18,'[1]observations-276632'!W1186&lt;'[1]Methods write-up'!$R$18,'[1]observations-276632'!X1186&gt;'[1]Methods write-up'!$S$18,'[1]observations-276632'!X1186&lt;'[1]Methods write-up'!$T$18),"Somali peninsula","")</f>
        <v/>
      </c>
      <c r="BA1186" s="22" t="str">
        <f>IF(AND('[1]observations-276632'!W1186&gt;'[1]Methods write-up'!$Q$19,'[1]observations-276632'!W1186&lt;'[1]Methods write-up'!$R$19,'[1]observations-276632'!X1186&gt;'[1]Methods write-up'!$S$19,'[1]observations-276632'!X1186&lt;'[1]Methods write-up'!$T$19),"East Africa","")</f>
        <v/>
      </c>
      <c r="BB1186" s="22" t="str">
        <f>IF(AND('[1]observations-276632'!W1186&gt;'[1]Methods write-up'!$Q$20,'[1]observations-276632'!W1186&lt;'[1]Methods write-up'!$R$20,'[1]observations-276632'!X1186&gt;'[1]Methods write-up'!$S$20,'[1]observations-276632'!X1186&lt;'[1]Methods write-up'!$T$20),"Temperate seasonal","")</f>
        <v/>
      </c>
      <c r="BC1186" s="22" t="str">
        <f>IF(AND('[1]observations-276632'!W1186&gt;'[1]Methods write-up'!$Q$21,'[1]observations-276632'!W1186&lt;'[1]Methods write-up'!$R$21,'[1]observations-276632'!X1186&gt;'[1]Methods write-up'!$S$21,'[1]observations-276632'!X1186&lt;'[1]Methods write-up'!$T$21),"Desert and high aridity","")</f>
        <v/>
      </c>
      <c r="BD1186" s="23" t="str">
        <f t="shared" si="93"/>
        <v>West and Central Africa</v>
      </c>
      <c r="BE1186" s="24">
        <f t="shared" si="91"/>
        <v>25</v>
      </c>
      <c r="BF1186" s="24">
        <f t="shared" si="92"/>
        <v>9</v>
      </c>
    </row>
    <row r="1187" spans="1:58" ht="16.25" customHeight="1" x14ac:dyDescent="0.2">
      <c r="A1187">
        <v>137261471</v>
      </c>
      <c r="B1187" s="25">
        <v>44836.547222222223</v>
      </c>
      <c r="C1187" s="14">
        <v>44836</v>
      </c>
      <c r="D1187" t="s">
        <v>8736</v>
      </c>
      <c r="E1187" t="s">
        <v>8296</v>
      </c>
      <c r="F1187">
        <v>990757</v>
      </c>
      <c r="G1187" t="s">
        <v>8737</v>
      </c>
      <c r="H1187" t="s">
        <v>8738</v>
      </c>
      <c r="I1187" t="s">
        <v>8739</v>
      </c>
      <c r="J1187" t="s">
        <v>8740</v>
      </c>
      <c r="K1187" t="s">
        <v>62</v>
      </c>
      <c r="M1187" t="s">
        <v>8741</v>
      </c>
      <c r="N1187" t="s">
        <v>8742</v>
      </c>
      <c r="R1187">
        <v>3</v>
      </c>
      <c r="S1187">
        <v>1</v>
      </c>
      <c r="T1187" t="b">
        <v>0</v>
      </c>
      <c r="U1187">
        <v>2</v>
      </c>
      <c r="V1187" t="s">
        <v>8743</v>
      </c>
      <c r="W1187" s="15">
        <v>-8.6240378619999998</v>
      </c>
      <c r="X1187" s="15">
        <v>31.200818160000001</v>
      </c>
      <c r="Y1187">
        <v>210</v>
      </c>
      <c r="AC1187">
        <v>210</v>
      </c>
      <c r="AF1187" t="b">
        <v>0</v>
      </c>
      <c r="AG1187" t="s">
        <v>350</v>
      </c>
      <c r="AH1187" t="s">
        <v>350</v>
      </c>
      <c r="AI1187" t="s">
        <v>71</v>
      </c>
      <c r="AJ1187" t="s">
        <v>70</v>
      </c>
      <c r="AK1187" t="s">
        <v>71</v>
      </c>
      <c r="AL1187" t="s">
        <v>72</v>
      </c>
      <c r="AM1187">
        <v>346053</v>
      </c>
      <c r="AO1187" s="16" t="s">
        <v>73</v>
      </c>
      <c r="AP1187" s="17" t="str">
        <f t="shared" si="90"/>
        <v>Off-nest female</v>
      </c>
      <c r="AX1187" s="22" t="str">
        <f>IF(AND('[1]observations-276632'!W1187&gt;'[1]Methods write-up'!$Q$16,'[1]observations-276632'!W1187&lt;'[1]Methods write-up'!$R$16,'[1]observations-276632'!X1187&gt;'[1]Methods write-up'!$S$16,'[1]observations-276632'!X1187&lt;'[1]Methods write-up'!$T$16),"West and Central Africa","")</f>
        <v/>
      </c>
      <c r="AY1187" s="22" t="str">
        <f>IF(AND('[1]observations-276632'!W1187&gt;'[1]Methods write-up'!$Q$17,'[1]observations-276632'!W1187&lt;'[1]Methods write-up'!$R$17,'[1]observations-276632'!X1187&gt;'[1]Methods write-up'!$S$17,'[1]observations-276632'!X1187&lt;'[1]Methods write-up'!$T$17),"Equatorial tropical forest","")</f>
        <v/>
      </c>
      <c r="AZ1187" s="22" t="str">
        <f>IF(AND('[1]observations-276632'!W1187&gt;'[1]Methods write-up'!$Q$18,'[1]observations-276632'!W1187&lt;'[1]Methods write-up'!$R$18,'[1]observations-276632'!X1187&gt;'[1]Methods write-up'!$S$18,'[1]observations-276632'!X1187&lt;'[1]Methods write-up'!$T$18),"Somali peninsula","")</f>
        <v/>
      </c>
      <c r="BA1187" s="22" t="str">
        <f>IF(AND('[1]observations-276632'!W1187&gt;'[1]Methods write-up'!$Q$19,'[1]observations-276632'!W1187&lt;'[1]Methods write-up'!$R$19,'[1]observations-276632'!X1187&gt;'[1]Methods write-up'!$S$19,'[1]observations-276632'!X1187&lt;'[1]Methods write-up'!$T$19),"East Africa","")</f>
        <v/>
      </c>
      <c r="BB1187" s="22" t="str">
        <f>IF(AND('[1]observations-276632'!W1187&gt;'[1]Methods write-up'!$Q$20,'[1]observations-276632'!W1187&lt;'[1]Methods write-up'!$R$20,'[1]observations-276632'!X1187&gt;'[1]Methods write-up'!$S$20,'[1]observations-276632'!X1187&lt;'[1]Methods write-up'!$T$20),"Temperate seasonal","")</f>
        <v/>
      </c>
      <c r="BC1187" s="22" t="str">
        <f>IF(AND('[1]observations-276632'!W1187&gt;'[1]Methods write-up'!$Q$21,'[1]observations-276632'!W1187&lt;'[1]Methods write-up'!$R$21,'[1]observations-276632'!X1187&gt;'[1]Methods write-up'!$S$21,'[1]observations-276632'!X1187&lt;'[1]Methods write-up'!$T$21),"Desert and high aridity","")</f>
        <v/>
      </c>
      <c r="BD1187" s="23" t="str">
        <f t="shared" si="93"/>
        <v/>
      </c>
      <c r="BE1187" s="24">
        <f t="shared" si="91"/>
        <v>2</v>
      </c>
      <c r="BF1187" s="24">
        <f t="shared" si="92"/>
        <v>10</v>
      </c>
    </row>
    <row r="1188" spans="1:58" ht="16.25" customHeight="1" x14ac:dyDescent="0.2">
      <c r="A1188">
        <v>137375032</v>
      </c>
      <c r="B1188" s="25">
        <v>44829.046527777777</v>
      </c>
      <c r="C1188" s="14">
        <v>44829</v>
      </c>
      <c r="D1188" t="s">
        <v>8744</v>
      </c>
      <c r="E1188" t="s">
        <v>84</v>
      </c>
      <c r="F1188">
        <v>168642</v>
      </c>
      <c r="G1188" t="s">
        <v>7386</v>
      </c>
      <c r="H1188" t="s">
        <v>7387</v>
      </c>
      <c r="I1188" t="s">
        <v>8745</v>
      </c>
      <c r="J1188" t="s">
        <v>8746</v>
      </c>
      <c r="K1188" t="s">
        <v>62</v>
      </c>
      <c r="M1188" t="s">
        <v>8747</v>
      </c>
      <c r="N1188" t="s">
        <v>8748</v>
      </c>
      <c r="R1188">
        <v>1</v>
      </c>
      <c r="S1188">
        <v>0</v>
      </c>
      <c r="T1188" t="b">
        <v>0</v>
      </c>
      <c r="V1188" t="s">
        <v>8749</v>
      </c>
      <c r="W1188" s="15">
        <v>5.1183899999999997E-2</v>
      </c>
      <c r="X1188" s="15">
        <v>32.463707999999997</v>
      </c>
      <c r="Y1188">
        <v>5794</v>
      </c>
      <c r="AC1188">
        <v>5794</v>
      </c>
      <c r="AF1188" t="b">
        <v>0</v>
      </c>
      <c r="AI1188" t="s">
        <v>71</v>
      </c>
      <c r="AJ1188" t="s">
        <v>70</v>
      </c>
      <c r="AK1188" t="s">
        <v>71</v>
      </c>
      <c r="AL1188" t="s">
        <v>72</v>
      </c>
      <c r="AM1188">
        <v>346053</v>
      </c>
      <c r="AO1188" s="16" t="s">
        <v>1574</v>
      </c>
      <c r="AP1188" s="17" t="str">
        <f t="shared" si="90"/>
        <v>Nest (foundress)</v>
      </c>
      <c r="AQ1188" s="18">
        <v>2</v>
      </c>
      <c r="AT1188" s="19" t="s">
        <v>141</v>
      </c>
      <c r="AU1188" s="20" t="s">
        <v>104</v>
      </c>
      <c r="AV1188" s="21" t="s">
        <v>8750</v>
      </c>
      <c r="AX1188" s="22" t="str">
        <f>IF(AND('[1]observations-276632'!W1188&gt;'[1]Methods write-up'!$Q$16,'[1]observations-276632'!W1188&lt;'[1]Methods write-up'!$R$16,'[1]observations-276632'!X1188&gt;'[1]Methods write-up'!$S$16,'[1]observations-276632'!X1188&lt;'[1]Methods write-up'!$T$16),"West and Central Africa","")</f>
        <v/>
      </c>
      <c r="AY1188" s="22" t="str">
        <f>IF(AND('[1]observations-276632'!W1188&gt;'[1]Methods write-up'!$Q$17,'[1]observations-276632'!W1188&lt;'[1]Methods write-up'!$R$17,'[1]observations-276632'!X1188&gt;'[1]Methods write-up'!$S$17,'[1]observations-276632'!X1188&lt;'[1]Methods write-up'!$T$17),"Equatorial tropical forest","")</f>
        <v/>
      </c>
      <c r="AZ1188" s="22" t="str">
        <f>IF(AND('[1]observations-276632'!W1188&gt;'[1]Methods write-up'!$Q$18,'[1]observations-276632'!W1188&lt;'[1]Methods write-up'!$R$18,'[1]observations-276632'!X1188&gt;'[1]Methods write-up'!$S$18,'[1]observations-276632'!X1188&lt;'[1]Methods write-up'!$T$18),"Somali peninsula","")</f>
        <v/>
      </c>
      <c r="BA1188" s="22" t="str">
        <f>IF(AND('[1]observations-276632'!W1188&gt;'[1]Methods write-up'!$Q$19,'[1]observations-276632'!W1188&lt;'[1]Methods write-up'!$R$19,'[1]observations-276632'!X1188&gt;'[1]Methods write-up'!$S$19,'[1]observations-276632'!X1188&lt;'[1]Methods write-up'!$T$19),"East Africa","")</f>
        <v>East Africa</v>
      </c>
      <c r="BB1188" s="22" t="str">
        <f>IF(AND('[1]observations-276632'!W1188&gt;'[1]Methods write-up'!$Q$20,'[1]observations-276632'!W1188&lt;'[1]Methods write-up'!$R$20,'[1]observations-276632'!X1188&gt;'[1]Methods write-up'!$S$20,'[1]observations-276632'!X1188&lt;'[1]Methods write-up'!$T$20),"Temperate seasonal","")</f>
        <v/>
      </c>
      <c r="BC1188" s="22" t="str">
        <f>IF(AND('[1]observations-276632'!W1188&gt;'[1]Methods write-up'!$Q$21,'[1]observations-276632'!W1188&lt;'[1]Methods write-up'!$R$21,'[1]observations-276632'!X1188&gt;'[1]Methods write-up'!$S$21,'[1]observations-276632'!X1188&lt;'[1]Methods write-up'!$T$21),"Desert and high aridity","")</f>
        <v/>
      </c>
      <c r="BD1188" s="23" t="str">
        <f t="shared" si="93"/>
        <v>East Africa</v>
      </c>
      <c r="BE1188" s="24">
        <f t="shared" si="91"/>
        <v>25</v>
      </c>
      <c r="BF1188" s="24">
        <f t="shared" si="92"/>
        <v>9</v>
      </c>
    </row>
    <row r="1189" spans="1:58" ht="16.25" customHeight="1" x14ac:dyDescent="0.2">
      <c r="A1189">
        <v>137946822</v>
      </c>
      <c r="B1189" t="s">
        <v>8751</v>
      </c>
      <c r="C1189" s="14">
        <v>44837</v>
      </c>
      <c r="D1189" t="s">
        <v>8752</v>
      </c>
      <c r="E1189" t="s">
        <v>113</v>
      </c>
      <c r="F1189">
        <v>2731935</v>
      </c>
      <c r="G1189" t="s">
        <v>8753</v>
      </c>
      <c r="I1189" t="s">
        <v>8754</v>
      </c>
      <c r="J1189" t="s">
        <v>8755</v>
      </c>
      <c r="K1189" t="s">
        <v>62</v>
      </c>
      <c r="L1189" t="s">
        <v>63</v>
      </c>
      <c r="M1189" t="s">
        <v>8756</v>
      </c>
      <c r="N1189" t="s">
        <v>8757</v>
      </c>
      <c r="R1189">
        <v>0</v>
      </c>
      <c r="S1189">
        <v>0</v>
      </c>
      <c r="T1189" t="b">
        <v>0</v>
      </c>
      <c r="U1189">
        <v>3</v>
      </c>
      <c r="V1189" t="s">
        <v>3029</v>
      </c>
      <c r="W1189" s="15">
        <v>-24.840096639999999</v>
      </c>
      <c r="X1189" s="15">
        <v>28.109058749999999</v>
      </c>
      <c r="Y1189">
        <v>14</v>
      </c>
      <c r="AC1189">
        <v>14</v>
      </c>
      <c r="AF1189" t="b">
        <v>0</v>
      </c>
      <c r="AJ1189" t="s">
        <v>70</v>
      </c>
      <c r="AK1189" t="s">
        <v>71</v>
      </c>
      <c r="AL1189" t="s">
        <v>72</v>
      </c>
      <c r="AM1189">
        <v>346053</v>
      </c>
      <c r="AO1189" s="16" t="s">
        <v>442</v>
      </c>
      <c r="AP1189" s="17" t="str">
        <f t="shared" si="90"/>
        <v>Dead female</v>
      </c>
      <c r="AX1189" s="22" t="str">
        <f>IF(AND('[1]observations-276632'!W1189&gt;'[1]Methods write-up'!$Q$16,'[1]observations-276632'!W1189&lt;'[1]Methods write-up'!$R$16,'[1]observations-276632'!X1189&gt;'[1]Methods write-up'!$S$16,'[1]observations-276632'!X1189&lt;'[1]Methods write-up'!$T$16),"West and Central Africa","")</f>
        <v/>
      </c>
      <c r="AY1189" s="22" t="str">
        <f>IF(AND('[1]observations-276632'!W1189&gt;'[1]Methods write-up'!$Q$17,'[1]observations-276632'!W1189&lt;'[1]Methods write-up'!$R$17,'[1]observations-276632'!X1189&gt;'[1]Methods write-up'!$S$17,'[1]observations-276632'!X1189&lt;'[1]Methods write-up'!$T$17),"Equatorial tropical forest","")</f>
        <v/>
      </c>
      <c r="AZ1189" s="22" t="str">
        <f>IF(AND('[1]observations-276632'!W1189&gt;'[1]Methods write-up'!$Q$18,'[1]observations-276632'!W1189&lt;'[1]Methods write-up'!$R$18,'[1]observations-276632'!X1189&gt;'[1]Methods write-up'!$S$18,'[1]observations-276632'!X1189&lt;'[1]Methods write-up'!$T$18),"Somali peninsula","")</f>
        <v/>
      </c>
      <c r="BA1189" s="22" t="str">
        <f>IF(AND('[1]observations-276632'!W1189&gt;'[1]Methods write-up'!$Q$19,'[1]observations-276632'!W1189&lt;'[1]Methods write-up'!$R$19,'[1]observations-276632'!X1189&gt;'[1]Methods write-up'!$S$19,'[1]observations-276632'!X1189&lt;'[1]Methods write-up'!$T$19),"East Africa","")</f>
        <v/>
      </c>
      <c r="BB1189" s="22" t="str">
        <f>IF(AND('[1]observations-276632'!W1189&gt;'[1]Methods write-up'!$Q$20,'[1]observations-276632'!W1189&lt;'[1]Methods write-up'!$R$20,'[1]observations-276632'!X1189&gt;'[1]Methods write-up'!$S$20,'[1]observations-276632'!X1189&lt;'[1]Methods write-up'!$T$20),"Temperate seasonal","")</f>
        <v/>
      </c>
      <c r="BC1189" s="22" t="str">
        <f>IF(AND('[1]observations-276632'!W1189&gt;'[1]Methods write-up'!$Q$21,'[1]observations-276632'!W1189&lt;'[1]Methods write-up'!$R$21,'[1]observations-276632'!X1189&gt;'[1]Methods write-up'!$S$21,'[1]observations-276632'!X1189&lt;'[1]Methods write-up'!$T$21),"Desert and high aridity","")</f>
        <v/>
      </c>
      <c r="BD1189" s="23" t="str">
        <f t="shared" si="93"/>
        <v/>
      </c>
      <c r="BE1189" s="24">
        <f t="shared" si="91"/>
        <v>3</v>
      </c>
      <c r="BF1189" s="24">
        <f t="shared" si="92"/>
        <v>10</v>
      </c>
    </row>
    <row r="1190" spans="1:58" ht="16.25" customHeight="1" x14ac:dyDescent="0.2">
      <c r="A1190">
        <v>138116548</v>
      </c>
      <c r="B1190" s="25">
        <v>43433.408333333333</v>
      </c>
      <c r="C1190" s="14">
        <v>43433</v>
      </c>
      <c r="D1190" t="s">
        <v>8758</v>
      </c>
      <c r="E1190" t="s">
        <v>8759</v>
      </c>
      <c r="F1190">
        <v>5422932</v>
      </c>
      <c r="G1190" t="s">
        <v>7197</v>
      </c>
      <c r="I1190" t="s">
        <v>8760</v>
      </c>
      <c r="J1190" t="s">
        <v>8761</v>
      </c>
      <c r="K1190" t="s">
        <v>62</v>
      </c>
      <c r="L1190" t="s">
        <v>63</v>
      </c>
      <c r="M1190" t="s">
        <v>8762</v>
      </c>
      <c r="N1190" t="s">
        <v>8763</v>
      </c>
      <c r="R1190">
        <v>1</v>
      </c>
      <c r="S1190">
        <v>0</v>
      </c>
      <c r="T1190" t="b">
        <v>0</v>
      </c>
      <c r="V1190" t="s">
        <v>8764</v>
      </c>
      <c r="W1190" s="15">
        <v>17.113182999999999</v>
      </c>
      <c r="X1190" s="15">
        <v>54.560330499999999</v>
      </c>
      <c r="Y1190">
        <v>4320</v>
      </c>
      <c r="AC1190">
        <v>4320</v>
      </c>
      <c r="AF1190" t="b">
        <v>0</v>
      </c>
      <c r="AI1190" t="s">
        <v>71</v>
      </c>
      <c r="AJ1190" t="s">
        <v>70</v>
      </c>
      <c r="AK1190" t="s">
        <v>71</v>
      </c>
      <c r="AL1190" t="s">
        <v>72</v>
      </c>
      <c r="AM1190">
        <v>346053</v>
      </c>
      <c r="AO1190" s="16" t="s">
        <v>73</v>
      </c>
      <c r="AP1190" s="17" t="str">
        <f t="shared" si="90"/>
        <v>Off-nest female</v>
      </c>
      <c r="AX1190" s="22" t="str">
        <f>IF(AND('[1]observations-276632'!W1190&gt;'[1]Methods write-up'!$Q$16,'[1]observations-276632'!W1190&lt;'[1]Methods write-up'!$R$16,'[1]observations-276632'!X1190&gt;'[1]Methods write-up'!$S$16,'[1]observations-276632'!X1190&lt;'[1]Methods write-up'!$T$16),"West and Central Africa","")</f>
        <v/>
      </c>
      <c r="AY1190" s="22" t="str">
        <f>IF(AND('[1]observations-276632'!W1190&gt;'[1]Methods write-up'!$Q$17,'[1]observations-276632'!W1190&lt;'[1]Methods write-up'!$R$17,'[1]observations-276632'!X1190&gt;'[1]Methods write-up'!$S$17,'[1]observations-276632'!X1190&lt;'[1]Methods write-up'!$T$17),"Equatorial tropical forest","")</f>
        <v/>
      </c>
      <c r="AZ1190" s="22" t="str">
        <f>IF(AND('[1]observations-276632'!W1190&gt;'[1]Methods write-up'!$Q$18,'[1]observations-276632'!W1190&lt;'[1]Methods write-up'!$R$18,'[1]observations-276632'!X1190&gt;'[1]Methods write-up'!$S$18,'[1]observations-276632'!X1190&lt;'[1]Methods write-up'!$T$18),"Somali peninsula","")</f>
        <v/>
      </c>
      <c r="BA1190" s="22" t="str">
        <f>IF(AND('[1]observations-276632'!W1190&gt;'[1]Methods write-up'!$Q$19,'[1]observations-276632'!W1190&lt;'[1]Methods write-up'!$R$19,'[1]observations-276632'!X1190&gt;'[1]Methods write-up'!$S$19,'[1]observations-276632'!X1190&lt;'[1]Methods write-up'!$T$19),"East Africa","")</f>
        <v/>
      </c>
      <c r="BB1190" s="22" t="str">
        <f>IF(AND('[1]observations-276632'!W1190&gt;'[1]Methods write-up'!$Q$20,'[1]observations-276632'!W1190&lt;'[1]Methods write-up'!$R$20,'[1]observations-276632'!X1190&gt;'[1]Methods write-up'!$S$20,'[1]observations-276632'!X1190&lt;'[1]Methods write-up'!$T$20),"Temperate seasonal","")</f>
        <v/>
      </c>
      <c r="BC1190" s="22" t="str">
        <f>IF(AND('[1]observations-276632'!W1190&gt;'[1]Methods write-up'!$Q$21,'[1]observations-276632'!W1190&lt;'[1]Methods write-up'!$R$21,'[1]observations-276632'!X1190&gt;'[1]Methods write-up'!$S$21,'[1]observations-276632'!X1190&lt;'[1]Methods write-up'!$T$21),"Desert and high aridity","")</f>
        <v/>
      </c>
      <c r="BD1190" s="23" t="str">
        <f t="shared" si="93"/>
        <v/>
      </c>
      <c r="BE1190" s="24">
        <f t="shared" si="91"/>
        <v>29</v>
      </c>
      <c r="BF1190" s="24">
        <f t="shared" si="92"/>
        <v>11</v>
      </c>
    </row>
    <row r="1191" spans="1:58" ht="16.25" customHeight="1" x14ac:dyDescent="0.2">
      <c r="A1191">
        <v>138214553</v>
      </c>
      <c r="B1191" s="13">
        <v>44824</v>
      </c>
      <c r="C1191" s="14">
        <v>44824</v>
      </c>
      <c r="E1191" t="s">
        <v>84</v>
      </c>
      <c r="F1191">
        <v>4607203</v>
      </c>
      <c r="G1191" t="s">
        <v>8765</v>
      </c>
      <c r="H1191" t="s">
        <v>8766</v>
      </c>
      <c r="I1191" t="s">
        <v>8767</v>
      </c>
      <c r="J1191" t="s">
        <v>8768</v>
      </c>
      <c r="K1191" t="s">
        <v>62</v>
      </c>
      <c r="L1191" t="s">
        <v>63</v>
      </c>
      <c r="M1191" t="s">
        <v>8769</v>
      </c>
      <c r="N1191" t="s">
        <v>8770</v>
      </c>
      <c r="R1191">
        <v>1</v>
      </c>
      <c r="S1191">
        <v>0</v>
      </c>
      <c r="T1191" t="b">
        <v>0</v>
      </c>
      <c r="V1191" t="s">
        <v>8771</v>
      </c>
      <c r="W1191" s="15">
        <v>-1.225079276</v>
      </c>
      <c r="X1191" s="15">
        <v>36.803015690000002</v>
      </c>
      <c r="Y1191">
        <v>85</v>
      </c>
      <c r="AC1191">
        <v>85</v>
      </c>
      <c r="AF1191" t="b">
        <v>0</v>
      </c>
      <c r="AI1191" t="s">
        <v>71</v>
      </c>
      <c r="AJ1191" t="s">
        <v>70</v>
      </c>
      <c r="AK1191" t="s">
        <v>71</v>
      </c>
      <c r="AL1191" t="s">
        <v>72</v>
      </c>
      <c r="AM1191">
        <v>346053</v>
      </c>
      <c r="AO1191" s="16" t="s">
        <v>2562</v>
      </c>
      <c r="AP1191" s="17" t="str">
        <f t="shared" si="90"/>
        <v>Dead male</v>
      </c>
      <c r="AX1191" s="22" t="str">
        <f>IF(AND('[1]observations-276632'!W1191&gt;'[1]Methods write-up'!$Q$16,'[1]observations-276632'!W1191&lt;'[1]Methods write-up'!$R$16,'[1]observations-276632'!X1191&gt;'[1]Methods write-up'!$S$16,'[1]observations-276632'!X1191&lt;'[1]Methods write-up'!$T$16),"West and Central Africa","")</f>
        <v/>
      </c>
      <c r="AY1191" s="22" t="str">
        <f>IF(AND('[1]observations-276632'!W1191&gt;'[1]Methods write-up'!$Q$17,'[1]observations-276632'!W1191&lt;'[1]Methods write-up'!$R$17,'[1]observations-276632'!X1191&gt;'[1]Methods write-up'!$S$17,'[1]observations-276632'!X1191&lt;'[1]Methods write-up'!$T$17),"Equatorial tropical forest","")</f>
        <v/>
      </c>
      <c r="AZ1191" s="22" t="str">
        <f>IF(AND('[1]observations-276632'!W1191&gt;'[1]Methods write-up'!$Q$18,'[1]observations-276632'!W1191&lt;'[1]Methods write-up'!$R$18,'[1]observations-276632'!X1191&gt;'[1]Methods write-up'!$S$18,'[1]observations-276632'!X1191&lt;'[1]Methods write-up'!$T$18),"Somali peninsula","")</f>
        <v/>
      </c>
      <c r="BA1191" s="22" t="str">
        <f>IF(AND('[1]observations-276632'!W1191&gt;'[1]Methods write-up'!$Q$19,'[1]observations-276632'!W1191&lt;'[1]Methods write-up'!$R$19,'[1]observations-276632'!X1191&gt;'[1]Methods write-up'!$S$19,'[1]observations-276632'!X1191&lt;'[1]Methods write-up'!$T$19),"East Africa","")</f>
        <v>East Africa</v>
      </c>
      <c r="BB1191" s="22" t="str">
        <f>IF(AND('[1]observations-276632'!W1191&gt;'[1]Methods write-up'!$Q$20,'[1]observations-276632'!W1191&lt;'[1]Methods write-up'!$R$20,'[1]observations-276632'!X1191&gt;'[1]Methods write-up'!$S$20,'[1]observations-276632'!X1191&lt;'[1]Methods write-up'!$T$20),"Temperate seasonal","")</f>
        <v/>
      </c>
      <c r="BC1191" s="22" t="str">
        <f>IF(AND('[1]observations-276632'!W1191&gt;'[1]Methods write-up'!$Q$21,'[1]observations-276632'!W1191&lt;'[1]Methods write-up'!$R$21,'[1]observations-276632'!X1191&gt;'[1]Methods write-up'!$S$21,'[1]observations-276632'!X1191&lt;'[1]Methods write-up'!$T$21),"Desert and high aridity","")</f>
        <v/>
      </c>
      <c r="BD1191" s="23" t="str">
        <f t="shared" si="93"/>
        <v>East Africa</v>
      </c>
      <c r="BE1191" s="24">
        <f t="shared" si="91"/>
        <v>20</v>
      </c>
      <c r="BF1191" s="24">
        <f t="shared" si="92"/>
        <v>9</v>
      </c>
    </row>
    <row r="1192" spans="1:58" ht="16.25" customHeight="1" x14ac:dyDescent="0.2">
      <c r="A1192">
        <v>138229404</v>
      </c>
      <c r="B1192" t="s">
        <v>8772</v>
      </c>
      <c r="C1192" s="14">
        <v>44844</v>
      </c>
      <c r="D1192" t="s">
        <v>8773</v>
      </c>
      <c r="E1192" t="s">
        <v>113</v>
      </c>
      <c r="F1192">
        <v>2575276</v>
      </c>
      <c r="G1192" t="s">
        <v>5283</v>
      </c>
      <c r="I1192" t="s">
        <v>8774</v>
      </c>
      <c r="J1192" t="s">
        <v>8775</v>
      </c>
      <c r="K1192" t="s">
        <v>62</v>
      </c>
      <c r="L1192" t="s">
        <v>63</v>
      </c>
      <c r="M1192" t="s">
        <v>8776</v>
      </c>
      <c r="N1192" t="s">
        <v>8777</v>
      </c>
      <c r="Q1192" t="s">
        <v>8778</v>
      </c>
      <c r="R1192">
        <v>3</v>
      </c>
      <c r="S1192">
        <v>0</v>
      </c>
      <c r="T1192" t="b">
        <v>0</v>
      </c>
      <c r="U1192">
        <v>3</v>
      </c>
      <c r="V1192" t="s">
        <v>8779</v>
      </c>
      <c r="W1192" s="15">
        <v>-29.859294999999999</v>
      </c>
      <c r="X1192" s="15">
        <v>30.981024999999999</v>
      </c>
      <c r="Y1192">
        <v>5</v>
      </c>
      <c r="AC1192">
        <v>5</v>
      </c>
      <c r="AF1192" t="b">
        <v>0</v>
      </c>
      <c r="AI1192" t="s">
        <v>71</v>
      </c>
      <c r="AJ1192" t="s">
        <v>70</v>
      </c>
      <c r="AK1192" t="s">
        <v>71</v>
      </c>
      <c r="AL1192" t="s">
        <v>72</v>
      </c>
      <c r="AM1192">
        <v>346053</v>
      </c>
      <c r="AO1192" s="16" t="s">
        <v>73</v>
      </c>
      <c r="AP1192" s="17" t="str">
        <f t="shared" si="90"/>
        <v>Off-nest female</v>
      </c>
      <c r="AX1192" s="22" t="str">
        <f>IF(AND('[1]observations-276632'!W1192&gt;'[1]Methods write-up'!$Q$16,'[1]observations-276632'!W1192&lt;'[1]Methods write-up'!$R$16,'[1]observations-276632'!X1192&gt;'[1]Methods write-up'!$S$16,'[1]observations-276632'!X1192&lt;'[1]Methods write-up'!$T$16),"West and Central Africa","")</f>
        <v/>
      </c>
      <c r="AY1192" s="22" t="str">
        <f>IF(AND('[1]observations-276632'!W1192&gt;'[1]Methods write-up'!$Q$17,'[1]observations-276632'!W1192&lt;'[1]Methods write-up'!$R$17,'[1]observations-276632'!X1192&gt;'[1]Methods write-up'!$S$17,'[1]observations-276632'!X1192&lt;'[1]Methods write-up'!$T$17),"Equatorial tropical forest","")</f>
        <v/>
      </c>
      <c r="AZ1192" s="22" t="str">
        <f>IF(AND('[1]observations-276632'!W1192&gt;'[1]Methods write-up'!$Q$18,'[1]observations-276632'!W1192&lt;'[1]Methods write-up'!$R$18,'[1]observations-276632'!X1192&gt;'[1]Methods write-up'!$S$18,'[1]observations-276632'!X1192&lt;'[1]Methods write-up'!$T$18),"Somali peninsula","")</f>
        <v/>
      </c>
      <c r="BA1192" s="22" t="str">
        <f>IF(AND('[1]observations-276632'!W1192&gt;'[1]Methods write-up'!$Q$19,'[1]observations-276632'!W1192&lt;'[1]Methods write-up'!$R$19,'[1]observations-276632'!X1192&gt;'[1]Methods write-up'!$S$19,'[1]observations-276632'!X1192&lt;'[1]Methods write-up'!$T$19),"East Africa","")</f>
        <v/>
      </c>
      <c r="BB1192" s="22" t="str">
        <f>IF(AND('[1]observations-276632'!W1192&gt;'[1]Methods write-up'!$Q$20,'[1]observations-276632'!W1192&lt;'[1]Methods write-up'!$R$20,'[1]observations-276632'!X1192&gt;'[1]Methods write-up'!$S$20,'[1]observations-276632'!X1192&lt;'[1]Methods write-up'!$T$20),"Temperate seasonal","")</f>
        <v>Temperate seasonal</v>
      </c>
      <c r="BC1192" s="22" t="str">
        <f>IF(AND('[1]observations-276632'!W1192&gt;'[1]Methods write-up'!$Q$21,'[1]observations-276632'!W1192&lt;'[1]Methods write-up'!$R$21,'[1]observations-276632'!X1192&gt;'[1]Methods write-up'!$S$21,'[1]observations-276632'!X1192&lt;'[1]Methods write-up'!$T$21),"Desert and high aridity","")</f>
        <v/>
      </c>
      <c r="BD1192" s="23" t="str">
        <f t="shared" si="93"/>
        <v>Temperate seasonal</v>
      </c>
      <c r="BE1192" s="24">
        <f t="shared" si="91"/>
        <v>10</v>
      </c>
      <c r="BF1192" s="24">
        <f t="shared" si="92"/>
        <v>10</v>
      </c>
    </row>
    <row r="1193" spans="1:58" ht="16.25" customHeight="1" x14ac:dyDescent="0.2">
      <c r="A1193">
        <v>138820748</v>
      </c>
      <c r="B1193" s="25">
        <v>44849.508333333331</v>
      </c>
      <c r="C1193" s="14">
        <v>44849</v>
      </c>
      <c r="D1193" t="s">
        <v>8780</v>
      </c>
      <c r="E1193" t="s">
        <v>113</v>
      </c>
      <c r="F1193">
        <v>3198937</v>
      </c>
      <c r="G1193" t="s">
        <v>8781</v>
      </c>
      <c r="H1193" t="s">
        <v>8782</v>
      </c>
      <c r="I1193" t="s">
        <v>8783</v>
      </c>
      <c r="J1193" t="s">
        <v>8784</v>
      </c>
      <c r="K1193" t="s">
        <v>62</v>
      </c>
      <c r="L1193" t="s">
        <v>63</v>
      </c>
      <c r="M1193" t="s">
        <v>8785</v>
      </c>
      <c r="N1193" t="s">
        <v>8786</v>
      </c>
      <c r="R1193">
        <v>2</v>
      </c>
      <c r="S1193">
        <v>0</v>
      </c>
      <c r="T1193" t="b">
        <v>0</v>
      </c>
      <c r="V1193" t="s">
        <v>8787</v>
      </c>
      <c r="W1193" s="15">
        <v>-24.690309859999999</v>
      </c>
      <c r="X1193" s="15">
        <v>28.195101180000002</v>
      </c>
      <c r="Y1193">
        <v>1535</v>
      </c>
      <c r="AC1193">
        <v>1535</v>
      </c>
      <c r="AF1193" t="b">
        <v>0</v>
      </c>
      <c r="AI1193" t="s">
        <v>71</v>
      </c>
      <c r="AJ1193" t="s">
        <v>70</v>
      </c>
      <c r="AK1193" t="s">
        <v>71</v>
      </c>
      <c r="AL1193" t="s">
        <v>72</v>
      </c>
      <c r="AM1193">
        <v>346053</v>
      </c>
      <c r="AO1193" s="16" t="s">
        <v>73</v>
      </c>
      <c r="AP1193" s="17" t="str">
        <f t="shared" si="90"/>
        <v>Off-nest female</v>
      </c>
      <c r="AX1193" s="22" t="str">
        <f>IF(AND('[1]observations-276632'!W1193&gt;'[1]Methods write-up'!$Q$16,'[1]observations-276632'!W1193&lt;'[1]Methods write-up'!$R$16,'[1]observations-276632'!X1193&gt;'[1]Methods write-up'!$S$16,'[1]observations-276632'!X1193&lt;'[1]Methods write-up'!$T$16),"West and Central Africa","")</f>
        <v/>
      </c>
      <c r="AY1193" s="22" t="str">
        <f>IF(AND('[1]observations-276632'!W1193&gt;'[1]Methods write-up'!$Q$17,'[1]observations-276632'!W1193&lt;'[1]Methods write-up'!$R$17,'[1]observations-276632'!X1193&gt;'[1]Methods write-up'!$S$17,'[1]observations-276632'!X1193&lt;'[1]Methods write-up'!$T$17),"Equatorial tropical forest","")</f>
        <v/>
      </c>
      <c r="AZ1193" s="22" t="str">
        <f>IF(AND('[1]observations-276632'!W1193&gt;'[1]Methods write-up'!$Q$18,'[1]observations-276632'!W1193&lt;'[1]Methods write-up'!$R$18,'[1]observations-276632'!X1193&gt;'[1]Methods write-up'!$S$18,'[1]observations-276632'!X1193&lt;'[1]Methods write-up'!$T$18),"Somali peninsula","")</f>
        <v/>
      </c>
      <c r="BA1193" s="22" t="str">
        <f>IF(AND('[1]observations-276632'!W1193&gt;'[1]Methods write-up'!$Q$19,'[1]observations-276632'!W1193&lt;'[1]Methods write-up'!$R$19,'[1]observations-276632'!X1193&gt;'[1]Methods write-up'!$S$19,'[1]observations-276632'!X1193&lt;'[1]Methods write-up'!$T$19),"East Africa","")</f>
        <v/>
      </c>
      <c r="BB1193" s="22" t="str">
        <f>IF(AND('[1]observations-276632'!W1193&gt;'[1]Methods write-up'!$Q$20,'[1]observations-276632'!W1193&lt;'[1]Methods write-up'!$R$20,'[1]observations-276632'!X1193&gt;'[1]Methods write-up'!$S$20,'[1]observations-276632'!X1193&lt;'[1]Methods write-up'!$T$20),"Temperate seasonal","")</f>
        <v/>
      </c>
      <c r="BC1193" s="22" t="str">
        <f>IF(AND('[1]observations-276632'!W1193&gt;'[1]Methods write-up'!$Q$21,'[1]observations-276632'!W1193&lt;'[1]Methods write-up'!$R$21,'[1]observations-276632'!X1193&gt;'[1]Methods write-up'!$S$21,'[1]observations-276632'!X1193&lt;'[1]Methods write-up'!$T$21),"Desert and high aridity","")</f>
        <v/>
      </c>
      <c r="BD1193" s="23" t="str">
        <f t="shared" si="93"/>
        <v/>
      </c>
      <c r="BE1193" s="24">
        <f t="shared" si="91"/>
        <v>15</v>
      </c>
      <c r="BF1193" s="24">
        <f t="shared" si="92"/>
        <v>10</v>
      </c>
    </row>
    <row r="1194" spans="1:58" ht="16.25" customHeight="1" x14ac:dyDescent="0.2">
      <c r="A1194">
        <v>138955675</v>
      </c>
      <c r="B1194" s="25">
        <v>44849.82708333333</v>
      </c>
      <c r="C1194" s="14">
        <v>44849</v>
      </c>
      <c r="D1194" t="s">
        <v>8788</v>
      </c>
      <c r="E1194" t="s">
        <v>84</v>
      </c>
      <c r="F1194">
        <v>3805756</v>
      </c>
      <c r="G1194" t="s">
        <v>5793</v>
      </c>
      <c r="H1194" t="s">
        <v>5794</v>
      </c>
      <c r="I1194" t="s">
        <v>8789</v>
      </c>
      <c r="J1194" t="s">
        <v>8790</v>
      </c>
      <c r="K1194" t="s">
        <v>62</v>
      </c>
      <c r="M1194" t="s">
        <v>8791</v>
      </c>
      <c r="N1194" t="s">
        <v>8792</v>
      </c>
      <c r="R1194">
        <v>1</v>
      </c>
      <c r="S1194">
        <v>0</v>
      </c>
      <c r="T1194" t="b">
        <v>0</v>
      </c>
      <c r="V1194" t="s">
        <v>5799</v>
      </c>
      <c r="W1194" s="15">
        <v>-13.361789829999999</v>
      </c>
      <c r="X1194" s="15">
        <v>34.012852459999998</v>
      </c>
      <c r="Y1194">
        <v>800</v>
      </c>
      <c r="AC1194">
        <v>800</v>
      </c>
      <c r="AF1194" t="b">
        <v>0</v>
      </c>
      <c r="AI1194" t="s">
        <v>71</v>
      </c>
      <c r="AJ1194" t="s">
        <v>70</v>
      </c>
      <c r="AK1194" t="s">
        <v>71</v>
      </c>
      <c r="AL1194" t="s">
        <v>72</v>
      </c>
      <c r="AM1194">
        <v>346053</v>
      </c>
      <c r="AO1194" s="16" t="s">
        <v>73</v>
      </c>
      <c r="AP1194" s="17" t="str">
        <f t="shared" si="90"/>
        <v>Off-nest female</v>
      </c>
      <c r="AX1194" s="22" t="str">
        <f>IF(AND('[1]observations-276632'!W1194&gt;'[1]Methods write-up'!$Q$16,'[1]observations-276632'!W1194&lt;'[1]Methods write-up'!$R$16,'[1]observations-276632'!X1194&gt;'[1]Methods write-up'!$S$16,'[1]observations-276632'!X1194&lt;'[1]Methods write-up'!$T$16),"West and Central Africa","")</f>
        <v/>
      </c>
      <c r="AY1194" s="22" t="str">
        <f>IF(AND('[1]observations-276632'!W1194&gt;'[1]Methods write-up'!$Q$17,'[1]observations-276632'!W1194&lt;'[1]Methods write-up'!$R$17,'[1]observations-276632'!X1194&gt;'[1]Methods write-up'!$S$17,'[1]observations-276632'!X1194&lt;'[1]Methods write-up'!$T$17),"Equatorial tropical forest","")</f>
        <v/>
      </c>
      <c r="AZ1194" s="22" t="str">
        <f>IF(AND('[1]observations-276632'!W1194&gt;'[1]Methods write-up'!$Q$18,'[1]observations-276632'!W1194&lt;'[1]Methods write-up'!$R$18,'[1]observations-276632'!X1194&gt;'[1]Methods write-up'!$S$18,'[1]observations-276632'!X1194&lt;'[1]Methods write-up'!$T$18),"Somali peninsula","")</f>
        <v/>
      </c>
      <c r="BA1194" s="22" t="str">
        <f>IF(AND('[1]observations-276632'!W1194&gt;'[1]Methods write-up'!$Q$19,'[1]observations-276632'!W1194&lt;'[1]Methods write-up'!$R$19,'[1]observations-276632'!X1194&gt;'[1]Methods write-up'!$S$19,'[1]observations-276632'!X1194&lt;'[1]Methods write-up'!$T$19),"East Africa","")</f>
        <v/>
      </c>
      <c r="BB1194" s="22" t="str">
        <f>IF(AND('[1]observations-276632'!W1194&gt;'[1]Methods write-up'!$Q$20,'[1]observations-276632'!W1194&lt;'[1]Methods write-up'!$R$20,'[1]observations-276632'!X1194&gt;'[1]Methods write-up'!$S$20,'[1]observations-276632'!X1194&lt;'[1]Methods write-up'!$T$20),"Temperate seasonal","")</f>
        <v/>
      </c>
      <c r="BC1194" s="22" t="str">
        <f>IF(AND('[1]observations-276632'!W1194&gt;'[1]Methods write-up'!$Q$21,'[1]observations-276632'!W1194&lt;'[1]Methods write-up'!$R$21,'[1]observations-276632'!X1194&gt;'[1]Methods write-up'!$S$21,'[1]observations-276632'!X1194&lt;'[1]Methods write-up'!$T$21),"Desert and high aridity","")</f>
        <v/>
      </c>
      <c r="BD1194" s="23" t="str">
        <f t="shared" si="93"/>
        <v/>
      </c>
      <c r="BE1194" s="24">
        <f t="shared" si="91"/>
        <v>15</v>
      </c>
      <c r="BF1194" s="24">
        <f t="shared" si="92"/>
        <v>10</v>
      </c>
    </row>
    <row r="1195" spans="1:58" ht="16.25" customHeight="1" x14ac:dyDescent="0.2">
      <c r="A1195">
        <v>138962377</v>
      </c>
      <c r="B1195" s="25">
        <v>44513.468055555553</v>
      </c>
      <c r="C1195" s="14">
        <v>44513</v>
      </c>
      <c r="D1195" t="s">
        <v>8793</v>
      </c>
      <c r="E1195" t="s">
        <v>7810</v>
      </c>
      <c r="F1195">
        <v>87479</v>
      </c>
      <c r="G1195" t="s">
        <v>4843</v>
      </c>
      <c r="H1195" t="s">
        <v>4844</v>
      </c>
      <c r="I1195" t="s">
        <v>8794</v>
      </c>
      <c r="J1195" t="s">
        <v>8795</v>
      </c>
      <c r="K1195" t="s">
        <v>62</v>
      </c>
      <c r="L1195" t="s">
        <v>63</v>
      </c>
      <c r="M1195" t="s">
        <v>8796</v>
      </c>
      <c r="N1195" t="s">
        <v>8797</v>
      </c>
      <c r="R1195">
        <v>2</v>
      </c>
      <c r="S1195">
        <v>0</v>
      </c>
      <c r="T1195" t="b">
        <v>0</v>
      </c>
      <c r="V1195" t="s">
        <v>8798</v>
      </c>
      <c r="W1195" s="15">
        <v>9.9101335240000008</v>
      </c>
      <c r="X1195" s="15">
        <v>1.5467706990000001</v>
      </c>
      <c r="Y1195">
        <v>3906</v>
      </c>
      <c r="AC1195">
        <v>3906</v>
      </c>
      <c r="AF1195" t="b">
        <v>0</v>
      </c>
      <c r="AI1195" t="s">
        <v>71</v>
      </c>
      <c r="AJ1195" t="s">
        <v>70</v>
      </c>
      <c r="AK1195" t="s">
        <v>71</v>
      </c>
      <c r="AL1195" t="s">
        <v>72</v>
      </c>
      <c r="AM1195">
        <v>346053</v>
      </c>
      <c r="AO1195" s="16" t="s">
        <v>140</v>
      </c>
      <c r="AP1195" s="17" t="str">
        <f t="shared" si="90"/>
        <v>Post-emergence nest</v>
      </c>
      <c r="AQ1195" s="18">
        <v>11</v>
      </c>
      <c r="AT1195" s="19" t="s">
        <v>141</v>
      </c>
      <c r="AU1195" s="20" t="s">
        <v>104</v>
      </c>
      <c r="AX1195" s="22" t="str">
        <f>IF(AND('[1]observations-276632'!W1195&gt;'[1]Methods write-up'!$Q$16,'[1]observations-276632'!W1195&lt;'[1]Methods write-up'!$R$16,'[1]observations-276632'!X1195&gt;'[1]Methods write-up'!$S$16,'[1]observations-276632'!X1195&lt;'[1]Methods write-up'!$T$16),"West and Central Africa","")</f>
        <v>West and Central Africa</v>
      </c>
      <c r="AY1195" s="22" t="str">
        <f>IF(AND('[1]observations-276632'!W1195&gt;'[1]Methods write-up'!$Q$17,'[1]observations-276632'!W1195&lt;'[1]Methods write-up'!$R$17,'[1]observations-276632'!X1195&gt;'[1]Methods write-up'!$S$17,'[1]observations-276632'!X1195&lt;'[1]Methods write-up'!$T$17),"Equatorial tropical forest","")</f>
        <v/>
      </c>
      <c r="AZ1195" s="22" t="str">
        <f>IF(AND('[1]observations-276632'!W1195&gt;'[1]Methods write-up'!$Q$18,'[1]observations-276632'!W1195&lt;'[1]Methods write-up'!$R$18,'[1]observations-276632'!X1195&gt;'[1]Methods write-up'!$S$18,'[1]observations-276632'!X1195&lt;'[1]Methods write-up'!$T$18),"Somali peninsula","")</f>
        <v/>
      </c>
      <c r="BA1195" s="22" t="str">
        <f>IF(AND('[1]observations-276632'!W1195&gt;'[1]Methods write-up'!$Q$19,'[1]observations-276632'!W1195&lt;'[1]Methods write-up'!$R$19,'[1]observations-276632'!X1195&gt;'[1]Methods write-up'!$S$19,'[1]observations-276632'!X1195&lt;'[1]Methods write-up'!$T$19),"East Africa","")</f>
        <v/>
      </c>
      <c r="BB1195" s="22" t="str">
        <f>IF(AND('[1]observations-276632'!W1195&gt;'[1]Methods write-up'!$Q$20,'[1]observations-276632'!W1195&lt;'[1]Methods write-up'!$R$20,'[1]observations-276632'!X1195&gt;'[1]Methods write-up'!$S$20,'[1]observations-276632'!X1195&lt;'[1]Methods write-up'!$T$20),"Temperate seasonal","")</f>
        <v/>
      </c>
      <c r="BC1195" s="22" t="str">
        <f>IF(AND('[1]observations-276632'!W1195&gt;'[1]Methods write-up'!$Q$21,'[1]observations-276632'!W1195&lt;'[1]Methods write-up'!$R$21,'[1]observations-276632'!X1195&gt;'[1]Methods write-up'!$S$21,'[1]observations-276632'!X1195&lt;'[1]Methods write-up'!$T$21),"Desert and high aridity","")</f>
        <v/>
      </c>
      <c r="BD1195" s="23" t="str">
        <f t="shared" si="93"/>
        <v>West and Central Africa</v>
      </c>
      <c r="BE1195" s="24">
        <f t="shared" si="91"/>
        <v>13</v>
      </c>
      <c r="BF1195" s="24">
        <f t="shared" si="92"/>
        <v>11</v>
      </c>
    </row>
    <row r="1196" spans="1:58" ht="16.25" customHeight="1" x14ac:dyDescent="0.2">
      <c r="A1196">
        <v>139008295</v>
      </c>
      <c r="B1196" s="25">
        <v>44848.394444444442</v>
      </c>
      <c r="C1196" s="14">
        <v>44848</v>
      </c>
      <c r="D1196" t="s">
        <v>8799</v>
      </c>
      <c r="E1196" t="s">
        <v>113</v>
      </c>
      <c r="F1196">
        <v>6103743</v>
      </c>
      <c r="G1196" t="s">
        <v>8800</v>
      </c>
      <c r="I1196" t="s">
        <v>8801</v>
      </c>
      <c r="J1196" t="s">
        <v>8802</v>
      </c>
      <c r="K1196" t="s">
        <v>62</v>
      </c>
      <c r="L1196" t="s">
        <v>63</v>
      </c>
      <c r="M1196" t="s">
        <v>8803</v>
      </c>
      <c r="N1196" t="s">
        <v>8804</v>
      </c>
      <c r="R1196">
        <v>3</v>
      </c>
      <c r="S1196">
        <v>0</v>
      </c>
      <c r="T1196" t="b">
        <v>0</v>
      </c>
      <c r="V1196" t="s">
        <v>8805</v>
      </c>
      <c r="W1196" s="15">
        <v>-28.757367500000001</v>
      </c>
      <c r="X1196" s="15">
        <v>32.0630904</v>
      </c>
      <c r="Y1196">
        <v>8</v>
      </c>
      <c r="AC1196">
        <v>8</v>
      </c>
      <c r="AF1196" t="b">
        <v>0</v>
      </c>
      <c r="AI1196" t="s">
        <v>71</v>
      </c>
      <c r="AJ1196" t="s">
        <v>70</v>
      </c>
      <c r="AK1196" t="s">
        <v>71</v>
      </c>
      <c r="AL1196" t="s">
        <v>72</v>
      </c>
      <c r="AM1196">
        <v>346053</v>
      </c>
      <c r="AO1196" s="16" t="s">
        <v>140</v>
      </c>
      <c r="AP1196" s="17" t="str">
        <f t="shared" si="90"/>
        <v>Post-emergence nest</v>
      </c>
      <c r="AQ1196" s="18">
        <v>5</v>
      </c>
      <c r="AT1196" s="19" t="s">
        <v>141</v>
      </c>
      <c r="AU1196" s="20" t="s">
        <v>104</v>
      </c>
      <c r="AX1196" s="22" t="str">
        <f>IF(AND('[1]observations-276632'!W1196&gt;'[1]Methods write-up'!$Q$16,'[1]observations-276632'!W1196&lt;'[1]Methods write-up'!$R$16,'[1]observations-276632'!X1196&gt;'[1]Methods write-up'!$S$16,'[1]observations-276632'!X1196&lt;'[1]Methods write-up'!$T$16),"West and Central Africa","")</f>
        <v/>
      </c>
      <c r="AY1196" s="22" t="str">
        <f>IF(AND('[1]observations-276632'!W1196&gt;'[1]Methods write-up'!$Q$17,'[1]observations-276632'!W1196&lt;'[1]Methods write-up'!$R$17,'[1]observations-276632'!X1196&gt;'[1]Methods write-up'!$S$17,'[1]observations-276632'!X1196&lt;'[1]Methods write-up'!$T$17),"Equatorial tropical forest","")</f>
        <v/>
      </c>
      <c r="AZ1196" s="22" t="str">
        <f>IF(AND('[1]observations-276632'!W1196&gt;'[1]Methods write-up'!$Q$18,'[1]observations-276632'!W1196&lt;'[1]Methods write-up'!$R$18,'[1]observations-276632'!X1196&gt;'[1]Methods write-up'!$S$18,'[1]observations-276632'!X1196&lt;'[1]Methods write-up'!$T$18),"Somali peninsula","")</f>
        <v/>
      </c>
      <c r="BA1196" s="22" t="str">
        <f>IF(AND('[1]observations-276632'!W1196&gt;'[1]Methods write-up'!$Q$19,'[1]observations-276632'!W1196&lt;'[1]Methods write-up'!$R$19,'[1]observations-276632'!X1196&gt;'[1]Methods write-up'!$S$19,'[1]observations-276632'!X1196&lt;'[1]Methods write-up'!$T$19),"East Africa","")</f>
        <v/>
      </c>
      <c r="BB1196" s="22" t="str">
        <f>IF(AND('[1]observations-276632'!W1196&gt;'[1]Methods write-up'!$Q$20,'[1]observations-276632'!W1196&lt;'[1]Methods write-up'!$R$20,'[1]observations-276632'!X1196&gt;'[1]Methods write-up'!$S$20,'[1]observations-276632'!X1196&lt;'[1]Methods write-up'!$T$20),"Temperate seasonal","")</f>
        <v>Temperate seasonal</v>
      </c>
      <c r="BC1196" s="22" t="str">
        <f>IF(AND('[1]observations-276632'!W1196&gt;'[1]Methods write-up'!$Q$21,'[1]observations-276632'!W1196&lt;'[1]Methods write-up'!$R$21,'[1]observations-276632'!X1196&gt;'[1]Methods write-up'!$S$21,'[1]observations-276632'!X1196&lt;'[1]Methods write-up'!$T$21),"Desert and high aridity","")</f>
        <v/>
      </c>
      <c r="BD1196" s="23" t="str">
        <f t="shared" si="93"/>
        <v>Temperate seasonal</v>
      </c>
      <c r="BE1196" s="24">
        <f t="shared" si="91"/>
        <v>14</v>
      </c>
      <c r="BF1196" s="24">
        <f t="shared" si="92"/>
        <v>10</v>
      </c>
    </row>
    <row r="1197" spans="1:58" ht="16.25" customHeight="1" x14ac:dyDescent="0.2">
      <c r="A1197">
        <v>139085466</v>
      </c>
      <c r="B1197" s="25">
        <v>44767.464583333334</v>
      </c>
      <c r="C1197" s="14">
        <v>44767</v>
      </c>
      <c r="D1197" t="s">
        <v>8806</v>
      </c>
      <c r="E1197" t="s">
        <v>84</v>
      </c>
      <c r="F1197">
        <v>3871474</v>
      </c>
      <c r="G1197" t="s">
        <v>8807</v>
      </c>
      <c r="H1197" t="s">
        <v>8808</v>
      </c>
      <c r="I1197" t="s">
        <v>8809</v>
      </c>
      <c r="J1197" t="s">
        <v>8810</v>
      </c>
      <c r="K1197" t="s">
        <v>62</v>
      </c>
      <c r="L1197" t="s">
        <v>63</v>
      </c>
      <c r="M1197" t="s">
        <v>8811</v>
      </c>
      <c r="N1197" t="s">
        <v>8812</v>
      </c>
      <c r="R1197">
        <v>1</v>
      </c>
      <c r="S1197">
        <v>0</v>
      </c>
      <c r="T1197" t="b">
        <v>0</v>
      </c>
      <c r="V1197" t="s">
        <v>8813</v>
      </c>
      <c r="W1197" s="15">
        <v>9.9716667000000001</v>
      </c>
      <c r="X1197" s="15">
        <v>45.020277800000002</v>
      </c>
      <c r="Y1197">
        <v>2136</v>
      </c>
      <c r="AC1197">
        <v>2136</v>
      </c>
      <c r="AF1197" t="b">
        <v>0</v>
      </c>
      <c r="AI1197" t="s">
        <v>71</v>
      </c>
      <c r="AJ1197" t="s">
        <v>70</v>
      </c>
      <c r="AK1197" t="s">
        <v>71</v>
      </c>
      <c r="AL1197" t="s">
        <v>72</v>
      </c>
      <c r="AM1197">
        <v>346053</v>
      </c>
      <c r="AO1197" s="16" t="s">
        <v>140</v>
      </c>
      <c r="AP1197" s="17" t="str">
        <f t="shared" si="90"/>
        <v>Post-emergence nest</v>
      </c>
      <c r="AQ1197" s="18">
        <v>12</v>
      </c>
      <c r="AT1197" s="19" t="s">
        <v>141</v>
      </c>
      <c r="AU1197" s="20" t="s">
        <v>104</v>
      </c>
      <c r="AX1197" s="22" t="str">
        <f>IF(AND('[1]observations-276632'!W1197&gt;'[1]Methods write-up'!$Q$16,'[1]observations-276632'!W1197&lt;'[1]Methods write-up'!$R$16,'[1]observations-276632'!X1197&gt;'[1]Methods write-up'!$S$16,'[1]observations-276632'!X1197&lt;'[1]Methods write-up'!$T$16),"West and Central Africa","")</f>
        <v/>
      </c>
      <c r="AY1197" s="22" t="str">
        <f>IF(AND('[1]observations-276632'!W1197&gt;'[1]Methods write-up'!$Q$17,'[1]observations-276632'!W1197&lt;'[1]Methods write-up'!$R$17,'[1]observations-276632'!X1197&gt;'[1]Methods write-up'!$S$17,'[1]observations-276632'!X1197&lt;'[1]Methods write-up'!$T$17),"Equatorial tropical forest","")</f>
        <v/>
      </c>
      <c r="AZ1197" s="22" t="str">
        <f>IF(AND('[1]observations-276632'!W1197&gt;'[1]Methods write-up'!$Q$18,'[1]observations-276632'!W1197&lt;'[1]Methods write-up'!$R$18,'[1]observations-276632'!X1197&gt;'[1]Methods write-up'!$S$18,'[1]observations-276632'!X1197&lt;'[1]Methods write-up'!$T$18),"Somali peninsula","")</f>
        <v>Somali peninsula</v>
      </c>
      <c r="BA1197" s="22" t="str">
        <f>IF(AND('[1]observations-276632'!W1197&gt;'[1]Methods write-up'!$Q$19,'[1]observations-276632'!W1197&lt;'[1]Methods write-up'!$R$19,'[1]observations-276632'!X1197&gt;'[1]Methods write-up'!$S$19,'[1]observations-276632'!X1197&lt;'[1]Methods write-up'!$T$19),"East Africa","")</f>
        <v/>
      </c>
      <c r="BB1197" s="22" t="str">
        <f>IF(AND('[1]observations-276632'!W1197&gt;'[1]Methods write-up'!$Q$20,'[1]observations-276632'!W1197&lt;'[1]Methods write-up'!$R$20,'[1]observations-276632'!X1197&gt;'[1]Methods write-up'!$S$20,'[1]observations-276632'!X1197&lt;'[1]Methods write-up'!$T$20),"Temperate seasonal","")</f>
        <v/>
      </c>
      <c r="BC1197" s="22" t="str">
        <f>IF(AND('[1]observations-276632'!W1197&gt;'[1]Methods write-up'!$Q$21,'[1]observations-276632'!W1197&lt;'[1]Methods write-up'!$R$21,'[1]observations-276632'!X1197&gt;'[1]Methods write-up'!$S$21,'[1]observations-276632'!X1197&lt;'[1]Methods write-up'!$T$21),"Desert and high aridity","")</f>
        <v/>
      </c>
      <c r="BD1197" s="23" t="str">
        <f t="shared" si="93"/>
        <v>Somali peninsula</v>
      </c>
      <c r="BE1197" s="24">
        <f t="shared" si="91"/>
        <v>25</v>
      </c>
      <c r="BF1197" s="24">
        <f t="shared" si="92"/>
        <v>7</v>
      </c>
    </row>
    <row r="1198" spans="1:58" ht="16.25" customHeight="1" x14ac:dyDescent="0.2">
      <c r="A1198">
        <v>139304207</v>
      </c>
      <c r="B1198" s="25">
        <v>44579.530555555553</v>
      </c>
      <c r="C1198" s="14">
        <v>44579</v>
      </c>
      <c r="D1198" t="s">
        <v>8814</v>
      </c>
      <c r="E1198" t="s">
        <v>113</v>
      </c>
      <c r="F1198">
        <v>1374169</v>
      </c>
      <c r="G1198" t="s">
        <v>6355</v>
      </c>
      <c r="H1198" t="s">
        <v>6356</v>
      </c>
      <c r="I1198" t="s">
        <v>8815</v>
      </c>
      <c r="J1198" t="s">
        <v>8816</v>
      </c>
      <c r="K1198" t="s">
        <v>62</v>
      </c>
      <c r="L1198" t="s">
        <v>63</v>
      </c>
      <c r="M1198" t="s">
        <v>8817</v>
      </c>
      <c r="N1198" t="s">
        <v>8818</v>
      </c>
      <c r="P1198" t="s">
        <v>70</v>
      </c>
      <c r="R1198">
        <v>2</v>
      </c>
      <c r="S1198">
        <v>0</v>
      </c>
      <c r="T1198" t="b">
        <v>0</v>
      </c>
      <c r="V1198" t="s">
        <v>8819</v>
      </c>
      <c r="W1198" s="15">
        <v>-26.089368579999999</v>
      </c>
      <c r="X1198" s="15">
        <v>27.84313242</v>
      </c>
      <c r="Y1198">
        <v>8</v>
      </c>
      <c r="AC1198">
        <v>8</v>
      </c>
      <c r="AF1198" t="b">
        <v>0</v>
      </c>
      <c r="AI1198" t="s">
        <v>71</v>
      </c>
      <c r="AJ1198" t="s">
        <v>70</v>
      </c>
      <c r="AK1198" t="s">
        <v>71</v>
      </c>
      <c r="AL1198" t="s">
        <v>72</v>
      </c>
      <c r="AM1198">
        <v>346053</v>
      </c>
      <c r="AO1198" s="16" t="s">
        <v>73</v>
      </c>
      <c r="AP1198" s="17" t="str">
        <f t="shared" si="90"/>
        <v>Off-nest female</v>
      </c>
      <c r="AX1198" s="22" t="str">
        <f>IF(AND('[1]observations-276632'!W1198&gt;'[1]Methods write-up'!$Q$16,'[1]observations-276632'!W1198&lt;'[1]Methods write-up'!$R$16,'[1]observations-276632'!X1198&gt;'[1]Methods write-up'!$S$16,'[1]observations-276632'!X1198&lt;'[1]Methods write-up'!$T$16),"West and Central Africa","")</f>
        <v/>
      </c>
      <c r="AY1198" s="22" t="str">
        <f>IF(AND('[1]observations-276632'!W1198&gt;'[1]Methods write-up'!$Q$17,'[1]observations-276632'!W1198&lt;'[1]Methods write-up'!$R$17,'[1]observations-276632'!X1198&gt;'[1]Methods write-up'!$S$17,'[1]observations-276632'!X1198&lt;'[1]Methods write-up'!$T$17),"Equatorial tropical forest","")</f>
        <v/>
      </c>
      <c r="AZ1198" s="22" t="str">
        <f>IF(AND('[1]observations-276632'!W1198&gt;'[1]Methods write-up'!$Q$18,'[1]observations-276632'!W1198&lt;'[1]Methods write-up'!$R$18,'[1]observations-276632'!X1198&gt;'[1]Methods write-up'!$S$18,'[1]observations-276632'!X1198&lt;'[1]Methods write-up'!$T$18),"Somali peninsula","")</f>
        <v/>
      </c>
      <c r="BA1198" s="22" t="str">
        <f>IF(AND('[1]observations-276632'!W1198&gt;'[1]Methods write-up'!$Q$19,'[1]observations-276632'!W1198&lt;'[1]Methods write-up'!$R$19,'[1]observations-276632'!X1198&gt;'[1]Methods write-up'!$S$19,'[1]observations-276632'!X1198&lt;'[1]Methods write-up'!$T$19),"East Africa","")</f>
        <v/>
      </c>
      <c r="BB1198" s="22" t="str">
        <f>IF(AND('[1]observations-276632'!W1198&gt;'[1]Methods write-up'!$Q$20,'[1]observations-276632'!W1198&lt;'[1]Methods write-up'!$R$20,'[1]observations-276632'!X1198&gt;'[1]Methods write-up'!$S$20,'[1]observations-276632'!X1198&lt;'[1]Methods write-up'!$T$20),"Temperate seasonal","")</f>
        <v>Temperate seasonal</v>
      </c>
      <c r="BC1198" s="22" t="str">
        <f>IF(AND('[1]observations-276632'!W1198&gt;'[1]Methods write-up'!$Q$21,'[1]observations-276632'!W1198&lt;'[1]Methods write-up'!$R$21,'[1]observations-276632'!X1198&gt;'[1]Methods write-up'!$S$21,'[1]observations-276632'!X1198&lt;'[1]Methods write-up'!$T$21),"Desert and high aridity","")</f>
        <v/>
      </c>
      <c r="BD1198" s="23" t="str">
        <f t="shared" si="93"/>
        <v>Temperate seasonal</v>
      </c>
      <c r="BE1198" s="24">
        <f t="shared" si="91"/>
        <v>18</v>
      </c>
      <c r="BF1198" s="24">
        <f t="shared" si="92"/>
        <v>1</v>
      </c>
    </row>
    <row r="1199" spans="1:58" ht="16.25" customHeight="1" x14ac:dyDescent="0.2">
      <c r="A1199">
        <v>139401344</v>
      </c>
      <c r="B1199" s="25">
        <v>44853.704861111109</v>
      </c>
      <c r="C1199" s="14">
        <v>44853</v>
      </c>
      <c r="D1199" t="s">
        <v>8820</v>
      </c>
      <c r="E1199" t="s">
        <v>113</v>
      </c>
      <c r="F1199">
        <v>662724</v>
      </c>
      <c r="G1199" t="s">
        <v>903</v>
      </c>
      <c r="H1199" t="s">
        <v>904</v>
      </c>
      <c r="I1199" t="s">
        <v>8821</v>
      </c>
      <c r="J1199" t="s">
        <v>8822</v>
      </c>
      <c r="K1199" t="s">
        <v>62</v>
      </c>
      <c r="L1199" t="s">
        <v>63</v>
      </c>
      <c r="M1199" t="s">
        <v>8823</v>
      </c>
      <c r="N1199" t="s">
        <v>8824</v>
      </c>
      <c r="Q1199" t="s">
        <v>8825</v>
      </c>
      <c r="R1199">
        <v>1</v>
      </c>
      <c r="S1199">
        <v>0</v>
      </c>
      <c r="T1199" t="b">
        <v>0</v>
      </c>
      <c r="V1199" t="s">
        <v>7612</v>
      </c>
      <c r="W1199" s="15">
        <v>-30.638987369999999</v>
      </c>
      <c r="X1199" s="15">
        <v>30.529617810000001</v>
      </c>
      <c r="Y1199">
        <v>4</v>
      </c>
      <c r="AC1199">
        <v>4</v>
      </c>
      <c r="AF1199" t="b">
        <v>0</v>
      </c>
      <c r="AI1199" t="s">
        <v>71</v>
      </c>
      <c r="AJ1199" t="s">
        <v>70</v>
      </c>
      <c r="AK1199" t="s">
        <v>71</v>
      </c>
      <c r="AL1199" t="s">
        <v>72</v>
      </c>
      <c r="AM1199">
        <v>346053</v>
      </c>
      <c r="AO1199" s="16" t="s">
        <v>1574</v>
      </c>
      <c r="AP1199" s="17" t="str">
        <f t="shared" si="90"/>
        <v>Nest (foundress)</v>
      </c>
      <c r="AQ1199" s="18">
        <v>1</v>
      </c>
      <c r="AT1199" s="19" t="s">
        <v>104</v>
      </c>
      <c r="AX1199" s="22" t="str">
        <f>IF(AND('[1]observations-276632'!W1199&gt;'[1]Methods write-up'!$Q$16,'[1]observations-276632'!W1199&lt;'[1]Methods write-up'!$R$16,'[1]observations-276632'!X1199&gt;'[1]Methods write-up'!$S$16,'[1]observations-276632'!X1199&lt;'[1]Methods write-up'!$T$16),"West and Central Africa","")</f>
        <v/>
      </c>
      <c r="AY1199" s="22" t="str">
        <f>IF(AND('[1]observations-276632'!W1199&gt;'[1]Methods write-up'!$Q$17,'[1]observations-276632'!W1199&lt;'[1]Methods write-up'!$R$17,'[1]observations-276632'!X1199&gt;'[1]Methods write-up'!$S$17,'[1]observations-276632'!X1199&lt;'[1]Methods write-up'!$T$17),"Equatorial tropical forest","")</f>
        <v/>
      </c>
      <c r="AZ1199" s="22" t="str">
        <f>IF(AND('[1]observations-276632'!W1199&gt;'[1]Methods write-up'!$Q$18,'[1]observations-276632'!W1199&lt;'[1]Methods write-up'!$R$18,'[1]observations-276632'!X1199&gt;'[1]Methods write-up'!$S$18,'[1]observations-276632'!X1199&lt;'[1]Methods write-up'!$T$18),"Somali peninsula","")</f>
        <v/>
      </c>
      <c r="BA1199" s="22" t="str">
        <f>IF(AND('[1]observations-276632'!W1199&gt;'[1]Methods write-up'!$Q$19,'[1]observations-276632'!W1199&lt;'[1]Methods write-up'!$R$19,'[1]observations-276632'!X1199&gt;'[1]Methods write-up'!$S$19,'[1]observations-276632'!X1199&lt;'[1]Methods write-up'!$T$19),"East Africa","")</f>
        <v/>
      </c>
      <c r="BB1199" s="22" t="str">
        <f>IF(AND('[1]observations-276632'!W1199&gt;'[1]Methods write-up'!$Q$20,'[1]observations-276632'!W1199&lt;'[1]Methods write-up'!$R$20,'[1]observations-276632'!X1199&gt;'[1]Methods write-up'!$S$20,'[1]observations-276632'!X1199&lt;'[1]Methods write-up'!$T$20),"Temperate seasonal","")</f>
        <v>Temperate seasonal</v>
      </c>
      <c r="BC1199" s="22" t="str">
        <f>IF(AND('[1]observations-276632'!W1199&gt;'[1]Methods write-up'!$Q$21,'[1]observations-276632'!W1199&lt;'[1]Methods write-up'!$R$21,'[1]observations-276632'!X1199&gt;'[1]Methods write-up'!$S$21,'[1]observations-276632'!X1199&lt;'[1]Methods write-up'!$T$21),"Desert and high aridity","")</f>
        <v/>
      </c>
      <c r="BD1199" s="23" t="str">
        <f t="shared" si="93"/>
        <v>Temperate seasonal</v>
      </c>
      <c r="BE1199" s="24">
        <f t="shared" si="91"/>
        <v>19</v>
      </c>
      <c r="BF1199" s="24">
        <f t="shared" si="92"/>
        <v>10</v>
      </c>
    </row>
    <row r="1200" spans="1:58" ht="16.25" customHeight="1" x14ac:dyDescent="0.2">
      <c r="A1200">
        <v>139404909</v>
      </c>
      <c r="B1200" s="25">
        <v>42758.284722222219</v>
      </c>
      <c r="C1200" s="14">
        <v>42758</v>
      </c>
      <c r="D1200" t="s">
        <v>8826</v>
      </c>
      <c r="E1200" t="s">
        <v>113</v>
      </c>
      <c r="F1200">
        <v>4907339</v>
      </c>
      <c r="G1200" t="s">
        <v>7975</v>
      </c>
      <c r="I1200" t="s">
        <v>8827</v>
      </c>
      <c r="J1200" t="s">
        <v>8828</v>
      </c>
      <c r="K1200" t="s">
        <v>62</v>
      </c>
      <c r="L1200" t="s">
        <v>63</v>
      </c>
      <c r="M1200" t="s">
        <v>8829</v>
      </c>
      <c r="N1200" t="s">
        <v>8830</v>
      </c>
      <c r="R1200">
        <v>2</v>
      </c>
      <c r="S1200">
        <v>0</v>
      </c>
      <c r="T1200" t="b">
        <v>0</v>
      </c>
      <c r="V1200" t="s">
        <v>8160</v>
      </c>
      <c r="W1200" s="15">
        <v>-26.166044769999999</v>
      </c>
      <c r="X1200" s="15">
        <v>28.034424040000001</v>
      </c>
      <c r="Y1200">
        <v>2</v>
      </c>
      <c r="AC1200">
        <v>2</v>
      </c>
      <c r="AF1200" t="b">
        <v>0</v>
      </c>
      <c r="AI1200" t="s">
        <v>71</v>
      </c>
      <c r="AJ1200" t="s">
        <v>70</v>
      </c>
      <c r="AK1200" t="s">
        <v>71</v>
      </c>
      <c r="AL1200" t="s">
        <v>72</v>
      </c>
      <c r="AM1200">
        <v>346053</v>
      </c>
      <c r="AO1200" s="16" t="s">
        <v>73</v>
      </c>
      <c r="AP1200" s="17" t="str">
        <f t="shared" ref="AP1200:AP1263" si="94">IF(COUNTIF(AO1200,"*foundress*"),"Nest (foundress)",AO1200)</f>
        <v>Off-nest female</v>
      </c>
      <c r="AX1200" s="22" t="str">
        <f>IF(AND('[1]observations-276632'!W1200&gt;'[1]Methods write-up'!$Q$16,'[1]observations-276632'!W1200&lt;'[1]Methods write-up'!$R$16,'[1]observations-276632'!X1200&gt;'[1]Methods write-up'!$S$16,'[1]observations-276632'!X1200&lt;'[1]Methods write-up'!$T$16),"West and Central Africa","")</f>
        <v/>
      </c>
      <c r="AY1200" s="22" t="str">
        <f>IF(AND('[1]observations-276632'!W1200&gt;'[1]Methods write-up'!$Q$17,'[1]observations-276632'!W1200&lt;'[1]Methods write-up'!$R$17,'[1]observations-276632'!X1200&gt;'[1]Methods write-up'!$S$17,'[1]observations-276632'!X1200&lt;'[1]Methods write-up'!$T$17),"Equatorial tropical forest","")</f>
        <v/>
      </c>
      <c r="AZ1200" s="22" t="str">
        <f>IF(AND('[1]observations-276632'!W1200&gt;'[1]Methods write-up'!$Q$18,'[1]observations-276632'!W1200&lt;'[1]Methods write-up'!$R$18,'[1]observations-276632'!X1200&gt;'[1]Methods write-up'!$S$18,'[1]observations-276632'!X1200&lt;'[1]Methods write-up'!$T$18),"Somali peninsula","")</f>
        <v/>
      </c>
      <c r="BA1200" s="22" t="str">
        <f>IF(AND('[1]observations-276632'!W1200&gt;'[1]Methods write-up'!$Q$19,'[1]observations-276632'!W1200&lt;'[1]Methods write-up'!$R$19,'[1]observations-276632'!X1200&gt;'[1]Methods write-up'!$S$19,'[1]observations-276632'!X1200&lt;'[1]Methods write-up'!$T$19),"East Africa","")</f>
        <v/>
      </c>
      <c r="BB1200" s="22" t="str">
        <f>IF(AND('[1]observations-276632'!W1200&gt;'[1]Methods write-up'!$Q$20,'[1]observations-276632'!W1200&lt;'[1]Methods write-up'!$R$20,'[1]observations-276632'!X1200&gt;'[1]Methods write-up'!$S$20,'[1]observations-276632'!X1200&lt;'[1]Methods write-up'!$T$20),"Temperate seasonal","")</f>
        <v>Temperate seasonal</v>
      </c>
      <c r="BC1200" s="22" t="str">
        <f>IF(AND('[1]observations-276632'!W1200&gt;'[1]Methods write-up'!$Q$21,'[1]observations-276632'!W1200&lt;'[1]Methods write-up'!$R$21,'[1]observations-276632'!X1200&gt;'[1]Methods write-up'!$S$21,'[1]observations-276632'!X1200&lt;'[1]Methods write-up'!$T$21),"Desert and high aridity","")</f>
        <v/>
      </c>
      <c r="BD1200" s="23" t="str">
        <f t="shared" si="93"/>
        <v>Temperate seasonal</v>
      </c>
      <c r="BE1200" s="24">
        <f t="shared" si="91"/>
        <v>23</v>
      </c>
      <c r="BF1200" s="24">
        <f t="shared" si="92"/>
        <v>1</v>
      </c>
    </row>
    <row r="1201" spans="1:58" ht="16.25" customHeight="1" x14ac:dyDescent="0.2">
      <c r="A1201">
        <v>139424294</v>
      </c>
      <c r="B1201" s="13">
        <v>43765</v>
      </c>
      <c r="C1201" s="14">
        <v>43765</v>
      </c>
      <c r="E1201" t="s">
        <v>8831</v>
      </c>
      <c r="F1201">
        <v>5200274</v>
      </c>
      <c r="G1201" t="s">
        <v>8832</v>
      </c>
      <c r="H1201" t="s">
        <v>8832</v>
      </c>
      <c r="I1201" t="s">
        <v>8833</v>
      </c>
      <c r="J1201" t="s">
        <v>8834</v>
      </c>
      <c r="K1201" t="s">
        <v>62</v>
      </c>
      <c r="L1201" t="s">
        <v>63</v>
      </c>
      <c r="M1201" t="s">
        <v>8835</v>
      </c>
      <c r="N1201" t="s">
        <v>8836</v>
      </c>
      <c r="R1201">
        <v>1</v>
      </c>
      <c r="S1201">
        <v>0</v>
      </c>
      <c r="T1201" t="b">
        <v>0</v>
      </c>
      <c r="V1201" t="s">
        <v>8837</v>
      </c>
      <c r="W1201" s="15">
        <v>10.08952536</v>
      </c>
      <c r="X1201" s="15">
        <v>-14.033347170000001</v>
      </c>
      <c r="Y1201">
        <v>57</v>
      </c>
      <c r="AC1201">
        <v>31208</v>
      </c>
      <c r="AD1201" t="s">
        <v>839</v>
      </c>
      <c r="AF1201" t="b">
        <v>1</v>
      </c>
      <c r="AI1201" t="s">
        <v>71</v>
      </c>
      <c r="AJ1201" t="s">
        <v>70</v>
      </c>
      <c r="AK1201" t="s">
        <v>71</v>
      </c>
      <c r="AL1201" t="s">
        <v>72</v>
      </c>
      <c r="AM1201">
        <v>346053</v>
      </c>
      <c r="AO1201" s="16" t="s">
        <v>140</v>
      </c>
      <c r="AP1201" s="17" t="str">
        <f t="shared" si="94"/>
        <v>Post-emergence nest</v>
      </c>
      <c r="AQ1201" s="18">
        <v>6</v>
      </c>
      <c r="AT1201" s="19" t="s">
        <v>141</v>
      </c>
      <c r="AU1201" s="20" t="s">
        <v>104</v>
      </c>
      <c r="AX1201" s="22" t="str">
        <f>IF(AND('[1]observations-276632'!W1201&gt;'[1]Methods write-up'!$Q$16,'[1]observations-276632'!W1201&lt;'[1]Methods write-up'!$R$16,'[1]observations-276632'!X1201&gt;'[1]Methods write-up'!$S$16,'[1]observations-276632'!X1201&lt;'[1]Methods write-up'!$T$16),"West and Central Africa","")</f>
        <v>West and Central Africa</v>
      </c>
      <c r="AY1201" s="22" t="str">
        <f>IF(AND('[1]observations-276632'!W1201&gt;'[1]Methods write-up'!$Q$17,'[1]observations-276632'!W1201&lt;'[1]Methods write-up'!$R$17,'[1]observations-276632'!X1201&gt;'[1]Methods write-up'!$S$17,'[1]observations-276632'!X1201&lt;'[1]Methods write-up'!$T$17),"Equatorial tropical forest","")</f>
        <v/>
      </c>
      <c r="AZ1201" s="22" t="str">
        <f>IF(AND('[1]observations-276632'!W1201&gt;'[1]Methods write-up'!$Q$18,'[1]observations-276632'!W1201&lt;'[1]Methods write-up'!$R$18,'[1]observations-276632'!X1201&gt;'[1]Methods write-up'!$S$18,'[1]observations-276632'!X1201&lt;'[1]Methods write-up'!$T$18),"Somali peninsula","")</f>
        <v/>
      </c>
      <c r="BA1201" s="22" t="str">
        <f>IF(AND('[1]observations-276632'!W1201&gt;'[1]Methods write-up'!$Q$19,'[1]observations-276632'!W1201&lt;'[1]Methods write-up'!$R$19,'[1]observations-276632'!X1201&gt;'[1]Methods write-up'!$S$19,'[1]observations-276632'!X1201&lt;'[1]Methods write-up'!$T$19),"East Africa","")</f>
        <v/>
      </c>
      <c r="BB1201" s="22" t="str">
        <f>IF(AND('[1]observations-276632'!W1201&gt;'[1]Methods write-up'!$Q$20,'[1]observations-276632'!W1201&lt;'[1]Methods write-up'!$R$20,'[1]observations-276632'!X1201&gt;'[1]Methods write-up'!$S$20,'[1]observations-276632'!X1201&lt;'[1]Methods write-up'!$T$20),"Temperate seasonal","")</f>
        <v/>
      </c>
      <c r="BC1201" s="22" t="str">
        <f>IF(AND('[1]observations-276632'!W1201&gt;'[1]Methods write-up'!$Q$21,'[1]observations-276632'!W1201&lt;'[1]Methods write-up'!$R$21,'[1]observations-276632'!X1201&gt;'[1]Methods write-up'!$S$21,'[1]observations-276632'!X1201&lt;'[1]Methods write-up'!$T$21),"Desert and high aridity","")</f>
        <v/>
      </c>
      <c r="BD1201" s="23" t="str">
        <f t="shared" si="93"/>
        <v>West and Central Africa</v>
      </c>
      <c r="BE1201" s="24">
        <f t="shared" si="91"/>
        <v>27</v>
      </c>
      <c r="BF1201" s="24">
        <f t="shared" si="92"/>
        <v>10</v>
      </c>
    </row>
    <row r="1202" spans="1:58" ht="16.25" customHeight="1" x14ac:dyDescent="0.2">
      <c r="A1202">
        <v>139466135</v>
      </c>
      <c r="B1202" s="25">
        <v>44846.488194444442</v>
      </c>
      <c r="C1202" s="14">
        <v>44846</v>
      </c>
      <c r="D1202" t="s">
        <v>8838</v>
      </c>
      <c r="E1202" t="s">
        <v>8296</v>
      </c>
      <c r="F1202">
        <v>960916</v>
      </c>
      <c r="G1202" t="s">
        <v>8839</v>
      </c>
      <c r="H1202" t="s">
        <v>8840</v>
      </c>
      <c r="I1202" t="s">
        <v>8841</v>
      </c>
      <c r="J1202" t="s">
        <v>8841</v>
      </c>
      <c r="K1202" t="s">
        <v>62</v>
      </c>
      <c r="L1202" t="s">
        <v>63</v>
      </c>
      <c r="M1202" t="s">
        <v>8842</v>
      </c>
      <c r="N1202" t="s">
        <v>8843</v>
      </c>
      <c r="R1202">
        <v>0</v>
      </c>
      <c r="S1202">
        <v>0</v>
      </c>
      <c r="T1202" t="b">
        <v>0</v>
      </c>
      <c r="V1202" t="s">
        <v>8844</v>
      </c>
      <c r="W1202" s="15">
        <v>-15.39535036</v>
      </c>
      <c r="X1202" s="15">
        <v>28.335586939999999</v>
      </c>
      <c r="Y1202">
        <v>4</v>
      </c>
      <c r="AC1202">
        <v>4</v>
      </c>
      <c r="AF1202" t="b">
        <v>0</v>
      </c>
      <c r="AI1202" t="s">
        <v>70</v>
      </c>
      <c r="AJ1202" t="s">
        <v>70</v>
      </c>
      <c r="AK1202" t="s">
        <v>71</v>
      </c>
      <c r="AL1202" t="s">
        <v>72</v>
      </c>
      <c r="AM1202">
        <v>346053</v>
      </c>
      <c r="AO1202" s="16" t="s">
        <v>140</v>
      </c>
      <c r="AP1202" s="17" t="str">
        <f t="shared" si="94"/>
        <v>Post-emergence nest</v>
      </c>
      <c r="AQ1202" s="18">
        <v>4</v>
      </c>
      <c r="AT1202" s="19" t="s">
        <v>141</v>
      </c>
      <c r="AU1202" s="20" t="s">
        <v>104</v>
      </c>
      <c r="AX1202" s="22" t="str">
        <f>IF(AND('[1]observations-276632'!W1202&gt;'[1]Methods write-up'!$Q$16,'[1]observations-276632'!W1202&lt;'[1]Methods write-up'!$R$16,'[1]observations-276632'!X1202&gt;'[1]Methods write-up'!$S$16,'[1]observations-276632'!X1202&lt;'[1]Methods write-up'!$T$16),"West and Central Africa","")</f>
        <v>West and Central Africa</v>
      </c>
      <c r="AY1202" s="22" t="str">
        <f>IF(AND('[1]observations-276632'!W1202&gt;'[1]Methods write-up'!$Q$17,'[1]observations-276632'!W1202&lt;'[1]Methods write-up'!$R$17,'[1]observations-276632'!X1202&gt;'[1]Methods write-up'!$S$17,'[1]observations-276632'!X1202&lt;'[1]Methods write-up'!$T$17),"Equatorial tropical forest","")</f>
        <v/>
      </c>
      <c r="AZ1202" s="22" t="str">
        <f>IF(AND('[1]observations-276632'!W1202&gt;'[1]Methods write-up'!$Q$18,'[1]observations-276632'!W1202&lt;'[1]Methods write-up'!$R$18,'[1]observations-276632'!X1202&gt;'[1]Methods write-up'!$S$18,'[1]observations-276632'!X1202&lt;'[1]Methods write-up'!$T$18),"Somali peninsula","")</f>
        <v/>
      </c>
      <c r="BA1202" s="22" t="str">
        <f>IF(AND('[1]observations-276632'!W1202&gt;'[1]Methods write-up'!$Q$19,'[1]observations-276632'!W1202&lt;'[1]Methods write-up'!$R$19,'[1]observations-276632'!X1202&gt;'[1]Methods write-up'!$S$19,'[1]observations-276632'!X1202&lt;'[1]Methods write-up'!$T$19),"East Africa","")</f>
        <v/>
      </c>
      <c r="BB1202" s="22" t="str">
        <f>IF(AND('[1]observations-276632'!W1202&gt;'[1]Methods write-up'!$Q$20,'[1]observations-276632'!W1202&lt;'[1]Methods write-up'!$R$20,'[1]observations-276632'!X1202&gt;'[1]Methods write-up'!$S$20,'[1]observations-276632'!X1202&lt;'[1]Methods write-up'!$T$20),"Temperate seasonal","")</f>
        <v/>
      </c>
      <c r="BC1202" s="22" t="str">
        <f>IF(AND('[1]observations-276632'!W1202&gt;'[1]Methods write-up'!$Q$21,'[1]observations-276632'!W1202&lt;'[1]Methods write-up'!$R$21,'[1]observations-276632'!X1202&gt;'[1]Methods write-up'!$S$21,'[1]observations-276632'!X1202&lt;'[1]Methods write-up'!$T$21),"Desert and high aridity","")</f>
        <v/>
      </c>
      <c r="BD1202" s="23" t="str">
        <f t="shared" si="93"/>
        <v>West and Central Africa</v>
      </c>
      <c r="BE1202" s="24">
        <f t="shared" si="91"/>
        <v>12</v>
      </c>
      <c r="BF1202" s="24">
        <f t="shared" si="92"/>
        <v>10</v>
      </c>
    </row>
    <row r="1203" spans="1:58" ht="16.25" customHeight="1" x14ac:dyDescent="0.2">
      <c r="A1203">
        <v>139720444</v>
      </c>
      <c r="B1203" s="25">
        <v>44852.368055555555</v>
      </c>
      <c r="C1203" s="14">
        <v>44852</v>
      </c>
      <c r="D1203" t="s">
        <v>8845</v>
      </c>
      <c r="E1203" t="s">
        <v>113</v>
      </c>
      <c r="F1203">
        <v>748380</v>
      </c>
      <c r="G1203" t="s">
        <v>7764</v>
      </c>
      <c r="I1203" t="s">
        <v>8846</v>
      </c>
      <c r="J1203" t="s">
        <v>8847</v>
      </c>
      <c r="K1203" t="s">
        <v>62</v>
      </c>
      <c r="L1203" t="s">
        <v>63</v>
      </c>
      <c r="M1203" t="s">
        <v>8848</v>
      </c>
      <c r="N1203" t="s">
        <v>8849</v>
      </c>
      <c r="R1203">
        <v>2</v>
      </c>
      <c r="S1203">
        <v>0</v>
      </c>
      <c r="T1203" t="b">
        <v>0</v>
      </c>
      <c r="V1203" t="s">
        <v>8850</v>
      </c>
      <c r="W1203" s="15">
        <v>-30.3739755</v>
      </c>
      <c r="X1203" s="15">
        <v>30.6989178</v>
      </c>
      <c r="Y1203">
        <v>208</v>
      </c>
      <c r="AC1203">
        <v>208</v>
      </c>
      <c r="AF1203" t="b">
        <v>0</v>
      </c>
      <c r="AI1203" t="s">
        <v>71</v>
      </c>
      <c r="AJ1203" t="s">
        <v>70</v>
      </c>
      <c r="AK1203" t="s">
        <v>71</v>
      </c>
      <c r="AL1203" t="s">
        <v>72</v>
      </c>
      <c r="AM1203">
        <v>346053</v>
      </c>
      <c r="AO1203" s="16" t="s">
        <v>73</v>
      </c>
      <c r="AP1203" s="17" t="str">
        <f t="shared" si="94"/>
        <v>Off-nest female</v>
      </c>
      <c r="AX1203" s="22" t="str">
        <f>IF(AND('[1]observations-276632'!W1203&gt;'[1]Methods write-up'!$Q$16,'[1]observations-276632'!W1203&lt;'[1]Methods write-up'!$R$16,'[1]observations-276632'!X1203&gt;'[1]Methods write-up'!$S$16,'[1]observations-276632'!X1203&lt;'[1]Methods write-up'!$T$16),"West and Central Africa","")</f>
        <v/>
      </c>
      <c r="AY1203" s="22" t="str">
        <f>IF(AND('[1]observations-276632'!W1203&gt;'[1]Methods write-up'!$Q$17,'[1]observations-276632'!W1203&lt;'[1]Methods write-up'!$R$17,'[1]observations-276632'!X1203&gt;'[1]Methods write-up'!$S$17,'[1]observations-276632'!X1203&lt;'[1]Methods write-up'!$T$17),"Equatorial tropical forest","")</f>
        <v/>
      </c>
      <c r="AZ1203" s="22" t="str">
        <f>IF(AND('[1]observations-276632'!W1203&gt;'[1]Methods write-up'!$Q$18,'[1]observations-276632'!W1203&lt;'[1]Methods write-up'!$R$18,'[1]observations-276632'!X1203&gt;'[1]Methods write-up'!$S$18,'[1]observations-276632'!X1203&lt;'[1]Methods write-up'!$T$18),"Somali peninsula","")</f>
        <v/>
      </c>
      <c r="BA1203" s="22" t="str">
        <f>IF(AND('[1]observations-276632'!W1203&gt;'[1]Methods write-up'!$Q$19,'[1]observations-276632'!W1203&lt;'[1]Methods write-up'!$R$19,'[1]observations-276632'!X1203&gt;'[1]Methods write-up'!$S$19,'[1]observations-276632'!X1203&lt;'[1]Methods write-up'!$T$19),"East Africa","")</f>
        <v/>
      </c>
      <c r="BB1203" s="22" t="str">
        <f>IF(AND('[1]observations-276632'!W1203&gt;'[1]Methods write-up'!$Q$20,'[1]observations-276632'!W1203&lt;'[1]Methods write-up'!$R$20,'[1]observations-276632'!X1203&gt;'[1]Methods write-up'!$S$20,'[1]observations-276632'!X1203&lt;'[1]Methods write-up'!$T$20),"Temperate seasonal","")</f>
        <v>Temperate seasonal</v>
      </c>
      <c r="BC1203" s="22" t="str">
        <f>IF(AND('[1]observations-276632'!W1203&gt;'[1]Methods write-up'!$Q$21,'[1]observations-276632'!W1203&lt;'[1]Methods write-up'!$R$21,'[1]observations-276632'!X1203&gt;'[1]Methods write-up'!$S$21,'[1]observations-276632'!X1203&lt;'[1]Methods write-up'!$T$21),"Desert and high aridity","")</f>
        <v/>
      </c>
      <c r="BD1203" s="23" t="str">
        <f t="shared" si="93"/>
        <v>Temperate seasonal</v>
      </c>
      <c r="BE1203" s="24">
        <f t="shared" si="91"/>
        <v>18</v>
      </c>
      <c r="BF1203" s="24">
        <f t="shared" si="92"/>
        <v>10</v>
      </c>
    </row>
    <row r="1204" spans="1:58" ht="16.25" customHeight="1" x14ac:dyDescent="0.2">
      <c r="A1204">
        <v>139762603</v>
      </c>
      <c r="B1204" s="25">
        <v>44851.636805555558</v>
      </c>
      <c r="C1204" s="14">
        <v>44851</v>
      </c>
      <c r="D1204" t="s">
        <v>8851</v>
      </c>
      <c r="E1204" t="s">
        <v>84</v>
      </c>
      <c r="F1204">
        <v>2624748</v>
      </c>
      <c r="G1204" t="s">
        <v>8852</v>
      </c>
      <c r="I1204" t="s">
        <v>8853</v>
      </c>
      <c r="J1204" t="s">
        <v>8854</v>
      </c>
      <c r="K1204" t="s">
        <v>62</v>
      </c>
      <c r="L1204" t="s">
        <v>63</v>
      </c>
      <c r="M1204" t="s">
        <v>8855</v>
      </c>
      <c r="N1204" t="s">
        <v>8856</v>
      </c>
      <c r="R1204">
        <v>0</v>
      </c>
      <c r="S1204">
        <v>0</v>
      </c>
      <c r="T1204" t="b">
        <v>0</v>
      </c>
      <c r="U1204">
        <v>2</v>
      </c>
      <c r="V1204" t="s">
        <v>8857</v>
      </c>
      <c r="W1204" s="15">
        <v>-1.021745101</v>
      </c>
      <c r="X1204" s="15">
        <v>34.525301570000003</v>
      </c>
      <c r="Y1204">
        <v>10</v>
      </c>
      <c r="AC1204">
        <v>10</v>
      </c>
      <c r="AF1204" t="b">
        <v>0</v>
      </c>
      <c r="AG1204" t="s">
        <v>350</v>
      </c>
      <c r="AH1204" t="s">
        <v>350</v>
      </c>
      <c r="AI1204" t="s">
        <v>71</v>
      </c>
      <c r="AJ1204" t="s">
        <v>70</v>
      </c>
      <c r="AK1204" t="s">
        <v>71</v>
      </c>
      <c r="AL1204" t="s">
        <v>72</v>
      </c>
      <c r="AM1204">
        <v>346053</v>
      </c>
      <c r="AO1204" s="16" t="s">
        <v>442</v>
      </c>
      <c r="AP1204" s="17" t="str">
        <f t="shared" si="94"/>
        <v>Dead female</v>
      </c>
      <c r="AX1204" s="22" t="str">
        <f>IF(AND('[1]observations-276632'!W1204&gt;'[1]Methods write-up'!$Q$16,'[1]observations-276632'!W1204&lt;'[1]Methods write-up'!$R$16,'[1]observations-276632'!X1204&gt;'[1]Methods write-up'!$S$16,'[1]observations-276632'!X1204&lt;'[1]Methods write-up'!$T$16),"West and Central Africa","")</f>
        <v/>
      </c>
      <c r="AY1204" s="22" t="str">
        <f>IF(AND('[1]observations-276632'!W1204&gt;'[1]Methods write-up'!$Q$17,'[1]observations-276632'!W1204&lt;'[1]Methods write-up'!$R$17,'[1]observations-276632'!X1204&gt;'[1]Methods write-up'!$S$17,'[1]observations-276632'!X1204&lt;'[1]Methods write-up'!$T$17),"Equatorial tropical forest","")</f>
        <v/>
      </c>
      <c r="AZ1204" s="22" t="str">
        <f>IF(AND('[1]observations-276632'!W1204&gt;'[1]Methods write-up'!$Q$18,'[1]observations-276632'!W1204&lt;'[1]Methods write-up'!$R$18,'[1]observations-276632'!X1204&gt;'[1]Methods write-up'!$S$18,'[1]observations-276632'!X1204&lt;'[1]Methods write-up'!$T$18),"Somali peninsula","")</f>
        <v/>
      </c>
      <c r="BA1204" s="22" t="str">
        <f>IF(AND('[1]observations-276632'!W1204&gt;'[1]Methods write-up'!$Q$19,'[1]observations-276632'!W1204&lt;'[1]Methods write-up'!$R$19,'[1]observations-276632'!X1204&gt;'[1]Methods write-up'!$S$19,'[1]observations-276632'!X1204&lt;'[1]Methods write-up'!$T$19),"East Africa","")</f>
        <v>East Africa</v>
      </c>
      <c r="BB1204" s="22" t="str">
        <f>IF(AND('[1]observations-276632'!W1204&gt;'[1]Methods write-up'!$Q$20,'[1]observations-276632'!W1204&lt;'[1]Methods write-up'!$R$20,'[1]observations-276632'!X1204&gt;'[1]Methods write-up'!$S$20,'[1]observations-276632'!X1204&lt;'[1]Methods write-up'!$T$20),"Temperate seasonal","")</f>
        <v/>
      </c>
      <c r="BC1204" s="22" t="str">
        <f>IF(AND('[1]observations-276632'!W1204&gt;'[1]Methods write-up'!$Q$21,'[1]observations-276632'!W1204&lt;'[1]Methods write-up'!$R$21,'[1]observations-276632'!X1204&gt;'[1]Methods write-up'!$S$21,'[1]observations-276632'!X1204&lt;'[1]Methods write-up'!$T$21),"Desert and high aridity","")</f>
        <v/>
      </c>
      <c r="BD1204" s="23" t="str">
        <f t="shared" si="93"/>
        <v>East Africa</v>
      </c>
      <c r="BE1204" s="24">
        <f t="shared" si="91"/>
        <v>17</v>
      </c>
      <c r="BF1204" s="24">
        <f t="shared" si="92"/>
        <v>10</v>
      </c>
    </row>
    <row r="1205" spans="1:58" ht="16.25" customHeight="1" x14ac:dyDescent="0.2">
      <c r="A1205">
        <v>140103479</v>
      </c>
      <c r="B1205" s="25">
        <v>40520.011111111111</v>
      </c>
      <c r="C1205" s="14">
        <v>40520</v>
      </c>
      <c r="D1205" t="s">
        <v>8858</v>
      </c>
      <c r="E1205" t="s">
        <v>7934</v>
      </c>
      <c r="F1205">
        <v>1540887</v>
      </c>
      <c r="G1205" t="s">
        <v>8859</v>
      </c>
      <c r="H1205" t="s">
        <v>8860</v>
      </c>
      <c r="I1205" t="s">
        <v>8861</v>
      </c>
      <c r="J1205" t="s">
        <v>8862</v>
      </c>
      <c r="K1205" t="s">
        <v>157</v>
      </c>
      <c r="L1205" t="s">
        <v>63</v>
      </c>
      <c r="M1205" t="s">
        <v>8863</v>
      </c>
      <c r="N1205" t="s">
        <v>8864</v>
      </c>
      <c r="R1205">
        <v>2</v>
      </c>
      <c r="S1205">
        <v>0</v>
      </c>
      <c r="T1205" t="b">
        <v>0</v>
      </c>
      <c r="V1205" t="s">
        <v>8865</v>
      </c>
      <c r="W1205" s="15">
        <v>-23.322701559999999</v>
      </c>
      <c r="X1205" s="15">
        <v>17.016930259999999</v>
      </c>
      <c r="Y1205">
        <v>61</v>
      </c>
      <c r="AC1205">
        <v>61</v>
      </c>
      <c r="AF1205" t="b">
        <v>0</v>
      </c>
      <c r="AI1205" t="s">
        <v>756</v>
      </c>
      <c r="AJ1205" t="s">
        <v>756</v>
      </c>
      <c r="AL1205" t="s">
        <v>72</v>
      </c>
      <c r="AM1205">
        <v>652800</v>
      </c>
      <c r="AO1205" s="16" t="s">
        <v>140</v>
      </c>
      <c r="AP1205" s="17" t="str">
        <f t="shared" si="94"/>
        <v>Post-emergence nest</v>
      </c>
      <c r="AQ1205" s="18">
        <v>4</v>
      </c>
      <c r="AT1205" s="19" t="s">
        <v>141</v>
      </c>
      <c r="AU1205" s="20" t="s">
        <v>104</v>
      </c>
      <c r="AX1205" s="22" t="str">
        <f>IF(AND('[1]observations-276632'!W1205&gt;'[1]Methods write-up'!$Q$16,'[1]observations-276632'!W1205&lt;'[1]Methods write-up'!$R$16,'[1]observations-276632'!X1205&gt;'[1]Methods write-up'!$S$16,'[1]observations-276632'!X1205&lt;'[1]Methods write-up'!$T$16),"West and Central Africa","")</f>
        <v/>
      </c>
      <c r="AY1205" s="22" t="str">
        <f>IF(AND('[1]observations-276632'!W1205&gt;'[1]Methods write-up'!$Q$17,'[1]observations-276632'!W1205&lt;'[1]Methods write-up'!$R$17,'[1]observations-276632'!X1205&gt;'[1]Methods write-up'!$S$17,'[1]observations-276632'!X1205&lt;'[1]Methods write-up'!$T$17),"Equatorial tropical forest","")</f>
        <v/>
      </c>
      <c r="AZ1205" s="22" t="str">
        <f>IF(AND('[1]observations-276632'!W1205&gt;'[1]Methods write-up'!$Q$18,'[1]observations-276632'!W1205&lt;'[1]Methods write-up'!$R$18,'[1]observations-276632'!X1205&gt;'[1]Methods write-up'!$S$18,'[1]observations-276632'!X1205&lt;'[1]Methods write-up'!$T$18),"Somali peninsula","")</f>
        <v/>
      </c>
      <c r="BA1205" s="22" t="str">
        <f>IF(AND('[1]observations-276632'!W1205&gt;'[1]Methods write-up'!$Q$19,'[1]observations-276632'!W1205&lt;'[1]Methods write-up'!$R$19,'[1]observations-276632'!X1205&gt;'[1]Methods write-up'!$S$19,'[1]observations-276632'!X1205&lt;'[1]Methods write-up'!$T$19),"East Africa","")</f>
        <v/>
      </c>
      <c r="BB1205" s="22" t="str">
        <f>IF(AND('[1]observations-276632'!W1205&gt;'[1]Methods write-up'!$Q$20,'[1]observations-276632'!W1205&lt;'[1]Methods write-up'!$R$20,'[1]observations-276632'!X1205&gt;'[1]Methods write-up'!$S$20,'[1]observations-276632'!X1205&lt;'[1]Methods write-up'!$T$20),"Temperate seasonal","")</f>
        <v/>
      </c>
      <c r="BC1205" s="22" t="str">
        <f>IF(AND('[1]observations-276632'!W1205&gt;'[1]Methods write-up'!$Q$21,'[1]observations-276632'!W1205&lt;'[1]Methods write-up'!$R$21,'[1]observations-276632'!X1205&gt;'[1]Methods write-up'!$S$21,'[1]observations-276632'!X1205&lt;'[1]Methods write-up'!$T$21),"Desert and high aridity","")</f>
        <v>Desert and high aridity</v>
      </c>
      <c r="BD1205" s="23" t="str">
        <f t="shared" si="93"/>
        <v>Desert and high aridity</v>
      </c>
      <c r="BE1205" s="24">
        <f t="shared" si="91"/>
        <v>8</v>
      </c>
      <c r="BF1205" s="24">
        <f t="shared" si="92"/>
        <v>12</v>
      </c>
    </row>
    <row r="1206" spans="1:58" ht="16.25" customHeight="1" x14ac:dyDescent="0.2">
      <c r="A1206">
        <v>140103480</v>
      </c>
      <c r="B1206" s="25">
        <v>40520.011111111111</v>
      </c>
      <c r="C1206" s="14">
        <v>40520</v>
      </c>
      <c r="D1206" t="s">
        <v>8858</v>
      </c>
      <c r="E1206" t="s">
        <v>7934</v>
      </c>
      <c r="F1206">
        <v>1540887</v>
      </c>
      <c r="G1206" t="s">
        <v>8859</v>
      </c>
      <c r="H1206" t="s">
        <v>8860</v>
      </c>
      <c r="I1206" t="s">
        <v>8866</v>
      </c>
      <c r="J1206" t="s">
        <v>8867</v>
      </c>
      <c r="K1206" t="s">
        <v>62</v>
      </c>
      <c r="L1206" t="s">
        <v>63</v>
      </c>
      <c r="M1206" t="s">
        <v>8868</v>
      </c>
      <c r="N1206" t="s">
        <v>8869</v>
      </c>
      <c r="R1206">
        <v>0</v>
      </c>
      <c r="S1206">
        <v>0</v>
      </c>
      <c r="T1206" t="b">
        <v>0</v>
      </c>
      <c r="V1206" t="s">
        <v>8865</v>
      </c>
      <c r="W1206" s="15">
        <v>-23.32072325</v>
      </c>
      <c r="X1206" s="15">
        <v>17.01857408</v>
      </c>
      <c r="Y1206">
        <v>31</v>
      </c>
      <c r="AC1206">
        <v>31</v>
      </c>
      <c r="AF1206" t="b">
        <v>0</v>
      </c>
      <c r="AI1206" t="s">
        <v>756</v>
      </c>
      <c r="AJ1206" t="s">
        <v>756</v>
      </c>
      <c r="AL1206" t="s">
        <v>72</v>
      </c>
      <c r="AM1206">
        <v>652800</v>
      </c>
      <c r="AO1206" s="16" t="s">
        <v>140</v>
      </c>
      <c r="AP1206" s="17" t="str">
        <f t="shared" si="94"/>
        <v>Post-emergence nest</v>
      </c>
      <c r="AQ1206" s="18">
        <v>10</v>
      </c>
      <c r="AT1206" s="19" t="s">
        <v>141</v>
      </c>
      <c r="AU1206" s="20" t="s">
        <v>141</v>
      </c>
      <c r="AX1206" s="22" t="str">
        <f>IF(AND('[1]observations-276632'!W1206&gt;'[1]Methods write-up'!$Q$16,'[1]observations-276632'!W1206&lt;'[1]Methods write-up'!$R$16,'[1]observations-276632'!X1206&gt;'[1]Methods write-up'!$S$16,'[1]observations-276632'!X1206&lt;'[1]Methods write-up'!$T$16),"West and Central Africa","")</f>
        <v/>
      </c>
      <c r="AY1206" s="22" t="str">
        <f>IF(AND('[1]observations-276632'!W1206&gt;'[1]Methods write-up'!$Q$17,'[1]observations-276632'!W1206&lt;'[1]Methods write-up'!$R$17,'[1]observations-276632'!X1206&gt;'[1]Methods write-up'!$S$17,'[1]observations-276632'!X1206&lt;'[1]Methods write-up'!$T$17),"Equatorial tropical forest","")</f>
        <v/>
      </c>
      <c r="AZ1206" s="22" t="str">
        <f>IF(AND('[1]observations-276632'!W1206&gt;'[1]Methods write-up'!$Q$18,'[1]observations-276632'!W1206&lt;'[1]Methods write-up'!$R$18,'[1]observations-276632'!X1206&gt;'[1]Methods write-up'!$S$18,'[1]observations-276632'!X1206&lt;'[1]Methods write-up'!$T$18),"Somali peninsula","")</f>
        <v/>
      </c>
      <c r="BA1206" s="22" t="str">
        <f>IF(AND('[1]observations-276632'!W1206&gt;'[1]Methods write-up'!$Q$19,'[1]observations-276632'!W1206&lt;'[1]Methods write-up'!$R$19,'[1]observations-276632'!X1206&gt;'[1]Methods write-up'!$S$19,'[1]observations-276632'!X1206&lt;'[1]Methods write-up'!$T$19),"East Africa","")</f>
        <v/>
      </c>
      <c r="BB1206" s="22" t="str">
        <f>IF(AND('[1]observations-276632'!W1206&gt;'[1]Methods write-up'!$Q$20,'[1]observations-276632'!W1206&lt;'[1]Methods write-up'!$R$20,'[1]observations-276632'!X1206&gt;'[1]Methods write-up'!$S$20,'[1]observations-276632'!X1206&lt;'[1]Methods write-up'!$T$20),"Temperate seasonal","")</f>
        <v/>
      </c>
      <c r="BC1206" s="22" t="str">
        <f>IF(AND('[1]observations-276632'!W1206&gt;'[1]Methods write-up'!$Q$21,'[1]observations-276632'!W1206&lt;'[1]Methods write-up'!$R$21,'[1]observations-276632'!X1206&gt;'[1]Methods write-up'!$S$21,'[1]observations-276632'!X1206&lt;'[1]Methods write-up'!$T$21),"Desert and high aridity","")</f>
        <v>Desert and high aridity</v>
      </c>
      <c r="BD1206" s="23" t="str">
        <f t="shared" si="93"/>
        <v>Desert and high aridity</v>
      </c>
      <c r="BE1206" s="24">
        <f t="shared" si="91"/>
        <v>8</v>
      </c>
      <c r="BF1206" s="24">
        <f t="shared" si="92"/>
        <v>12</v>
      </c>
    </row>
    <row r="1207" spans="1:58" ht="16.25" customHeight="1" x14ac:dyDescent="0.2">
      <c r="A1207">
        <v>140170149</v>
      </c>
      <c r="B1207" s="25">
        <v>44861.634027777778</v>
      </c>
      <c r="C1207" s="14">
        <v>44861</v>
      </c>
      <c r="D1207" t="s">
        <v>8870</v>
      </c>
      <c r="E1207" t="s">
        <v>113</v>
      </c>
      <c r="F1207">
        <v>6277340</v>
      </c>
      <c r="G1207" t="s">
        <v>8871</v>
      </c>
      <c r="H1207" t="s">
        <v>8872</v>
      </c>
      <c r="I1207" t="s">
        <v>8873</v>
      </c>
      <c r="J1207" t="s">
        <v>8874</v>
      </c>
      <c r="K1207" t="s">
        <v>62</v>
      </c>
      <c r="M1207" t="s">
        <v>8875</v>
      </c>
      <c r="N1207" t="s">
        <v>8876</v>
      </c>
      <c r="R1207">
        <v>0</v>
      </c>
      <c r="S1207">
        <v>0</v>
      </c>
      <c r="T1207" t="b">
        <v>0</v>
      </c>
      <c r="U1207">
        <v>2</v>
      </c>
      <c r="V1207" t="s">
        <v>8877</v>
      </c>
      <c r="W1207" s="15">
        <v>-25.596228679999999</v>
      </c>
      <c r="X1207" s="15">
        <v>28.263717140000001</v>
      </c>
      <c r="Y1207">
        <v>8</v>
      </c>
      <c r="AC1207">
        <v>8</v>
      </c>
      <c r="AF1207" t="b">
        <v>0</v>
      </c>
      <c r="AG1207" t="s">
        <v>350</v>
      </c>
      <c r="AH1207" t="s">
        <v>350</v>
      </c>
      <c r="AI1207" t="s">
        <v>102</v>
      </c>
      <c r="AJ1207" t="s">
        <v>102</v>
      </c>
      <c r="AL1207" t="s">
        <v>72</v>
      </c>
      <c r="AM1207">
        <v>1070939</v>
      </c>
      <c r="AO1207" s="16" t="s">
        <v>73</v>
      </c>
      <c r="AP1207" s="17" t="str">
        <f t="shared" si="94"/>
        <v>Off-nest female</v>
      </c>
      <c r="AX1207" s="22" t="str">
        <f>IF(AND('[1]observations-276632'!W1207&gt;'[1]Methods write-up'!$Q$16,'[1]observations-276632'!W1207&lt;'[1]Methods write-up'!$R$16,'[1]observations-276632'!X1207&gt;'[1]Methods write-up'!$S$16,'[1]observations-276632'!X1207&lt;'[1]Methods write-up'!$T$16),"West and Central Africa","")</f>
        <v/>
      </c>
      <c r="AY1207" s="22" t="str">
        <f>IF(AND('[1]observations-276632'!W1207&gt;'[1]Methods write-up'!$Q$17,'[1]observations-276632'!W1207&lt;'[1]Methods write-up'!$R$17,'[1]observations-276632'!X1207&gt;'[1]Methods write-up'!$S$17,'[1]observations-276632'!X1207&lt;'[1]Methods write-up'!$T$17),"Equatorial tropical forest","")</f>
        <v/>
      </c>
      <c r="AZ1207" s="22" t="str">
        <f>IF(AND('[1]observations-276632'!W1207&gt;'[1]Methods write-up'!$Q$18,'[1]observations-276632'!W1207&lt;'[1]Methods write-up'!$R$18,'[1]observations-276632'!X1207&gt;'[1]Methods write-up'!$S$18,'[1]observations-276632'!X1207&lt;'[1]Methods write-up'!$T$18),"Somali peninsula","")</f>
        <v/>
      </c>
      <c r="BA1207" s="22" t="str">
        <f>IF(AND('[1]observations-276632'!W1207&gt;'[1]Methods write-up'!$Q$19,'[1]observations-276632'!W1207&lt;'[1]Methods write-up'!$R$19,'[1]observations-276632'!X1207&gt;'[1]Methods write-up'!$S$19,'[1]observations-276632'!X1207&lt;'[1]Methods write-up'!$T$19),"East Africa","")</f>
        <v/>
      </c>
      <c r="BB1207" s="22" t="str">
        <f>IF(AND('[1]observations-276632'!W1207&gt;'[1]Methods write-up'!$Q$20,'[1]observations-276632'!W1207&lt;'[1]Methods write-up'!$R$20,'[1]observations-276632'!X1207&gt;'[1]Methods write-up'!$S$20,'[1]observations-276632'!X1207&lt;'[1]Methods write-up'!$T$20),"Temperate seasonal","")</f>
        <v>Temperate seasonal</v>
      </c>
      <c r="BC1207" s="22" t="str">
        <f>IF(AND('[1]observations-276632'!W1207&gt;'[1]Methods write-up'!$Q$21,'[1]observations-276632'!W1207&lt;'[1]Methods write-up'!$R$21,'[1]observations-276632'!X1207&gt;'[1]Methods write-up'!$S$21,'[1]observations-276632'!X1207&lt;'[1]Methods write-up'!$T$21),"Desert and high aridity","")</f>
        <v/>
      </c>
      <c r="BD1207" s="23" t="str">
        <f t="shared" si="93"/>
        <v>Temperate seasonal</v>
      </c>
      <c r="BE1207" s="24">
        <f t="shared" si="91"/>
        <v>27</v>
      </c>
      <c r="BF1207" s="24">
        <f t="shared" si="92"/>
        <v>10</v>
      </c>
    </row>
    <row r="1208" spans="1:58" ht="16.25" customHeight="1" x14ac:dyDescent="0.2">
      <c r="A1208">
        <v>140227392</v>
      </c>
      <c r="B1208" s="25">
        <v>44862.339583333334</v>
      </c>
      <c r="C1208" s="14">
        <v>44862</v>
      </c>
      <c r="D1208" t="s">
        <v>8878</v>
      </c>
      <c r="E1208" t="s">
        <v>113</v>
      </c>
      <c r="F1208">
        <v>4023157</v>
      </c>
      <c r="G1208" t="s">
        <v>4891</v>
      </c>
      <c r="H1208" t="s">
        <v>4892</v>
      </c>
      <c r="I1208" t="s">
        <v>8879</v>
      </c>
      <c r="J1208" t="s">
        <v>8880</v>
      </c>
      <c r="K1208" t="s">
        <v>62</v>
      </c>
      <c r="M1208" t="s">
        <v>8881</v>
      </c>
      <c r="N1208" t="s">
        <v>8882</v>
      </c>
      <c r="R1208">
        <v>3</v>
      </c>
      <c r="S1208">
        <v>0</v>
      </c>
      <c r="T1208" t="b">
        <v>0</v>
      </c>
      <c r="U1208">
        <v>2</v>
      </c>
      <c r="V1208" t="s">
        <v>4898</v>
      </c>
      <c r="W1208" s="15">
        <v>-25.79744492</v>
      </c>
      <c r="X1208" s="15">
        <v>28.298322670000001</v>
      </c>
      <c r="Y1208">
        <v>200</v>
      </c>
      <c r="AC1208">
        <v>200</v>
      </c>
      <c r="AF1208" t="b">
        <v>0</v>
      </c>
      <c r="AG1208" t="s">
        <v>350</v>
      </c>
      <c r="AH1208" t="s">
        <v>350</v>
      </c>
      <c r="AI1208" t="s">
        <v>71</v>
      </c>
      <c r="AJ1208" t="s">
        <v>70</v>
      </c>
      <c r="AK1208" t="s">
        <v>71</v>
      </c>
      <c r="AL1208" t="s">
        <v>72</v>
      </c>
      <c r="AM1208">
        <v>346053</v>
      </c>
      <c r="AO1208" s="16" t="s">
        <v>73</v>
      </c>
      <c r="AP1208" s="17" t="str">
        <f t="shared" si="94"/>
        <v>Off-nest female</v>
      </c>
      <c r="AX1208" s="22" t="str">
        <f>IF(AND('[1]observations-276632'!W1208&gt;'[1]Methods write-up'!$Q$16,'[1]observations-276632'!W1208&lt;'[1]Methods write-up'!$R$16,'[1]observations-276632'!X1208&gt;'[1]Methods write-up'!$S$16,'[1]observations-276632'!X1208&lt;'[1]Methods write-up'!$T$16),"West and Central Africa","")</f>
        <v/>
      </c>
      <c r="AY1208" s="22" t="str">
        <f>IF(AND('[1]observations-276632'!W1208&gt;'[1]Methods write-up'!$Q$17,'[1]observations-276632'!W1208&lt;'[1]Methods write-up'!$R$17,'[1]observations-276632'!X1208&gt;'[1]Methods write-up'!$S$17,'[1]observations-276632'!X1208&lt;'[1]Methods write-up'!$T$17),"Equatorial tropical forest","")</f>
        <v/>
      </c>
      <c r="AZ1208" s="22" t="str">
        <f>IF(AND('[1]observations-276632'!W1208&gt;'[1]Methods write-up'!$Q$18,'[1]observations-276632'!W1208&lt;'[1]Methods write-up'!$R$18,'[1]observations-276632'!X1208&gt;'[1]Methods write-up'!$S$18,'[1]observations-276632'!X1208&lt;'[1]Methods write-up'!$T$18),"Somali peninsula","")</f>
        <v/>
      </c>
      <c r="BA1208" s="22" t="str">
        <f>IF(AND('[1]observations-276632'!W1208&gt;'[1]Methods write-up'!$Q$19,'[1]observations-276632'!W1208&lt;'[1]Methods write-up'!$R$19,'[1]observations-276632'!X1208&gt;'[1]Methods write-up'!$S$19,'[1]observations-276632'!X1208&lt;'[1]Methods write-up'!$T$19),"East Africa","")</f>
        <v/>
      </c>
      <c r="BB1208" s="22" t="str">
        <f>IF(AND('[1]observations-276632'!W1208&gt;'[1]Methods write-up'!$Q$20,'[1]observations-276632'!W1208&lt;'[1]Methods write-up'!$R$20,'[1]observations-276632'!X1208&gt;'[1]Methods write-up'!$S$20,'[1]observations-276632'!X1208&lt;'[1]Methods write-up'!$T$20),"Temperate seasonal","")</f>
        <v>Temperate seasonal</v>
      </c>
      <c r="BC1208" s="22" t="str">
        <f>IF(AND('[1]observations-276632'!W1208&gt;'[1]Methods write-up'!$Q$21,'[1]observations-276632'!W1208&lt;'[1]Methods write-up'!$R$21,'[1]observations-276632'!X1208&gt;'[1]Methods write-up'!$S$21,'[1]observations-276632'!X1208&lt;'[1]Methods write-up'!$T$21),"Desert and high aridity","")</f>
        <v/>
      </c>
      <c r="BD1208" s="23" t="str">
        <f t="shared" si="93"/>
        <v>Temperate seasonal</v>
      </c>
      <c r="BE1208" s="24">
        <f t="shared" si="91"/>
        <v>28</v>
      </c>
      <c r="BF1208" s="24">
        <f t="shared" si="92"/>
        <v>10</v>
      </c>
    </row>
    <row r="1209" spans="1:58" ht="16.25" customHeight="1" x14ac:dyDescent="0.2">
      <c r="A1209">
        <v>140296109</v>
      </c>
      <c r="B1209" s="25">
        <v>44862.470833333333</v>
      </c>
      <c r="C1209" s="14">
        <v>44862</v>
      </c>
      <c r="D1209" t="s">
        <v>8883</v>
      </c>
      <c r="E1209" t="s">
        <v>113</v>
      </c>
      <c r="F1209">
        <v>6284964</v>
      </c>
      <c r="G1209" t="s">
        <v>8884</v>
      </c>
      <c r="H1209" t="s">
        <v>8885</v>
      </c>
      <c r="I1209" t="s">
        <v>8886</v>
      </c>
      <c r="J1209" t="s">
        <v>8887</v>
      </c>
      <c r="K1209" t="s">
        <v>62</v>
      </c>
      <c r="M1209" t="s">
        <v>8888</v>
      </c>
      <c r="N1209" t="s">
        <v>8889</v>
      </c>
      <c r="R1209">
        <v>3</v>
      </c>
      <c r="S1209">
        <v>0</v>
      </c>
      <c r="T1209" t="b">
        <v>0</v>
      </c>
      <c r="U1209">
        <v>2</v>
      </c>
      <c r="V1209" t="s">
        <v>8890</v>
      </c>
      <c r="W1209" s="15">
        <v>-25.477046170000001</v>
      </c>
      <c r="X1209" s="15">
        <v>28.092643840000001</v>
      </c>
      <c r="Y1209">
        <v>11</v>
      </c>
      <c r="AC1209">
        <v>11</v>
      </c>
      <c r="AF1209" t="b">
        <v>0</v>
      </c>
      <c r="AG1209" t="s">
        <v>350</v>
      </c>
      <c r="AH1209" t="s">
        <v>350</v>
      </c>
      <c r="AI1209" t="s">
        <v>71</v>
      </c>
      <c r="AJ1209" t="s">
        <v>70</v>
      </c>
      <c r="AK1209" t="s">
        <v>71</v>
      </c>
      <c r="AL1209" t="s">
        <v>72</v>
      </c>
      <c r="AM1209">
        <v>346053</v>
      </c>
      <c r="AO1209" s="16" t="s">
        <v>1574</v>
      </c>
      <c r="AP1209" s="17" t="str">
        <f t="shared" si="94"/>
        <v>Nest (foundress)</v>
      </c>
      <c r="AQ1209" s="18">
        <v>2</v>
      </c>
      <c r="AT1209" s="19" t="s">
        <v>104</v>
      </c>
      <c r="AX1209" s="22" t="str">
        <f>IF(AND('[1]observations-276632'!W1209&gt;'[1]Methods write-up'!$Q$16,'[1]observations-276632'!W1209&lt;'[1]Methods write-up'!$R$16,'[1]observations-276632'!X1209&gt;'[1]Methods write-up'!$S$16,'[1]observations-276632'!X1209&lt;'[1]Methods write-up'!$T$16),"West and Central Africa","")</f>
        <v/>
      </c>
      <c r="AY1209" s="22" t="str">
        <f>IF(AND('[1]observations-276632'!W1209&gt;'[1]Methods write-up'!$Q$17,'[1]observations-276632'!W1209&lt;'[1]Methods write-up'!$R$17,'[1]observations-276632'!X1209&gt;'[1]Methods write-up'!$S$17,'[1]observations-276632'!X1209&lt;'[1]Methods write-up'!$T$17),"Equatorial tropical forest","")</f>
        <v/>
      </c>
      <c r="AZ1209" s="22" t="str">
        <f>IF(AND('[1]observations-276632'!W1209&gt;'[1]Methods write-up'!$Q$18,'[1]observations-276632'!W1209&lt;'[1]Methods write-up'!$R$18,'[1]observations-276632'!X1209&gt;'[1]Methods write-up'!$S$18,'[1]observations-276632'!X1209&lt;'[1]Methods write-up'!$T$18),"Somali peninsula","")</f>
        <v/>
      </c>
      <c r="BA1209" s="22" t="str">
        <f>IF(AND('[1]observations-276632'!W1209&gt;'[1]Methods write-up'!$Q$19,'[1]observations-276632'!W1209&lt;'[1]Methods write-up'!$R$19,'[1]observations-276632'!X1209&gt;'[1]Methods write-up'!$S$19,'[1]observations-276632'!X1209&lt;'[1]Methods write-up'!$T$19),"East Africa","")</f>
        <v/>
      </c>
      <c r="BB1209" s="22" t="str">
        <f>IF(AND('[1]observations-276632'!W1209&gt;'[1]Methods write-up'!$Q$20,'[1]observations-276632'!W1209&lt;'[1]Methods write-up'!$R$20,'[1]observations-276632'!X1209&gt;'[1]Methods write-up'!$S$20,'[1]observations-276632'!X1209&lt;'[1]Methods write-up'!$T$20),"Temperate seasonal","")</f>
        <v>Temperate seasonal</v>
      </c>
      <c r="BC1209" s="22" t="str">
        <f>IF(AND('[1]observations-276632'!W1209&gt;'[1]Methods write-up'!$Q$21,'[1]observations-276632'!W1209&lt;'[1]Methods write-up'!$R$21,'[1]observations-276632'!X1209&gt;'[1]Methods write-up'!$S$21,'[1]observations-276632'!X1209&lt;'[1]Methods write-up'!$T$21),"Desert and high aridity","")</f>
        <v/>
      </c>
      <c r="BD1209" s="23" t="str">
        <f t="shared" si="93"/>
        <v>Temperate seasonal</v>
      </c>
      <c r="BE1209" s="24">
        <f t="shared" si="91"/>
        <v>28</v>
      </c>
      <c r="BF1209" s="24">
        <f t="shared" si="92"/>
        <v>10</v>
      </c>
    </row>
    <row r="1210" spans="1:58" ht="16.25" customHeight="1" x14ac:dyDescent="0.2">
      <c r="A1210">
        <v>140314106</v>
      </c>
      <c r="B1210" s="25">
        <v>44862.534722222219</v>
      </c>
      <c r="C1210" s="14">
        <v>44862</v>
      </c>
      <c r="D1210" t="s">
        <v>8891</v>
      </c>
      <c r="E1210" t="s">
        <v>113</v>
      </c>
      <c r="F1210">
        <v>919758</v>
      </c>
      <c r="G1210" t="s">
        <v>3231</v>
      </c>
      <c r="H1210" t="s">
        <v>3232</v>
      </c>
      <c r="I1210" t="s">
        <v>8892</v>
      </c>
      <c r="J1210" t="s">
        <v>8893</v>
      </c>
      <c r="K1210" t="s">
        <v>62</v>
      </c>
      <c r="M1210" t="s">
        <v>8894</v>
      </c>
      <c r="N1210" t="s">
        <v>8895</v>
      </c>
      <c r="R1210">
        <v>1</v>
      </c>
      <c r="S1210">
        <v>0</v>
      </c>
      <c r="T1210" t="b">
        <v>0</v>
      </c>
      <c r="U1210">
        <v>2</v>
      </c>
      <c r="V1210" t="s">
        <v>3237</v>
      </c>
      <c r="W1210" s="15">
        <v>-25.73291888</v>
      </c>
      <c r="X1210" s="15">
        <v>28.023179320000001</v>
      </c>
      <c r="Y1210">
        <v>5</v>
      </c>
      <c r="AC1210">
        <v>5</v>
      </c>
      <c r="AF1210" t="b">
        <v>0</v>
      </c>
      <c r="AG1210" t="s">
        <v>350</v>
      </c>
      <c r="AH1210" t="s">
        <v>350</v>
      </c>
      <c r="AI1210" t="s">
        <v>71</v>
      </c>
      <c r="AJ1210" t="s">
        <v>70</v>
      </c>
      <c r="AK1210" t="s">
        <v>71</v>
      </c>
      <c r="AL1210" t="s">
        <v>72</v>
      </c>
      <c r="AM1210">
        <v>346053</v>
      </c>
      <c r="AO1210" s="16" t="s">
        <v>8896</v>
      </c>
      <c r="AP1210" s="17" t="str">
        <f t="shared" si="94"/>
        <v>Close-up of female on post-emergence nest</v>
      </c>
      <c r="AX1210" s="22" t="str">
        <f>IF(AND('[1]observations-276632'!W1210&gt;'[1]Methods write-up'!$Q$16,'[1]observations-276632'!W1210&lt;'[1]Methods write-up'!$R$16,'[1]observations-276632'!X1210&gt;'[1]Methods write-up'!$S$16,'[1]observations-276632'!X1210&lt;'[1]Methods write-up'!$T$16),"West and Central Africa","")</f>
        <v/>
      </c>
      <c r="AY1210" s="22" t="str">
        <f>IF(AND('[1]observations-276632'!W1210&gt;'[1]Methods write-up'!$Q$17,'[1]observations-276632'!W1210&lt;'[1]Methods write-up'!$R$17,'[1]observations-276632'!X1210&gt;'[1]Methods write-up'!$S$17,'[1]observations-276632'!X1210&lt;'[1]Methods write-up'!$T$17),"Equatorial tropical forest","")</f>
        <v/>
      </c>
      <c r="AZ1210" s="22" t="str">
        <f>IF(AND('[1]observations-276632'!W1210&gt;'[1]Methods write-up'!$Q$18,'[1]observations-276632'!W1210&lt;'[1]Methods write-up'!$R$18,'[1]observations-276632'!X1210&gt;'[1]Methods write-up'!$S$18,'[1]observations-276632'!X1210&lt;'[1]Methods write-up'!$T$18),"Somali peninsula","")</f>
        <v/>
      </c>
      <c r="BA1210" s="22" t="str">
        <f>IF(AND('[1]observations-276632'!W1210&gt;'[1]Methods write-up'!$Q$19,'[1]observations-276632'!W1210&lt;'[1]Methods write-up'!$R$19,'[1]observations-276632'!X1210&gt;'[1]Methods write-up'!$S$19,'[1]observations-276632'!X1210&lt;'[1]Methods write-up'!$T$19),"East Africa","")</f>
        <v/>
      </c>
      <c r="BB1210" s="22" t="str">
        <f>IF(AND('[1]observations-276632'!W1210&gt;'[1]Methods write-up'!$Q$20,'[1]observations-276632'!W1210&lt;'[1]Methods write-up'!$R$20,'[1]observations-276632'!X1210&gt;'[1]Methods write-up'!$S$20,'[1]observations-276632'!X1210&lt;'[1]Methods write-up'!$T$20),"Temperate seasonal","")</f>
        <v>Temperate seasonal</v>
      </c>
      <c r="BC1210" s="22" t="str">
        <f>IF(AND('[1]observations-276632'!W1210&gt;'[1]Methods write-up'!$Q$21,'[1]observations-276632'!W1210&lt;'[1]Methods write-up'!$R$21,'[1]observations-276632'!X1210&gt;'[1]Methods write-up'!$S$21,'[1]observations-276632'!X1210&lt;'[1]Methods write-up'!$T$21),"Desert and high aridity","")</f>
        <v/>
      </c>
      <c r="BD1210" s="23" t="str">
        <f t="shared" si="93"/>
        <v>Temperate seasonal</v>
      </c>
      <c r="BE1210" s="24">
        <f t="shared" si="91"/>
        <v>28</v>
      </c>
      <c r="BF1210" s="24">
        <f t="shared" si="92"/>
        <v>10</v>
      </c>
    </row>
    <row r="1211" spans="1:58" ht="16.25" customHeight="1" x14ac:dyDescent="0.2">
      <c r="A1211">
        <v>140337823</v>
      </c>
      <c r="B1211" s="25">
        <v>44862.438888888886</v>
      </c>
      <c r="C1211" s="14">
        <v>44862</v>
      </c>
      <c r="D1211" t="s">
        <v>8897</v>
      </c>
      <c r="E1211" t="s">
        <v>113</v>
      </c>
      <c r="F1211">
        <v>6284964</v>
      </c>
      <c r="G1211" t="s">
        <v>8884</v>
      </c>
      <c r="H1211" t="s">
        <v>8885</v>
      </c>
      <c r="I1211" t="s">
        <v>8898</v>
      </c>
      <c r="J1211" t="s">
        <v>8899</v>
      </c>
      <c r="K1211" t="s">
        <v>62</v>
      </c>
      <c r="M1211" t="s">
        <v>8900</v>
      </c>
      <c r="N1211" t="s">
        <v>8901</v>
      </c>
      <c r="R1211">
        <v>3</v>
      </c>
      <c r="S1211">
        <v>0</v>
      </c>
      <c r="T1211" t="b">
        <v>0</v>
      </c>
      <c r="U1211">
        <v>2</v>
      </c>
      <c r="V1211" t="s">
        <v>8890</v>
      </c>
      <c r="W1211" s="15">
        <v>-25.47700682</v>
      </c>
      <c r="X1211" s="15">
        <v>28.09268441</v>
      </c>
      <c r="Y1211">
        <v>8</v>
      </c>
      <c r="AC1211">
        <v>8</v>
      </c>
      <c r="AF1211" t="b">
        <v>0</v>
      </c>
      <c r="AG1211" t="s">
        <v>350</v>
      </c>
      <c r="AH1211" t="s">
        <v>350</v>
      </c>
      <c r="AI1211" t="s">
        <v>71</v>
      </c>
      <c r="AJ1211" t="s">
        <v>70</v>
      </c>
      <c r="AK1211" t="s">
        <v>71</v>
      </c>
      <c r="AL1211" t="s">
        <v>72</v>
      </c>
      <c r="AM1211">
        <v>346053</v>
      </c>
      <c r="AO1211" s="16" t="s">
        <v>73</v>
      </c>
      <c r="AP1211" s="17" t="str">
        <f t="shared" si="94"/>
        <v>Off-nest female</v>
      </c>
      <c r="AX1211" s="22" t="str">
        <f>IF(AND('[1]observations-276632'!W1211&gt;'[1]Methods write-up'!$Q$16,'[1]observations-276632'!W1211&lt;'[1]Methods write-up'!$R$16,'[1]observations-276632'!X1211&gt;'[1]Methods write-up'!$S$16,'[1]observations-276632'!X1211&lt;'[1]Methods write-up'!$T$16),"West and Central Africa","")</f>
        <v/>
      </c>
      <c r="AY1211" s="22" t="str">
        <f>IF(AND('[1]observations-276632'!W1211&gt;'[1]Methods write-up'!$Q$17,'[1]observations-276632'!W1211&lt;'[1]Methods write-up'!$R$17,'[1]observations-276632'!X1211&gt;'[1]Methods write-up'!$S$17,'[1]observations-276632'!X1211&lt;'[1]Methods write-up'!$T$17),"Equatorial tropical forest","")</f>
        <v/>
      </c>
      <c r="AZ1211" s="22" t="str">
        <f>IF(AND('[1]observations-276632'!W1211&gt;'[1]Methods write-up'!$Q$18,'[1]observations-276632'!W1211&lt;'[1]Methods write-up'!$R$18,'[1]observations-276632'!X1211&gt;'[1]Methods write-up'!$S$18,'[1]observations-276632'!X1211&lt;'[1]Methods write-up'!$T$18),"Somali peninsula","")</f>
        <v/>
      </c>
      <c r="BA1211" s="22" t="str">
        <f>IF(AND('[1]observations-276632'!W1211&gt;'[1]Methods write-up'!$Q$19,'[1]observations-276632'!W1211&lt;'[1]Methods write-up'!$R$19,'[1]observations-276632'!X1211&gt;'[1]Methods write-up'!$S$19,'[1]observations-276632'!X1211&lt;'[1]Methods write-up'!$T$19),"East Africa","")</f>
        <v/>
      </c>
      <c r="BB1211" s="22" t="str">
        <f>IF(AND('[1]observations-276632'!W1211&gt;'[1]Methods write-up'!$Q$20,'[1]observations-276632'!W1211&lt;'[1]Methods write-up'!$R$20,'[1]observations-276632'!X1211&gt;'[1]Methods write-up'!$S$20,'[1]observations-276632'!X1211&lt;'[1]Methods write-up'!$T$20),"Temperate seasonal","")</f>
        <v>Temperate seasonal</v>
      </c>
      <c r="BC1211" s="22" t="str">
        <f>IF(AND('[1]observations-276632'!W1211&gt;'[1]Methods write-up'!$Q$21,'[1]observations-276632'!W1211&lt;'[1]Methods write-up'!$R$21,'[1]observations-276632'!X1211&gt;'[1]Methods write-up'!$S$21,'[1]observations-276632'!X1211&lt;'[1]Methods write-up'!$T$21),"Desert and high aridity","")</f>
        <v/>
      </c>
      <c r="BD1211" s="23" t="str">
        <f t="shared" si="93"/>
        <v>Temperate seasonal</v>
      </c>
      <c r="BE1211" s="24">
        <f t="shared" si="91"/>
        <v>28</v>
      </c>
      <c r="BF1211" s="24">
        <f t="shared" si="92"/>
        <v>10</v>
      </c>
    </row>
    <row r="1212" spans="1:58" ht="16.25" customHeight="1" x14ac:dyDescent="0.2">
      <c r="A1212">
        <v>140376090</v>
      </c>
      <c r="B1212" t="s">
        <v>8902</v>
      </c>
      <c r="C1212" s="14">
        <v>44863</v>
      </c>
      <c r="D1212" t="s">
        <v>8903</v>
      </c>
      <c r="E1212" t="s">
        <v>113</v>
      </c>
      <c r="F1212">
        <v>6287228</v>
      </c>
      <c r="G1212" t="s">
        <v>8904</v>
      </c>
      <c r="I1212" t="s">
        <v>8905</v>
      </c>
      <c r="J1212" t="s">
        <v>8906</v>
      </c>
      <c r="K1212" t="s">
        <v>62</v>
      </c>
      <c r="L1212" t="s">
        <v>63</v>
      </c>
      <c r="M1212" t="s">
        <v>8907</v>
      </c>
      <c r="N1212" t="s">
        <v>8908</v>
      </c>
      <c r="R1212">
        <v>1</v>
      </c>
      <c r="S1212">
        <v>0</v>
      </c>
      <c r="T1212" t="b">
        <v>0</v>
      </c>
      <c r="U1212">
        <v>3</v>
      </c>
      <c r="V1212" t="s">
        <v>8909</v>
      </c>
      <c r="W1212" s="15">
        <v>-29.569470119999998</v>
      </c>
      <c r="X1212" s="15">
        <v>30.283892680000001</v>
      </c>
      <c r="Y1212">
        <v>8</v>
      </c>
      <c r="AC1212">
        <v>8</v>
      </c>
      <c r="AF1212" t="b">
        <v>0</v>
      </c>
      <c r="AI1212" t="s">
        <v>71</v>
      </c>
      <c r="AJ1212" t="s">
        <v>70</v>
      </c>
      <c r="AK1212" t="s">
        <v>71</v>
      </c>
      <c r="AL1212" t="s">
        <v>72</v>
      </c>
      <c r="AM1212">
        <v>346053</v>
      </c>
      <c r="AO1212" s="16" t="s">
        <v>1574</v>
      </c>
      <c r="AP1212" s="17" t="str">
        <f t="shared" si="94"/>
        <v>Nest (foundress)</v>
      </c>
      <c r="AQ1212" s="18">
        <v>3</v>
      </c>
      <c r="AT1212" s="19" t="s">
        <v>141</v>
      </c>
      <c r="AX1212" s="22" t="str">
        <f>IF(AND('[1]observations-276632'!W1212&gt;'[1]Methods write-up'!$Q$16,'[1]observations-276632'!W1212&lt;'[1]Methods write-up'!$R$16,'[1]observations-276632'!X1212&gt;'[1]Methods write-up'!$S$16,'[1]observations-276632'!X1212&lt;'[1]Methods write-up'!$T$16),"West and Central Africa","")</f>
        <v/>
      </c>
      <c r="AY1212" s="22" t="str">
        <f>IF(AND('[1]observations-276632'!W1212&gt;'[1]Methods write-up'!$Q$17,'[1]observations-276632'!W1212&lt;'[1]Methods write-up'!$R$17,'[1]observations-276632'!X1212&gt;'[1]Methods write-up'!$S$17,'[1]observations-276632'!X1212&lt;'[1]Methods write-up'!$T$17),"Equatorial tropical forest","")</f>
        <v/>
      </c>
      <c r="AZ1212" s="22" t="str">
        <f>IF(AND('[1]observations-276632'!W1212&gt;'[1]Methods write-up'!$Q$18,'[1]observations-276632'!W1212&lt;'[1]Methods write-up'!$R$18,'[1]observations-276632'!X1212&gt;'[1]Methods write-up'!$S$18,'[1]observations-276632'!X1212&lt;'[1]Methods write-up'!$T$18),"Somali peninsula","")</f>
        <v/>
      </c>
      <c r="BA1212" s="22" t="str">
        <f>IF(AND('[1]observations-276632'!W1212&gt;'[1]Methods write-up'!$Q$19,'[1]observations-276632'!W1212&lt;'[1]Methods write-up'!$R$19,'[1]observations-276632'!X1212&gt;'[1]Methods write-up'!$S$19,'[1]observations-276632'!X1212&lt;'[1]Methods write-up'!$T$19),"East Africa","")</f>
        <v/>
      </c>
      <c r="BB1212" s="22" t="str">
        <f>IF(AND('[1]observations-276632'!W1212&gt;'[1]Methods write-up'!$Q$20,'[1]observations-276632'!W1212&lt;'[1]Methods write-up'!$R$20,'[1]observations-276632'!X1212&gt;'[1]Methods write-up'!$S$20,'[1]observations-276632'!X1212&lt;'[1]Methods write-up'!$T$20),"Temperate seasonal","")</f>
        <v>Temperate seasonal</v>
      </c>
      <c r="BC1212" s="22" t="str">
        <f>IF(AND('[1]observations-276632'!W1212&gt;'[1]Methods write-up'!$Q$21,'[1]observations-276632'!W1212&lt;'[1]Methods write-up'!$R$21,'[1]observations-276632'!X1212&gt;'[1]Methods write-up'!$S$21,'[1]observations-276632'!X1212&lt;'[1]Methods write-up'!$T$21),"Desert and high aridity","")</f>
        <v/>
      </c>
      <c r="BD1212" s="23" t="str">
        <f t="shared" si="93"/>
        <v>Temperate seasonal</v>
      </c>
      <c r="BE1212" s="24">
        <f t="shared" si="91"/>
        <v>29</v>
      </c>
      <c r="BF1212" s="24">
        <f t="shared" si="92"/>
        <v>10</v>
      </c>
    </row>
    <row r="1213" spans="1:58" ht="16.25" customHeight="1" x14ac:dyDescent="0.2">
      <c r="A1213">
        <v>140381783</v>
      </c>
      <c r="B1213" s="25">
        <v>44862.707638888889</v>
      </c>
      <c r="C1213" s="14">
        <v>44862</v>
      </c>
      <c r="D1213" t="s">
        <v>8910</v>
      </c>
      <c r="E1213" t="s">
        <v>113</v>
      </c>
      <c r="F1213">
        <v>4249426</v>
      </c>
      <c r="G1213" t="s">
        <v>5343</v>
      </c>
      <c r="H1213" t="s">
        <v>5344</v>
      </c>
      <c r="I1213" t="s">
        <v>8911</v>
      </c>
      <c r="J1213" t="s">
        <v>8912</v>
      </c>
      <c r="K1213" t="s">
        <v>62</v>
      </c>
      <c r="L1213" t="s">
        <v>63</v>
      </c>
      <c r="M1213" t="s">
        <v>8913</v>
      </c>
      <c r="N1213" t="s">
        <v>8914</v>
      </c>
      <c r="R1213">
        <v>2</v>
      </c>
      <c r="S1213">
        <v>0</v>
      </c>
      <c r="T1213" t="b">
        <v>0</v>
      </c>
      <c r="U1213">
        <v>2</v>
      </c>
      <c r="V1213" t="s">
        <v>5349</v>
      </c>
      <c r="W1213" s="15">
        <v>-29.658326599999999</v>
      </c>
      <c r="X1213" s="15">
        <v>31.046896499999999</v>
      </c>
      <c r="AF1213" t="b">
        <v>0</v>
      </c>
      <c r="AG1213" t="s">
        <v>350</v>
      </c>
      <c r="AH1213" t="s">
        <v>350</v>
      </c>
      <c r="AI1213" t="s">
        <v>71</v>
      </c>
      <c r="AJ1213" t="s">
        <v>70</v>
      </c>
      <c r="AK1213" t="s">
        <v>71</v>
      </c>
      <c r="AL1213" t="s">
        <v>72</v>
      </c>
      <c r="AM1213">
        <v>346053</v>
      </c>
      <c r="AO1213" s="16" t="s">
        <v>73</v>
      </c>
      <c r="AP1213" s="17" t="str">
        <f t="shared" si="94"/>
        <v>Off-nest female</v>
      </c>
      <c r="AX1213" s="22" t="str">
        <f>IF(AND('[1]observations-276632'!W1213&gt;'[1]Methods write-up'!$Q$16,'[1]observations-276632'!W1213&lt;'[1]Methods write-up'!$R$16,'[1]observations-276632'!X1213&gt;'[1]Methods write-up'!$S$16,'[1]observations-276632'!X1213&lt;'[1]Methods write-up'!$T$16),"West and Central Africa","")</f>
        <v/>
      </c>
      <c r="AY1213" s="22" t="str">
        <f>IF(AND('[1]observations-276632'!W1213&gt;'[1]Methods write-up'!$Q$17,'[1]observations-276632'!W1213&lt;'[1]Methods write-up'!$R$17,'[1]observations-276632'!X1213&gt;'[1]Methods write-up'!$S$17,'[1]observations-276632'!X1213&lt;'[1]Methods write-up'!$T$17),"Equatorial tropical forest","")</f>
        <v/>
      </c>
      <c r="AZ1213" s="22" t="str">
        <f>IF(AND('[1]observations-276632'!W1213&gt;'[1]Methods write-up'!$Q$18,'[1]observations-276632'!W1213&lt;'[1]Methods write-up'!$R$18,'[1]observations-276632'!X1213&gt;'[1]Methods write-up'!$S$18,'[1]observations-276632'!X1213&lt;'[1]Methods write-up'!$T$18),"Somali peninsula","")</f>
        <v/>
      </c>
      <c r="BA1213" s="22" t="str">
        <f>IF(AND('[1]observations-276632'!W1213&gt;'[1]Methods write-up'!$Q$19,'[1]observations-276632'!W1213&lt;'[1]Methods write-up'!$R$19,'[1]observations-276632'!X1213&gt;'[1]Methods write-up'!$S$19,'[1]observations-276632'!X1213&lt;'[1]Methods write-up'!$T$19),"East Africa","")</f>
        <v/>
      </c>
      <c r="BB1213" s="22" t="str">
        <f>IF(AND('[1]observations-276632'!W1213&gt;'[1]Methods write-up'!$Q$20,'[1]observations-276632'!W1213&lt;'[1]Methods write-up'!$R$20,'[1]observations-276632'!X1213&gt;'[1]Methods write-up'!$S$20,'[1]observations-276632'!X1213&lt;'[1]Methods write-up'!$T$20),"Temperate seasonal","")</f>
        <v>Temperate seasonal</v>
      </c>
      <c r="BC1213" s="22" t="str">
        <f>IF(AND('[1]observations-276632'!W1213&gt;'[1]Methods write-up'!$Q$21,'[1]observations-276632'!W1213&lt;'[1]Methods write-up'!$R$21,'[1]observations-276632'!X1213&gt;'[1]Methods write-up'!$S$21,'[1]observations-276632'!X1213&lt;'[1]Methods write-up'!$T$21),"Desert and high aridity","")</f>
        <v/>
      </c>
      <c r="BD1213" s="23" t="str">
        <f t="shared" si="93"/>
        <v>Temperate seasonal</v>
      </c>
      <c r="BE1213" s="24">
        <f t="shared" si="91"/>
        <v>28</v>
      </c>
      <c r="BF1213" s="24">
        <f t="shared" si="92"/>
        <v>10</v>
      </c>
    </row>
    <row r="1214" spans="1:58" ht="16.25" customHeight="1" x14ac:dyDescent="0.2">
      <c r="A1214">
        <v>140398463</v>
      </c>
      <c r="B1214" s="25">
        <v>44863.396527777775</v>
      </c>
      <c r="C1214" s="14">
        <v>44863</v>
      </c>
      <c r="D1214" t="s">
        <v>8915</v>
      </c>
      <c r="E1214" t="s">
        <v>113</v>
      </c>
      <c r="F1214">
        <v>5410640</v>
      </c>
      <c r="G1214" t="s">
        <v>8916</v>
      </c>
      <c r="H1214" t="s">
        <v>8917</v>
      </c>
      <c r="I1214" t="s">
        <v>8918</v>
      </c>
      <c r="J1214" t="s">
        <v>8919</v>
      </c>
      <c r="K1214" t="s">
        <v>62</v>
      </c>
      <c r="L1214" t="s">
        <v>63</v>
      </c>
      <c r="M1214" t="s">
        <v>8920</v>
      </c>
      <c r="N1214" t="s">
        <v>8921</v>
      </c>
      <c r="R1214">
        <v>2</v>
      </c>
      <c r="S1214">
        <v>0</v>
      </c>
      <c r="T1214" t="b">
        <v>0</v>
      </c>
      <c r="U1214">
        <v>2</v>
      </c>
      <c r="V1214" t="s">
        <v>8922</v>
      </c>
      <c r="W1214" s="15">
        <v>-31.197797820000002</v>
      </c>
      <c r="X1214" s="15">
        <v>29.97198075</v>
      </c>
      <c r="Y1214">
        <v>1</v>
      </c>
      <c r="AC1214">
        <v>1</v>
      </c>
      <c r="AF1214" t="b">
        <v>0</v>
      </c>
      <c r="AI1214" t="s">
        <v>71</v>
      </c>
      <c r="AJ1214" t="s">
        <v>70</v>
      </c>
      <c r="AK1214" t="s">
        <v>71</v>
      </c>
      <c r="AL1214" t="s">
        <v>72</v>
      </c>
      <c r="AM1214">
        <v>346053</v>
      </c>
      <c r="AO1214" s="16" t="s">
        <v>73</v>
      </c>
      <c r="AP1214" s="17" t="str">
        <f t="shared" si="94"/>
        <v>Off-nest female</v>
      </c>
      <c r="AX1214" s="22" t="str">
        <f>IF(AND('[1]observations-276632'!W1214&gt;'[1]Methods write-up'!$Q$16,'[1]observations-276632'!W1214&lt;'[1]Methods write-up'!$R$16,'[1]observations-276632'!X1214&gt;'[1]Methods write-up'!$S$16,'[1]observations-276632'!X1214&lt;'[1]Methods write-up'!$T$16),"West and Central Africa","")</f>
        <v/>
      </c>
      <c r="AY1214" s="22" t="str">
        <f>IF(AND('[1]observations-276632'!W1214&gt;'[1]Methods write-up'!$Q$17,'[1]observations-276632'!W1214&lt;'[1]Methods write-up'!$R$17,'[1]observations-276632'!X1214&gt;'[1]Methods write-up'!$S$17,'[1]observations-276632'!X1214&lt;'[1]Methods write-up'!$T$17),"Equatorial tropical forest","")</f>
        <v/>
      </c>
      <c r="AZ1214" s="22" t="str">
        <f>IF(AND('[1]observations-276632'!W1214&gt;'[1]Methods write-up'!$Q$18,'[1]observations-276632'!W1214&lt;'[1]Methods write-up'!$R$18,'[1]observations-276632'!X1214&gt;'[1]Methods write-up'!$S$18,'[1]observations-276632'!X1214&lt;'[1]Methods write-up'!$T$18),"Somali peninsula","")</f>
        <v/>
      </c>
      <c r="BA1214" s="22" t="str">
        <f>IF(AND('[1]observations-276632'!W1214&gt;'[1]Methods write-up'!$Q$19,'[1]observations-276632'!W1214&lt;'[1]Methods write-up'!$R$19,'[1]observations-276632'!X1214&gt;'[1]Methods write-up'!$S$19,'[1]observations-276632'!X1214&lt;'[1]Methods write-up'!$T$19),"East Africa","")</f>
        <v/>
      </c>
      <c r="BB1214" s="22" t="str">
        <f>IF(AND('[1]observations-276632'!W1214&gt;'[1]Methods write-up'!$Q$20,'[1]observations-276632'!W1214&lt;'[1]Methods write-up'!$R$20,'[1]observations-276632'!X1214&gt;'[1]Methods write-up'!$S$20,'[1]observations-276632'!X1214&lt;'[1]Methods write-up'!$T$20),"Temperate seasonal","")</f>
        <v>Temperate seasonal</v>
      </c>
      <c r="BC1214" s="22" t="str">
        <f>IF(AND('[1]observations-276632'!W1214&gt;'[1]Methods write-up'!$Q$21,'[1]observations-276632'!W1214&lt;'[1]Methods write-up'!$R$21,'[1]observations-276632'!X1214&gt;'[1]Methods write-up'!$S$21,'[1]observations-276632'!X1214&lt;'[1]Methods write-up'!$T$21),"Desert and high aridity","")</f>
        <v/>
      </c>
      <c r="BD1214" s="23" t="str">
        <f t="shared" si="93"/>
        <v>Temperate seasonal</v>
      </c>
      <c r="BE1214" s="24">
        <f t="shared" si="91"/>
        <v>29</v>
      </c>
      <c r="BF1214" s="24">
        <f t="shared" si="92"/>
        <v>10</v>
      </c>
    </row>
    <row r="1215" spans="1:58" ht="16.25" customHeight="1" x14ac:dyDescent="0.2">
      <c r="A1215">
        <v>140402018</v>
      </c>
      <c r="B1215" s="25">
        <v>44862.37222222222</v>
      </c>
      <c r="C1215" s="14">
        <v>44862</v>
      </c>
      <c r="D1215" t="s">
        <v>8923</v>
      </c>
      <c r="E1215" t="s">
        <v>113</v>
      </c>
      <c r="F1215">
        <v>1002209</v>
      </c>
      <c r="G1215" t="s">
        <v>3418</v>
      </c>
      <c r="H1215" t="s">
        <v>3419</v>
      </c>
      <c r="I1215" t="s">
        <v>8924</v>
      </c>
      <c r="J1215" t="s">
        <v>8925</v>
      </c>
      <c r="K1215" t="s">
        <v>62</v>
      </c>
      <c r="L1215" t="s">
        <v>63</v>
      </c>
      <c r="M1215" t="s">
        <v>8926</v>
      </c>
      <c r="N1215" t="s">
        <v>8927</v>
      </c>
      <c r="R1215">
        <v>1</v>
      </c>
      <c r="S1215">
        <v>0</v>
      </c>
      <c r="T1215" t="b">
        <v>0</v>
      </c>
      <c r="U1215">
        <v>2</v>
      </c>
      <c r="V1215" t="s">
        <v>4275</v>
      </c>
      <c r="W1215" s="15">
        <v>-33.995443000000002</v>
      </c>
      <c r="X1215" s="15">
        <v>22.548403480000001</v>
      </c>
      <c r="Y1215">
        <v>9</v>
      </c>
      <c r="AC1215">
        <v>9</v>
      </c>
      <c r="AF1215" t="b">
        <v>0</v>
      </c>
      <c r="AG1215" t="s">
        <v>350</v>
      </c>
      <c r="AH1215" t="s">
        <v>350</v>
      </c>
      <c r="AI1215" t="s">
        <v>71</v>
      </c>
      <c r="AJ1215" t="s">
        <v>70</v>
      </c>
      <c r="AK1215" t="s">
        <v>71</v>
      </c>
      <c r="AL1215" t="s">
        <v>72</v>
      </c>
      <c r="AM1215">
        <v>346053</v>
      </c>
      <c r="AO1215" s="16" t="s">
        <v>73</v>
      </c>
      <c r="AP1215" s="17" t="str">
        <f t="shared" si="94"/>
        <v>Off-nest female</v>
      </c>
      <c r="AX1215" s="22" t="str">
        <f>IF(AND('[1]observations-276632'!W1215&gt;'[1]Methods write-up'!$Q$16,'[1]observations-276632'!W1215&lt;'[1]Methods write-up'!$R$16,'[1]observations-276632'!X1215&gt;'[1]Methods write-up'!$S$16,'[1]observations-276632'!X1215&lt;'[1]Methods write-up'!$T$16),"West and Central Africa","")</f>
        <v/>
      </c>
      <c r="AY1215" s="22" t="str">
        <f>IF(AND('[1]observations-276632'!W1215&gt;'[1]Methods write-up'!$Q$17,'[1]observations-276632'!W1215&lt;'[1]Methods write-up'!$R$17,'[1]observations-276632'!X1215&gt;'[1]Methods write-up'!$S$17,'[1]observations-276632'!X1215&lt;'[1]Methods write-up'!$T$17),"Equatorial tropical forest","")</f>
        <v/>
      </c>
      <c r="AZ1215" s="22" t="str">
        <f>IF(AND('[1]observations-276632'!W1215&gt;'[1]Methods write-up'!$Q$18,'[1]observations-276632'!W1215&lt;'[1]Methods write-up'!$R$18,'[1]observations-276632'!X1215&gt;'[1]Methods write-up'!$S$18,'[1]observations-276632'!X1215&lt;'[1]Methods write-up'!$T$18),"Somali peninsula","")</f>
        <v/>
      </c>
      <c r="BA1215" s="22" t="str">
        <f>IF(AND('[1]observations-276632'!W1215&gt;'[1]Methods write-up'!$Q$19,'[1]observations-276632'!W1215&lt;'[1]Methods write-up'!$R$19,'[1]observations-276632'!X1215&gt;'[1]Methods write-up'!$S$19,'[1]observations-276632'!X1215&lt;'[1]Methods write-up'!$T$19),"East Africa","")</f>
        <v/>
      </c>
      <c r="BB1215" s="22" t="str">
        <f>IF(AND('[1]observations-276632'!W1215&gt;'[1]Methods write-up'!$Q$20,'[1]observations-276632'!W1215&lt;'[1]Methods write-up'!$R$20,'[1]observations-276632'!X1215&gt;'[1]Methods write-up'!$S$20,'[1]observations-276632'!X1215&lt;'[1]Methods write-up'!$T$20),"Temperate seasonal","")</f>
        <v/>
      </c>
      <c r="BC1215" s="22" t="str">
        <f>IF(AND('[1]observations-276632'!W1215&gt;'[1]Methods write-up'!$Q$21,'[1]observations-276632'!W1215&lt;'[1]Methods write-up'!$R$21,'[1]observations-276632'!X1215&gt;'[1]Methods write-up'!$S$21,'[1]observations-276632'!X1215&lt;'[1]Methods write-up'!$T$21),"Desert and high aridity","")</f>
        <v/>
      </c>
      <c r="BD1215" s="23" t="str">
        <f t="shared" si="93"/>
        <v/>
      </c>
      <c r="BE1215" s="24">
        <f t="shared" si="91"/>
        <v>28</v>
      </c>
      <c r="BF1215" s="24">
        <f t="shared" si="92"/>
        <v>10</v>
      </c>
    </row>
    <row r="1216" spans="1:58" ht="16.25" customHeight="1" x14ac:dyDescent="0.2">
      <c r="A1216">
        <v>140423258</v>
      </c>
      <c r="B1216" s="25">
        <v>44854.552777777775</v>
      </c>
      <c r="C1216" s="14">
        <v>44854</v>
      </c>
      <c r="D1216" t="s">
        <v>8928</v>
      </c>
      <c r="E1216" t="s">
        <v>113</v>
      </c>
      <c r="F1216">
        <v>3906087</v>
      </c>
      <c r="G1216" t="s">
        <v>8929</v>
      </c>
      <c r="H1216" t="s">
        <v>8930</v>
      </c>
      <c r="I1216" t="s">
        <v>8931</v>
      </c>
      <c r="J1216" t="s">
        <v>8932</v>
      </c>
      <c r="K1216" t="s">
        <v>62</v>
      </c>
      <c r="L1216" t="s">
        <v>63</v>
      </c>
      <c r="M1216" t="s">
        <v>8933</v>
      </c>
      <c r="N1216" t="s">
        <v>8934</v>
      </c>
      <c r="R1216">
        <v>1</v>
      </c>
      <c r="S1216">
        <v>0</v>
      </c>
      <c r="T1216" t="b">
        <v>0</v>
      </c>
      <c r="U1216">
        <v>2</v>
      </c>
      <c r="V1216" t="s">
        <v>8935</v>
      </c>
      <c r="W1216" s="15">
        <v>-29.769834020000001</v>
      </c>
      <c r="X1216" s="15">
        <v>31.046717869999998</v>
      </c>
      <c r="Y1216">
        <v>201</v>
      </c>
      <c r="AC1216">
        <v>201</v>
      </c>
      <c r="AF1216" t="b">
        <v>0</v>
      </c>
      <c r="AG1216" t="s">
        <v>350</v>
      </c>
      <c r="AH1216" t="s">
        <v>350</v>
      </c>
      <c r="AI1216" t="s">
        <v>71</v>
      </c>
      <c r="AJ1216" t="s">
        <v>70</v>
      </c>
      <c r="AK1216" t="s">
        <v>71</v>
      </c>
      <c r="AL1216" t="s">
        <v>72</v>
      </c>
      <c r="AM1216">
        <v>346053</v>
      </c>
      <c r="AO1216" s="16" t="s">
        <v>73</v>
      </c>
      <c r="AP1216" s="17" t="str">
        <f t="shared" si="94"/>
        <v>Off-nest female</v>
      </c>
      <c r="AX1216" s="22" t="str">
        <f>IF(AND('[1]observations-276632'!W1216&gt;'[1]Methods write-up'!$Q$16,'[1]observations-276632'!W1216&lt;'[1]Methods write-up'!$R$16,'[1]observations-276632'!X1216&gt;'[1]Methods write-up'!$S$16,'[1]observations-276632'!X1216&lt;'[1]Methods write-up'!$T$16),"West and Central Africa","")</f>
        <v/>
      </c>
      <c r="AY1216" s="22" t="str">
        <f>IF(AND('[1]observations-276632'!W1216&gt;'[1]Methods write-up'!$Q$17,'[1]observations-276632'!W1216&lt;'[1]Methods write-up'!$R$17,'[1]observations-276632'!X1216&gt;'[1]Methods write-up'!$S$17,'[1]observations-276632'!X1216&lt;'[1]Methods write-up'!$T$17),"Equatorial tropical forest","")</f>
        <v/>
      </c>
      <c r="AZ1216" s="22" t="str">
        <f>IF(AND('[1]observations-276632'!W1216&gt;'[1]Methods write-up'!$Q$18,'[1]observations-276632'!W1216&lt;'[1]Methods write-up'!$R$18,'[1]observations-276632'!X1216&gt;'[1]Methods write-up'!$S$18,'[1]observations-276632'!X1216&lt;'[1]Methods write-up'!$T$18),"Somali peninsula","")</f>
        <v/>
      </c>
      <c r="BA1216" s="22" t="str">
        <f>IF(AND('[1]observations-276632'!W1216&gt;'[1]Methods write-up'!$Q$19,'[1]observations-276632'!W1216&lt;'[1]Methods write-up'!$R$19,'[1]observations-276632'!X1216&gt;'[1]Methods write-up'!$S$19,'[1]observations-276632'!X1216&lt;'[1]Methods write-up'!$T$19),"East Africa","")</f>
        <v/>
      </c>
      <c r="BB1216" s="22" t="str">
        <f>IF(AND('[1]observations-276632'!W1216&gt;'[1]Methods write-up'!$Q$20,'[1]observations-276632'!W1216&lt;'[1]Methods write-up'!$R$20,'[1]observations-276632'!X1216&gt;'[1]Methods write-up'!$S$20,'[1]observations-276632'!X1216&lt;'[1]Methods write-up'!$T$20),"Temperate seasonal","")</f>
        <v>Temperate seasonal</v>
      </c>
      <c r="BC1216" s="22" t="str">
        <f>IF(AND('[1]observations-276632'!W1216&gt;'[1]Methods write-up'!$Q$21,'[1]observations-276632'!W1216&lt;'[1]Methods write-up'!$R$21,'[1]observations-276632'!X1216&gt;'[1]Methods write-up'!$S$21,'[1]observations-276632'!X1216&lt;'[1]Methods write-up'!$T$21),"Desert and high aridity","")</f>
        <v/>
      </c>
      <c r="BD1216" s="23" t="str">
        <f t="shared" si="93"/>
        <v>Temperate seasonal</v>
      </c>
      <c r="BE1216" s="24">
        <f t="shared" si="91"/>
        <v>20</v>
      </c>
      <c r="BF1216" s="24">
        <f t="shared" si="92"/>
        <v>10</v>
      </c>
    </row>
    <row r="1217" spans="1:58" ht="16.25" customHeight="1" x14ac:dyDescent="0.2">
      <c r="A1217">
        <v>140500934</v>
      </c>
      <c r="B1217" s="25">
        <v>44864.408333333333</v>
      </c>
      <c r="C1217" s="14">
        <v>44864</v>
      </c>
      <c r="D1217" t="s">
        <v>8936</v>
      </c>
      <c r="E1217" t="s">
        <v>113</v>
      </c>
      <c r="F1217">
        <v>528390</v>
      </c>
      <c r="G1217" t="s">
        <v>843</v>
      </c>
      <c r="H1217" t="s">
        <v>844</v>
      </c>
      <c r="I1217" t="s">
        <v>8937</v>
      </c>
      <c r="J1217" t="s">
        <v>8938</v>
      </c>
      <c r="K1217" t="s">
        <v>62</v>
      </c>
      <c r="L1217" t="s">
        <v>63</v>
      </c>
      <c r="M1217" t="s">
        <v>8939</v>
      </c>
      <c r="N1217" t="s">
        <v>8940</v>
      </c>
      <c r="R1217">
        <v>1</v>
      </c>
      <c r="S1217">
        <v>0</v>
      </c>
      <c r="T1217" t="b">
        <v>0</v>
      </c>
      <c r="V1217" t="s">
        <v>7775</v>
      </c>
      <c r="W1217" s="15">
        <v>-33.946018619999997</v>
      </c>
      <c r="X1217" s="15">
        <v>22.064809029999999</v>
      </c>
      <c r="Y1217">
        <v>15</v>
      </c>
      <c r="AC1217">
        <v>15</v>
      </c>
      <c r="AF1217" t="b">
        <v>0</v>
      </c>
      <c r="AI1217" t="s">
        <v>71</v>
      </c>
      <c r="AJ1217" t="s">
        <v>70</v>
      </c>
      <c r="AK1217" t="s">
        <v>71</v>
      </c>
      <c r="AL1217" t="s">
        <v>72</v>
      </c>
      <c r="AM1217">
        <v>346053</v>
      </c>
      <c r="AO1217" s="16" t="s">
        <v>110</v>
      </c>
      <c r="AP1217" s="17" t="str">
        <f t="shared" si="94"/>
        <v>Nest (foundress)</v>
      </c>
      <c r="AQ1217" s="18">
        <v>1</v>
      </c>
      <c r="AT1217" s="19" t="s">
        <v>104</v>
      </c>
      <c r="AX1217" s="22" t="str">
        <f>IF(AND('[1]observations-276632'!W1217&gt;'[1]Methods write-up'!$Q$16,'[1]observations-276632'!W1217&lt;'[1]Methods write-up'!$R$16,'[1]observations-276632'!X1217&gt;'[1]Methods write-up'!$S$16,'[1]observations-276632'!X1217&lt;'[1]Methods write-up'!$T$16),"West and Central Africa","")</f>
        <v/>
      </c>
      <c r="AY1217" s="22" t="str">
        <f>IF(AND('[1]observations-276632'!W1217&gt;'[1]Methods write-up'!$Q$17,'[1]observations-276632'!W1217&lt;'[1]Methods write-up'!$R$17,'[1]observations-276632'!X1217&gt;'[1]Methods write-up'!$S$17,'[1]observations-276632'!X1217&lt;'[1]Methods write-up'!$T$17),"Equatorial tropical forest","")</f>
        <v/>
      </c>
      <c r="AZ1217" s="22" t="str">
        <f>IF(AND('[1]observations-276632'!W1217&gt;'[1]Methods write-up'!$Q$18,'[1]observations-276632'!W1217&lt;'[1]Methods write-up'!$R$18,'[1]observations-276632'!X1217&gt;'[1]Methods write-up'!$S$18,'[1]observations-276632'!X1217&lt;'[1]Methods write-up'!$T$18),"Somali peninsula","")</f>
        <v/>
      </c>
      <c r="BA1217" s="22" t="str">
        <f>IF(AND('[1]observations-276632'!W1217&gt;'[1]Methods write-up'!$Q$19,'[1]observations-276632'!W1217&lt;'[1]Methods write-up'!$R$19,'[1]observations-276632'!X1217&gt;'[1]Methods write-up'!$S$19,'[1]observations-276632'!X1217&lt;'[1]Methods write-up'!$T$19),"East Africa","")</f>
        <v/>
      </c>
      <c r="BB1217" s="22" t="str">
        <f>IF(AND('[1]observations-276632'!W1217&gt;'[1]Methods write-up'!$Q$20,'[1]observations-276632'!W1217&lt;'[1]Methods write-up'!$R$20,'[1]observations-276632'!X1217&gt;'[1]Methods write-up'!$S$20,'[1]observations-276632'!X1217&lt;'[1]Methods write-up'!$T$20),"Temperate seasonal","")</f>
        <v/>
      </c>
      <c r="BC1217" s="22" t="str">
        <f>IF(AND('[1]observations-276632'!W1217&gt;'[1]Methods write-up'!$Q$21,'[1]observations-276632'!W1217&lt;'[1]Methods write-up'!$R$21,'[1]observations-276632'!X1217&gt;'[1]Methods write-up'!$S$21,'[1]observations-276632'!X1217&lt;'[1]Methods write-up'!$T$21),"Desert and high aridity","")</f>
        <v/>
      </c>
      <c r="BD1217" s="23" t="str">
        <f t="shared" si="93"/>
        <v/>
      </c>
      <c r="BE1217" s="24">
        <f t="shared" si="91"/>
        <v>30</v>
      </c>
      <c r="BF1217" s="24">
        <f t="shared" si="92"/>
        <v>10</v>
      </c>
    </row>
    <row r="1218" spans="1:58" ht="16.25" customHeight="1" x14ac:dyDescent="0.2">
      <c r="A1218">
        <v>140545467</v>
      </c>
      <c r="B1218" t="s">
        <v>8941</v>
      </c>
      <c r="C1218" s="14">
        <v>44863</v>
      </c>
      <c r="D1218" t="s">
        <v>8942</v>
      </c>
      <c r="E1218" t="s">
        <v>74</v>
      </c>
      <c r="F1218">
        <v>5393357</v>
      </c>
      <c r="G1218" t="s">
        <v>8607</v>
      </c>
      <c r="H1218" t="s">
        <v>8608</v>
      </c>
      <c r="I1218" t="s">
        <v>8943</v>
      </c>
      <c r="J1218" t="s">
        <v>8944</v>
      </c>
      <c r="K1218" t="s">
        <v>62</v>
      </c>
      <c r="L1218" t="s">
        <v>63</v>
      </c>
      <c r="M1218" t="s">
        <v>8945</v>
      </c>
      <c r="N1218" t="s">
        <v>8946</v>
      </c>
      <c r="R1218">
        <v>1</v>
      </c>
      <c r="S1218">
        <v>0</v>
      </c>
      <c r="T1218" t="b">
        <v>0</v>
      </c>
      <c r="U1218">
        <v>3</v>
      </c>
      <c r="V1218" t="s">
        <v>8947</v>
      </c>
      <c r="W1218" s="15">
        <v>-20.211933389999999</v>
      </c>
      <c r="X1218" s="15">
        <v>28.59743383</v>
      </c>
      <c r="Y1218">
        <v>8</v>
      </c>
      <c r="AC1218">
        <v>8</v>
      </c>
      <c r="AF1218" t="b">
        <v>0</v>
      </c>
      <c r="AI1218" t="s">
        <v>71</v>
      </c>
      <c r="AJ1218" t="s">
        <v>70</v>
      </c>
      <c r="AK1218" t="s">
        <v>71</v>
      </c>
      <c r="AL1218" t="s">
        <v>72</v>
      </c>
      <c r="AM1218">
        <v>346053</v>
      </c>
      <c r="AO1218" s="16" t="s">
        <v>73</v>
      </c>
      <c r="AP1218" s="17" t="str">
        <f t="shared" si="94"/>
        <v>Off-nest female</v>
      </c>
      <c r="AX1218" s="22" t="str">
        <f>IF(AND('[1]observations-276632'!W1218&gt;'[1]Methods write-up'!$Q$16,'[1]observations-276632'!W1218&lt;'[1]Methods write-up'!$R$16,'[1]observations-276632'!X1218&gt;'[1]Methods write-up'!$S$16,'[1]observations-276632'!X1218&lt;'[1]Methods write-up'!$T$16),"West and Central Africa","")</f>
        <v/>
      </c>
      <c r="AY1218" s="22" t="str">
        <f>IF(AND('[1]observations-276632'!W1218&gt;'[1]Methods write-up'!$Q$17,'[1]observations-276632'!W1218&lt;'[1]Methods write-up'!$R$17,'[1]observations-276632'!X1218&gt;'[1]Methods write-up'!$S$17,'[1]observations-276632'!X1218&lt;'[1]Methods write-up'!$T$17),"Equatorial tropical forest","")</f>
        <v/>
      </c>
      <c r="AZ1218" s="22" t="str">
        <f>IF(AND('[1]observations-276632'!W1218&gt;'[1]Methods write-up'!$Q$18,'[1]observations-276632'!W1218&lt;'[1]Methods write-up'!$R$18,'[1]observations-276632'!X1218&gt;'[1]Methods write-up'!$S$18,'[1]observations-276632'!X1218&lt;'[1]Methods write-up'!$T$18),"Somali peninsula","")</f>
        <v/>
      </c>
      <c r="BA1218" s="22" t="str">
        <f>IF(AND('[1]observations-276632'!W1218&gt;'[1]Methods write-up'!$Q$19,'[1]observations-276632'!W1218&lt;'[1]Methods write-up'!$R$19,'[1]observations-276632'!X1218&gt;'[1]Methods write-up'!$S$19,'[1]observations-276632'!X1218&lt;'[1]Methods write-up'!$T$19),"East Africa","")</f>
        <v/>
      </c>
      <c r="BB1218" s="22" t="str">
        <f>IF(AND('[1]observations-276632'!W1218&gt;'[1]Methods write-up'!$Q$20,'[1]observations-276632'!W1218&lt;'[1]Methods write-up'!$R$20,'[1]observations-276632'!X1218&gt;'[1]Methods write-up'!$S$20,'[1]observations-276632'!X1218&lt;'[1]Methods write-up'!$T$20),"Temperate seasonal","")</f>
        <v/>
      </c>
      <c r="BC1218" s="22" t="str">
        <f>IF(AND('[1]observations-276632'!W1218&gt;'[1]Methods write-up'!$Q$21,'[1]observations-276632'!W1218&lt;'[1]Methods write-up'!$R$21,'[1]observations-276632'!X1218&gt;'[1]Methods write-up'!$S$21,'[1]observations-276632'!X1218&lt;'[1]Methods write-up'!$T$21),"Desert and high aridity","")</f>
        <v/>
      </c>
      <c r="BD1218" s="23" t="str">
        <f t="shared" si="93"/>
        <v/>
      </c>
      <c r="BE1218" s="24">
        <f t="shared" ref="BE1218:BE1253" si="95">DAY(C1218)</f>
        <v>29</v>
      </c>
      <c r="BF1218" s="24">
        <f t="shared" ref="BF1218:BF1281" si="96">MONTH(C1218)</f>
        <v>10</v>
      </c>
    </row>
    <row r="1219" spans="1:58" ht="16.25" customHeight="1" x14ac:dyDescent="0.2">
      <c r="A1219">
        <v>140631419</v>
      </c>
      <c r="B1219" s="25">
        <v>44848.67291666667</v>
      </c>
      <c r="C1219" s="14">
        <v>44848</v>
      </c>
      <c r="D1219" t="s">
        <v>8948</v>
      </c>
      <c r="E1219" t="s">
        <v>84</v>
      </c>
      <c r="F1219">
        <v>150638</v>
      </c>
      <c r="G1219" t="s">
        <v>8949</v>
      </c>
      <c r="H1219" t="s">
        <v>8950</v>
      </c>
      <c r="I1219" t="s">
        <v>8951</v>
      </c>
      <c r="J1219" t="s">
        <v>8952</v>
      </c>
      <c r="K1219" t="s">
        <v>62</v>
      </c>
      <c r="L1219" t="s">
        <v>63</v>
      </c>
      <c r="M1219" t="s">
        <v>8953</v>
      </c>
      <c r="N1219" t="s">
        <v>8954</v>
      </c>
      <c r="R1219">
        <v>1</v>
      </c>
      <c r="S1219">
        <v>0</v>
      </c>
      <c r="T1219" t="b">
        <v>0</v>
      </c>
      <c r="V1219" t="s">
        <v>6939</v>
      </c>
      <c r="W1219" s="15">
        <v>-4.991240865</v>
      </c>
      <c r="X1219" s="15">
        <v>38.657705780000001</v>
      </c>
      <c r="Y1219">
        <v>3906</v>
      </c>
      <c r="AC1219">
        <v>3906</v>
      </c>
      <c r="AF1219" t="b">
        <v>0</v>
      </c>
      <c r="AI1219" t="s">
        <v>71</v>
      </c>
      <c r="AJ1219" t="s">
        <v>70</v>
      </c>
      <c r="AK1219" t="s">
        <v>71</v>
      </c>
      <c r="AL1219" t="s">
        <v>72</v>
      </c>
      <c r="AM1219">
        <v>346053</v>
      </c>
      <c r="AO1219" s="16" t="s">
        <v>110</v>
      </c>
      <c r="AP1219" s="17" t="str">
        <f t="shared" si="94"/>
        <v>Nest (foundress)</v>
      </c>
      <c r="AQ1219" s="18">
        <v>2</v>
      </c>
      <c r="AT1219" s="19" t="s">
        <v>104</v>
      </c>
      <c r="AX1219" s="22" t="str">
        <f>IF(AND('[1]observations-276632'!W1219&gt;'[1]Methods write-up'!$Q$16,'[1]observations-276632'!W1219&lt;'[1]Methods write-up'!$R$16,'[1]observations-276632'!X1219&gt;'[1]Methods write-up'!$S$16,'[1]observations-276632'!X1219&lt;'[1]Methods write-up'!$T$16),"West and Central Africa","")</f>
        <v/>
      </c>
      <c r="AY1219" s="22" t="str">
        <f>IF(AND('[1]observations-276632'!W1219&gt;'[1]Methods write-up'!$Q$17,'[1]observations-276632'!W1219&lt;'[1]Methods write-up'!$R$17,'[1]observations-276632'!X1219&gt;'[1]Methods write-up'!$S$17,'[1]observations-276632'!X1219&lt;'[1]Methods write-up'!$T$17),"Equatorial tropical forest","")</f>
        <v/>
      </c>
      <c r="AZ1219" s="22" t="str">
        <f>IF(AND('[1]observations-276632'!W1219&gt;'[1]Methods write-up'!$Q$18,'[1]observations-276632'!W1219&lt;'[1]Methods write-up'!$R$18,'[1]observations-276632'!X1219&gt;'[1]Methods write-up'!$S$18,'[1]observations-276632'!X1219&lt;'[1]Methods write-up'!$T$18),"Somali peninsula","")</f>
        <v/>
      </c>
      <c r="BA1219" s="22" t="str">
        <f>IF(AND('[1]observations-276632'!W1219&gt;'[1]Methods write-up'!$Q$19,'[1]observations-276632'!W1219&lt;'[1]Methods write-up'!$R$19,'[1]observations-276632'!X1219&gt;'[1]Methods write-up'!$S$19,'[1]observations-276632'!X1219&lt;'[1]Methods write-up'!$T$19),"East Africa","")</f>
        <v>East Africa</v>
      </c>
      <c r="BB1219" s="22" t="str">
        <f>IF(AND('[1]observations-276632'!W1219&gt;'[1]Methods write-up'!$Q$20,'[1]observations-276632'!W1219&lt;'[1]Methods write-up'!$R$20,'[1]observations-276632'!X1219&gt;'[1]Methods write-up'!$S$20,'[1]observations-276632'!X1219&lt;'[1]Methods write-up'!$T$20),"Temperate seasonal","")</f>
        <v/>
      </c>
      <c r="BC1219" s="22" t="str">
        <f>IF(AND('[1]observations-276632'!W1219&gt;'[1]Methods write-up'!$Q$21,'[1]observations-276632'!W1219&lt;'[1]Methods write-up'!$R$21,'[1]observations-276632'!X1219&gt;'[1]Methods write-up'!$S$21,'[1]observations-276632'!X1219&lt;'[1]Methods write-up'!$T$21),"Desert and high aridity","")</f>
        <v/>
      </c>
      <c r="BD1219" s="23" t="str">
        <f t="shared" ref="BD1219:BD1253" si="97">AX1219&amp;AY1219&amp;AZ1219&amp;BA1219&amp;BB1219&amp;BC1219</f>
        <v>East Africa</v>
      </c>
      <c r="BE1219" s="24">
        <f t="shared" si="95"/>
        <v>14</v>
      </c>
      <c r="BF1219" s="24">
        <f t="shared" si="96"/>
        <v>10</v>
      </c>
    </row>
    <row r="1220" spans="1:58" ht="16.25" customHeight="1" x14ac:dyDescent="0.2">
      <c r="A1220">
        <v>140674358</v>
      </c>
      <c r="B1220" s="25">
        <v>44864.382638888892</v>
      </c>
      <c r="C1220" s="14">
        <v>44864</v>
      </c>
      <c r="D1220" t="s">
        <v>8955</v>
      </c>
      <c r="E1220" t="s">
        <v>113</v>
      </c>
      <c r="F1220">
        <v>773887</v>
      </c>
      <c r="G1220" t="s">
        <v>8713</v>
      </c>
      <c r="H1220" t="s">
        <v>8714</v>
      </c>
      <c r="I1220" t="s">
        <v>8956</v>
      </c>
      <c r="J1220" t="s">
        <v>8957</v>
      </c>
      <c r="K1220" t="s">
        <v>62</v>
      </c>
      <c r="L1220" t="s">
        <v>98</v>
      </c>
      <c r="M1220" t="s">
        <v>8958</v>
      </c>
      <c r="N1220" t="s">
        <v>8959</v>
      </c>
      <c r="R1220">
        <v>2</v>
      </c>
      <c r="S1220">
        <v>0</v>
      </c>
      <c r="T1220" t="b">
        <v>0</v>
      </c>
      <c r="V1220" t="s">
        <v>8960</v>
      </c>
      <c r="W1220" s="15">
        <v>-29.806059990000001</v>
      </c>
      <c r="X1220" s="15">
        <v>30.657797599999999</v>
      </c>
      <c r="Y1220">
        <v>2</v>
      </c>
      <c r="AC1220">
        <v>2</v>
      </c>
      <c r="AF1220" t="b">
        <v>0</v>
      </c>
      <c r="AI1220" t="s">
        <v>71</v>
      </c>
      <c r="AJ1220" t="s">
        <v>70</v>
      </c>
      <c r="AK1220" t="s">
        <v>71</v>
      </c>
      <c r="AL1220" t="s">
        <v>72</v>
      </c>
      <c r="AM1220">
        <v>346053</v>
      </c>
      <c r="AO1220" s="16" t="s">
        <v>140</v>
      </c>
      <c r="AP1220" s="17" t="str">
        <f t="shared" si="94"/>
        <v>Post-emergence nest</v>
      </c>
      <c r="AQ1220" s="18">
        <v>3</v>
      </c>
      <c r="AT1220" s="19" t="s">
        <v>141</v>
      </c>
      <c r="AU1220" s="20" t="s">
        <v>104</v>
      </c>
      <c r="AX1220" s="22" t="str">
        <f>IF(AND('[1]observations-276632'!W1220&gt;'[1]Methods write-up'!$Q$16,'[1]observations-276632'!W1220&lt;'[1]Methods write-up'!$R$16,'[1]observations-276632'!X1220&gt;'[1]Methods write-up'!$S$16,'[1]observations-276632'!X1220&lt;'[1]Methods write-up'!$T$16),"West and Central Africa","")</f>
        <v/>
      </c>
      <c r="AY1220" s="22" t="str">
        <f>IF(AND('[1]observations-276632'!W1220&gt;'[1]Methods write-up'!$Q$17,'[1]observations-276632'!W1220&lt;'[1]Methods write-up'!$R$17,'[1]observations-276632'!X1220&gt;'[1]Methods write-up'!$S$17,'[1]observations-276632'!X1220&lt;'[1]Methods write-up'!$T$17),"Equatorial tropical forest","")</f>
        <v/>
      </c>
      <c r="AZ1220" s="22" t="str">
        <f>IF(AND('[1]observations-276632'!W1220&gt;'[1]Methods write-up'!$Q$18,'[1]observations-276632'!W1220&lt;'[1]Methods write-up'!$R$18,'[1]observations-276632'!X1220&gt;'[1]Methods write-up'!$S$18,'[1]observations-276632'!X1220&lt;'[1]Methods write-up'!$T$18),"Somali peninsula","")</f>
        <v/>
      </c>
      <c r="BA1220" s="22" t="str">
        <f>IF(AND('[1]observations-276632'!W1220&gt;'[1]Methods write-up'!$Q$19,'[1]observations-276632'!W1220&lt;'[1]Methods write-up'!$R$19,'[1]observations-276632'!X1220&gt;'[1]Methods write-up'!$S$19,'[1]observations-276632'!X1220&lt;'[1]Methods write-up'!$T$19),"East Africa","")</f>
        <v/>
      </c>
      <c r="BB1220" s="22" t="str">
        <f>IF(AND('[1]observations-276632'!W1220&gt;'[1]Methods write-up'!$Q$20,'[1]observations-276632'!W1220&lt;'[1]Methods write-up'!$R$20,'[1]observations-276632'!X1220&gt;'[1]Methods write-up'!$S$20,'[1]observations-276632'!X1220&lt;'[1]Methods write-up'!$T$20),"Temperate seasonal","")</f>
        <v>Temperate seasonal</v>
      </c>
      <c r="BC1220" s="22" t="str">
        <f>IF(AND('[1]observations-276632'!W1220&gt;'[1]Methods write-up'!$Q$21,'[1]observations-276632'!W1220&lt;'[1]Methods write-up'!$R$21,'[1]observations-276632'!X1220&gt;'[1]Methods write-up'!$S$21,'[1]observations-276632'!X1220&lt;'[1]Methods write-up'!$T$21),"Desert and high aridity","")</f>
        <v/>
      </c>
      <c r="BD1220" s="23" t="str">
        <f t="shared" si="97"/>
        <v>Temperate seasonal</v>
      </c>
      <c r="BE1220" s="24">
        <f t="shared" si="95"/>
        <v>30</v>
      </c>
      <c r="BF1220" s="24">
        <f t="shared" si="96"/>
        <v>10</v>
      </c>
    </row>
    <row r="1221" spans="1:58" ht="16.25" customHeight="1" x14ac:dyDescent="0.2">
      <c r="A1221">
        <v>140676140</v>
      </c>
      <c r="B1221" s="25">
        <v>44864.375</v>
      </c>
      <c r="C1221" s="14">
        <v>44864</v>
      </c>
      <c r="D1221" t="s">
        <v>8961</v>
      </c>
      <c r="E1221" t="s">
        <v>113</v>
      </c>
      <c r="F1221">
        <v>1010437</v>
      </c>
      <c r="G1221" t="s">
        <v>4758</v>
      </c>
      <c r="H1221" t="s">
        <v>4759</v>
      </c>
      <c r="I1221" t="s">
        <v>8962</v>
      </c>
      <c r="J1221" t="s">
        <v>8963</v>
      </c>
      <c r="K1221" t="s">
        <v>62</v>
      </c>
      <c r="L1221" t="s">
        <v>118</v>
      </c>
      <c r="M1221" t="s">
        <v>8964</v>
      </c>
      <c r="N1221" t="s">
        <v>8965</v>
      </c>
      <c r="R1221">
        <v>2</v>
      </c>
      <c r="S1221">
        <v>0</v>
      </c>
      <c r="T1221" t="b">
        <v>0</v>
      </c>
      <c r="V1221" t="s">
        <v>4764</v>
      </c>
      <c r="W1221" s="15">
        <v>-29.804348610000002</v>
      </c>
      <c r="X1221" s="15">
        <v>31.015507540000002</v>
      </c>
      <c r="Y1221">
        <v>2</v>
      </c>
      <c r="AC1221">
        <v>2</v>
      </c>
      <c r="AF1221" t="b">
        <v>0</v>
      </c>
      <c r="AI1221" t="s">
        <v>71</v>
      </c>
      <c r="AJ1221" t="s">
        <v>70</v>
      </c>
      <c r="AK1221" t="s">
        <v>71</v>
      </c>
      <c r="AL1221" t="s">
        <v>72</v>
      </c>
      <c r="AM1221">
        <v>346053</v>
      </c>
      <c r="AO1221" s="16" t="s">
        <v>1574</v>
      </c>
      <c r="AP1221" s="17" t="str">
        <f t="shared" si="94"/>
        <v>Nest (foundress)</v>
      </c>
      <c r="AQ1221" s="18">
        <v>1</v>
      </c>
      <c r="AT1221" s="19" t="s">
        <v>104</v>
      </c>
      <c r="AX1221" s="22" t="str">
        <f>IF(AND('[1]observations-276632'!W1221&gt;'[1]Methods write-up'!$Q$16,'[1]observations-276632'!W1221&lt;'[1]Methods write-up'!$R$16,'[1]observations-276632'!X1221&gt;'[1]Methods write-up'!$S$16,'[1]observations-276632'!X1221&lt;'[1]Methods write-up'!$T$16),"West and Central Africa","")</f>
        <v/>
      </c>
      <c r="AY1221" s="22" t="str">
        <f>IF(AND('[1]observations-276632'!W1221&gt;'[1]Methods write-up'!$Q$17,'[1]observations-276632'!W1221&lt;'[1]Methods write-up'!$R$17,'[1]observations-276632'!X1221&gt;'[1]Methods write-up'!$S$17,'[1]observations-276632'!X1221&lt;'[1]Methods write-up'!$T$17),"Equatorial tropical forest","")</f>
        <v/>
      </c>
      <c r="AZ1221" s="22" t="str">
        <f>IF(AND('[1]observations-276632'!W1221&gt;'[1]Methods write-up'!$Q$18,'[1]observations-276632'!W1221&lt;'[1]Methods write-up'!$R$18,'[1]observations-276632'!X1221&gt;'[1]Methods write-up'!$S$18,'[1]observations-276632'!X1221&lt;'[1]Methods write-up'!$T$18),"Somali peninsula","")</f>
        <v/>
      </c>
      <c r="BA1221" s="22" t="str">
        <f>IF(AND('[1]observations-276632'!W1221&gt;'[1]Methods write-up'!$Q$19,'[1]observations-276632'!W1221&lt;'[1]Methods write-up'!$R$19,'[1]observations-276632'!X1221&gt;'[1]Methods write-up'!$S$19,'[1]observations-276632'!X1221&lt;'[1]Methods write-up'!$T$19),"East Africa","")</f>
        <v/>
      </c>
      <c r="BB1221" s="22" t="str">
        <f>IF(AND('[1]observations-276632'!W1221&gt;'[1]Methods write-up'!$Q$20,'[1]observations-276632'!W1221&lt;'[1]Methods write-up'!$R$20,'[1]observations-276632'!X1221&gt;'[1]Methods write-up'!$S$20,'[1]observations-276632'!X1221&lt;'[1]Methods write-up'!$T$20),"Temperate seasonal","")</f>
        <v>Temperate seasonal</v>
      </c>
      <c r="BC1221" s="22" t="str">
        <f>IF(AND('[1]observations-276632'!W1221&gt;'[1]Methods write-up'!$Q$21,'[1]observations-276632'!W1221&lt;'[1]Methods write-up'!$R$21,'[1]observations-276632'!X1221&gt;'[1]Methods write-up'!$S$21,'[1]observations-276632'!X1221&lt;'[1]Methods write-up'!$T$21),"Desert and high aridity","")</f>
        <v/>
      </c>
      <c r="BD1221" s="23" t="str">
        <f t="shared" si="97"/>
        <v>Temperate seasonal</v>
      </c>
      <c r="BE1221" s="24">
        <f t="shared" si="95"/>
        <v>30</v>
      </c>
      <c r="BF1221" s="24">
        <f t="shared" si="96"/>
        <v>10</v>
      </c>
    </row>
    <row r="1222" spans="1:58" ht="16.25" customHeight="1" x14ac:dyDescent="0.2">
      <c r="A1222">
        <v>140693794</v>
      </c>
      <c r="B1222" t="s">
        <v>8966</v>
      </c>
      <c r="C1222" s="14">
        <v>44865</v>
      </c>
      <c r="D1222" t="s">
        <v>8967</v>
      </c>
      <c r="E1222" t="s">
        <v>113</v>
      </c>
      <c r="F1222">
        <v>1080660</v>
      </c>
      <c r="G1222" t="s">
        <v>3101</v>
      </c>
      <c r="I1222" t="s">
        <v>8968</v>
      </c>
      <c r="J1222" t="s">
        <v>8969</v>
      </c>
      <c r="K1222" t="s">
        <v>62</v>
      </c>
      <c r="M1222" t="s">
        <v>8970</v>
      </c>
      <c r="N1222" t="s">
        <v>8971</v>
      </c>
      <c r="R1222">
        <v>1</v>
      </c>
      <c r="S1222">
        <v>0</v>
      </c>
      <c r="T1222" t="b">
        <v>0</v>
      </c>
      <c r="U1222">
        <v>3</v>
      </c>
      <c r="V1222" t="s">
        <v>8972</v>
      </c>
      <c r="W1222" s="15">
        <v>-33.97753771</v>
      </c>
      <c r="X1222" s="15">
        <v>22.630314720000001</v>
      </c>
      <c r="Y1222">
        <v>165</v>
      </c>
      <c r="AC1222">
        <v>165</v>
      </c>
      <c r="AF1222" t="b">
        <v>0</v>
      </c>
      <c r="AI1222" t="s">
        <v>71</v>
      </c>
      <c r="AJ1222" t="s">
        <v>70</v>
      </c>
      <c r="AK1222" t="s">
        <v>71</v>
      </c>
      <c r="AL1222" t="s">
        <v>72</v>
      </c>
      <c r="AM1222">
        <v>346053</v>
      </c>
      <c r="AO1222" s="16" t="s">
        <v>110</v>
      </c>
      <c r="AP1222" s="17" t="str">
        <f t="shared" si="94"/>
        <v>Nest (foundress)</v>
      </c>
      <c r="AQ1222" s="18">
        <v>1</v>
      </c>
      <c r="AT1222" s="19" t="s">
        <v>104</v>
      </c>
      <c r="AX1222" s="22" t="str">
        <f>IF(AND('[1]observations-276632'!W1222&gt;'[1]Methods write-up'!$Q$16,'[1]observations-276632'!W1222&lt;'[1]Methods write-up'!$R$16,'[1]observations-276632'!X1222&gt;'[1]Methods write-up'!$S$16,'[1]observations-276632'!X1222&lt;'[1]Methods write-up'!$T$16),"West and Central Africa","")</f>
        <v/>
      </c>
      <c r="AY1222" s="22" t="str">
        <f>IF(AND('[1]observations-276632'!W1222&gt;'[1]Methods write-up'!$Q$17,'[1]observations-276632'!W1222&lt;'[1]Methods write-up'!$R$17,'[1]observations-276632'!X1222&gt;'[1]Methods write-up'!$S$17,'[1]observations-276632'!X1222&lt;'[1]Methods write-up'!$T$17),"Equatorial tropical forest","")</f>
        <v/>
      </c>
      <c r="AZ1222" s="22" t="str">
        <f>IF(AND('[1]observations-276632'!W1222&gt;'[1]Methods write-up'!$Q$18,'[1]observations-276632'!W1222&lt;'[1]Methods write-up'!$R$18,'[1]observations-276632'!X1222&gt;'[1]Methods write-up'!$S$18,'[1]observations-276632'!X1222&lt;'[1]Methods write-up'!$T$18),"Somali peninsula","")</f>
        <v/>
      </c>
      <c r="BA1222" s="22" t="str">
        <f>IF(AND('[1]observations-276632'!W1222&gt;'[1]Methods write-up'!$Q$19,'[1]observations-276632'!W1222&lt;'[1]Methods write-up'!$R$19,'[1]observations-276632'!X1222&gt;'[1]Methods write-up'!$S$19,'[1]observations-276632'!X1222&lt;'[1]Methods write-up'!$T$19),"East Africa","")</f>
        <v/>
      </c>
      <c r="BB1222" s="22" t="str">
        <f>IF(AND('[1]observations-276632'!W1222&gt;'[1]Methods write-up'!$Q$20,'[1]observations-276632'!W1222&lt;'[1]Methods write-up'!$R$20,'[1]observations-276632'!X1222&gt;'[1]Methods write-up'!$S$20,'[1]observations-276632'!X1222&lt;'[1]Methods write-up'!$T$20),"Temperate seasonal","")</f>
        <v/>
      </c>
      <c r="BC1222" s="22" t="str">
        <f>IF(AND('[1]observations-276632'!W1222&gt;'[1]Methods write-up'!$Q$21,'[1]observations-276632'!W1222&lt;'[1]Methods write-up'!$R$21,'[1]observations-276632'!X1222&gt;'[1]Methods write-up'!$S$21,'[1]observations-276632'!X1222&lt;'[1]Methods write-up'!$T$21),"Desert and high aridity","")</f>
        <v/>
      </c>
      <c r="BD1222" s="23" t="str">
        <f t="shared" si="97"/>
        <v/>
      </c>
      <c r="BE1222" s="24">
        <f t="shared" si="95"/>
        <v>31</v>
      </c>
      <c r="BF1222" s="24">
        <f t="shared" si="96"/>
        <v>10</v>
      </c>
    </row>
    <row r="1223" spans="1:58" ht="16.25" customHeight="1" x14ac:dyDescent="0.2">
      <c r="A1223">
        <v>140742549</v>
      </c>
      <c r="B1223" s="25">
        <v>44862.378472222219</v>
      </c>
      <c r="C1223" s="14">
        <v>44862</v>
      </c>
      <c r="D1223" t="s">
        <v>8973</v>
      </c>
      <c r="E1223" t="s">
        <v>113</v>
      </c>
      <c r="F1223">
        <v>5121587</v>
      </c>
      <c r="G1223" t="s">
        <v>6781</v>
      </c>
      <c r="H1223" t="s">
        <v>6782</v>
      </c>
      <c r="I1223" t="s">
        <v>8974</v>
      </c>
      <c r="J1223" t="s">
        <v>8975</v>
      </c>
      <c r="K1223" t="s">
        <v>62</v>
      </c>
      <c r="L1223" t="s">
        <v>98</v>
      </c>
      <c r="M1223" t="s">
        <v>8976</v>
      </c>
      <c r="N1223" t="s">
        <v>8977</v>
      </c>
      <c r="R1223">
        <v>2</v>
      </c>
      <c r="S1223">
        <v>0</v>
      </c>
      <c r="T1223" t="b">
        <v>0</v>
      </c>
      <c r="V1223" t="s">
        <v>8978</v>
      </c>
      <c r="W1223" s="15">
        <v>-24.106858039999999</v>
      </c>
      <c r="X1223" s="15">
        <v>28.01594253</v>
      </c>
      <c r="Y1223">
        <v>15</v>
      </c>
      <c r="AC1223">
        <v>15</v>
      </c>
      <c r="AF1223" t="b">
        <v>0</v>
      </c>
      <c r="AI1223" t="s">
        <v>71</v>
      </c>
      <c r="AJ1223" t="s">
        <v>70</v>
      </c>
      <c r="AK1223" t="s">
        <v>71</v>
      </c>
      <c r="AL1223" t="s">
        <v>72</v>
      </c>
      <c r="AM1223">
        <v>346053</v>
      </c>
      <c r="AO1223" s="16" t="s">
        <v>73</v>
      </c>
      <c r="AP1223" s="17" t="str">
        <f t="shared" si="94"/>
        <v>Off-nest female</v>
      </c>
      <c r="AX1223" s="22" t="str">
        <f>IF(AND('[1]observations-276632'!W1223&gt;'[1]Methods write-up'!$Q$16,'[1]observations-276632'!W1223&lt;'[1]Methods write-up'!$R$16,'[1]observations-276632'!X1223&gt;'[1]Methods write-up'!$S$16,'[1]observations-276632'!X1223&lt;'[1]Methods write-up'!$T$16),"West and Central Africa","")</f>
        <v/>
      </c>
      <c r="AY1223" s="22" t="str">
        <f>IF(AND('[1]observations-276632'!W1223&gt;'[1]Methods write-up'!$Q$17,'[1]observations-276632'!W1223&lt;'[1]Methods write-up'!$R$17,'[1]observations-276632'!X1223&gt;'[1]Methods write-up'!$S$17,'[1]observations-276632'!X1223&lt;'[1]Methods write-up'!$T$17),"Equatorial tropical forest","")</f>
        <v/>
      </c>
      <c r="AZ1223" s="22" t="str">
        <f>IF(AND('[1]observations-276632'!W1223&gt;'[1]Methods write-up'!$Q$18,'[1]observations-276632'!W1223&lt;'[1]Methods write-up'!$R$18,'[1]observations-276632'!X1223&gt;'[1]Methods write-up'!$S$18,'[1]observations-276632'!X1223&lt;'[1]Methods write-up'!$T$18),"Somali peninsula","")</f>
        <v/>
      </c>
      <c r="BA1223" s="22" t="str">
        <f>IF(AND('[1]observations-276632'!W1223&gt;'[1]Methods write-up'!$Q$19,'[1]observations-276632'!W1223&lt;'[1]Methods write-up'!$R$19,'[1]observations-276632'!X1223&gt;'[1]Methods write-up'!$S$19,'[1]observations-276632'!X1223&lt;'[1]Methods write-up'!$T$19),"East Africa","")</f>
        <v/>
      </c>
      <c r="BB1223" s="22" t="str">
        <f>IF(AND('[1]observations-276632'!W1223&gt;'[1]Methods write-up'!$Q$20,'[1]observations-276632'!W1223&lt;'[1]Methods write-up'!$R$20,'[1]observations-276632'!X1223&gt;'[1]Methods write-up'!$S$20,'[1]observations-276632'!X1223&lt;'[1]Methods write-up'!$T$20),"Temperate seasonal","")</f>
        <v/>
      </c>
      <c r="BC1223" s="22" t="str">
        <f>IF(AND('[1]observations-276632'!W1223&gt;'[1]Methods write-up'!$Q$21,'[1]observations-276632'!W1223&lt;'[1]Methods write-up'!$R$21,'[1]observations-276632'!X1223&gt;'[1]Methods write-up'!$S$21,'[1]observations-276632'!X1223&lt;'[1]Methods write-up'!$T$21),"Desert and high aridity","")</f>
        <v/>
      </c>
      <c r="BD1223" s="23" t="str">
        <f t="shared" si="97"/>
        <v/>
      </c>
      <c r="BE1223" s="24">
        <f t="shared" si="95"/>
        <v>28</v>
      </c>
      <c r="BF1223" s="24">
        <f t="shared" si="96"/>
        <v>10</v>
      </c>
    </row>
    <row r="1224" spans="1:58" ht="16.25" customHeight="1" x14ac:dyDescent="0.2">
      <c r="A1224">
        <v>140895826</v>
      </c>
      <c r="B1224" s="25">
        <v>44834.713194444441</v>
      </c>
      <c r="C1224" s="14">
        <v>44834</v>
      </c>
      <c r="D1224" t="s">
        <v>8979</v>
      </c>
      <c r="E1224" t="s">
        <v>113</v>
      </c>
      <c r="F1224">
        <v>6297070</v>
      </c>
      <c r="G1224" t="s">
        <v>8980</v>
      </c>
      <c r="H1224" t="s">
        <v>8981</v>
      </c>
      <c r="I1224" t="s">
        <v>8982</v>
      </c>
      <c r="J1224" t="s">
        <v>8983</v>
      </c>
      <c r="K1224" t="s">
        <v>62</v>
      </c>
      <c r="M1224" t="s">
        <v>8984</v>
      </c>
      <c r="N1224" t="s">
        <v>8985</v>
      </c>
      <c r="R1224">
        <v>2</v>
      </c>
      <c r="S1224">
        <v>0</v>
      </c>
      <c r="T1224" t="b">
        <v>0</v>
      </c>
      <c r="U1224">
        <v>2</v>
      </c>
      <c r="V1224" t="s">
        <v>8986</v>
      </c>
      <c r="W1224" s="15">
        <v>-25.757836439999998</v>
      </c>
      <c r="X1224" s="15">
        <v>27.487806719999998</v>
      </c>
      <c r="Y1224">
        <v>209</v>
      </c>
      <c r="AC1224">
        <v>209</v>
      </c>
      <c r="AF1224" t="b">
        <v>0</v>
      </c>
      <c r="AG1224" t="s">
        <v>350</v>
      </c>
      <c r="AH1224" t="s">
        <v>350</v>
      </c>
      <c r="AI1224" t="s">
        <v>71</v>
      </c>
      <c r="AJ1224" t="s">
        <v>70</v>
      </c>
      <c r="AK1224" t="s">
        <v>71</v>
      </c>
      <c r="AL1224" t="s">
        <v>72</v>
      </c>
      <c r="AM1224">
        <v>346053</v>
      </c>
      <c r="AO1224" s="16" t="s">
        <v>73</v>
      </c>
      <c r="AP1224" s="17" t="str">
        <f t="shared" si="94"/>
        <v>Off-nest female</v>
      </c>
      <c r="AX1224" s="22" t="str">
        <f>IF(AND('[1]observations-276632'!W1224&gt;'[1]Methods write-up'!$Q$16,'[1]observations-276632'!W1224&lt;'[1]Methods write-up'!$R$16,'[1]observations-276632'!X1224&gt;'[1]Methods write-up'!$S$16,'[1]observations-276632'!X1224&lt;'[1]Methods write-up'!$T$16),"West and Central Africa","")</f>
        <v/>
      </c>
      <c r="AY1224" s="22" t="str">
        <f>IF(AND('[1]observations-276632'!W1224&gt;'[1]Methods write-up'!$Q$17,'[1]observations-276632'!W1224&lt;'[1]Methods write-up'!$R$17,'[1]observations-276632'!X1224&gt;'[1]Methods write-up'!$S$17,'[1]observations-276632'!X1224&lt;'[1]Methods write-up'!$T$17),"Equatorial tropical forest","")</f>
        <v/>
      </c>
      <c r="AZ1224" s="22" t="str">
        <f>IF(AND('[1]observations-276632'!W1224&gt;'[1]Methods write-up'!$Q$18,'[1]observations-276632'!W1224&lt;'[1]Methods write-up'!$R$18,'[1]observations-276632'!X1224&gt;'[1]Methods write-up'!$S$18,'[1]observations-276632'!X1224&lt;'[1]Methods write-up'!$T$18),"Somali peninsula","")</f>
        <v/>
      </c>
      <c r="BA1224" s="22" t="str">
        <f>IF(AND('[1]observations-276632'!W1224&gt;'[1]Methods write-up'!$Q$19,'[1]observations-276632'!W1224&lt;'[1]Methods write-up'!$R$19,'[1]observations-276632'!X1224&gt;'[1]Methods write-up'!$S$19,'[1]observations-276632'!X1224&lt;'[1]Methods write-up'!$T$19),"East Africa","")</f>
        <v/>
      </c>
      <c r="BB1224" s="22" t="str">
        <f>IF(AND('[1]observations-276632'!W1224&gt;'[1]Methods write-up'!$Q$20,'[1]observations-276632'!W1224&lt;'[1]Methods write-up'!$R$20,'[1]observations-276632'!X1224&gt;'[1]Methods write-up'!$S$20,'[1]observations-276632'!X1224&lt;'[1]Methods write-up'!$T$20),"Temperate seasonal","")</f>
        <v>Temperate seasonal</v>
      </c>
      <c r="BC1224" s="22" t="str">
        <f>IF(AND('[1]observations-276632'!W1224&gt;'[1]Methods write-up'!$Q$21,'[1]observations-276632'!W1224&lt;'[1]Methods write-up'!$R$21,'[1]observations-276632'!X1224&gt;'[1]Methods write-up'!$S$21,'[1]observations-276632'!X1224&lt;'[1]Methods write-up'!$T$21),"Desert and high aridity","")</f>
        <v/>
      </c>
      <c r="BD1224" s="23" t="str">
        <f t="shared" si="97"/>
        <v>Temperate seasonal</v>
      </c>
      <c r="BE1224" s="24">
        <f t="shared" si="95"/>
        <v>30</v>
      </c>
      <c r="BF1224" s="24">
        <f t="shared" si="96"/>
        <v>9</v>
      </c>
    </row>
    <row r="1225" spans="1:58" ht="16.25" customHeight="1" x14ac:dyDescent="0.2">
      <c r="A1225">
        <v>140922696</v>
      </c>
      <c r="B1225" s="25">
        <v>44865.486111111109</v>
      </c>
      <c r="C1225" s="14">
        <v>44865</v>
      </c>
      <c r="D1225" t="s">
        <v>8987</v>
      </c>
      <c r="E1225" t="s">
        <v>1408</v>
      </c>
      <c r="F1225">
        <v>4369428</v>
      </c>
      <c r="G1225" t="s">
        <v>8988</v>
      </c>
      <c r="I1225" t="s">
        <v>8989</v>
      </c>
      <c r="J1225" t="s">
        <v>8989</v>
      </c>
      <c r="K1225" t="s">
        <v>2038</v>
      </c>
      <c r="L1225" t="s">
        <v>63</v>
      </c>
      <c r="M1225" t="s">
        <v>8990</v>
      </c>
      <c r="N1225" t="s">
        <v>8991</v>
      </c>
      <c r="R1225">
        <v>0</v>
      </c>
      <c r="S1225">
        <v>0</v>
      </c>
      <c r="T1225" t="b">
        <v>0</v>
      </c>
      <c r="V1225" t="s">
        <v>8992</v>
      </c>
      <c r="AF1225" t="b">
        <v>0</v>
      </c>
      <c r="AI1225" t="s">
        <v>102</v>
      </c>
      <c r="AJ1225" t="s">
        <v>102</v>
      </c>
      <c r="AL1225" t="s">
        <v>72</v>
      </c>
      <c r="AM1225">
        <v>1070939</v>
      </c>
      <c r="AO1225" s="16" t="s">
        <v>73</v>
      </c>
      <c r="AP1225" s="17" t="str">
        <f t="shared" si="94"/>
        <v>Off-nest female</v>
      </c>
      <c r="AX1225" s="22" t="str">
        <f>IF(AND('[1]observations-276632'!W1225&gt;'[1]Methods write-up'!$Q$16,'[1]observations-276632'!W1225&lt;'[1]Methods write-up'!$R$16,'[1]observations-276632'!X1225&gt;'[1]Methods write-up'!$S$16,'[1]observations-276632'!X1225&lt;'[1]Methods write-up'!$T$16),"West and Central Africa","")</f>
        <v>West and Central Africa</v>
      </c>
      <c r="AY1225" s="22" t="str">
        <f>IF(AND('[1]observations-276632'!W1225&gt;'[1]Methods write-up'!$Q$17,'[1]observations-276632'!W1225&lt;'[1]Methods write-up'!$R$17,'[1]observations-276632'!X1225&gt;'[1]Methods write-up'!$S$17,'[1]observations-276632'!X1225&lt;'[1]Methods write-up'!$T$17),"Equatorial tropical forest","")</f>
        <v/>
      </c>
      <c r="AZ1225" s="22" t="str">
        <f>IF(AND('[1]observations-276632'!W1225&gt;'[1]Methods write-up'!$Q$18,'[1]observations-276632'!W1225&lt;'[1]Methods write-up'!$R$18,'[1]observations-276632'!X1225&gt;'[1]Methods write-up'!$S$18,'[1]observations-276632'!X1225&lt;'[1]Methods write-up'!$T$18),"Somali peninsula","")</f>
        <v/>
      </c>
      <c r="BA1225" s="22" t="str">
        <f>IF(AND('[1]observations-276632'!W1225&gt;'[1]Methods write-up'!$Q$19,'[1]observations-276632'!W1225&lt;'[1]Methods write-up'!$R$19,'[1]observations-276632'!X1225&gt;'[1]Methods write-up'!$S$19,'[1]observations-276632'!X1225&lt;'[1]Methods write-up'!$T$19),"East Africa","")</f>
        <v/>
      </c>
      <c r="BB1225" s="22" t="str">
        <f>IF(AND('[1]observations-276632'!W1225&gt;'[1]Methods write-up'!$Q$20,'[1]observations-276632'!W1225&lt;'[1]Methods write-up'!$R$20,'[1]observations-276632'!X1225&gt;'[1]Methods write-up'!$S$20,'[1]observations-276632'!X1225&lt;'[1]Methods write-up'!$T$20),"Temperate seasonal","")</f>
        <v/>
      </c>
      <c r="BC1225" s="22" t="str">
        <f>IF(AND('[1]observations-276632'!W1225&gt;'[1]Methods write-up'!$Q$21,'[1]observations-276632'!W1225&lt;'[1]Methods write-up'!$R$21,'[1]observations-276632'!X1225&gt;'[1]Methods write-up'!$S$21,'[1]observations-276632'!X1225&lt;'[1]Methods write-up'!$T$21),"Desert and high aridity","")</f>
        <v/>
      </c>
      <c r="BD1225" s="23" t="str">
        <f t="shared" si="97"/>
        <v>West and Central Africa</v>
      </c>
      <c r="BE1225" s="24">
        <f t="shared" si="95"/>
        <v>31</v>
      </c>
      <c r="BF1225" s="24">
        <f t="shared" si="96"/>
        <v>10</v>
      </c>
    </row>
    <row r="1226" spans="1:58" ht="16.25" customHeight="1" x14ac:dyDescent="0.2">
      <c r="A1226">
        <v>140981089</v>
      </c>
      <c r="B1226" s="25">
        <v>44864.395833333336</v>
      </c>
      <c r="C1226" s="14">
        <v>44864</v>
      </c>
      <c r="D1226" t="s">
        <v>8993</v>
      </c>
      <c r="E1226" t="s">
        <v>113</v>
      </c>
      <c r="F1226">
        <v>1474346</v>
      </c>
      <c r="G1226" t="s">
        <v>6469</v>
      </c>
      <c r="H1226" t="s">
        <v>6470</v>
      </c>
      <c r="I1226" t="s">
        <v>8994</v>
      </c>
      <c r="J1226" t="s">
        <v>8995</v>
      </c>
      <c r="K1226" t="s">
        <v>62</v>
      </c>
      <c r="L1226" t="s">
        <v>63</v>
      </c>
      <c r="M1226" t="s">
        <v>8996</v>
      </c>
      <c r="N1226" t="s">
        <v>8997</v>
      </c>
      <c r="R1226">
        <v>3</v>
      </c>
      <c r="S1226">
        <v>0</v>
      </c>
      <c r="T1226" t="b">
        <v>0</v>
      </c>
      <c r="V1226" t="s">
        <v>7661</v>
      </c>
      <c r="W1226" s="15">
        <v>-33.988941779999998</v>
      </c>
      <c r="X1226" s="15">
        <v>18.42908589</v>
      </c>
      <c r="Y1226">
        <v>8</v>
      </c>
      <c r="AC1226">
        <v>8</v>
      </c>
      <c r="AF1226" t="b">
        <v>0</v>
      </c>
      <c r="AI1226" t="s">
        <v>71</v>
      </c>
      <c r="AJ1226" t="s">
        <v>70</v>
      </c>
      <c r="AK1226" t="s">
        <v>71</v>
      </c>
      <c r="AL1226" t="s">
        <v>72</v>
      </c>
      <c r="AM1226">
        <v>346053</v>
      </c>
      <c r="AO1226" s="16" t="s">
        <v>110</v>
      </c>
      <c r="AP1226" s="17" t="str">
        <f t="shared" si="94"/>
        <v>Nest (foundress)</v>
      </c>
      <c r="AQ1226" s="18">
        <v>1</v>
      </c>
      <c r="AT1226" s="19" t="s">
        <v>104</v>
      </c>
      <c r="AX1226" s="22" t="str">
        <f>IF(AND('[1]observations-276632'!W1226&gt;'[1]Methods write-up'!$Q$16,'[1]observations-276632'!W1226&lt;'[1]Methods write-up'!$R$16,'[1]observations-276632'!X1226&gt;'[1]Methods write-up'!$S$16,'[1]observations-276632'!X1226&lt;'[1]Methods write-up'!$T$16),"West and Central Africa","")</f>
        <v/>
      </c>
      <c r="AY1226" s="22" t="str">
        <f>IF(AND('[1]observations-276632'!W1226&gt;'[1]Methods write-up'!$Q$17,'[1]observations-276632'!W1226&lt;'[1]Methods write-up'!$R$17,'[1]observations-276632'!X1226&gt;'[1]Methods write-up'!$S$17,'[1]observations-276632'!X1226&lt;'[1]Methods write-up'!$T$17),"Equatorial tropical forest","")</f>
        <v/>
      </c>
      <c r="AZ1226" s="22" t="str">
        <f>IF(AND('[1]observations-276632'!W1226&gt;'[1]Methods write-up'!$Q$18,'[1]observations-276632'!W1226&lt;'[1]Methods write-up'!$R$18,'[1]observations-276632'!X1226&gt;'[1]Methods write-up'!$S$18,'[1]observations-276632'!X1226&lt;'[1]Methods write-up'!$T$18),"Somali peninsula","")</f>
        <v/>
      </c>
      <c r="BA1226" s="22" t="str">
        <f>IF(AND('[1]observations-276632'!W1226&gt;'[1]Methods write-up'!$Q$19,'[1]observations-276632'!W1226&lt;'[1]Methods write-up'!$R$19,'[1]observations-276632'!X1226&gt;'[1]Methods write-up'!$S$19,'[1]observations-276632'!X1226&lt;'[1]Methods write-up'!$T$19),"East Africa","")</f>
        <v/>
      </c>
      <c r="BB1226" s="22" t="str">
        <f>IF(AND('[1]observations-276632'!W1226&gt;'[1]Methods write-up'!$Q$20,'[1]observations-276632'!W1226&lt;'[1]Methods write-up'!$R$20,'[1]observations-276632'!X1226&gt;'[1]Methods write-up'!$S$20,'[1]observations-276632'!X1226&lt;'[1]Methods write-up'!$T$20),"Temperate seasonal","")</f>
        <v/>
      </c>
      <c r="BC1226" s="22" t="str">
        <f>IF(AND('[1]observations-276632'!W1226&gt;'[1]Methods write-up'!$Q$21,'[1]observations-276632'!W1226&lt;'[1]Methods write-up'!$R$21,'[1]observations-276632'!X1226&gt;'[1]Methods write-up'!$S$21,'[1]observations-276632'!X1226&lt;'[1]Methods write-up'!$T$21),"Desert and high aridity","")</f>
        <v/>
      </c>
      <c r="BD1226" s="23" t="str">
        <f t="shared" si="97"/>
        <v/>
      </c>
      <c r="BE1226" s="24">
        <f t="shared" si="95"/>
        <v>30</v>
      </c>
      <c r="BF1226" s="24">
        <f t="shared" si="96"/>
        <v>10</v>
      </c>
    </row>
    <row r="1227" spans="1:58" ht="16.25" customHeight="1" x14ac:dyDescent="0.2">
      <c r="A1227">
        <v>141007845</v>
      </c>
      <c r="B1227" s="25">
        <v>44860.315972222219</v>
      </c>
      <c r="C1227" s="14">
        <v>44860</v>
      </c>
      <c r="D1227" t="s">
        <v>8998</v>
      </c>
      <c r="E1227" t="s">
        <v>84</v>
      </c>
      <c r="F1227">
        <v>1390967</v>
      </c>
      <c r="G1227" t="s">
        <v>8999</v>
      </c>
      <c r="H1227" t="s">
        <v>9000</v>
      </c>
      <c r="I1227" t="s">
        <v>9001</v>
      </c>
      <c r="J1227" t="s">
        <v>9002</v>
      </c>
      <c r="K1227" t="s">
        <v>62</v>
      </c>
      <c r="L1227" t="s">
        <v>63</v>
      </c>
      <c r="M1227" t="s">
        <v>9003</v>
      </c>
      <c r="N1227" t="s">
        <v>9004</v>
      </c>
      <c r="R1227">
        <v>1</v>
      </c>
      <c r="S1227">
        <v>0</v>
      </c>
      <c r="T1227" t="b">
        <v>0</v>
      </c>
      <c r="U1227">
        <v>2</v>
      </c>
      <c r="V1227" t="s">
        <v>9005</v>
      </c>
      <c r="W1227" s="15">
        <v>-3.3492489299999999</v>
      </c>
      <c r="X1227" s="15">
        <v>36.730778440000002</v>
      </c>
      <c r="Y1227">
        <v>7886</v>
      </c>
      <c r="AC1227">
        <v>7886</v>
      </c>
      <c r="AF1227" t="b">
        <v>0</v>
      </c>
      <c r="AG1227" t="s">
        <v>350</v>
      </c>
      <c r="AH1227" t="s">
        <v>350</v>
      </c>
      <c r="AI1227" t="s">
        <v>71</v>
      </c>
      <c r="AJ1227" t="s">
        <v>70</v>
      </c>
      <c r="AK1227" t="s">
        <v>71</v>
      </c>
      <c r="AL1227" t="s">
        <v>72</v>
      </c>
      <c r="AM1227">
        <v>346053</v>
      </c>
      <c r="AO1227" s="16" t="s">
        <v>73</v>
      </c>
      <c r="AP1227" s="17" t="str">
        <f t="shared" si="94"/>
        <v>Off-nest female</v>
      </c>
      <c r="AX1227" s="22" t="str">
        <f>IF(AND('[1]observations-276632'!W1227&gt;'[1]Methods write-up'!$Q$16,'[1]observations-276632'!W1227&lt;'[1]Methods write-up'!$R$16,'[1]observations-276632'!X1227&gt;'[1]Methods write-up'!$S$16,'[1]observations-276632'!X1227&lt;'[1]Methods write-up'!$T$16),"West and Central Africa","")</f>
        <v/>
      </c>
      <c r="AY1227" s="22" t="str">
        <f>IF(AND('[1]observations-276632'!W1227&gt;'[1]Methods write-up'!$Q$17,'[1]observations-276632'!W1227&lt;'[1]Methods write-up'!$R$17,'[1]observations-276632'!X1227&gt;'[1]Methods write-up'!$S$17,'[1]observations-276632'!X1227&lt;'[1]Methods write-up'!$T$17),"Equatorial tropical forest","")</f>
        <v/>
      </c>
      <c r="AZ1227" s="22" t="str">
        <f>IF(AND('[1]observations-276632'!W1227&gt;'[1]Methods write-up'!$Q$18,'[1]observations-276632'!W1227&lt;'[1]Methods write-up'!$R$18,'[1]observations-276632'!X1227&gt;'[1]Methods write-up'!$S$18,'[1]observations-276632'!X1227&lt;'[1]Methods write-up'!$T$18),"Somali peninsula","")</f>
        <v/>
      </c>
      <c r="BA1227" s="22" t="str">
        <f>IF(AND('[1]observations-276632'!W1227&gt;'[1]Methods write-up'!$Q$19,'[1]observations-276632'!W1227&lt;'[1]Methods write-up'!$R$19,'[1]observations-276632'!X1227&gt;'[1]Methods write-up'!$S$19,'[1]observations-276632'!X1227&lt;'[1]Methods write-up'!$T$19),"East Africa","")</f>
        <v>East Africa</v>
      </c>
      <c r="BB1227" s="22" t="str">
        <f>IF(AND('[1]observations-276632'!W1227&gt;'[1]Methods write-up'!$Q$20,'[1]observations-276632'!W1227&lt;'[1]Methods write-up'!$R$20,'[1]observations-276632'!X1227&gt;'[1]Methods write-up'!$S$20,'[1]observations-276632'!X1227&lt;'[1]Methods write-up'!$T$20),"Temperate seasonal","")</f>
        <v/>
      </c>
      <c r="BC1227" s="22" t="str">
        <f>IF(AND('[1]observations-276632'!W1227&gt;'[1]Methods write-up'!$Q$21,'[1]observations-276632'!W1227&lt;'[1]Methods write-up'!$R$21,'[1]observations-276632'!X1227&gt;'[1]Methods write-up'!$S$21,'[1]observations-276632'!X1227&lt;'[1]Methods write-up'!$T$21),"Desert and high aridity","")</f>
        <v/>
      </c>
      <c r="BD1227" s="23" t="str">
        <f t="shared" si="97"/>
        <v>East Africa</v>
      </c>
      <c r="BE1227" s="24">
        <f t="shared" si="95"/>
        <v>26</v>
      </c>
      <c r="BF1227" s="24">
        <f t="shared" si="96"/>
        <v>10</v>
      </c>
    </row>
    <row r="1228" spans="1:58" ht="16.25" customHeight="1" x14ac:dyDescent="0.2">
      <c r="A1228">
        <v>141071351</v>
      </c>
      <c r="B1228" s="25">
        <v>44869.618055555555</v>
      </c>
      <c r="C1228" s="14">
        <v>44869</v>
      </c>
      <c r="D1228" t="s">
        <v>9006</v>
      </c>
      <c r="E1228" t="s">
        <v>113</v>
      </c>
      <c r="F1228">
        <v>4023157</v>
      </c>
      <c r="G1228" t="s">
        <v>4891</v>
      </c>
      <c r="H1228" t="s">
        <v>4892</v>
      </c>
      <c r="I1228" t="s">
        <v>9007</v>
      </c>
      <c r="J1228" t="s">
        <v>9008</v>
      </c>
      <c r="K1228" t="s">
        <v>62</v>
      </c>
      <c r="M1228" t="s">
        <v>9009</v>
      </c>
      <c r="N1228" t="s">
        <v>9010</v>
      </c>
      <c r="R1228">
        <v>3</v>
      </c>
      <c r="S1228">
        <v>0</v>
      </c>
      <c r="T1228" t="b">
        <v>0</v>
      </c>
      <c r="U1228">
        <v>2</v>
      </c>
      <c r="V1228" t="s">
        <v>4898</v>
      </c>
      <c r="W1228" s="15">
        <v>-25.79744492</v>
      </c>
      <c r="X1228" s="15">
        <v>28.298322670000001</v>
      </c>
      <c r="Y1228">
        <v>200</v>
      </c>
      <c r="AC1228">
        <v>200</v>
      </c>
      <c r="AF1228" t="b">
        <v>0</v>
      </c>
      <c r="AG1228" t="s">
        <v>350</v>
      </c>
      <c r="AH1228" t="s">
        <v>350</v>
      </c>
      <c r="AI1228" t="s">
        <v>71</v>
      </c>
      <c r="AJ1228" t="s">
        <v>70</v>
      </c>
      <c r="AK1228" t="s">
        <v>71</v>
      </c>
      <c r="AL1228" t="s">
        <v>72</v>
      </c>
      <c r="AM1228">
        <v>346053</v>
      </c>
      <c r="AO1228" s="16" t="s">
        <v>73</v>
      </c>
      <c r="AP1228" s="17" t="str">
        <f t="shared" si="94"/>
        <v>Off-nest female</v>
      </c>
      <c r="AX1228" s="22" t="str">
        <f>IF(AND('[1]observations-276632'!W1228&gt;'[1]Methods write-up'!$Q$16,'[1]observations-276632'!W1228&lt;'[1]Methods write-up'!$R$16,'[1]observations-276632'!X1228&gt;'[1]Methods write-up'!$S$16,'[1]observations-276632'!X1228&lt;'[1]Methods write-up'!$T$16),"West and Central Africa","")</f>
        <v/>
      </c>
      <c r="AY1228" s="22" t="str">
        <f>IF(AND('[1]observations-276632'!W1228&gt;'[1]Methods write-up'!$Q$17,'[1]observations-276632'!W1228&lt;'[1]Methods write-up'!$R$17,'[1]observations-276632'!X1228&gt;'[1]Methods write-up'!$S$17,'[1]observations-276632'!X1228&lt;'[1]Methods write-up'!$T$17),"Equatorial tropical forest","")</f>
        <v/>
      </c>
      <c r="AZ1228" s="22" t="str">
        <f>IF(AND('[1]observations-276632'!W1228&gt;'[1]Methods write-up'!$Q$18,'[1]observations-276632'!W1228&lt;'[1]Methods write-up'!$R$18,'[1]observations-276632'!X1228&gt;'[1]Methods write-up'!$S$18,'[1]observations-276632'!X1228&lt;'[1]Methods write-up'!$T$18),"Somali peninsula","")</f>
        <v/>
      </c>
      <c r="BA1228" s="22" t="str">
        <f>IF(AND('[1]observations-276632'!W1228&gt;'[1]Methods write-up'!$Q$19,'[1]observations-276632'!W1228&lt;'[1]Methods write-up'!$R$19,'[1]observations-276632'!X1228&gt;'[1]Methods write-up'!$S$19,'[1]observations-276632'!X1228&lt;'[1]Methods write-up'!$T$19),"East Africa","")</f>
        <v/>
      </c>
      <c r="BB1228" s="22" t="str">
        <f>IF(AND('[1]observations-276632'!W1228&gt;'[1]Methods write-up'!$Q$20,'[1]observations-276632'!W1228&lt;'[1]Methods write-up'!$R$20,'[1]observations-276632'!X1228&gt;'[1]Methods write-up'!$S$20,'[1]observations-276632'!X1228&lt;'[1]Methods write-up'!$T$20),"Temperate seasonal","")</f>
        <v>Temperate seasonal</v>
      </c>
      <c r="BC1228" s="22" t="str">
        <f>IF(AND('[1]observations-276632'!W1228&gt;'[1]Methods write-up'!$Q$21,'[1]observations-276632'!W1228&lt;'[1]Methods write-up'!$R$21,'[1]observations-276632'!X1228&gt;'[1]Methods write-up'!$S$21,'[1]observations-276632'!X1228&lt;'[1]Methods write-up'!$T$21),"Desert and high aridity","")</f>
        <v/>
      </c>
      <c r="BD1228" s="23" t="str">
        <f t="shared" si="97"/>
        <v>Temperate seasonal</v>
      </c>
      <c r="BE1228" s="24">
        <f t="shared" si="95"/>
        <v>4</v>
      </c>
      <c r="BF1228" s="24">
        <f t="shared" si="96"/>
        <v>11</v>
      </c>
    </row>
    <row r="1229" spans="1:58" ht="16.25" customHeight="1" x14ac:dyDescent="0.2">
      <c r="A1229">
        <v>141139437</v>
      </c>
      <c r="B1229" s="25">
        <v>44870.396527777775</v>
      </c>
      <c r="C1229" s="14">
        <v>44870</v>
      </c>
      <c r="D1229" t="s">
        <v>9011</v>
      </c>
      <c r="E1229" t="s">
        <v>113</v>
      </c>
      <c r="F1229">
        <v>3814194</v>
      </c>
      <c r="G1229" t="s">
        <v>5242</v>
      </c>
      <c r="H1229" t="s">
        <v>5243</v>
      </c>
      <c r="I1229" t="s">
        <v>9012</v>
      </c>
      <c r="J1229" t="s">
        <v>9013</v>
      </c>
      <c r="K1229" t="s">
        <v>62</v>
      </c>
      <c r="L1229" t="s">
        <v>63</v>
      </c>
      <c r="M1229" t="s">
        <v>9014</v>
      </c>
      <c r="N1229" t="s">
        <v>9015</v>
      </c>
      <c r="P1229" t="s">
        <v>7952</v>
      </c>
      <c r="R1229">
        <v>2</v>
      </c>
      <c r="S1229">
        <v>0</v>
      </c>
      <c r="T1229" t="b">
        <v>0</v>
      </c>
      <c r="V1229" t="s">
        <v>5250</v>
      </c>
      <c r="W1229" s="15">
        <v>-26.0585816</v>
      </c>
      <c r="X1229" s="15">
        <v>27.975387999999999</v>
      </c>
      <c r="Y1229">
        <v>1769</v>
      </c>
      <c r="AC1229">
        <v>1769</v>
      </c>
      <c r="AF1229" t="b">
        <v>0</v>
      </c>
      <c r="AI1229" t="s">
        <v>71</v>
      </c>
      <c r="AJ1229" t="s">
        <v>70</v>
      </c>
      <c r="AK1229" t="s">
        <v>71</v>
      </c>
      <c r="AL1229" t="s">
        <v>72</v>
      </c>
      <c r="AM1229">
        <v>346053</v>
      </c>
      <c r="AO1229" s="16" t="s">
        <v>73</v>
      </c>
      <c r="AP1229" s="17" t="str">
        <f t="shared" si="94"/>
        <v>Off-nest female</v>
      </c>
      <c r="AX1229" s="22" t="str">
        <f>IF(AND('[1]observations-276632'!W1229&gt;'[1]Methods write-up'!$Q$16,'[1]observations-276632'!W1229&lt;'[1]Methods write-up'!$R$16,'[1]observations-276632'!X1229&gt;'[1]Methods write-up'!$S$16,'[1]observations-276632'!X1229&lt;'[1]Methods write-up'!$T$16),"West and Central Africa","")</f>
        <v/>
      </c>
      <c r="AY1229" s="22" t="str">
        <f>IF(AND('[1]observations-276632'!W1229&gt;'[1]Methods write-up'!$Q$17,'[1]observations-276632'!W1229&lt;'[1]Methods write-up'!$R$17,'[1]observations-276632'!X1229&gt;'[1]Methods write-up'!$S$17,'[1]observations-276632'!X1229&lt;'[1]Methods write-up'!$T$17),"Equatorial tropical forest","")</f>
        <v/>
      </c>
      <c r="AZ1229" s="22" t="str">
        <f>IF(AND('[1]observations-276632'!W1229&gt;'[1]Methods write-up'!$Q$18,'[1]observations-276632'!W1229&lt;'[1]Methods write-up'!$R$18,'[1]observations-276632'!X1229&gt;'[1]Methods write-up'!$S$18,'[1]observations-276632'!X1229&lt;'[1]Methods write-up'!$T$18),"Somali peninsula","")</f>
        <v/>
      </c>
      <c r="BA1229" s="22" t="str">
        <f>IF(AND('[1]observations-276632'!W1229&gt;'[1]Methods write-up'!$Q$19,'[1]observations-276632'!W1229&lt;'[1]Methods write-up'!$R$19,'[1]observations-276632'!X1229&gt;'[1]Methods write-up'!$S$19,'[1]observations-276632'!X1229&lt;'[1]Methods write-up'!$T$19),"East Africa","")</f>
        <v/>
      </c>
      <c r="BB1229" s="22" t="str">
        <f>IF(AND('[1]observations-276632'!W1229&gt;'[1]Methods write-up'!$Q$20,'[1]observations-276632'!W1229&lt;'[1]Methods write-up'!$R$20,'[1]observations-276632'!X1229&gt;'[1]Methods write-up'!$S$20,'[1]observations-276632'!X1229&lt;'[1]Methods write-up'!$T$20),"Temperate seasonal","")</f>
        <v>Temperate seasonal</v>
      </c>
      <c r="BC1229" s="22" t="str">
        <f>IF(AND('[1]observations-276632'!W1229&gt;'[1]Methods write-up'!$Q$21,'[1]observations-276632'!W1229&lt;'[1]Methods write-up'!$R$21,'[1]observations-276632'!X1229&gt;'[1]Methods write-up'!$S$21,'[1]observations-276632'!X1229&lt;'[1]Methods write-up'!$T$21),"Desert and high aridity","")</f>
        <v/>
      </c>
      <c r="BD1229" s="23" t="str">
        <f t="shared" si="97"/>
        <v>Temperate seasonal</v>
      </c>
      <c r="BE1229" s="24">
        <f t="shared" si="95"/>
        <v>5</v>
      </c>
      <c r="BF1229" s="24">
        <f t="shared" si="96"/>
        <v>11</v>
      </c>
    </row>
    <row r="1230" spans="1:58" ht="16.25" customHeight="1" x14ac:dyDescent="0.2">
      <c r="A1230">
        <v>141146011</v>
      </c>
      <c r="B1230" s="25">
        <v>44870.42083333333</v>
      </c>
      <c r="C1230" s="14">
        <v>44870</v>
      </c>
      <c r="D1230" t="s">
        <v>9016</v>
      </c>
      <c r="E1230" t="s">
        <v>9017</v>
      </c>
      <c r="F1230">
        <v>3091526</v>
      </c>
      <c r="G1230" t="s">
        <v>9018</v>
      </c>
      <c r="H1230" t="s">
        <v>9019</v>
      </c>
      <c r="I1230" t="s">
        <v>9020</v>
      </c>
      <c r="J1230" t="s">
        <v>9021</v>
      </c>
      <c r="K1230" t="s">
        <v>62</v>
      </c>
      <c r="L1230" t="s">
        <v>63</v>
      </c>
      <c r="M1230" t="s">
        <v>9022</v>
      </c>
      <c r="N1230" t="s">
        <v>9023</v>
      </c>
      <c r="R1230">
        <v>1</v>
      </c>
      <c r="S1230">
        <v>0</v>
      </c>
      <c r="T1230" t="b">
        <v>0</v>
      </c>
      <c r="V1230" t="s">
        <v>9024</v>
      </c>
      <c r="W1230" s="15">
        <v>6.1770259620000001</v>
      </c>
      <c r="X1230" s="15">
        <v>-10.483947499999999</v>
      </c>
      <c r="Y1230">
        <v>12</v>
      </c>
      <c r="AC1230">
        <v>12</v>
      </c>
      <c r="AF1230" t="b">
        <v>0</v>
      </c>
      <c r="AI1230" t="s">
        <v>71</v>
      </c>
      <c r="AJ1230" t="s">
        <v>70</v>
      </c>
      <c r="AK1230" t="s">
        <v>71</v>
      </c>
      <c r="AL1230" t="s">
        <v>72</v>
      </c>
      <c r="AM1230">
        <v>346053</v>
      </c>
      <c r="AO1230" s="16" t="s">
        <v>73</v>
      </c>
      <c r="AP1230" s="17" t="str">
        <f t="shared" si="94"/>
        <v>Off-nest female</v>
      </c>
      <c r="AX1230" s="22" t="str">
        <f>IF(AND('[1]observations-276632'!W1230&gt;'[1]Methods write-up'!$Q$16,'[1]observations-276632'!W1230&lt;'[1]Methods write-up'!$R$16,'[1]observations-276632'!X1230&gt;'[1]Methods write-up'!$S$16,'[1]observations-276632'!X1230&lt;'[1]Methods write-up'!$T$16),"West and Central Africa","")</f>
        <v>West and Central Africa</v>
      </c>
      <c r="AY1230" s="22" t="str">
        <f>IF(AND('[1]observations-276632'!W1230&gt;'[1]Methods write-up'!$Q$17,'[1]observations-276632'!W1230&lt;'[1]Methods write-up'!$R$17,'[1]observations-276632'!X1230&gt;'[1]Methods write-up'!$S$17,'[1]observations-276632'!X1230&lt;'[1]Methods write-up'!$T$17),"Equatorial tropical forest","")</f>
        <v/>
      </c>
      <c r="AZ1230" s="22" t="str">
        <f>IF(AND('[1]observations-276632'!W1230&gt;'[1]Methods write-up'!$Q$18,'[1]observations-276632'!W1230&lt;'[1]Methods write-up'!$R$18,'[1]observations-276632'!X1230&gt;'[1]Methods write-up'!$S$18,'[1]observations-276632'!X1230&lt;'[1]Methods write-up'!$T$18),"Somali peninsula","")</f>
        <v/>
      </c>
      <c r="BA1230" s="22" t="str">
        <f>IF(AND('[1]observations-276632'!W1230&gt;'[1]Methods write-up'!$Q$19,'[1]observations-276632'!W1230&lt;'[1]Methods write-up'!$R$19,'[1]observations-276632'!X1230&gt;'[1]Methods write-up'!$S$19,'[1]observations-276632'!X1230&lt;'[1]Methods write-up'!$T$19),"East Africa","")</f>
        <v/>
      </c>
      <c r="BB1230" s="22" t="str">
        <f>IF(AND('[1]observations-276632'!W1230&gt;'[1]Methods write-up'!$Q$20,'[1]observations-276632'!W1230&lt;'[1]Methods write-up'!$R$20,'[1]observations-276632'!X1230&gt;'[1]Methods write-up'!$S$20,'[1]observations-276632'!X1230&lt;'[1]Methods write-up'!$T$20),"Temperate seasonal","")</f>
        <v/>
      </c>
      <c r="BC1230" s="22" t="str">
        <f>IF(AND('[1]observations-276632'!W1230&gt;'[1]Methods write-up'!$Q$21,'[1]observations-276632'!W1230&lt;'[1]Methods write-up'!$R$21,'[1]observations-276632'!X1230&gt;'[1]Methods write-up'!$S$21,'[1]observations-276632'!X1230&lt;'[1]Methods write-up'!$T$21),"Desert and high aridity","")</f>
        <v/>
      </c>
      <c r="BD1230" s="23" t="str">
        <f t="shared" si="97"/>
        <v>West and Central Africa</v>
      </c>
      <c r="BE1230" s="24">
        <f t="shared" si="95"/>
        <v>5</v>
      </c>
      <c r="BF1230" s="24">
        <f t="shared" si="96"/>
        <v>11</v>
      </c>
    </row>
    <row r="1231" spans="1:58" ht="16.25" customHeight="1" x14ac:dyDescent="0.2">
      <c r="A1231">
        <v>141196134</v>
      </c>
      <c r="B1231" s="25">
        <v>38842.90625</v>
      </c>
      <c r="C1231" s="14">
        <v>38842</v>
      </c>
      <c r="D1231" t="s">
        <v>9025</v>
      </c>
      <c r="E1231" t="s">
        <v>113</v>
      </c>
      <c r="F1231">
        <v>3125199</v>
      </c>
      <c r="G1231" t="s">
        <v>9026</v>
      </c>
      <c r="H1231" t="s">
        <v>9027</v>
      </c>
      <c r="I1231" t="s">
        <v>9028</v>
      </c>
      <c r="J1231" t="s">
        <v>9029</v>
      </c>
      <c r="K1231" t="s">
        <v>62</v>
      </c>
      <c r="L1231" t="s">
        <v>98</v>
      </c>
      <c r="M1231" t="s">
        <v>9030</v>
      </c>
      <c r="N1231" t="s">
        <v>9031</v>
      </c>
      <c r="R1231">
        <v>3</v>
      </c>
      <c r="S1231">
        <v>0</v>
      </c>
      <c r="T1231" t="b">
        <v>0</v>
      </c>
      <c r="V1231" t="s">
        <v>9032</v>
      </c>
      <c r="W1231" s="15">
        <v>-24.676707</v>
      </c>
      <c r="X1231" s="15">
        <v>30.80601944</v>
      </c>
      <c r="Y1231">
        <v>1972</v>
      </c>
      <c r="AC1231">
        <v>1972</v>
      </c>
      <c r="AF1231" t="b">
        <v>0</v>
      </c>
      <c r="AI1231" t="s">
        <v>71</v>
      </c>
      <c r="AJ1231" t="s">
        <v>70</v>
      </c>
      <c r="AK1231" t="s">
        <v>71</v>
      </c>
      <c r="AL1231" t="s">
        <v>72</v>
      </c>
      <c r="AM1231">
        <v>346053</v>
      </c>
      <c r="AO1231" s="16" t="s">
        <v>73</v>
      </c>
      <c r="AP1231" s="17" t="str">
        <f t="shared" si="94"/>
        <v>Off-nest female</v>
      </c>
      <c r="AX1231" s="22" t="str">
        <f>IF(AND('[1]observations-276632'!W1231&gt;'[1]Methods write-up'!$Q$16,'[1]observations-276632'!W1231&lt;'[1]Methods write-up'!$R$16,'[1]observations-276632'!X1231&gt;'[1]Methods write-up'!$S$16,'[1]observations-276632'!X1231&lt;'[1]Methods write-up'!$T$16),"West and Central Africa","")</f>
        <v/>
      </c>
      <c r="AY1231" s="22" t="str">
        <f>IF(AND('[1]observations-276632'!W1231&gt;'[1]Methods write-up'!$Q$17,'[1]observations-276632'!W1231&lt;'[1]Methods write-up'!$R$17,'[1]observations-276632'!X1231&gt;'[1]Methods write-up'!$S$17,'[1]observations-276632'!X1231&lt;'[1]Methods write-up'!$T$17),"Equatorial tropical forest","")</f>
        <v/>
      </c>
      <c r="AZ1231" s="22" t="str">
        <f>IF(AND('[1]observations-276632'!W1231&gt;'[1]Methods write-up'!$Q$18,'[1]observations-276632'!W1231&lt;'[1]Methods write-up'!$R$18,'[1]observations-276632'!X1231&gt;'[1]Methods write-up'!$S$18,'[1]observations-276632'!X1231&lt;'[1]Methods write-up'!$T$18),"Somali peninsula","")</f>
        <v/>
      </c>
      <c r="BA1231" s="22" t="str">
        <f>IF(AND('[1]observations-276632'!W1231&gt;'[1]Methods write-up'!$Q$19,'[1]observations-276632'!W1231&lt;'[1]Methods write-up'!$R$19,'[1]observations-276632'!X1231&gt;'[1]Methods write-up'!$S$19,'[1]observations-276632'!X1231&lt;'[1]Methods write-up'!$T$19),"East Africa","")</f>
        <v/>
      </c>
      <c r="BB1231" s="22" t="str">
        <f>IF(AND('[1]observations-276632'!W1231&gt;'[1]Methods write-up'!$Q$20,'[1]observations-276632'!W1231&lt;'[1]Methods write-up'!$R$20,'[1]observations-276632'!X1231&gt;'[1]Methods write-up'!$S$20,'[1]observations-276632'!X1231&lt;'[1]Methods write-up'!$T$20),"Temperate seasonal","")</f>
        <v/>
      </c>
      <c r="BC1231" s="22" t="str">
        <f>IF(AND('[1]observations-276632'!W1231&gt;'[1]Methods write-up'!$Q$21,'[1]observations-276632'!W1231&lt;'[1]Methods write-up'!$R$21,'[1]observations-276632'!X1231&gt;'[1]Methods write-up'!$S$21,'[1]observations-276632'!X1231&lt;'[1]Methods write-up'!$T$21),"Desert and high aridity","")</f>
        <v/>
      </c>
      <c r="BD1231" s="23" t="str">
        <f t="shared" si="97"/>
        <v/>
      </c>
      <c r="BE1231" s="24">
        <f t="shared" si="95"/>
        <v>5</v>
      </c>
      <c r="BF1231" s="24">
        <f t="shared" si="96"/>
        <v>5</v>
      </c>
    </row>
    <row r="1232" spans="1:58" ht="16.25" customHeight="1" x14ac:dyDescent="0.2">
      <c r="A1232">
        <v>141242882</v>
      </c>
      <c r="B1232" s="25">
        <v>44865.410416666666</v>
      </c>
      <c r="C1232" s="14">
        <v>44865</v>
      </c>
      <c r="D1232" t="s">
        <v>9033</v>
      </c>
      <c r="E1232" t="s">
        <v>74</v>
      </c>
      <c r="F1232">
        <v>5404793</v>
      </c>
      <c r="G1232" t="s">
        <v>9034</v>
      </c>
      <c r="H1232" t="s">
        <v>9035</v>
      </c>
      <c r="I1232" t="s">
        <v>9036</v>
      </c>
      <c r="J1232" t="s">
        <v>9037</v>
      </c>
      <c r="K1232" t="s">
        <v>62</v>
      </c>
      <c r="M1232" t="s">
        <v>9038</v>
      </c>
      <c r="N1232" t="s">
        <v>9039</v>
      </c>
      <c r="R1232">
        <v>1</v>
      </c>
      <c r="S1232">
        <v>0</v>
      </c>
      <c r="T1232" t="b">
        <v>0</v>
      </c>
      <c r="V1232" t="s">
        <v>9040</v>
      </c>
      <c r="W1232" s="15">
        <v>-20.042810830000001</v>
      </c>
      <c r="X1232" s="15">
        <v>28.534355430000002</v>
      </c>
      <c r="Y1232">
        <v>244</v>
      </c>
      <c r="AC1232">
        <v>244</v>
      </c>
      <c r="AF1232" t="b">
        <v>0</v>
      </c>
      <c r="AI1232" t="s">
        <v>71</v>
      </c>
      <c r="AJ1232" t="s">
        <v>70</v>
      </c>
      <c r="AK1232" t="s">
        <v>71</v>
      </c>
      <c r="AL1232" t="s">
        <v>72</v>
      </c>
      <c r="AM1232">
        <v>346053</v>
      </c>
      <c r="AO1232" s="16" t="s">
        <v>73</v>
      </c>
      <c r="AP1232" s="17" t="str">
        <f t="shared" si="94"/>
        <v>Off-nest female</v>
      </c>
      <c r="AX1232" s="22" t="str">
        <f>IF(AND('[1]observations-276632'!W1232&gt;'[1]Methods write-up'!$Q$16,'[1]observations-276632'!W1232&lt;'[1]Methods write-up'!$R$16,'[1]observations-276632'!X1232&gt;'[1]Methods write-up'!$S$16,'[1]observations-276632'!X1232&lt;'[1]Methods write-up'!$T$16),"West and Central Africa","")</f>
        <v/>
      </c>
      <c r="AY1232" s="22" t="str">
        <f>IF(AND('[1]observations-276632'!W1232&gt;'[1]Methods write-up'!$Q$17,'[1]observations-276632'!W1232&lt;'[1]Methods write-up'!$R$17,'[1]observations-276632'!X1232&gt;'[1]Methods write-up'!$S$17,'[1]observations-276632'!X1232&lt;'[1]Methods write-up'!$T$17),"Equatorial tropical forest","")</f>
        <v/>
      </c>
      <c r="AZ1232" s="22" t="str">
        <f>IF(AND('[1]observations-276632'!W1232&gt;'[1]Methods write-up'!$Q$18,'[1]observations-276632'!W1232&lt;'[1]Methods write-up'!$R$18,'[1]observations-276632'!X1232&gt;'[1]Methods write-up'!$S$18,'[1]observations-276632'!X1232&lt;'[1]Methods write-up'!$T$18),"Somali peninsula","")</f>
        <v/>
      </c>
      <c r="BA1232" s="22" t="str">
        <f>IF(AND('[1]observations-276632'!W1232&gt;'[1]Methods write-up'!$Q$19,'[1]observations-276632'!W1232&lt;'[1]Methods write-up'!$R$19,'[1]observations-276632'!X1232&gt;'[1]Methods write-up'!$S$19,'[1]observations-276632'!X1232&lt;'[1]Methods write-up'!$T$19),"East Africa","")</f>
        <v/>
      </c>
      <c r="BB1232" s="22" t="str">
        <f>IF(AND('[1]observations-276632'!W1232&gt;'[1]Methods write-up'!$Q$20,'[1]observations-276632'!W1232&lt;'[1]Methods write-up'!$R$20,'[1]observations-276632'!X1232&gt;'[1]Methods write-up'!$S$20,'[1]observations-276632'!X1232&lt;'[1]Methods write-up'!$T$20),"Temperate seasonal","")</f>
        <v/>
      </c>
      <c r="BC1232" s="22" t="str">
        <f>IF(AND('[1]observations-276632'!W1232&gt;'[1]Methods write-up'!$Q$21,'[1]observations-276632'!W1232&lt;'[1]Methods write-up'!$R$21,'[1]observations-276632'!X1232&gt;'[1]Methods write-up'!$S$21,'[1]observations-276632'!X1232&lt;'[1]Methods write-up'!$T$21),"Desert and high aridity","")</f>
        <v/>
      </c>
      <c r="BD1232" s="23" t="str">
        <f t="shared" si="97"/>
        <v/>
      </c>
      <c r="BE1232" s="24">
        <f t="shared" si="95"/>
        <v>31</v>
      </c>
      <c r="BF1232" s="24">
        <f t="shared" si="96"/>
        <v>10</v>
      </c>
    </row>
    <row r="1233" spans="1:58" ht="16.25" customHeight="1" x14ac:dyDescent="0.2">
      <c r="A1233">
        <v>141245570</v>
      </c>
      <c r="B1233" s="25">
        <v>44864.334027777775</v>
      </c>
      <c r="C1233" s="14">
        <v>44864</v>
      </c>
      <c r="D1233" t="s">
        <v>9041</v>
      </c>
      <c r="E1233" t="s">
        <v>113</v>
      </c>
      <c r="F1233">
        <v>3381298</v>
      </c>
      <c r="G1233" t="s">
        <v>7227</v>
      </c>
      <c r="H1233" t="s">
        <v>7228</v>
      </c>
      <c r="I1233" t="s">
        <v>9042</v>
      </c>
      <c r="J1233" t="s">
        <v>9043</v>
      </c>
      <c r="K1233" t="s">
        <v>62</v>
      </c>
      <c r="M1233" t="s">
        <v>9044</v>
      </c>
      <c r="N1233" t="s">
        <v>9045</v>
      </c>
      <c r="R1233">
        <v>2</v>
      </c>
      <c r="S1233">
        <v>0</v>
      </c>
      <c r="T1233" t="b">
        <v>0</v>
      </c>
      <c r="V1233" t="s">
        <v>9046</v>
      </c>
      <c r="W1233" s="15">
        <v>-26.573740000000001</v>
      </c>
      <c r="X1233" s="15">
        <v>27.102978329999999</v>
      </c>
      <c r="AF1233" t="b">
        <v>0</v>
      </c>
      <c r="AI1233" t="s">
        <v>71</v>
      </c>
      <c r="AJ1233" t="s">
        <v>70</v>
      </c>
      <c r="AK1233" t="s">
        <v>71</v>
      </c>
      <c r="AL1233" t="s">
        <v>72</v>
      </c>
      <c r="AM1233">
        <v>346053</v>
      </c>
      <c r="AO1233" s="16" t="s">
        <v>1574</v>
      </c>
      <c r="AP1233" s="17" t="str">
        <f t="shared" si="94"/>
        <v>Nest (foundress)</v>
      </c>
      <c r="AQ1233" s="18">
        <v>1</v>
      </c>
      <c r="AT1233" s="19" t="s">
        <v>104</v>
      </c>
      <c r="AX1233" s="22" t="str">
        <f>IF(AND('[1]observations-276632'!W1233&gt;'[1]Methods write-up'!$Q$16,'[1]observations-276632'!W1233&lt;'[1]Methods write-up'!$R$16,'[1]observations-276632'!X1233&gt;'[1]Methods write-up'!$S$16,'[1]observations-276632'!X1233&lt;'[1]Methods write-up'!$T$16),"West and Central Africa","")</f>
        <v/>
      </c>
      <c r="AY1233" s="22" t="str">
        <f>IF(AND('[1]observations-276632'!W1233&gt;'[1]Methods write-up'!$Q$17,'[1]observations-276632'!W1233&lt;'[1]Methods write-up'!$R$17,'[1]observations-276632'!X1233&gt;'[1]Methods write-up'!$S$17,'[1]observations-276632'!X1233&lt;'[1]Methods write-up'!$T$17),"Equatorial tropical forest","")</f>
        <v/>
      </c>
      <c r="AZ1233" s="22" t="str">
        <f>IF(AND('[1]observations-276632'!W1233&gt;'[1]Methods write-up'!$Q$18,'[1]observations-276632'!W1233&lt;'[1]Methods write-up'!$R$18,'[1]observations-276632'!X1233&gt;'[1]Methods write-up'!$S$18,'[1]observations-276632'!X1233&lt;'[1]Methods write-up'!$T$18),"Somali peninsula","")</f>
        <v/>
      </c>
      <c r="BA1233" s="22" t="str">
        <f>IF(AND('[1]observations-276632'!W1233&gt;'[1]Methods write-up'!$Q$19,'[1]observations-276632'!W1233&lt;'[1]Methods write-up'!$R$19,'[1]observations-276632'!X1233&gt;'[1]Methods write-up'!$S$19,'[1]observations-276632'!X1233&lt;'[1]Methods write-up'!$T$19),"East Africa","")</f>
        <v/>
      </c>
      <c r="BB1233" s="22" t="str">
        <f>IF(AND('[1]observations-276632'!W1233&gt;'[1]Methods write-up'!$Q$20,'[1]observations-276632'!W1233&lt;'[1]Methods write-up'!$R$20,'[1]observations-276632'!X1233&gt;'[1]Methods write-up'!$S$20,'[1]observations-276632'!X1233&lt;'[1]Methods write-up'!$T$20),"Temperate seasonal","")</f>
        <v>Temperate seasonal</v>
      </c>
      <c r="BC1233" s="22" t="str">
        <f>IF(AND('[1]observations-276632'!W1233&gt;'[1]Methods write-up'!$Q$21,'[1]observations-276632'!W1233&lt;'[1]Methods write-up'!$R$21,'[1]observations-276632'!X1233&gt;'[1]Methods write-up'!$S$21,'[1]observations-276632'!X1233&lt;'[1]Methods write-up'!$T$21),"Desert and high aridity","")</f>
        <v/>
      </c>
      <c r="BD1233" s="23" t="str">
        <f t="shared" si="97"/>
        <v>Temperate seasonal</v>
      </c>
      <c r="BE1233" s="24">
        <f t="shared" si="95"/>
        <v>30</v>
      </c>
      <c r="BF1233" s="24">
        <f t="shared" si="96"/>
        <v>10</v>
      </c>
    </row>
    <row r="1234" spans="1:58" ht="16.25" customHeight="1" x14ac:dyDescent="0.2">
      <c r="A1234">
        <v>141250945</v>
      </c>
      <c r="B1234" t="s">
        <v>9047</v>
      </c>
      <c r="C1234" s="14">
        <v>44871</v>
      </c>
      <c r="D1234" t="s">
        <v>9048</v>
      </c>
      <c r="E1234" t="s">
        <v>84</v>
      </c>
      <c r="F1234">
        <v>1298657</v>
      </c>
      <c r="G1234" t="s">
        <v>9049</v>
      </c>
      <c r="I1234" t="s">
        <v>9050</v>
      </c>
      <c r="J1234" t="s">
        <v>9051</v>
      </c>
      <c r="K1234" t="s">
        <v>62</v>
      </c>
      <c r="M1234" t="s">
        <v>9052</v>
      </c>
      <c r="N1234" t="s">
        <v>9053</v>
      </c>
      <c r="R1234">
        <v>1</v>
      </c>
      <c r="S1234">
        <v>0</v>
      </c>
      <c r="T1234" t="b">
        <v>0</v>
      </c>
      <c r="U1234">
        <v>3</v>
      </c>
      <c r="V1234" t="s">
        <v>9054</v>
      </c>
      <c r="W1234" s="15">
        <v>-1.0563054999999999</v>
      </c>
      <c r="X1234" s="15">
        <v>35.234058330000003</v>
      </c>
      <c r="Y1234">
        <v>6</v>
      </c>
      <c r="AC1234">
        <v>6</v>
      </c>
      <c r="AF1234" t="b">
        <v>0</v>
      </c>
      <c r="AI1234" t="s">
        <v>71</v>
      </c>
      <c r="AJ1234" t="s">
        <v>70</v>
      </c>
      <c r="AK1234" t="s">
        <v>71</v>
      </c>
      <c r="AL1234" t="s">
        <v>72</v>
      </c>
      <c r="AM1234">
        <v>346053</v>
      </c>
      <c r="AO1234" s="16" t="s">
        <v>73</v>
      </c>
      <c r="AP1234" s="17" t="str">
        <f t="shared" si="94"/>
        <v>Off-nest female</v>
      </c>
      <c r="AX1234" s="22" t="str">
        <f>IF(AND('[1]observations-276632'!W1234&gt;'[1]Methods write-up'!$Q$16,'[1]observations-276632'!W1234&lt;'[1]Methods write-up'!$R$16,'[1]observations-276632'!X1234&gt;'[1]Methods write-up'!$S$16,'[1]observations-276632'!X1234&lt;'[1]Methods write-up'!$T$16),"West and Central Africa","")</f>
        <v/>
      </c>
      <c r="AY1234" s="22" t="str">
        <f>IF(AND('[1]observations-276632'!W1234&gt;'[1]Methods write-up'!$Q$17,'[1]observations-276632'!W1234&lt;'[1]Methods write-up'!$R$17,'[1]observations-276632'!X1234&gt;'[1]Methods write-up'!$S$17,'[1]observations-276632'!X1234&lt;'[1]Methods write-up'!$T$17),"Equatorial tropical forest","")</f>
        <v/>
      </c>
      <c r="AZ1234" s="22" t="str">
        <f>IF(AND('[1]observations-276632'!W1234&gt;'[1]Methods write-up'!$Q$18,'[1]observations-276632'!W1234&lt;'[1]Methods write-up'!$R$18,'[1]observations-276632'!X1234&gt;'[1]Methods write-up'!$S$18,'[1]observations-276632'!X1234&lt;'[1]Methods write-up'!$T$18),"Somali peninsula","")</f>
        <v/>
      </c>
      <c r="BA1234" s="22" t="str">
        <f>IF(AND('[1]observations-276632'!W1234&gt;'[1]Methods write-up'!$Q$19,'[1]observations-276632'!W1234&lt;'[1]Methods write-up'!$R$19,'[1]observations-276632'!X1234&gt;'[1]Methods write-up'!$S$19,'[1]observations-276632'!X1234&lt;'[1]Methods write-up'!$T$19),"East Africa","")</f>
        <v>East Africa</v>
      </c>
      <c r="BB1234" s="22" t="str">
        <f>IF(AND('[1]observations-276632'!W1234&gt;'[1]Methods write-up'!$Q$20,'[1]observations-276632'!W1234&lt;'[1]Methods write-up'!$R$20,'[1]observations-276632'!X1234&gt;'[1]Methods write-up'!$S$20,'[1]observations-276632'!X1234&lt;'[1]Methods write-up'!$T$20),"Temperate seasonal","")</f>
        <v/>
      </c>
      <c r="BC1234" s="22" t="str">
        <f>IF(AND('[1]observations-276632'!W1234&gt;'[1]Methods write-up'!$Q$21,'[1]observations-276632'!W1234&lt;'[1]Methods write-up'!$R$21,'[1]observations-276632'!X1234&gt;'[1]Methods write-up'!$S$21,'[1]observations-276632'!X1234&lt;'[1]Methods write-up'!$T$21),"Desert and high aridity","")</f>
        <v/>
      </c>
      <c r="BD1234" s="23" t="str">
        <f t="shared" si="97"/>
        <v>East Africa</v>
      </c>
      <c r="BE1234" s="24">
        <f t="shared" si="95"/>
        <v>6</v>
      </c>
      <c r="BF1234" s="24">
        <f t="shared" si="96"/>
        <v>11</v>
      </c>
    </row>
    <row r="1235" spans="1:58" ht="16.25" customHeight="1" x14ac:dyDescent="0.2">
      <c r="A1235">
        <v>141279587</v>
      </c>
      <c r="B1235" s="25">
        <v>44864.332638888889</v>
      </c>
      <c r="C1235" s="14">
        <v>44864</v>
      </c>
      <c r="D1235" t="s">
        <v>9055</v>
      </c>
      <c r="E1235" t="s">
        <v>113</v>
      </c>
      <c r="F1235">
        <v>1636096</v>
      </c>
      <c r="G1235" t="s">
        <v>4875</v>
      </c>
      <c r="H1235" t="s">
        <v>4876</v>
      </c>
      <c r="I1235" t="s">
        <v>9056</v>
      </c>
      <c r="J1235" t="s">
        <v>9057</v>
      </c>
      <c r="K1235" t="s">
        <v>62</v>
      </c>
      <c r="L1235" t="s">
        <v>63</v>
      </c>
      <c r="M1235" t="s">
        <v>9058</v>
      </c>
      <c r="N1235" t="s">
        <v>9059</v>
      </c>
      <c r="R1235">
        <v>2</v>
      </c>
      <c r="S1235">
        <v>0</v>
      </c>
      <c r="T1235" t="b">
        <v>0</v>
      </c>
      <c r="V1235" t="s">
        <v>7418</v>
      </c>
      <c r="W1235" s="15">
        <v>-26.57365085</v>
      </c>
      <c r="X1235" s="15">
        <v>27.103039249999998</v>
      </c>
      <c r="AF1235" t="b">
        <v>0</v>
      </c>
      <c r="AI1235" t="s">
        <v>71</v>
      </c>
      <c r="AJ1235" t="s">
        <v>70</v>
      </c>
      <c r="AK1235" t="s">
        <v>71</v>
      </c>
      <c r="AL1235" t="s">
        <v>72</v>
      </c>
      <c r="AM1235">
        <v>346053</v>
      </c>
      <c r="AO1235" s="16" t="s">
        <v>1574</v>
      </c>
      <c r="AP1235" s="17" t="str">
        <f t="shared" si="94"/>
        <v>Nest (foundress)</v>
      </c>
      <c r="AQ1235" s="18">
        <v>1</v>
      </c>
      <c r="AT1235" s="19" t="s">
        <v>104</v>
      </c>
      <c r="AX1235" s="22" t="str">
        <f>IF(AND('[1]observations-276632'!W1235&gt;'[1]Methods write-up'!$Q$16,'[1]observations-276632'!W1235&lt;'[1]Methods write-up'!$R$16,'[1]observations-276632'!X1235&gt;'[1]Methods write-up'!$S$16,'[1]observations-276632'!X1235&lt;'[1]Methods write-up'!$T$16),"West and Central Africa","")</f>
        <v/>
      </c>
      <c r="AY1235" s="22" t="str">
        <f>IF(AND('[1]observations-276632'!W1235&gt;'[1]Methods write-up'!$Q$17,'[1]observations-276632'!W1235&lt;'[1]Methods write-up'!$R$17,'[1]observations-276632'!X1235&gt;'[1]Methods write-up'!$S$17,'[1]observations-276632'!X1235&lt;'[1]Methods write-up'!$T$17),"Equatorial tropical forest","")</f>
        <v/>
      </c>
      <c r="AZ1235" s="22" t="str">
        <f>IF(AND('[1]observations-276632'!W1235&gt;'[1]Methods write-up'!$Q$18,'[1]observations-276632'!W1235&lt;'[1]Methods write-up'!$R$18,'[1]observations-276632'!X1235&gt;'[1]Methods write-up'!$S$18,'[1]observations-276632'!X1235&lt;'[1]Methods write-up'!$T$18),"Somali peninsula","")</f>
        <v/>
      </c>
      <c r="BA1235" s="22" t="str">
        <f>IF(AND('[1]observations-276632'!W1235&gt;'[1]Methods write-up'!$Q$19,'[1]observations-276632'!W1235&lt;'[1]Methods write-up'!$R$19,'[1]observations-276632'!X1235&gt;'[1]Methods write-up'!$S$19,'[1]observations-276632'!X1235&lt;'[1]Methods write-up'!$T$19),"East Africa","")</f>
        <v/>
      </c>
      <c r="BB1235" s="22" t="str">
        <f>IF(AND('[1]observations-276632'!W1235&gt;'[1]Methods write-up'!$Q$20,'[1]observations-276632'!W1235&lt;'[1]Methods write-up'!$R$20,'[1]observations-276632'!X1235&gt;'[1]Methods write-up'!$S$20,'[1]observations-276632'!X1235&lt;'[1]Methods write-up'!$T$20),"Temperate seasonal","")</f>
        <v>Temperate seasonal</v>
      </c>
      <c r="BC1235" s="22" t="str">
        <f>IF(AND('[1]observations-276632'!W1235&gt;'[1]Methods write-up'!$Q$21,'[1]observations-276632'!W1235&lt;'[1]Methods write-up'!$R$21,'[1]observations-276632'!X1235&gt;'[1]Methods write-up'!$S$21,'[1]observations-276632'!X1235&lt;'[1]Methods write-up'!$T$21),"Desert and high aridity","")</f>
        <v/>
      </c>
      <c r="BD1235" s="23" t="str">
        <f t="shared" si="97"/>
        <v>Temperate seasonal</v>
      </c>
      <c r="BE1235" s="24">
        <f t="shared" si="95"/>
        <v>30</v>
      </c>
      <c r="BF1235" s="24">
        <f t="shared" si="96"/>
        <v>10</v>
      </c>
    </row>
    <row r="1236" spans="1:58" ht="16.25" customHeight="1" x14ac:dyDescent="0.2">
      <c r="A1236">
        <v>141474725</v>
      </c>
      <c r="B1236" t="s">
        <v>9060</v>
      </c>
      <c r="C1236" s="14">
        <v>44863</v>
      </c>
      <c r="D1236" t="s">
        <v>9061</v>
      </c>
      <c r="E1236" t="s">
        <v>74</v>
      </c>
      <c r="F1236">
        <v>1812003</v>
      </c>
      <c r="G1236" t="s">
        <v>4158</v>
      </c>
      <c r="I1236" t="s">
        <v>9062</v>
      </c>
      <c r="J1236" t="s">
        <v>9063</v>
      </c>
      <c r="K1236" t="s">
        <v>62</v>
      </c>
      <c r="L1236" t="s">
        <v>63</v>
      </c>
      <c r="M1236" t="s">
        <v>9064</v>
      </c>
      <c r="N1236" t="s">
        <v>9065</v>
      </c>
      <c r="R1236">
        <v>1</v>
      </c>
      <c r="S1236">
        <v>0</v>
      </c>
      <c r="T1236" t="b">
        <v>0</v>
      </c>
      <c r="U1236">
        <v>3</v>
      </c>
      <c r="V1236" t="s">
        <v>9066</v>
      </c>
      <c r="W1236" s="15">
        <v>-20.221482170000002</v>
      </c>
      <c r="X1236" s="15">
        <v>28.600886509999999</v>
      </c>
      <c r="Y1236">
        <v>179</v>
      </c>
      <c r="AC1236">
        <v>179</v>
      </c>
      <c r="AF1236" t="b">
        <v>0</v>
      </c>
      <c r="AI1236" t="s">
        <v>71</v>
      </c>
      <c r="AJ1236" t="s">
        <v>70</v>
      </c>
      <c r="AK1236" t="s">
        <v>71</v>
      </c>
      <c r="AL1236" t="s">
        <v>72</v>
      </c>
      <c r="AM1236">
        <v>346053</v>
      </c>
      <c r="AO1236" s="16" t="s">
        <v>73</v>
      </c>
      <c r="AP1236" s="17" t="str">
        <f t="shared" si="94"/>
        <v>Off-nest female</v>
      </c>
      <c r="AX1236" s="22" t="str">
        <f>IF(AND('[1]observations-276632'!W1236&gt;'[1]Methods write-up'!$Q$16,'[1]observations-276632'!W1236&lt;'[1]Methods write-up'!$R$16,'[1]observations-276632'!X1236&gt;'[1]Methods write-up'!$S$16,'[1]observations-276632'!X1236&lt;'[1]Methods write-up'!$T$16),"West and Central Africa","")</f>
        <v/>
      </c>
      <c r="AY1236" s="22" t="str">
        <f>IF(AND('[1]observations-276632'!W1236&gt;'[1]Methods write-up'!$Q$17,'[1]observations-276632'!W1236&lt;'[1]Methods write-up'!$R$17,'[1]observations-276632'!X1236&gt;'[1]Methods write-up'!$S$17,'[1]observations-276632'!X1236&lt;'[1]Methods write-up'!$T$17),"Equatorial tropical forest","")</f>
        <v/>
      </c>
      <c r="AZ1236" s="22" t="str">
        <f>IF(AND('[1]observations-276632'!W1236&gt;'[1]Methods write-up'!$Q$18,'[1]observations-276632'!W1236&lt;'[1]Methods write-up'!$R$18,'[1]observations-276632'!X1236&gt;'[1]Methods write-up'!$S$18,'[1]observations-276632'!X1236&lt;'[1]Methods write-up'!$T$18),"Somali peninsula","")</f>
        <v/>
      </c>
      <c r="BA1236" s="22" t="str">
        <f>IF(AND('[1]observations-276632'!W1236&gt;'[1]Methods write-up'!$Q$19,'[1]observations-276632'!W1236&lt;'[1]Methods write-up'!$R$19,'[1]observations-276632'!X1236&gt;'[1]Methods write-up'!$S$19,'[1]observations-276632'!X1236&lt;'[1]Methods write-up'!$T$19),"East Africa","")</f>
        <v/>
      </c>
      <c r="BB1236" s="22" t="str">
        <f>IF(AND('[1]observations-276632'!W1236&gt;'[1]Methods write-up'!$Q$20,'[1]observations-276632'!W1236&lt;'[1]Methods write-up'!$R$20,'[1]observations-276632'!X1236&gt;'[1]Methods write-up'!$S$20,'[1]observations-276632'!X1236&lt;'[1]Methods write-up'!$T$20),"Temperate seasonal","")</f>
        <v/>
      </c>
      <c r="BC1236" s="22" t="str">
        <f>IF(AND('[1]observations-276632'!W1236&gt;'[1]Methods write-up'!$Q$21,'[1]observations-276632'!W1236&lt;'[1]Methods write-up'!$R$21,'[1]observations-276632'!X1236&gt;'[1]Methods write-up'!$S$21,'[1]observations-276632'!X1236&lt;'[1]Methods write-up'!$T$21),"Desert and high aridity","")</f>
        <v/>
      </c>
      <c r="BD1236" s="23" t="str">
        <f t="shared" si="97"/>
        <v/>
      </c>
      <c r="BE1236" s="24">
        <f t="shared" si="95"/>
        <v>29</v>
      </c>
      <c r="BF1236" s="24">
        <f t="shared" si="96"/>
        <v>10</v>
      </c>
    </row>
    <row r="1237" spans="1:58" ht="16.25" customHeight="1" x14ac:dyDescent="0.2">
      <c r="A1237">
        <v>141573834</v>
      </c>
      <c r="B1237" s="25">
        <v>44865.577777777777</v>
      </c>
      <c r="C1237" s="14">
        <v>44865</v>
      </c>
      <c r="D1237" t="s">
        <v>9067</v>
      </c>
      <c r="E1237" t="s">
        <v>113</v>
      </c>
      <c r="F1237">
        <v>4056213</v>
      </c>
      <c r="G1237" t="s">
        <v>9068</v>
      </c>
      <c r="I1237" t="s">
        <v>9069</v>
      </c>
      <c r="J1237" t="s">
        <v>9070</v>
      </c>
      <c r="K1237" t="s">
        <v>62</v>
      </c>
      <c r="L1237" t="s">
        <v>63</v>
      </c>
      <c r="M1237" t="s">
        <v>9071</v>
      </c>
      <c r="N1237" t="s">
        <v>9072</v>
      </c>
      <c r="R1237">
        <v>3</v>
      </c>
      <c r="S1237">
        <v>0</v>
      </c>
      <c r="T1237" t="b">
        <v>0</v>
      </c>
      <c r="V1237" t="s">
        <v>9073</v>
      </c>
      <c r="W1237" s="15">
        <v>-25.911938039999999</v>
      </c>
      <c r="X1237" s="15">
        <v>28.419732329999999</v>
      </c>
      <c r="Y1237">
        <v>201</v>
      </c>
      <c r="AC1237">
        <v>201</v>
      </c>
      <c r="AF1237" t="b">
        <v>0</v>
      </c>
      <c r="AI1237" t="s">
        <v>71</v>
      </c>
      <c r="AJ1237" t="s">
        <v>70</v>
      </c>
      <c r="AK1237" t="s">
        <v>71</v>
      </c>
      <c r="AL1237" t="s">
        <v>72</v>
      </c>
      <c r="AM1237">
        <v>346053</v>
      </c>
      <c r="AO1237" s="16" t="s">
        <v>140</v>
      </c>
      <c r="AP1237" s="17" t="str">
        <f t="shared" si="94"/>
        <v>Post-emergence nest</v>
      </c>
      <c r="AQ1237" s="18">
        <v>3</v>
      </c>
      <c r="AT1237" s="19" t="s">
        <v>141</v>
      </c>
      <c r="AU1237" s="20" t="s">
        <v>104</v>
      </c>
      <c r="AX1237" s="22" t="str">
        <f>IF(AND('[1]observations-276632'!W1237&gt;'[1]Methods write-up'!$Q$16,'[1]observations-276632'!W1237&lt;'[1]Methods write-up'!$R$16,'[1]observations-276632'!X1237&gt;'[1]Methods write-up'!$S$16,'[1]observations-276632'!X1237&lt;'[1]Methods write-up'!$T$16),"West and Central Africa","")</f>
        <v/>
      </c>
      <c r="AY1237" s="22" t="str">
        <f>IF(AND('[1]observations-276632'!W1237&gt;'[1]Methods write-up'!$Q$17,'[1]observations-276632'!W1237&lt;'[1]Methods write-up'!$R$17,'[1]observations-276632'!X1237&gt;'[1]Methods write-up'!$S$17,'[1]observations-276632'!X1237&lt;'[1]Methods write-up'!$T$17),"Equatorial tropical forest","")</f>
        <v/>
      </c>
      <c r="AZ1237" s="22" t="str">
        <f>IF(AND('[1]observations-276632'!W1237&gt;'[1]Methods write-up'!$Q$18,'[1]observations-276632'!W1237&lt;'[1]Methods write-up'!$R$18,'[1]observations-276632'!X1237&gt;'[1]Methods write-up'!$S$18,'[1]observations-276632'!X1237&lt;'[1]Methods write-up'!$T$18),"Somali peninsula","")</f>
        <v/>
      </c>
      <c r="BA1237" s="22" t="str">
        <f>IF(AND('[1]observations-276632'!W1237&gt;'[1]Methods write-up'!$Q$19,'[1]observations-276632'!W1237&lt;'[1]Methods write-up'!$R$19,'[1]observations-276632'!X1237&gt;'[1]Methods write-up'!$S$19,'[1]observations-276632'!X1237&lt;'[1]Methods write-up'!$T$19),"East Africa","")</f>
        <v/>
      </c>
      <c r="BB1237" s="22" t="str">
        <f>IF(AND('[1]observations-276632'!W1237&gt;'[1]Methods write-up'!$Q$20,'[1]observations-276632'!W1237&lt;'[1]Methods write-up'!$R$20,'[1]observations-276632'!X1237&gt;'[1]Methods write-up'!$S$20,'[1]observations-276632'!X1237&lt;'[1]Methods write-up'!$T$20),"Temperate seasonal","")</f>
        <v>Temperate seasonal</v>
      </c>
      <c r="BC1237" s="22" t="str">
        <f>IF(AND('[1]observations-276632'!W1237&gt;'[1]Methods write-up'!$Q$21,'[1]observations-276632'!W1237&lt;'[1]Methods write-up'!$R$21,'[1]observations-276632'!X1237&gt;'[1]Methods write-up'!$S$21,'[1]observations-276632'!X1237&lt;'[1]Methods write-up'!$T$21),"Desert and high aridity","")</f>
        <v/>
      </c>
      <c r="BD1237" s="23" t="str">
        <f t="shared" si="97"/>
        <v>Temperate seasonal</v>
      </c>
      <c r="BE1237" s="24">
        <f t="shared" si="95"/>
        <v>31</v>
      </c>
      <c r="BF1237" s="24">
        <f t="shared" si="96"/>
        <v>10</v>
      </c>
    </row>
    <row r="1238" spans="1:58" ht="16.25" customHeight="1" x14ac:dyDescent="0.2">
      <c r="A1238">
        <v>141601664</v>
      </c>
      <c r="B1238" s="25">
        <v>44874.468055555553</v>
      </c>
      <c r="C1238" s="14">
        <v>44874</v>
      </c>
      <c r="D1238" t="s">
        <v>9074</v>
      </c>
      <c r="E1238" t="s">
        <v>113</v>
      </c>
      <c r="F1238">
        <v>100845</v>
      </c>
      <c r="G1238" t="s">
        <v>1775</v>
      </c>
      <c r="H1238" t="s">
        <v>1776</v>
      </c>
      <c r="I1238" t="s">
        <v>9075</v>
      </c>
      <c r="J1238" t="s">
        <v>9076</v>
      </c>
      <c r="K1238" t="s">
        <v>62</v>
      </c>
      <c r="L1238" t="s">
        <v>98</v>
      </c>
      <c r="M1238" t="s">
        <v>9077</v>
      </c>
      <c r="N1238" t="s">
        <v>9078</v>
      </c>
      <c r="Q1238" t="s">
        <v>70</v>
      </c>
      <c r="R1238">
        <v>2</v>
      </c>
      <c r="S1238">
        <v>0</v>
      </c>
      <c r="T1238" t="b">
        <v>0</v>
      </c>
      <c r="V1238" t="s">
        <v>1839</v>
      </c>
      <c r="W1238" s="15">
        <v>-25.73897809</v>
      </c>
      <c r="X1238" s="15">
        <v>28.25457974</v>
      </c>
      <c r="Y1238">
        <v>31</v>
      </c>
      <c r="AC1238">
        <v>31</v>
      </c>
      <c r="AF1238" t="b">
        <v>0</v>
      </c>
      <c r="AI1238" t="s">
        <v>71</v>
      </c>
      <c r="AJ1238" t="s">
        <v>70</v>
      </c>
      <c r="AK1238" t="s">
        <v>71</v>
      </c>
      <c r="AL1238" t="s">
        <v>72</v>
      </c>
      <c r="AM1238">
        <v>346053</v>
      </c>
      <c r="AO1238" s="16" t="s">
        <v>1574</v>
      </c>
      <c r="AP1238" s="17" t="str">
        <f t="shared" si="94"/>
        <v>Nest (foundress)</v>
      </c>
      <c r="AQ1238" s="18">
        <v>1</v>
      </c>
      <c r="AT1238" s="19" t="s">
        <v>141</v>
      </c>
      <c r="AX1238" s="22" t="str">
        <f>IF(AND('[1]observations-276632'!W1238&gt;'[1]Methods write-up'!$Q$16,'[1]observations-276632'!W1238&lt;'[1]Methods write-up'!$R$16,'[1]observations-276632'!X1238&gt;'[1]Methods write-up'!$S$16,'[1]observations-276632'!X1238&lt;'[1]Methods write-up'!$T$16),"West and Central Africa","")</f>
        <v/>
      </c>
      <c r="AY1238" s="22" t="str">
        <f>IF(AND('[1]observations-276632'!W1238&gt;'[1]Methods write-up'!$Q$17,'[1]observations-276632'!W1238&lt;'[1]Methods write-up'!$R$17,'[1]observations-276632'!X1238&gt;'[1]Methods write-up'!$S$17,'[1]observations-276632'!X1238&lt;'[1]Methods write-up'!$T$17),"Equatorial tropical forest","")</f>
        <v/>
      </c>
      <c r="AZ1238" s="22" t="str">
        <f>IF(AND('[1]observations-276632'!W1238&gt;'[1]Methods write-up'!$Q$18,'[1]observations-276632'!W1238&lt;'[1]Methods write-up'!$R$18,'[1]observations-276632'!X1238&gt;'[1]Methods write-up'!$S$18,'[1]observations-276632'!X1238&lt;'[1]Methods write-up'!$T$18),"Somali peninsula","")</f>
        <v/>
      </c>
      <c r="BA1238" s="22" t="str">
        <f>IF(AND('[1]observations-276632'!W1238&gt;'[1]Methods write-up'!$Q$19,'[1]observations-276632'!W1238&lt;'[1]Methods write-up'!$R$19,'[1]observations-276632'!X1238&gt;'[1]Methods write-up'!$S$19,'[1]observations-276632'!X1238&lt;'[1]Methods write-up'!$T$19),"East Africa","")</f>
        <v/>
      </c>
      <c r="BB1238" s="22" t="str">
        <f>IF(AND('[1]observations-276632'!W1238&gt;'[1]Methods write-up'!$Q$20,'[1]observations-276632'!W1238&lt;'[1]Methods write-up'!$R$20,'[1]observations-276632'!X1238&gt;'[1]Methods write-up'!$S$20,'[1]observations-276632'!X1238&lt;'[1]Methods write-up'!$T$20),"Temperate seasonal","")</f>
        <v>Temperate seasonal</v>
      </c>
      <c r="BC1238" s="22" t="str">
        <f>IF(AND('[1]observations-276632'!W1238&gt;'[1]Methods write-up'!$Q$21,'[1]observations-276632'!W1238&lt;'[1]Methods write-up'!$R$21,'[1]observations-276632'!X1238&gt;'[1]Methods write-up'!$S$21,'[1]observations-276632'!X1238&lt;'[1]Methods write-up'!$T$21),"Desert and high aridity","")</f>
        <v/>
      </c>
      <c r="BD1238" s="23" t="str">
        <f t="shared" si="97"/>
        <v>Temperate seasonal</v>
      </c>
      <c r="BE1238" s="24">
        <f t="shared" si="95"/>
        <v>9</v>
      </c>
      <c r="BF1238" s="24">
        <f t="shared" si="96"/>
        <v>11</v>
      </c>
    </row>
    <row r="1239" spans="1:58" ht="16.25" customHeight="1" x14ac:dyDescent="0.2">
      <c r="A1239">
        <v>141629851</v>
      </c>
      <c r="B1239" s="25">
        <v>44862.482638888891</v>
      </c>
      <c r="C1239" s="14">
        <v>44862</v>
      </c>
      <c r="D1239" t="s">
        <v>9079</v>
      </c>
      <c r="E1239" t="s">
        <v>113</v>
      </c>
      <c r="F1239">
        <v>687366</v>
      </c>
      <c r="G1239" t="s">
        <v>2791</v>
      </c>
      <c r="H1239" t="s">
        <v>2792</v>
      </c>
      <c r="I1239" t="s">
        <v>9080</v>
      </c>
      <c r="J1239" t="s">
        <v>9081</v>
      </c>
      <c r="K1239" t="s">
        <v>157</v>
      </c>
      <c r="L1239" t="s">
        <v>373</v>
      </c>
      <c r="M1239" t="s">
        <v>9082</v>
      </c>
      <c r="N1239" t="s">
        <v>9083</v>
      </c>
      <c r="R1239">
        <v>1</v>
      </c>
      <c r="S1239">
        <v>0</v>
      </c>
      <c r="T1239" t="b">
        <v>0</v>
      </c>
      <c r="V1239" t="s">
        <v>9084</v>
      </c>
      <c r="W1239" s="15">
        <v>-25.595779610000001</v>
      </c>
      <c r="X1239" s="15">
        <v>31.481022660000001</v>
      </c>
      <c r="Y1239">
        <v>4</v>
      </c>
      <c r="AC1239">
        <v>4</v>
      </c>
      <c r="AF1239" t="b">
        <v>0</v>
      </c>
      <c r="AI1239" t="s">
        <v>102</v>
      </c>
      <c r="AJ1239" t="s">
        <v>102</v>
      </c>
      <c r="AL1239" t="s">
        <v>72</v>
      </c>
      <c r="AM1239">
        <v>1070939</v>
      </c>
      <c r="AO1239" s="16" t="s">
        <v>73</v>
      </c>
      <c r="AP1239" s="17" t="str">
        <f t="shared" si="94"/>
        <v>Off-nest female</v>
      </c>
      <c r="AX1239" s="22" t="str">
        <f>IF(AND('[1]observations-276632'!W1239&gt;'[1]Methods write-up'!$Q$16,'[1]observations-276632'!W1239&lt;'[1]Methods write-up'!$R$16,'[1]observations-276632'!X1239&gt;'[1]Methods write-up'!$S$16,'[1]observations-276632'!X1239&lt;'[1]Methods write-up'!$T$16),"West and Central Africa","")</f>
        <v/>
      </c>
      <c r="AY1239" s="22" t="str">
        <f>IF(AND('[1]observations-276632'!W1239&gt;'[1]Methods write-up'!$Q$17,'[1]observations-276632'!W1239&lt;'[1]Methods write-up'!$R$17,'[1]observations-276632'!X1239&gt;'[1]Methods write-up'!$S$17,'[1]observations-276632'!X1239&lt;'[1]Methods write-up'!$T$17),"Equatorial tropical forest","")</f>
        <v/>
      </c>
      <c r="AZ1239" s="22" t="str">
        <f>IF(AND('[1]observations-276632'!W1239&gt;'[1]Methods write-up'!$Q$18,'[1]observations-276632'!W1239&lt;'[1]Methods write-up'!$R$18,'[1]observations-276632'!X1239&gt;'[1]Methods write-up'!$S$18,'[1]observations-276632'!X1239&lt;'[1]Methods write-up'!$T$18),"Somali peninsula","")</f>
        <v/>
      </c>
      <c r="BA1239" s="22" t="str">
        <f>IF(AND('[1]observations-276632'!W1239&gt;'[1]Methods write-up'!$Q$19,'[1]observations-276632'!W1239&lt;'[1]Methods write-up'!$R$19,'[1]observations-276632'!X1239&gt;'[1]Methods write-up'!$S$19,'[1]observations-276632'!X1239&lt;'[1]Methods write-up'!$T$19),"East Africa","")</f>
        <v/>
      </c>
      <c r="BB1239" s="22" t="str">
        <f>IF(AND('[1]observations-276632'!W1239&gt;'[1]Methods write-up'!$Q$20,'[1]observations-276632'!W1239&lt;'[1]Methods write-up'!$R$20,'[1]observations-276632'!X1239&gt;'[1]Methods write-up'!$S$20,'[1]observations-276632'!X1239&lt;'[1]Methods write-up'!$T$20),"Temperate seasonal","")</f>
        <v>Temperate seasonal</v>
      </c>
      <c r="BC1239" s="22" t="str">
        <f>IF(AND('[1]observations-276632'!W1239&gt;'[1]Methods write-up'!$Q$21,'[1]observations-276632'!W1239&lt;'[1]Methods write-up'!$R$21,'[1]observations-276632'!X1239&gt;'[1]Methods write-up'!$S$21,'[1]observations-276632'!X1239&lt;'[1]Methods write-up'!$T$21),"Desert and high aridity","")</f>
        <v/>
      </c>
      <c r="BD1239" s="23" t="str">
        <f t="shared" si="97"/>
        <v>Temperate seasonal</v>
      </c>
      <c r="BE1239" s="24">
        <f t="shared" si="95"/>
        <v>28</v>
      </c>
      <c r="BF1239" s="24">
        <f t="shared" si="96"/>
        <v>10</v>
      </c>
    </row>
    <row r="1240" spans="1:58" ht="16.25" customHeight="1" x14ac:dyDescent="0.2">
      <c r="A1240">
        <v>141639185</v>
      </c>
      <c r="B1240" s="25">
        <v>44875.901388888888</v>
      </c>
      <c r="C1240" s="14">
        <v>44875</v>
      </c>
      <c r="D1240" t="s">
        <v>9085</v>
      </c>
      <c r="E1240" t="s">
        <v>113</v>
      </c>
      <c r="F1240">
        <v>141873</v>
      </c>
      <c r="G1240" t="s">
        <v>9086</v>
      </c>
      <c r="I1240" t="s">
        <v>9087</v>
      </c>
      <c r="J1240" t="s">
        <v>9088</v>
      </c>
      <c r="K1240" t="s">
        <v>62</v>
      </c>
      <c r="L1240" t="s">
        <v>63</v>
      </c>
      <c r="M1240" t="s">
        <v>9089</v>
      </c>
      <c r="N1240" t="s">
        <v>9090</v>
      </c>
      <c r="R1240">
        <v>2</v>
      </c>
      <c r="S1240">
        <v>0</v>
      </c>
      <c r="T1240" t="b">
        <v>0</v>
      </c>
      <c r="U1240">
        <v>2</v>
      </c>
      <c r="V1240" t="s">
        <v>9091</v>
      </c>
      <c r="W1240" s="15">
        <v>-28.057777779999999</v>
      </c>
      <c r="X1240" s="15">
        <v>32.294166670000003</v>
      </c>
      <c r="AF1240" t="b">
        <v>0</v>
      </c>
      <c r="AG1240" t="s">
        <v>350</v>
      </c>
      <c r="AH1240" t="s">
        <v>350</v>
      </c>
      <c r="AI1240" t="s">
        <v>71</v>
      </c>
      <c r="AJ1240" t="s">
        <v>70</v>
      </c>
      <c r="AK1240" t="s">
        <v>71</v>
      </c>
      <c r="AL1240" t="s">
        <v>72</v>
      </c>
      <c r="AM1240">
        <v>346053</v>
      </c>
      <c r="AO1240" s="16" t="s">
        <v>110</v>
      </c>
      <c r="AP1240" s="17" t="str">
        <f t="shared" si="94"/>
        <v>Nest (foundress)</v>
      </c>
      <c r="AQ1240" s="18">
        <v>2</v>
      </c>
      <c r="AT1240" s="19" t="s">
        <v>141</v>
      </c>
      <c r="AX1240" s="22" t="str">
        <f>IF(AND('[1]observations-276632'!W1240&gt;'[1]Methods write-up'!$Q$16,'[1]observations-276632'!W1240&lt;'[1]Methods write-up'!$R$16,'[1]observations-276632'!X1240&gt;'[1]Methods write-up'!$S$16,'[1]observations-276632'!X1240&lt;'[1]Methods write-up'!$T$16),"West and Central Africa","")</f>
        <v/>
      </c>
      <c r="AY1240" s="22" t="str">
        <f>IF(AND('[1]observations-276632'!W1240&gt;'[1]Methods write-up'!$Q$17,'[1]observations-276632'!W1240&lt;'[1]Methods write-up'!$R$17,'[1]observations-276632'!X1240&gt;'[1]Methods write-up'!$S$17,'[1]observations-276632'!X1240&lt;'[1]Methods write-up'!$T$17),"Equatorial tropical forest","")</f>
        <v/>
      </c>
      <c r="AZ1240" s="22" t="str">
        <f>IF(AND('[1]observations-276632'!W1240&gt;'[1]Methods write-up'!$Q$18,'[1]observations-276632'!W1240&lt;'[1]Methods write-up'!$R$18,'[1]observations-276632'!X1240&gt;'[1]Methods write-up'!$S$18,'[1]observations-276632'!X1240&lt;'[1]Methods write-up'!$T$18),"Somali peninsula","")</f>
        <v/>
      </c>
      <c r="BA1240" s="22" t="str">
        <f>IF(AND('[1]observations-276632'!W1240&gt;'[1]Methods write-up'!$Q$19,'[1]observations-276632'!W1240&lt;'[1]Methods write-up'!$R$19,'[1]observations-276632'!X1240&gt;'[1]Methods write-up'!$S$19,'[1]observations-276632'!X1240&lt;'[1]Methods write-up'!$T$19),"East Africa","")</f>
        <v/>
      </c>
      <c r="BB1240" s="22" t="str">
        <f>IF(AND('[1]observations-276632'!W1240&gt;'[1]Methods write-up'!$Q$20,'[1]observations-276632'!W1240&lt;'[1]Methods write-up'!$R$20,'[1]observations-276632'!X1240&gt;'[1]Methods write-up'!$S$20,'[1]observations-276632'!X1240&lt;'[1]Methods write-up'!$T$20),"Temperate seasonal","")</f>
        <v>Temperate seasonal</v>
      </c>
      <c r="BC1240" s="22" t="str">
        <f>IF(AND('[1]observations-276632'!W1240&gt;'[1]Methods write-up'!$Q$21,'[1]observations-276632'!W1240&lt;'[1]Methods write-up'!$R$21,'[1]observations-276632'!X1240&gt;'[1]Methods write-up'!$S$21,'[1]observations-276632'!X1240&lt;'[1]Methods write-up'!$T$21),"Desert and high aridity","")</f>
        <v/>
      </c>
      <c r="BD1240" s="23" t="str">
        <f t="shared" si="97"/>
        <v>Temperate seasonal</v>
      </c>
      <c r="BE1240" s="24">
        <f t="shared" si="95"/>
        <v>10</v>
      </c>
      <c r="BF1240" s="24">
        <f t="shared" si="96"/>
        <v>11</v>
      </c>
    </row>
    <row r="1241" spans="1:58" ht="16.25" customHeight="1" x14ac:dyDescent="0.2">
      <c r="A1241">
        <v>141696973</v>
      </c>
      <c r="B1241" s="25">
        <v>44873.234722222223</v>
      </c>
      <c r="C1241" s="14">
        <v>44873</v>
      </c>
      <c r="D1241" t="s">
        <v>9092</v>
      </c>
      <c r="E1241" t="s">
        <v>84</v>
      </c>
      <c r="F1241">
        <v>3444</v>
      </c>
      <c r="G1241" t="s">
        <v>7720</v>
      </c>
      <c r="H1241" t="s">
        <v>7721</v>
      </c>
      <c r="I1241" t="s">
        <v>9093</v>
      </c>
      <c r="J1241" t="s">
        <v>9094</v>
      </c>
      <c r="K1241" t="s">
        <v>62</v>
      </c>
      <c r="M1241" t="s">
        <v>9095</v>
      </c>
      <c r="N1241" t="s">
        <v>9096</v>
      </c>
      <c r="R1241">
        <v>1</v>
      </c>
      <c r="S1241">
        <v>0</v>
      </c>
      <c r="T1241" t="b">
        <v>0</v>
      </c>
      <c r="V1241" t="s">
        <v>8730</v>
      </c>
      <c r="W1241" s="15">
        <v>-18.196477139999999</v>
      </c>
      <c r="X1241" s="15">
        <v>47.28635173</v>
      </c>
      <c r="Y1241">
        <v>31</v>
      </c>
      <c r="AC1241">
        <v>31</v>
      </c>
      <c r="AF1241" t="b">
        <v>0</v>
      </c>
      <c r="AI1241" t="s">
        <v>71</v>
      </c>
      <c r="AJ1241" t="s">
        <v>70</v>
      </c>
      <c r="AK1241" t="s">
        <v>71</v>
      </c>
      <c r="AL1241" t="s">
        <v>72</v>
      </c>
      <c r="AM1241">
        <v>346053</v>
      </c>
      <c r="AO1241" s="16" t="s">
        <v>110</v>
      </c>
      <c r="AP1241" s="17" t="str">
        <f t="shared" si="94"/>
        <v>Nest (foundress)</v>
      </c>
      <c r="AQ1241" s="18">
        <v>2</v>
      </c>
      <c r="AT1241" s="19" t="s">
        <v>104</v>
      </c>
      <c r="AX1241" s="22" t="str">
        <f>IF(AND('[1]observations-276632'!W1241&gt;'[1]Methods write-up'!$Q$16,'[1]observations-276632'!W1241&lt;'[1]Methods write-up'!$R$16,'[1]observations-276632'!X1241&gt;'[1]Methods write-up'!$S$16,'[1]observations-276632'!X1241&lt;'[1]Methods write-up'!$T$16),"West and Central Africa","")</f>
        <v/>
      </c>
      <c r="AY1241" s="22" t="str">
        <f>IF(AND('[1]observations-276632'!W1241&gt;'[1]Methods write-up'!$Q$17,'[1]observations-276632'!W1241&lt;'[1]Methods write-up'!$R$17,'[1]observations-276632'!X1241&gt;'[1]Methods write-up'!$S$17,'[1]observations-276632'!X1241&lt;'[1]Methods write-up'!$T$17),"Equatorial tropical forest","")</f>
        <v/>
      </c>
      <c r="AZ1241" s="22" t="str">
        <f>IF(AND('[1]observations-276632'!W1241&gt;'[1]Methods write-up'!$Q$18,'[1]observations-276632'!W1241&lt;'[1]Methods write-up'!$R$18,'[1]observations-276632'!X1241&gt;'[1]Methods write-up'!$S$18,'[1]observations-276632'!X1241&lt;'[1]Methods write-up'!$T$18),"Somali peninsula","")</f>
        <v/>
      </c>
      <c r="BA1241" s="22" t="str">
        <f>IF(AND('[1]observations-276632'!W1241&gt;'[1]Methods write-up'!$Q$19,'[1]observations-276632'!W1241&lt;'[1]Methods write-up'!$R$19,'[1]observations-276632'!X1241&gt;'[1]Methods write-up'!$S$19,'[1]observations-276632'!X1241&lt;'[1]Methods write-up'!$T$19),"East Africa","")</f>
        <v/>
      </c>
      <c r="BB1241" s="22" t="str">
        <f>IF(AND('[1]observations-276632'!W1241&gt;'[1]Methods write-up'!$Q$20,'[1]observations-276632'!W1241&lt;'[1]Methods write-up'!$R$20,'[1]observations-276632'!X1241&gt;'[1]Methods write-up'!$S$20,'[1]observations-276632'!X1241&lt;'[1]Methods write-up'!$T$20),"Temperate seasonal","")</f>
        <v/>
      </c>
      <c r="BC1241" s="22" t="str">
        <f>IF(AND('[1]observations-276632'!W1241&gt;'[1]Methods write-up'!$Q$21,'[1]observations-276632'!W1241&lt;'[1]Methods write-up'!$R$21,'[1]observations-276632'!X1241&gt;'[1]Methods write-up'!$S$21,'[1]observations-276632'!X1241&lt;'[1]Methods write-up'!$T$21),"Desert and high aridity","")</f>
        <v/>
      </c>
      <c r="BD1241" s="23" t="str">
        <f t="shared" si="97"/>
        <v/>
      </c>
      <c r="BE1241" s="24">
        <f t="shared" si="95"/>
        <v>8</v>
      </c>
      <c r="BF1241" s="24">
        <f t="shared" si="96"/>
        <v>11</v>
      </c>
    </row>
    <row r="1242" spans="1:58" ht="16.25" customHeight="1" x14ac:dyDescent="0.2">
      <c r="A1242">
        <v>141747479</v>
      </c>
      <c r="B1242" s="25">
        <v>44865.711805555555</v>
      </c>
      <c r="C1242" s="14">
        <v>44865</v>
      </c>
      <c r="D1242" t="s">
        <v>9097</v>
      </c>
      <c r="E1242" t="s">
        <v>113</v>
      </c>
      <c r="F1242">
        <v>1636096</v>
      </c>
      <c r="G1242" t="s">
        <v>4875</v>
      </c>
      <c r="H1242" t="s">
        <v>4876</v>
      </c>
      <c r="I1242" t="s">
        <v>9098</v>
      </c>
      <c r="J1242" t="s">
        <v>9099</v>
      </c>
      <c r="K1242" t="s">
        <v>62</v>
      </c>
      <c r="L1242" t="s">
        <v>63</v>
      </c>
      <c r="M1242" t="s">
        <v>9100</v>
      </c>
      <c r="N1242" t="s">
        <v>9101</v>
      </c>
      <c r="R1242">
        <v>2</v>
      </c>
      <c r="S1242">
        <v>0</v>
      </c>
      <c r="T1242" t="b">
        <v>0</v>
      </c>
      <c r="V1242" t="s">
        <v>7418</v>
      </c>
      <c r="W1242" s="15">
        <v>-26.67075543</v>
      </c>
      <c r="X1242" s="15">
        <v>27.089371530000001</v>
      </c>
      <c r="AF1242" t="b">
        <v>0</v>
      </c>
      <c r="AI1242" t="s">
        <v>71</v>
      </c>
      <c r="AJ1242" t="s">
        <v>70</v>
      </c>
      <c r="AK1242" t="s">
        <v>71</v>
      </c>
      <c r="AL1242" t="s">
        <v>72</v>
      </c>
      <c r="AM1242">
        <v>346053</v>
      </c>
      <c r="AO1242" s="16" t="s">
        <v>73</v>
      </c>
      <c r="AP1242" s="17" t="str">
        <f t="shared" si="94"/>
        <v>Off-nest female</v>
      </c>
      <c r="AX1242" s="22" t="str">
        <f>IF(AND('[1]observations-276632'!W1242&gt;'[1]Methods write-up'!$Q$16,'[1]observations-276632'!W1242&lt;'[1]Methods write-up'!$R$16,'[1]observations-276632'!X1242&gt;'[1]Methods write-up'!$S$16,'[1]observations-276632'!X1242&lt;'[1]Methods write-up'!$T$16),"West and Central Africa","")</f>
        <v/>
      </c>
      <c r="AY1242" s="22" t="str">
        <f>IF(AND('[1]observations-276632'!W1242&gt;'[1]Methods write-up'!$Q$17,'[1]observations-276632'!W1242&lt;'[1]Methods write-up'!$R$17,'[1]observations-276632'!X1242&gt;'[1]Methods write-up'!$S$17,'[1]observations-276632'!X1242&lt;'[1]Methods write-up'!$T$17),"Equatorial tropical forest","")</f>
        <v/>
      </c>
      <c r="AZ1242" s="22" t="str">
        <f>IF(AND('[1]observations-276632'!W1242&gt;'[1]Methods write-up'!$Q$18,'[1]observations-276632'!W1242&lt;'[1]Methods write-up'!$R$18,'[1]observations-276632'!X1242&gt;'[1]Methods write-up'!$S$18,'[1]observations-276632'!X1242&lt;'[1]Methods write-up'!$T$18),"Somali peninsula","")</f>
        <v/>
      </c>
      <c r="BA1242" s="22" t="str">
        <f>IF(AND('[1]observations-276632'!W1242&gt;'[1]Methods write-up'!$Q$19,'[1]observations-276632'!W1242&lt;'[1]Methods write-up'!$R$19,'[1]observations-276632'!X1242&gt;'[1]Methods write-up'!$S$19,'[1]observations-276632'!X1242&lt;'[1]Methods write-up'!$T$19),"East Africa","")</f>
        <v/>
      </c>
      <c r="BB1242" s="22" t="str">
        <f>IF(AND('[1]observations-276632'!W1242&gt;'[1]Methods write-up'!$Q$20,'[1]observations-276632'!W1242&lt;'[1]Methods write-up'!$R$20,'[1]observations-276632'!X1242&gt;'[1]Methods write-up'!$S$20,'[1]observations-276632'!X1242&lt;'[1]Methods write-up'!$T$20),"Temperate seasonal","")</f>
        <v>Temperate seasonal</v>
      </c>
      <c r="BC1242" s="22" t="str">
        <f>IF(AND('[1]observations-276632'!W1242&gt;'[1]Methods write-up'!$Q$21,'[1]observations-276632'!W1242&lt;'[1]Methods write-up'!$R$21,'[1]observations-276632'!X1242&gt;'[1]Methods write-up'!$S$21,'[1]observations-276632'!X1242&lt;'[1]Methods write-up'!$T$21),"Desert and high aridity","")</f>
        <v/>
      </c>
      <c r="BD1242" s="23" t="str">
        <f t="shared" si="97"/>
        <v>Temperate seasonal</v>
      </c>
      <c r="BE1242" s="24">
        <f t="shared" si="95"/>
        <v>31</v>
      </c>
      <c r="BF1242" s="24">
        <f t="shared" si="96"/>
        <v>10</v>
      </c>
    </row>
    <row r="1243" spans="1:58" ht="16.25" customHeight="1" x14ac:dyDescent="0.2">
      <c r="A1243">
        <v>141772367</v>
      </c>
      <c r="B1243" s="25">
        <v>39356.429166666669</v>
      </c>
      <c r="C1243" s="14">
        <v>39356</v>
      </c>
      <c r="D1243" t="s">
        <v>9102</v>
      </c>
      <c r="E1243" t="s">
        <v>113</v>
      </c>
      <c r="F1243">
        <v>5121587</v>
      </c>
      <c r="G1243" t="s">
        <v>6781</v>
      </c>
      <c r="H1243" t="s">
        <v>6782</v>
      </c>
      <c r="I1243" t="s">
        <v>9103</v>
      </c>
      <c r="J1243" t="s">
        <v>9104</v>
      </c>
      <c r="K1243" t="s">
        <v>62</v>
      </c>
      <c r="L1243" t="s">
        <v>98</v>
      </c>
      <c r="M1243" t="s">
        <v>9105</v>
      </c>
      <c r="N1243" t="s">
        <v>9106</v>
      </c>
      <c r="R1243">
        <v>1</v>
      </c>
      <c r="S1243">
        <v>0</v>
      </c>
      <c r="T1243" t="b">
        <v>0</v>
      </c>
      <c r="V1243" t="s">
        <v>8978</v>
      </c>
      <c r="W1243" s="15">
        <v>-23.831770339999998</v>
      </c>
      <c r="X1243" s="15">
        <v>27.95378255</v>
      </c>
      <c r="Y1243">
        <v>31</v>
      </c>
      <c r="AC1243">
        <v>31</v>
      </c>
      <c r="AF1243" t="b">
        <v>0</v>
      </c>
      <c r="AI1243" t="s">
        <v>71</v>
      </c>
      <c r="AJ1243" t="s">
        <v>70</v>
      </c>
      <c r="AK1243" t="s">
        <v>71</v>
      </c>
      <c r="AL1243" t="s">
        <v>72</v>
      </c>
      <c r="AM1243">
        <v>346053</v>
      </c>
      <c r="AO1243" s="16" t="s">
        <v>73</v>
      </c>
      <c r="AP1243" s="17" t="str">
        <f t="shared" si="94"/>
        <v>Off-nest female</v>
      </c>
      <c r="AX1243" s="22" t="str">
        <f>IF(AND('[1]observations-276632'!W1243&gt;'[1]Methods write-up'!$Q$16,'[1]observations-276632'!W1243&lt;'[1]Methods write-up'!$R$16,'[1]observations-276632'!X1243&gt;'[1]Methods write-up'!$S$16,'[1]observations-276632'!X1243&lt;'[1]Methods write-up'!$T$16),"West and Central Africa","")</f>
        <v/>
      </c>
      <c r="AY1243" s="22" t="str">
        <f>IF(AND('[1]observations-276632'!W1243&gt;'[1]Methods write-up'!$Q$17,'[1]observations-276632'!W1243&lt;'[1]Methods write-up'!$R$17,'[1]observations-276632'!X1243&gt;'[1]Methods write-up'!$S$17,'[1]observations-276632'!X1243&lt;'[1]Methods write-up'!$T$17),"Equatorial tropical forest","")</f>
        <v/>
      </c>
      <c r="AZ1243" s="22" t="str">
        <f>IF(AND('[1]observations-276632'!W1243&gt;'[1]Methods write-up'!$Q$18,'[1]observations-276632'!W1243&lt;'[1]Methods write-up'!$R$18,'[1]observations-276632'!X1243&gt;'[1]Methods write-up'!$S$18,'[1]observations-276632'!X1243&lt;'[1]Methods write-up'!$T$18),"Somali peninsula","")</f>
        <v/>
      </c>
      <c r="BA1243" s="22" t="str">
        <f>IF(AND('[1]observations-276632'!W1243&gt;'[1]Methods write-up'!$Q$19,'[1]observations-276632'!W1243&lt;'[1]Methods write-up'!$R$19,'[1]observations-276632'!X1243&gt;'[1]Methods write-up'!$S$19,'[1]observations-276632'!X1243&lt;'[1]Methods write-up'!$T$19),"East Africa","")</f>
        <v/>
      </c>
      <c r="BB1243" s="22" t="str">
        <f>IF(AND('[1]observations-276632'!W1243&gt;'[1]Methods write-up'!$Q$20,'[1]observations-276632'!W1243&lt;'[1]Methods write-up'!$R$20,'[1]observations-276632'!X1243&gt;'[1]Methods write-up'!$S$20,'[1]observations-276632'!X1243&lt;'[1]Methods write-up'!$T$20),"Temperate seasonal","")</f>
        <v/>
      </c>
      <c r="BC1243" s="22" t="str">
        <f>IF(AND('[1]observations-276632'!W1243&gt;'[1]Methods write-up'!$Q$21,'[1]observations-276632'!W1243&lt;'[1]Methods write-up'!$R$21,'[1]observations-276632'!X1243&gt;'[1]Methods write-up'!$S$21,'[1]observations-276632'!X1243&lt;'[1]Methods write-up'!$T$21),"Desert and high aridity","")</f>
        <v/>
      </c>
      <c r="BD1243" s="23" t="str">
        <f t="shared" si="97"/>
        <v/>
      </c>
      <c r="BE1243" s="24">
        <f t="shared" si="95"/>
        <v>1</v>
      </c>
      <c r="BF1243" s="24">
        <f t="shared" si="96"/>
        <v>10</v>
      </c>
    </row>
    <row r="1244" spans="1:58" ht="16.25" customHeight="1" x14ac:dyDescent="0.2">
      <c r="A1244">
        <v>141872665</v>
      </c>
      <c r="B1244" t="s">
        <v>9107</v>
      </c>
      <c r="C1244" s="14">
        <v>44276</v>
      </c>
      <c r="D1244" t="s">
        <v>9108</v>
      </c>
      <c r="E1244" t="s">
        <v>113</v>
      </c>
      <c r="F1244">
        <v>5368241</v>
      </c>
      <c r="G1244" t="s">
        <v>9109</v>
      </c>
      <c r="I1244" t="s">
        <v>9110</v>
      </c>
      <c r="J1244" t="s">
        <v>9111</v>
      </c>
      <c r="K1244" t="s">
        <v>62</v>
      </c>
      <c r="L1244" t="s">
        <v>63</v>
      </c>
      <c r="M1244" t="s">
        <v>9112</v>
      </c>
      <c r="N1244" t="s">
        <v>9113</v>
      </c>
      <c r="R1244">
        <v>3</v>
      </c>
      <c r="S1244">
        <v>0</v>
      </c>
      <c r="T1244" t="b">
        <v>0</v>
      </c>
      <c r="U1244">
        <v>3</v>
      </c>
      <c r="V1244" t="s">
        <v>9114</v>
      </c>
      <c r="W1244" s="15">
        <v>-27.722547420000001</v>
      </c>
      <c r="X1244" s="15">
        <v>29.955967210000001</v>
      </c>
      <c r="Y1244">
        <v>23</v>
      </c>
      <c r="AC1244">
        <v>23</v>
      </c>
      <c r="AF1244" t="b">
        <v>0</v>
      </c>
      <c r="AI1244" t="s">
        <v>71</v>
      </c>
      <c r="AJ1244" t="s">
        <v>70</v>
      </c>
      <c r="AK1244" t="s">
        <v>71</v>
      </c>
      <c r="AL1244" t="s">
        <v>72</v>
      </c>
      <c r="AM1244">
        <v>346053</v>
      </c>
      <c r="AO1244" s="16" t="s">
        <v>73</v>
      </c>
      <c r="AP1244" s="17" t="str">
        <f t="shared" si="94"/>
        <v>Off-nest female</v>
      </c>
      <c r="AX1244" s="22" t="str">
        <f>IF(AND('[1]observations-276632'!W1244&gt;'[1]Methods write-up'!$Q$16,'[1]observations-276632'!W1244&lt;'[1]Methods write-up'!$R$16,'[1]observations-276632'!X1244&gt;'[1]Methods write-up'!$S$16,'[1]observations-276632'!X1244&lt;'[1]Methods write-up'!$T$16),"West and Central Africa","")</f>
        <v/>
      </c>
      <c r="AY1244" s="22" t="str">
        <f>IF(AND('[1]observations-276632'!W1244&gt;'[1]Methods write-up'!$Q$17,'[1]observations-276632'!W1244&lt;'[1]Methods write-up'!$R$17,'[1]observations-276632'!X1244&gt;'[1]Methods write-up'!$S$17,'[1]observations-276632'!X1244&lt;'[1]Methods write-up'!$T$17),"Equatorial tropical forest","")</f>
        <v/>
      </c>
      <c r="AZ1244" s="22" t="str">
        <f>IF(AND('[1]observations-276632'!W1244&gt;'[1]Methods write-up'!$Q$18,'[1]observations-276632'!W1244&lt;'[1]Methods write-up'!$R$18,'[1]observations-276632'!X1244&gt;'[1]Methods write-up'!$S$18,'[1]observations-276632'!X1244&lt;'[1]Methods write-up'!$T$18),"Somali peninsula","")</f>
        <v/>
      </c>
      <c r="BA1244" s="22" t="str">
        <f>IF(AND('[1]observations-276632'!W1244&gt;'[1]Methods write-up'!$Q$19,'[1]observations-276632'!W1244&lt;'[1]Methods write-up'!$R$19,'[1]observations-276632'!X1244&gt;'[1]Methods write-up'!$S$19,'[1]observations-276632'!X1244&lt;'[1]Methods write-up'!$T$19),"East Africa","")</f>
        <v/>
      </c>
      <c r="BB1244" s="22" t="str">
        <f>IF(AND('[1]observations-276632'!W1244&gt;'[1]Methods write-up'!$Q$20,'[1]observations-276632'!W1244&lt;'[1]Methods write-up'!$R$20,'[1]observations-276632'!X1244&gt;'[1]Methods write-up'!$S$20,'[1]observations-276632'!X1244&lt;'[1]Methods write-up'!$T$20),"Temperate seasonal","")</f>
        <v>Temperate seasonal</v>
      </c>
      <c r="BC1244" s="22" t="str">
        <f>IF(AND('[1]observations-276632'!W1244&gt;'[1]Methods write-up'!$Q$21,'[1]observations-276632'!W1244&lt;'[1]Methods write-up'!$R$21,'[1]observations-276632'!X1244&gt;'[1]Methods write-up'!$S$21,'[1]observations-276632'!X1244&lt;'[1]Methods write-up'!$T$21),"Desert and high aridity","")</f>
        <v/>
      </c>
      <c r="BD1244" s="23" t="str">
        <f t="shared" si="97"/>
        <v>Temperate seasonal</v>
      </c>
      <c r="BE1244" s="24">
        <f t="shared" si="95"/>
        <v>21</v>
      </c>
      <c r="BF1244" s="24">
        <f t="shared" si="96"/>
        <v>3</v>
      </c>
    </row>
    <row r="1245" spans="1:58" ht="16.25" customHeight="1" x14ac:dyDescent="0.2">
      <c r="A1245">
        <v>141927926</v>
      </c>
      <c r="B1245" t="s">
        <v>9115</v>
      </c>
      <c r="C1245" s="14">
        <v>44815</v>
      </c>
      <c r="D1245" t="s">
        <v>9116</v>
      </c>
      <c r="E1245" t="s">
        <v>113</v>
      </c>
      <c r="F1245">
        <v>268534</v>
      </c>
      <c r="G1245" t="s">
        <v>9117</v>
      </c>
      <c r="H1245" t="s">
        <v>9118</v>
      </c>
      <c r="I1245" t="s">
        <v>9119</v>
      </c>
      <c r="J1245" t="s">
        <v>9120</v>
      </c>
      <c r="K1245" t="s">
        <v>62</v>
      </c>
      <c r="M1245" t="s">
        <v>9121</v>
      </c>
      <c r="N1245" t="s">
        <v>9122</v>
      </c>
      <c r="Q1245" t="s">
        <v>9123</v>
      </c>
      <c r="R1245">
        <v>0</v>
      </c>
      <c r="S1245">
        <v>0</v>
      </c>
      <c r="T1245" t="b">
        <v>0</v>
      </c>
      <c r="U1245">
        <v>3</v>
      </c>
      <c r="V1245" t="s">
        <v>9124</v>
      </c>
      <c r="W1245" s="15">
        <v>-28.259508329999999</v>
      </c>
      <c r="X1245" s="15">
        <v>32.473950000000002</v>
      </c>
      <c r="Y1245">
        <v>4</v>
      </c>
      <c r="AC1245">
        <v>4</v>
      </c>
      <c r="AF1245" t="b">
        <v>0</v>
      </c>
      <c r="AI1245" t="s">
        <v>71</v>
      </c>
      <c r="AJ1245" t="s">
        <v>161</v>
      </c>
      <c r="AL1245" t="s">
        <v>72</v>
      </c>
      <c r="AM1245">
        <v>366867</v>
      </c>
      <c r="AO1245" s="16" t="s">
        <v>1356</v>
      </c>
      <c r="AP1245" s="17" t="str">
        <f t="shared" si="94"/>
        <v>Nest (foundress)</v>
      </c>
      <c r="AQ1245" s="18">
        <v>3</v>
      </c>
      <c r="AT1245" s="19" t="s">
        <v>141</v>
      </c>
      <c r="AX1245" s="22" t="str">
        <f>IF(AND('[1]observations-276632'!W1245&gt;'[1]Methods write-up'!$Q$16,'[1]observations-276632'!W1245&lt;'[1]Methods write-up'!$R$16,'[1]observations-276632'!X1245&gt;'[1]Methods write-up'!$S$16,'[1]observations-276632'!X1245&lt;'[1]Methods write-up'!$T$16),"West and Central Africa","")</f>
        <v/>
      </c>
      <c r="AY1245" s="22" t="str">
        <f>IF(AND('[1]observations-276632'!W1245&gt;'[1]Methods write-up'!$Q$17,'[1]observations-276632'!W1245&lt;'[1]Methods write-up'!$R$17,'[1]observations-276632'!X1245&gt;'[1]Methods write-up'!$S$17,'[1]observations-276632'!X1245&lt;'[1]Methods write-up'!$T$17),"Equatorial tropical forest","")</f>
        <v/>
      </c>
      <c r="AZ1245" s="22" t="str">
        <f>IF(AND('[1]observations-276632'!W1245&gt;'[1]Methods write-up'!$Q$18,'[1]observations-276632'!W1245&lt;'[1]Methods write-up'!$R$18,'[1]observations-276632'!X1245&gt;'[1]Methods write-up'!$S$18,'[1]observations-276632'!X1245&lt;'[1]Methods write-up'!$T$18),"Somali peninsula","")</f>
        <v/>
      </c>
      <c r="BA1245" s="22" t="str">
        <f>IF(AND('[1]observations-276632'!W1245&gt;'[1]Methods write-up'!$Q$19,'[1]observations-276632'!W1245&lt;'[1]Methods write-up'!$R$19,'[1]observations-276632'!X1245&gt;'[1]Methods write-up'!$S$19,'[1]observations-276632'!X1245&lt;'[1]Methods write-up'!$T$19),"East Africa","")</f>
        <v/>
      </c>
      <c r="BB1245" s="22" t="str">
        <f>IF(AND('[1]observations-276632'!W1245&gt;'[1]Methods write-up'!$Q$20,'[1]observations-276632'!W1245&lt;'[1]Methods write-up'!$R$20,'[1]observations-276632'!X1245&gt;'[1]Methods write-up'!$S$20,'[1]observations-276632'!X1245&lt;'[1]Methods write-up'!$T$20),"Temperate seasonal","")</f>
        <v>Temperate seasonal</v>
      </c>
      <c r="BC1245" s="22" t="str">
        <f>IF(AND('[1]observations-276632'!W1245&gt;'[1]Methods write-up'!$Q$21,'[1]observations-276632'!W1245&lt;'[1]Methods write-up'!$R$21,'[1]observations-276632'!X1245&gt;'[1]Methods write-up'!$S$21,'[1]observations-276632'!X1245&lt;'[1]Methods write-up'!$T$21),"Desert and high aridity","")</f>
        <v/>
      </c>
      <c r="BD1245" s="23" t="str">
        <f t="shared" si="97"/>
        <v>Temperate seasonal</v>
      </c>
      <c r="BE1245" s="24">
        <f t="shared" si="95"/>
        <v>11</v>
      </c>
      <c r="BF1245" s="24">
        <f t="shared" si="96"/>
        <v>9</v>
      </c>
    </row>
    <row r="1246" spans="1:58" ht="16.25" customHeight="1" x14ac:dyDescent="0.2">
      <c r="A1246">
        <v>142016785</v>
      </c>
      <c r="B1246" s="25">
        <v>44790.379166666666</v>
      </c>
      <c r="C1246" s="14">
        <v>44790</v>
      </c>
      <c r="D1246" t="s">
        <v>9125</v>
      </c>
      <c r="E1246" t="s">
        <v>8296</v>
      </c>
      <c r="F1246">
        <v>5291883</v>
      </c>
      <c r="G1246" t="s">
        <v>9126</v>
      </c>
      <c r="H1246" t="s">
        <v>9127</v>
      </c>
      <c r="I1246" t="s">
        <v>9128</v>
      </c>
      <c r="J1246" t="s">
        <v>9128</v>
      </c>
      <c r="K1246" t="s">
        <v>62</v>
      </c>
      <c r="L1246" t="s">
        <v>63</v>
      </c>
      <c r="M1246" t="s">
        <v>9129</v>
      </c>
      <c r="N1246" t="s">
        <v>9130</v>
      </c>
      <c r="R1246">
        <v>0</v>
      </c>
      <c r="S1246">
        <v>0</v>
      </c>
      <c r="T1246" t="b">
        <v>0</v>
      </c>
      <c r="V1246" t="s">
        <v>9131</v>
      </c>
      <c r="W1246" s="15">
        <v>-17.847881139999998</v>
      </c>
      <c r="X1246" s="15">
        <v>25.853742570000001</v>
      </c>
      <c r="Y1246">
        <v>39</v>
      </c>
      <c r="AC1246">
        <v>39</v>
      </c>
      <c r="AF1246" t="b">
        <v>0</v>
      </c>
      <c r="AI1246" t="s">
        <v>70</v>
      </c>
      <c r="AJ1246" t="s">
        <v>70</v>
      </c>
      <c r="AK1246" t="s">
        <v>71</v>
      </c>
      <c r="AL1246" t="s">
        <v>72</v>
      </c>
      <c r="AM1246">
        <v>346053</v>
      </c>
      <c r="AO1246" s="16" t="s">
        <v>73</v>
      </c>
      <c r="AP1246" s="17" t="str">
        <f t="shared" si="94"/>
        <v>Off-nest female</v>
      </c>
      <c r="AX1246" s="22" t="str">
        <f>IF(AND('[1]observations-276632'!W1246&gt;'[1]Methods write-up'!$Q$16,'[1]observations-276632'!W1246&lt;'[1]Methods write-up'!$R$16,'[1]observations-276632'!X1246&gt;'[1]Methods write-up'!$S$16,'[1]observations-276632'!X1246&lt;'[1]Methods write-up'!$T$16),"West and Central Africa","")</f>
        <v>West and Central Africa</v>
      </c>
      <c r="AY1246" s="22" t="str">
        <f>IF(AND('[1]observations-276632'!W1246&gt;'[1]Methods write-up'!$Q$17,'[1]observations-276632'!W1246&lt;'[1]Methods write-up'!$R$17,'[1]observations-276632'!X1246&gt;'[1]Methods write-up'!$S$17,'[1]observations-276632'!X1246&lt;'[1]Methods write-up'!$T$17),"Equatorial tropical forest","")</f>
        <v/>
      </c>
      <c r="AZ1246" s="22" t="str">
        <f>IF(AND('[1]observations-276632'!W1246&gt;'[1]Methods write-up'!$Q$18,'[1]observations-276632'!W1246&lt;'[1]Methods write-up'!$R$18,'[1]observations-276632'!X1246&gt;'[1]Methods write-up'!$S$18,'[1]observations-276632'!X1246&lt;'[1]Methods write-up'!$T$18),"Somali peninsula","")</f>
        <v/>
      </c>
      <c r="BA1246" s="22" t="str">
        <f>IF(AND('[1]observations-276632'!W1246&gt;'[1]Methods write-up'!$Q$19,'[1]observations-276632'!W1246&lt;'[1]Methods write-up'!$R$19,'[1]observations-276632'!X1246&gt;'[1]Methods write-up'!$S$19,'[1]observations-276632'!X1246&lt;'[1]Methods write-up'!$T$19),"East Africa","")</f>
        <v/>
      </c>
      <c r="BB1246" s="22" t="str">
        <f>IF(AND('[1]observations-276632'!W1246&gt;'[1]Methods write-up'!$Q$20,'[1]observations-276632'!W1246&lt;'[1]Methods write-up'!$R$20,'[1]observations-276632'!X1246&gt;'[1]Methods write-up'!$S$20,'[1]observations-276632'!X1246&lt;'[1]Methods write-up'!$T$20),"Temperate seasonal","")</f>
        <v/>
      </c>
      <c r="BC1246" s="22" t="str">
        <f>IF(AND('[1]observations-276632'!W1246&gt;'[1]Methods write-up'!$Q$21,'[1]observations-276632'!W1246&lt;'[1]Methods write-up'!$R$21,'[1]observations-276632'!X1246&gt;'[1]Methods write-up'!$S$21,'[1]observations-276632'!X1246&lt;'[1]Methods write-up'!$T$21),"Desert and high aridity","")</f>
        <v/>
      </c>
      <c r="BD1246" s="23" t="str">
        <f t="shared" si="97"/>
        <v>West and Central Africa</v>
      </c>
      <c r="BE1246" s="24">
        <f t="shared" si="95"/>
        <v>17</v>
      </c>
      <c r="BF1246" s="24">
        <f t="shared" si="96"/>
        <v>8</v>
      </c>
    </row>
    <row r="1247" spans="1:58" ht="16.25" customHeight="1" x14ac:dyDescent="0.2">
      <c r="A1247">
        <v>142086150</v>
      </c>
      <c r="B1247" s="25">
        <v>44877.9</v>
      </c>
      <c r="C1247" s="14">
        <v>44877</v>
      </c>
      <c r="D1247" t="s">
        <v>9132</v>
      </c>
      <c r="E1247" t="s">
        <v>113</v>
      </c>
      <c r="F1247">
        <v>5250414</v>
      </c>
      <c r="G1247" t="s">
        <v>6532</v>
      </c>
      <c r="H1247" t="s">
        <v>6533</v>
      </c>
      <c r="I1247" t="s">
        <v>9133</v>
      </c>
      <c r="J1247" t="s">
        <v>9134</v>
      </c>
      <c r="K1247" t="s">
        <v>62</v>
      </c>
      <c r="L1247" t="s">
        <v>63</v>
      </c>
      <c r="M1247" t="s">
        <v>9135</v>
      </c>
      <c r="N1247" t="s">
        <v>9136</v>
      </c>
      <c r="R1247">
        <v>3</v>
      </c>
      <c r="S1247">
        <v>0</v>
      </c>
      <c r="T1247" t="b">
        <v>0</v>
      </c>
      <c r="V1247" t="s">
        <v>6998</v>
      </c>
      <c r="W1247" s="15">
        <v>-25.720105</v>
      </c>
      <c r="X1247" s="15">
        <v>27.190725</v>
      </c>
      <c r="AF1247" t="b">
        <v>0</v>
      </c>
      <c r="AI1247" t="s">
        <v>71</v>
      </c>
      <c r="AJ1247" t="s">
        <v>70</v>
      </c>
      <c r="AK1247" t="s">
        <v>71</v>
      </c>
      <c r="AL1247" t="s">
        <v>72</v>
      </c>
      <c r="AM1247">
        <v>346053</v>
      </c>
      <c r="AO1247" s="16" t="s">
        <v>1356</v>
      </c>
      <c r="AP1247" s="17" t="str">
        <f t="shared" si="94"/>
        <v>Nest (foundress)</v>
      </c>
      <c r="AQ1247" s="18">
        <v>2</v>
      </c>
      <c r="AT1247" s="19" t="s">
        <v>141</v>
      </c>
      <c r="AX1247" s="22" t="str">
        <f>IF(AND('[1]observations-276632'!W1247&gt;'[1]Methods write-up'!$Q$16,'[1]observations-276632'!W1247&lt;'[1]Methods write-up'!$R$16,'[1]observations-276632'!X1247&gt;'[1]Methods write-up'!$S$16,'[1]observations-276632'!X1247&lt;'[1]Methods write-up'!$T$16),"West and Central Africa","")</f>
        <v/>
      </c>
      <c r="AY1247" s="22" t="str">
        <f>IF(AND('[1]observations-276632'!W1247&gt;'[1]Methods write-up'!$Q$17,'[1]observations-276632'!W1247&lt;'[1]Methods write-up'!$R$17,'[1]observations-276632'!X1247&gt;'[1]Methods write-up'!$S$17,'[1]observations-276632'!X1247&lt;'[1]Methods write-up'!$T$17),"Equatorial tropical forest","")</f>
        <v/>
      </c>
      <c r="AZ1247" s="22" t="str">
        <f>IF(AND('[1]observations-276632'!W1247&gt;'[1]Methods write-up'!$Q$18,'[1]observations-276632'!W1247&lt;'[1]Methods write-up'!$R$18,'[1]observations-276632'!X1247&gt;'[1]Methods write-up'!$S$18,'[1]observations-276632'!X1247&lt;'[1]Methods write-up'!$T$18),"Somali peninsula","")</f>
        <v/>
      </c>
      <c r="BA1247" s="22" t="str">
        <f>IF(AND('[1]observations-276632'!W1247&gt;'[1]Methods write-up'!$Q$19,'[1]observations-276632'!W1247&lt;'[1]Methods write-up'!$R$19,'[1]observations-276632'!X1247&gt;'[1]Methods write-up'!$S$19,'[1]observations-276632'!X1247&lt;'[1]Methods write-up'!$T$19),"East Africa","")</f>
        <v/>
      </c>
      <c r="BB1247" s="22" t="str">
        <f>IF(AND('[1]observations-276632'!W1247&gt;'[1]Methods write-up'!$Q$20,'[1]observations-276632'!W1247&lt;'[1]Methods write-up'!$R$20,'[1]observations-276632'!X1247&gt;'[1]Methods write-up'!$S$20,'[1]observations-276632'!X1247&lt;'[1]Methods write-up'!$T$20),"Temperate seasonal","")</f>
        <v>Temperate seasonal</v>
      </c>
      <c r="BC1247" s="22" t="str">
        <f>IF(AND('[1]observations-276632'!W1247&gt;'[1]Methods write-up'!$Q$21,'[1]observations-276632'!W1247&lt;'[1]Methods write-up'!$R$21,'[1]observations-276632'!X1247&gt;'[1]Methods write-up'!$S$21,'[1]observations-276632'!X1247&lt;'[1]Methods write-up'!$T$21),"Desert and high aridity","")</f>
        <v/>
      </c>
      <c r="BD1247" s="23" t="str">
        <f t="shared" si="97"/>
        <v>Temperate seasonal</v>
      </c>
      <c r="BE1247" s="24">
        <f t="shared" si="95"/>
        <v>12</v>
      </c>
      <c r="BF1247" s="24">
        <f t="shared" si="96"/>
        <v>11</v>
      </c>
    </row>
    <row r="1248" spans="1:58" ht="16.25" customHeight="1" x14ac:dyDescent="0.2">
      <c r="A1248">
        <v>142102859</v>
      </c>
      <c r="B1248" s="25">
        <v>44836.440972222219</v>
      </c>
      <c r="C1248" s="14">
        <v>44836</v>
      </c>
      <c r="D1248" t="s">
        <v>9137</v>
      </c>
      <c r="E1248" t="s">
        <v>8296</v>
      </c>
      <c r="F1248">
        <v>1775394</v>
      </c>
      <c r="G1248" t="s">
        <v>9138</v>
      </c>
      <c r="H1248" t="s">
        <v>9139</v>
      </c>
      <c r="I1248" t="s">
        <v>9140</v>
      </c>
      <c r="J1248" t="s">
        <v>9141</v>
      </c>
      <c r="K1248" t="s">
        <v>62</v>
      </c>
      <c r="M1248" t="s">
        <v>9142</v>
      </c>
      <c r="N1248" t="s">
        <v>9143</v>
      </c>
      <c r="R1248">
        <v>1</v>
      </c>
      <c r="S1248">
        <v>0</v>
      </c>
      <c r="T1248" t="b">
        <v>0</v>
      </c>
      <c r="V1248" t="s">
        <v>3603</v>
      </c>
      <c r="W1248" s="15">
        <v>-8.6230037409999998</v>
      </c>
      <c r="X1248" s="15">
        <v>31.20153088</v>
      </c>
      <c r="Y1248">
        <v>260</v>
      </c>
      <c r="AC1248">
        <v>260</v>
      </c>
      <c r="AF1248" t="b">
        <v>0</v>
      </c>
      <c r="AI1248" t="s">
        <v>71</v>
      </c>
      <c r="AJ1248" t="s">
        <v>70</v>
      </c>
      <c r="AK1248" t="s">
        <v>71</v>
      </c>
      <c r="AL1248" t="s">
        <v>72</v>
      </c>
      <c r="AM1248">
        <v>346053</v>
      </c>
      <c r="AO1248" s="16" t="s">
        <v>73</v>
      </c>
      <c r="AP1248" s="17" t="str">
        <f t="shared" si="94"/>
        <v>Off-nest female</v>
      </c>
      <c r="AX1248" s="22" t="str">
        <f>IF(AND('[1]observations-276632'!W1248&gt;'[1]Methods write-up'!$Q$16,'[1]observations-276632'!W1248&lt;'[1]Methods write-up'!$R$16,'[1]observations-276632'!X1248&gt;'[1]Methods write-up'!$S$16,'[1]observations-276632'!X1248&lt;'[1]Methods write-up'!$T$16),"West and Central Africa","")</f>
        <v/>
      </c>
      <c r="AY1248" s="22" t="str">
        <f>IF(AND('[1]observations-276632'!W1248&gt;'[1]Methods write-up'!$Q$17,'[1]observations-276632'!W1248&lt;'[1]Methods write-up'!$R$17,'[1]observations-276632'!X1248&gt;'[1]Methods write-up'!$S$17,'[1]observations-276632'!X1248&lt;'[1]Methods write-up'!$T$17),"Equatorial tropical forest","")</f>
        <v/>
      </c>
      <c r="AZ1248" s="22" t="str">
        <f>IF(AND('[1]observations-276632'!W1248&gt;'[1]Methods write-up'!$Q$18,'[1]observations-276632'!W1248&lt;'[1]Methods write-up'!$R$18,'[1]observations-276632'!X1248&gt;'[1]Methods write-up'!$S$18,'[1]observations-276632'!X1248&lt;'[1]Methods write-up'!$T$18),"Somali peninsula","")</f>
        <v/>
      </c>
      <c r="BA1248" s="22" t="str">
        <f>IF(AND('[1]observations-276632'!W1248&gt;'[1]Methods write-up'!$Q$19,'[1]observations-276632'!W1248&lt;'[1]Methods write-up'!$R$19,'[1]observations-276632'!X1248&gt;'[1]Methods write-up'!$S$19,'[1]observations-276632'!X1248&lt;'[1]Methods write-up'!$T$19),"East Africa","")</f>
        <v/>
      </c>
      <c r="BB1248" s="22" t="str">
        <f>IF(AND('[1]observations-276632'!W1248&gt;'[1]Methods write-up'!$Q$20,'[1]observations-276632'!W1248&lt;'[1]Methods write-up'!$R$20,'[1]observations-276632'!X1248&gt;'[1]Methods write-up'!$S$20,'[1]observations-276632'!X1248&lt;'[1]Methods write-up'!$T$20),"Temperate seasonal","")</f>
        <v/>
      </c>
      <c r="BC1248" s="22" t="str">
        <f>IF(AND('[1]observations-276632'!W1248&gt;'[1]Methods write-up'!$Q$21,'[1]observations-276632'!W1248&lt;'[1]Methods write-up'!$R$21,'[1]observations-276632'!X1248&gt;'[1]Methods write-up'!$S$21,'[1]observations-276632'!X1248&lt;'[1]Methods write-up'!$T$21),"Desert and high aridity","")</f>
        <v/>
      </c>
      <c r="BD1248" s="23" t="str">
        <f t="shared" si="97"/>
        <v/>
      </c>
      <c r="BE1248" s="24">
        <f t="shared" si="95"/>
        <v>2</v>
      </c>
      <c r="BF1248" s="24">
        <f t="shared" si="96"/>
        <v>10</v>
      </c>
    </row>
    <row r="1249" spans="1:58" ht="16.25" customHeight="1" x14ac:dyDescent="0.2">
      <c r="A1249">
        <v>142195139</v>
      </c>
      <c r="B1249" t="s">
        <v>9144</v>
      </c>
      <c r="C1249" s="14">
        <v>44856</v>
      </c>
      <c r="D1249" t="s">
        <v>9145</v>
      </c>
      <c r="E1249" t="s">
        <v>8032</v>
      </c>
      <c r="F1249">
        <v>460502</v>
      </c>
      <c r="G1249" t="s">
        <v>9146</v>
      </c>
      <c r="I1249" t="s">
        <v>9147</v>
      </c>
      <c r="J1249" t="s">
        <v>9148</v>
      </c>
      <c r="K1249" t="s">
        <v>62</v>
      </c>
      <c r="M1249" t="s">
        <v>9149</v>
      </c>
      <c r="N1249" t="s">
        <v>9150</v>
      </c>
      <c r="R1249">
        <v>1</v>
      </c>
      <c r="S1249">
        <v>0</v>
      </c>
      <c r="T1249" t="b">
        <v>0</v>
      </c>
      <c r="U1249">
        <v>3</v>
      </c>
      <c r="V1249" t="s">
        <v>9151</v>
      </c>
      <c r="W1249" s="15">
        <v>0.46406999999999998</v>
      </c>
      <c r="X1249" s="15">
        <v>10.27877833</v>
      </c>
      <c r="Y1249">
        <v>17</v>
      </c>
      <c r="AC1249">
        <v>17</v>
      </c>
      <c r="AF1249" t="b">
        <v>0</v>
      </c>
      <c r="AI1249" t="s">
        <v>71</v>
      </c>
      <c r="AJ1249" t="s">
        <v>70</v>
      </c>
      <c r="AK1249" t="s">
        <v>71</v>
      </c>
      <c r="AL1249" t="s">
        <v>72</v>
      </c>
      <c r="AM1249">
        <v>346053</v>
      </c>
      <c r="AO1249" s="16" t="s">
        <v>140</v>
      </c>
      <c r="AP1249" s="17" t="str">
        <f t="shared" si="94"/>
        <v>Post-emergence nest</v>
      </c>
      <c r="AQ1249" s="18">
        <v>3</v>
      </c>
      <c r="AT1249" s="19" t="s">
        <v>141</v>
      </c>
      <c r="AU1249" s="20" t="s">
        <v>104</v>
      </c>
      <c r="AX1249" s="22" t="str">
        <f>IF(AND('[1]observations-276632'!W1249&gt;'[1]Methods write-up'!$Q$16,'[1]observations-276632'!W1249&lt;'[1]Methods write-up'!$R$16,'[1]observations-276632'!X1249&gt;'[1]Methods write-up'!$S$16,'[1]observations-276632'!X1249&lt;'[1]Methods write-up'!$T$16),"West and Central Africa","")</f>
        <v>West and Central Africa</v>
      </c>
      <c r="AY1249" s="22" t="str">
        <f>IF(AND('[1]observations-276632'!W1249&gt;'[1]Methods write-up'!$Q$17,'[1]observations-276632'!W1249&lt;'[1]Methods write-up'!$R$17,'[1]observations-276632'!X1249&gt;'[1]Methods write-up'!$S$17,'[1]observations-276632'!X1249&lt;'[1]Methods write-up'!$T$17),"Equatorial tropical forest","")</f>
        <v/>
      </c>
      <c r="AZ1249" s="22" t="str">
        <f>IF(AND('[1]observations-276632'!W1249&gt;'[1]Methods write-up'!$Q$18,'[1]observations-276632'!W1249&lt;'[1]Methods write-up'!$R$18,'[1]observations-276632'!X1249&gt;'[1]Methods write-up'!$S$18,'[1]observations-276632'!X1249&lt;'[1]Methods write-up'!$T$18),"Somali peninsula","")</f>
        <v/>
      </c>
      <c r="BA1249" s="22" t="str">
        <f>IF(AND('[1]observations-276632'!W1249&gt;'[1]Methods write-up'!$Q$19,'[1]observations-276632'!W1249&lt;'[1]Methods write-up'!$R$19,'[1]observations-276632'!X1249&gt;'[1]Methods write-up'!$S$19,'[1]observations-276632'!X1249&lt;'[1]Methods write-up'!$T$19),"East Africa","")</f>
        <v/>
      </c>
      <c r="BB1249" s="22" t="str">
        <f>IF(AND('[1]observations-276632'!W1249&gt;'[1]Methods write-up'!$Q$20,'[1]observations-276632'!W1249&lt;'[1]Methods write-up'!$R$20,'[1]observations-276632'!X1249&gt;'[1]Methods write-up'!$S$20,'[1]observations-276632'!X1249&lt;'[1]Methods write-up'!$T$20),"Temperate seasonal","")</f>
        <v/>
      </c>
      <c r="BC1249" s="22" t="str">
        <f>IF(AND('[1]observations-276632'!W1249&gt;'[1]Methods write-up'!$Q$21,'[1]observations-276632'!W1249&lt;'[1]Methods write-up'!$R$21,'[1]observations-276632'!X1249&gt;'[1]Methods write-up'!$S$21,'[1]observations-276632'!X1249&lt;'[1]Methods write-up'!$T$21),"Desert and high aridity","")</f>
        <v/>
      </c>
      <c r="BD1249" s="23" t="str">
        <f t="shared" si="97"/>
        <v>West and Central Africa</v>
      </c>
      <c r="BE1249" s="24">
        <f t="shared" si="95"/>
        <v>22</v>
      </c>
      <c r="BF1249" s="24">
        <f t="shared" si="96"/>
        <v>10</v>
      </c>
    </row>
    <row r="1250" spans="1:58" ht="16.25" customHeight="1" x14ac:dyDescent="0.2">
      <c r="A1250">
        <v>142196775</v>
      </c>
      <c r="B1250" s="25">
        <v>44845.629166666666</v>
      </c>
      <c r="C1250" s="14">
        <v>44845</v>
      </c>
      <c r="D1250" t="s">
        <v>9152</v>
      </c>
      <c r="E1250" t="s">
        <v>8296</v>
      </c>
      <c r="F1250">
        <v>678008</v>
      </c>
      <c r="G1250" t="s">
        <v>2315</v>
      </c>
      <c r="I1250" t="s">
        <v>9153</v>
      </c>
      <c r="J1250" t="s">
        <v>9154</v>
      </c>
      <c r="K1250" t="s">
        <v>62</v>
      </c>
      <c r="L1250" t="s">
        <v>63</v>
      </c>
      <c r="M1250" t="s">
        <v>9155</v>
      </c>
      <c r="N1250" t="s">
        <v>9156</v>
      </c>
      <c r="R1250">
        <v>1</v>
      </c>
      <c r="S1250">
        <v>0</v>
      </c>
      <c r="T1250" t="b">
        <v>0</v>
      </c>
      <c r="V1250" t="s">
        <v>2320</v>
      </c>
      <c r="W1250" s="15">
        <v>-15.36985702</v>
      </c>
      <c r="X1250" s="15">
        <v>28.315754519999999</v>
      </c>
      <c r="Y1250">
        <v>46</v>
      </c>
      <c r="AC1250">
        <v>46</v>
      </c>
      <c r="AF1250" t="b">
        <v>0</v>
      </c>
      <c r="AI1250" t="s">
        <v>71</v>
      </c>
      <c r="AJ1250" t="s">
        <v>70</v>
      </c>
      <c r="AK1250" t="s">
        <v>71</v>
      </c>
      <c r="AL1250" t="s">
        <v>72</v>
      </c>
      <c r="AM1250">
        <v>346053</v>
      </c>
      <c r="AO1250" s="16" t="s">
        <v>73</v>
      </c>
      <c r="AP1250" s="17" t="str">
        <f t="shared" si="94"/>
        <v>Off-nest female</v>
      </c>
      <c r="AX1250" s="22" t="str">
        <f>IF(AND('[1]observations-276632'!W1250&gt;'[1]Methods write-up'!$Q$16,'[1]observations-276632'!W1250&lt;'[1]Methods write-up'!$R$16,'[1]observations-276632'!X1250&gt;'[1]Methods write-up'!$S$16,'[1]observations-276632'!X1250&lt;'[1]Methods write-up'!$T$16),"West and Central Africa","")</f>
        <v>West and Central Africa</v>
      </c>
      <c r="AY1250" s="22" t="str">
        <f>IF(AND('[1]observations-276632'!W1250&gt;'[1]Methods write-up'!$Q$17,'[1]observations-276632'!W1250&lt;'[1]Methods write-up'!$R$17,'[1]observations-276632'!X1250&gt;'[1]Methods write-up'!$S$17,'[1]observations-276632'!X1250&lt;'[1]Methods write-up'!$T$17),"Equatorial tropical forest","")</f>
        <v/>
      </c>
      <c r="AZ1250" s="22" t="str">
        <f>IF(AND('[1]observations-276632'!W1250&gt;'[1]Methods write-up'!$Q$18,'[1]observations-276632'!W1250&lt;'[1]Methods write-up'!$R$18,'[1]observations-276632'!X1250&gt;'[1]Methods write-up'!$S$18,'[1]observations-276632'!X1250&lt;'[1]Methods write-up'!$T$18),"Somali peninsula","")</f>
        <v/>
      </c>
      <c r="BA1250" s="22" t="str">
        <f>IF(AND('[1]observations-276632'!W1250&gt;'[1]Methods write-up'!$Q$19,'[1]observations-276632'!W1250&lt;'[1]Methods write-up'!$R$19,'[1]observations-276632'!X1250&gt;'[1]Methods write-up'!$S$19,'[1]observations-276632'!X1250&lt;'[1]Methods write-up'!$T$19),"East Africa","")</f>
        <v/>
      </c>
      <c r="BB1250" s="22" t="str">
        <f>IF(AND('[1]observations-276632'!W1250&gt;'[1]Methods write-up'!$Q$20,'[1]observations-276632'!W1250&lt;'[1]Methods write-up'!$R$20,'[1]observations-276632'!X1250&gt;'[1]Methods write-up'!$S$20,'[1]observations-276632'!X1250&lt;'[1]Methods write-up'!$T$20),"Temperate seasonal","")</f>
        <v/>
      </c>
      <c r="BC1250" s="22" t="str">
        <f>IF(AND('[1]observations-276632'!W1250&gt;'[1]Methods write-up'!$Q$21,'[1]observations-276632'!W1250&lt;'[1]Methods write-up'!$R$21,'[1]observations-276632'!X1250&gt;'[1]Methods write-up'!$S$21,'[1]observations-276632'!X1250&lt;'[1]Methods write-up'!$T$21),"Desert and high aridity","")</f>
        <v/>
      </c>
      <c r="BD1250" s="23" t="str">
        <f t="shared" si="97"/>
        <v>West and Central Africa</v>
      </c>
      <c r="BE1250" s="24">
        <f t="shared" si="95"/>
        <v>11</v>
      </c>
      <c r="BF1250" s="24">
        <f t="shared" si="96"/>
        <v>10</v>
      </c>
    </row>
    <row r="1251" spans="1:58" ht="16.25" customHeight="1" x14ac:dyDescent="0.2">
      <c r="A1251">
        <v>142453217</v>
      </c>
      <c r="B1251" t="s">
        <v>9157</v>
      </c>
      <c r="C1251" s="14">
        <v>44877</v>
      </c>
      <c r="D1251" t="s">
        <v>9158</v>
      </c>
      <c r="E1251" t="s">
        <v>8831</v>
      </c>
      <c r="F1251">
        <v>6226821</v>
      </c>
      <c r="G1251" t="s">
        <v>9159</v>
      </c>
      <c r="I1251" t="s">
        <v>9160</v>
      </c>
      <c r="J1251" t="s">
        <v>9161</v>
      </c>
      <c r="K1251" t="s">
        <v>62</v>
      </c>
      <c r="L1251" t="s">
        <v>63</v>
      </c>
      <c r="M1251" t="s">
        <v>9162</v>
      </c>
      <c r="N1251" t="s">
        <v>9163</v>
      </c>
      <c r="R1251">
        <v>0</v>
      </c>
      <c r="S1251">
        <v>0</v>
      </c>
      <c r="T1251" t="b">
        <v>0</v>
      </c>
      <c r="U1251">
        <v>3</v>
      </c>
      <c r="V1251" t="s">
        <v>9164</v>
      </c>
      <c r="W1251" s="15">
        <v>9.7864492589999994</v>
      </c>
      <c r="X1251" s="15">
        <v>-13.51526365</v>
      </c>
      <c r="Y1251">
        <v>35</v>
      </c>
      <c r="AC1251">
        <v>35</v>
      </c>
      <c r="AF1251" t="b">
        <v>0</v>
      </c>
      <c r="AJ1251" t="s">
        <v>70</v>
      </c>
      <c r="AK1251" t="s">
        <v>71</v>
      </c>
      <c r="AL1251" t="s">
        <v>72</v>
      </c>
      <c r="AM1251">
        <v>346053</v>
      </c>
      <c r="AO1251" s="16" t="s">
        <v>73</v>
      </c>
      <c r="AP1251" s="17" t="str">
        <f t="shared" si="94"/>
        <v>Off-nest female</v>
      </c>
      <c r="AX1251" s="22" t="str">
        <f>IF(AND('[1]observations-276632'!W1251&gt;'[1]Methods write-up'!$Q$16,'[1]observations-276632'!W1251&lt;'[1]Methods write-up'!$R$16,'[1]observations-276632'!X1251&gt;'[1]Methods write-up'!$S$16,'[1]observations-276632'!X1251&lt;'[1]Methods write-up'!$T$16),"West and Central Africa","")</f>
        <v>West and Central Africa</v>
      </c>
      <c r="AY1251" s="22" t="str">
        <f>IF(AND('[1]observations-276632'!W1251&gt;'[1]Methods write-up'!$Q$17,'[1]observations-276632'!W1251&lt;'[1]Methods write-up'!$R$17,'[1]observations-276632'!X1251&gt;'[1]Methods write-up'!$S$17,'[1]observations-276632'!X1251&lt;'[1]Methods write-up'!$T$17),"Equatorial tropical forest","")</f>
        <v/>
      </c>
      <c r="AZ1251" s="22" t="str">
        <f>IF(AND('[1]observations-276632'!W1251&gt;'[1]Methods write-up'!$Q$18,'[1]observations-276632'!W1251&lt;'[1]Methods write-up'!$R$18,'[1]observations-276632'!X1251&gt;'[1]Methods write-up'!$S$18,'[1]observations-276632'!X1251&lt;'[1]Methods write-up'!$T$18),"Somali peninsula","")</f>
        <v/>
      </c>
      <c r="BA1251" s="22" t="str">
        <f>IF(AND('[1]observations-276632'!W1251&gt;'[1]Methods write-up'!$Q$19,'[1]observations-276632'!W1251&lt;'[1]Methods write-up'!$R$19,'[1]observations-276632'!X1251&gt;'[1]Methods write-up'!$S$19,'[1]observations-276632'!X1251&lt;'[1]Methods write-up'!$T$19),"East Africa","")</f>
        <v/>
      </c>
      <c r="BB1251" s="22" t="str">
        <f>IF(AND('[1]observations-276632'!W1251&gt;'[1]Methods write-up'!$Q$20,'[1]observations-276632'!W1251&lt;'[1]Methods write-up'!$R$20,'[1]observations-276632'!X1251&gt;'[1]Methods write-up'!$S$20,'[1]observations-276632'!X1251&lt;'[1]Methods write-up'!$T$20),"Temperate seasonal","")</f>
        <v/>
      </c>
      <c r="BC1251" s="22" t="str">
        <f>IF(AND('[1]observations-276632'!W1251&gt;'[1]Methods write-up'!$Q$21,'[1]observations-276632'!W1251&lt;'[1]Methods write-up'!$R$21,'[1]observations-276632'!X1251&gt;'[1]Methods write-up'!$S$21,'[1]observations-276632'!X1251&lt;'[1]Methods write-up'!$T$21),"Desert and high aridity","")</f>
        <v/>
      </c>
      <c r="BD1251" s="23" t="str">
        <f t="shared" si="97"/>
        <v>West and Central Africa</v>
      </c>
      <c r="BE1251" s="24">
        <f t="shared" si="95"/>
        <v>12</v>
      </c>
      <c r="BF1251" s="24">
        <f t="shared" si="96"/>
        <v>11</v>
      </c>
    </row>
    <row r="1252" spans="1:58" ht="16.25" customHeight="1" x14ac:dyDescent="0.2">
      <c r="A1252">
        <v>142591111</v>
      </c>
      <c r="B1252" s="25">
        <v>44880.775000000001</v>
      </c>
      <c r="C1252" s="14">
        <v>44880</v>
      </c>
      <c r="D1252" t="s">
        <v>9165</v>
      </c>
      <c r="E1252" t="s">
        <v>8010</v>
      </c>
      <c r="F1252">
        <v>2572233</v>
      </c>
      <c r="G1252" t="s">
        <v>7570</v>
      </c>
      <c r="H1252" t="s">
        <v>7571</v>
      </c>
      <c r="I1252" t="s">
        <v>9166</v>
      </c>
      <c r="J1252" t="s">
        <v>9167</v>
      </c>
      <c r="K1252" t="s">
        <v>62</v>
      </c>
      <c r="L1252" t="s">
        <v>98</v>
      </c>
      <c r="M1252" t="s">
        <v>9168</v>
      </c>
      <c r="N1252" t="s">
        <v>9169</v>
      </c>
      <c r="R1252">
        <v>1</v>
      </c>
      <c r="S1252">
        <v>0</v>
      </c>
      <c r="T1252" t="b">
        <v>0</v>
      </c>
      <c r="V1252" t="s">
        <v>9170</v>
      </c>
      <c r="W1252" s="15">
        <v>13.435565</v>
      </c>
      <c r="X1252" s="15">
        <v>-16.72328667</v>
      </c>
      <c r="AF1252" t="b">
        <v>0</v>
      </c>
      <c r="AI1252" t="s">
        <v>71</v>
      </c>
      <c r="AJ1252" t="s">
        <v>70</v>
      </c>
      <c r="AK1252" t="s">
        <v>71</v>
      </c>
      <c r="AL1252" t="s">
        <v>72</v>
      </c>
      <c r="AM1252">
        <v>346053</v>
      </c>
      <c r="AO1252" s="16" t="s">
        <v>150</v>
      </c>
      <c r="AP1252" s="17" t="str">
        <f t="shared" si="94"/>
        <v>Male (off nest)</v>
      </c>
      <c r="AX1252" s="22" t="str">
        <f>IF(AND('[1]observations-276632'!W1252&gt;'[1]Methods write-up'!$Q$16,'[1]observations-276632'!W1252&lt;'[1]Methods write-up'!$R$16,'[1]observations-276632'!X1252&gt;'[1]Methods write-up'!$S$16,'[1]observations-276632'!X1252&lt;'[1]Methods write-up'!$T$16),"West and Central Africa","")</f>
        <v/>
      </c>
      <c r="AY1252" s="22" t="str">
        <f>IF(AND('[1]observations-276632'!W1252&gt;'[1]Methods write-up'!$Q$17,'[1]observations-276632'!W1252&lt;'[1]Methods write-up'!$R$17,'[1]observations-276632'!X1252&gt;'[1]Methods write-up'!$S$17,'[1]observations-276632'!X1252&lt;'[1]Methods write-up'!$T$17),"Equatorial tropical forest","")</f>
        <v/>
      </c>
      <c r="AZ1252" s="22" t="str">
        <f>IF(AND('[1]observations-276632'!W1252&gt;'[1]Methods write-up'!$Q$18,'[1]observations-276632'!W1252&lt;'[1]Methods write-up'!$R$18,'[1]observations-276632'!X1252&gt;'[1]Methods write-up'!$S$18,'[1]observations-276632'!X1252&lt;'[1]Methods write-up'!$T$18),"Somali peninsula","")</f>
        <v/>
      </c>
      <c r="BA1252" s="22" t="str">
        <f>IF(AND('[1]observations-276632'!W1252&gt;'[1]Methods write-up'!$Q$19,'[1]observations-276632'!W1252&lt;'[1]Methods write-up'!$R$19,'[1]observations-276632'!X1252&gt;'[1]Methods write-up'!$S$19,'[1]observations-276632'!X1252&lt;'[1]Methods write-up'!$T$19),"East Africa","")</f>
        <v/>
      </c>
      <c r="BB1252" s="22" t="str">
        <f>IF(AND('[1]observations-276632'!W1252&gt;'[1]Methods write-up'!$Q$20,'[1]observations-276632'!W1252&lt;'[1]Methods write-up'!$R$20,'[1]observations-276632'!X1252&gt;'[1]Methods write-up'!$S$20,'[1]observations-276632'!X1252&lt;'[1]Methods write-up'!$T$20),"Temperate seasonal","")</f>
        <v/>
      </c>
      <c r="BC1252" s="22" t="str">
        <f>IF(AND('[1]observations-276632'!W1252&gt;'[1]Methods write-up'!$Q$21,'[1]observations-276632'!W1252&lt;'[1]Methods write-up'!$R$21,'[1]observations-276632'!X1252&gt;'[1]Methods write-up'!$S$21,'[1]observations-276632'!X1252&lt;'[1]Methods write-up'!$T$21),"Desert and high aridity","")</f>
        <v/>
      </c>
      <c r="BD1252" s="23" t="str">
        <f t="shared" si="97"/>
        <v/>
      </c>
      <c r="BE1252" s="24">
        <f t="shared" si="95"/>
        <v>15</v>
      </c>
      <c r="BF1252" s="24">
        <f t="shared" si="96"/>
        <v>11</v>
      </c>
    </row>
    <row r="1253" spans="1:58" ht="16.25" customHeight="1" x14ac:dyDescent="0.2">
      <c r="A1253">
        <v>142614470</v>
      </c>
      <c r="B1253" s="25">
        <v>44874.69027777778</v>
      </c>
      <c r="C1253" s="14">
        <v>44874</v>
      </c>
      <c r="D1253" t="s">
        <v>9171</v>
      </c>
      <c r="E1253" t="s">
        <v>9017</v>
      </c>
      <c r="F1253">
        <v>3091526</v>
      </c>
      <c r="G1253" t="s">
        <v>9018</v>
      </c>
      <c r="H1253" t="s">
        <v>9019</v>
      </c>
      <c r="I1253" t="s">
        <v>9172</v>
      </c>
      <c r="J1253" t="s">
        <v>9173</v>
      </c>
      <c r="K1253" t="s">
        <v>62</v>
      </c>
      <c r="L1253" t="s">
        <v>63</v>
      </c>
      <c r="M1253" t="s">
        <v>9174</v>
      </c>
      <c r="N1253" t="s">
        <v>9175</v>
      </c>
      <c r="Q1253" t="s">
        <v>9176</v>
      </c>
      <c r="R1253">
        <v>1</v>
      </c>
      <c r="S1253">
        <v>0</v>
      </c>
      <c r="T1253" t="b">
        <v>0</v>
      </c>
      <c r="V1253" t="s">
        <v>9177</v>
      </c>
      <c r="W1253" s="15">
        <v>5.5325145689999999</v>
      </c>
      <c r="X1253" s="15">
        <v>-9.2609716609999992</v>
      </c>
      <c r="Y1253">
        <v>90</v>
      </c>
      <c r="AC1253">
        <v>90</v>
      </c>
      <c r="AF1253" t="b">
        <v>0</v>
      </c>
      <c r="AI1253" t="s">
        <v>71</v>
      </c>
      <c r="AJ1253" t="s">
        <v>70</v>
      </c>
      <c r="AK1253" t="s">
        <v>71</v>
      </c>
      <c r="AL1253" t="s">
        <v>72</v>
      </c>
      <c r="AM1253">
        <v>346053</v>
      </c>
      <c r="AO1253" s="16" t="s">
        <v>73</v>
      </c>
      <c r="AP1253" s="17" t="str">
        <f t="shared" si="94"/>
        <v>Off-nest female</v>
      </c>
      <c r="AX1253" s="22" t="str">
        <f>IF(AND('[1]observations-276632'!W1253&gt;'[1]Methods write-up'!$Q$16,'[1]observations-276632'!W1253&lt;'[1]Methods write-up'!$R$16,'[1]observations-276632'!X1253&gt;'[1]Methods write-up'!$S$16,'[1]observations-276632'!X1253&lt;'[1]Methods write-up'!$T$16),"West and Central Africa","")</f>
        <v>West and Central Africa</v>
      </c>
      <c r="AY1253" s="22" t="str">
        <f>IF(AND('[1]observations-276632'!W1253&gt;'[1]Methods write-up'!$Q$17,'[1]observations-276632'!W1253&lt;'[1]Methods write-up'!$R$17,'[1]observations-276632'!X1253&gt;'[1]Methods write-up'!$S$17,'[1]observations-276632'!X1253&lt;'[1]Methods write-up'!$T$17),"Equatorial tropical forest","")</f>
        <v/>
      </c>
      <c r="AZ1253" s="22" t="str">
        <f>IF(AND('[1]observations-276632'!W1253&gt;'[1]Methods write-up'!$Q$18,'[1]observations-276632'!W1253&lt;'[1]Methods write-up'!$R$18,'[1]observations-276632'!X1253&gt;'[1]Methods write-up'!$S$18,'[1]observations-276632'!X1253&lt;'[1]Methods write-up'!$T$18),"Somali peninsula","")</f>
        <v/>
      </c>
      <c r="BA1253" s="22" t="str">
        <f>IF(AND('[1]observations-276632'!W1253&gt;'[1]Methods write-up'!$Q$19,'[1]observations-276632'!W1253&lt;'[1]Methods write-up'!$R$19,'[1]observations-276632'!X1253&gt;'[1]Methods write-up'!$S$19,'[1]observations-276632'!X1253&lt;'[1]Methods write-up'!$T$19),"East Africa","")</f>
        <v/>
      </c>
      <c r="BB1253" s="22" t="str">
        <f>IF(AND('[1]observations-276632'!W1253&gt;'[1]Methods write-up'!$Q$20,'[1]observations-276632'!W1253&lt;'[1]Methods write-up'!$R$20,'[1]observations-276632'!X1253&gt;'[1]Methods write-up'!$S$20,'[1]observations-276632'!X1253&lt;'[1]Methods write-up'!$T$20),"Temperate seasonal","")</f>
        <v/>
      </c>
      <c r="BC1253" s="22" t="str">
        <f>IF(AND('[1]observations-276632'!W1253&gt;'[1]Methods write-up'!$Q$21,'[1]observations-276632'!W1253&lt;'[1]Methods write-up'!$R$21,'[1]observations-276632'!X1253&gt;'[1]Methods write-up'!$S$21,'[1]observations-276632'!X1253&lt;'[1]Methods write-up'!$T$21),"Desert and high aridity","")</f>
        <v/>
      </c>
      <c r="BD1253" s="23" t="str">
        <f t="shared" si="97"/>
        <v>West and Central Africa</v>
      </c>
      <c r="BE1253" s="24">
        <f t="shared" si="95"/>
        <v>9</v>
      </c>
      <c r="BF1253" s="24">
        <f t="shared" si="96"/>
        <v>11</v>
      </c>
    </row>
    <row r="1254" spans="1:58" ht="16.25" customHeight="1" x14ac:dyDescent="0.2">
      <c r="AP1254" s="17">
        <f t="shared" si="94"/>
        <v>0</v>
      </c>
    </row>
    <row r="1255" spans="1:58" ht="16.25" customHeight="1" x14ac:dyDescent="0.2">
      <c r="A1255" s="27" t="s">
        <v>9178</v>
      </c>
      <c r="AP1255" s="17">
        <f t="shared" si="94"/>
        <v>0</v>
      </c>
    </row>
    <row r="1256" spans="1:58" ht="16.25" customHeight="1" x14ac:dyDescent="0.2">
      <c r="C1256" s="15" t="s">
        <v>9179</v>
      </c>
      <c r="W1256">
        <v>-33.591410000000003</v>
      </c>
      <c r="X1256">
        <v>18.260459999999998</v>
      </c>
      <c r="AO1256" s="16" t="s">
        <v>9180</v>
      </c>
      <c r="AP1256" s="17" t="str">
        <f t="shared" si="94"/>
        <v>Nest (foundress)</v>
      </c>
      <c r="AV1256" s="21" t="s">
        <v>9181</v>
      </c>
      <c r="BD1256" s="23" t="s">
        <v>51</v>
      </c>
      <c r="BF1256" s="24">
        <v>11</v>
      </c>
    </row>
    <row r="1257" spans="1:58" ht="16.25" customHeight="1" x14ac:dyDescent="0.2">
      <c r="A1257" s="27"/>
      <c r="C1257" s="15" t="s">
        <v>9179</v>
      </c>
      <c r="W1257">
        <v>-33.591410000000003</v>
      </c>
      <c r="X1257">
        <v>18.260459999999998</v>
      </c>
      <c r="AO1257" s="16" t="s">
        <v>9180</v>
      </c>
      <c r="AP1257" s="17" t="str">
        <f t="shared" si="94"/>
        <v>Nest (foundress)</v>
      </c>
      <c r="AV1257" s="21" t="s">
        <v>9182</v>
      </c>
      <c r="BD1257" s="23" t="s">
        <v>51</v>
      </c>
      <c r="BF1257" s="24">
        <v>11</v>
      </c>
    </row>
    <row r="1258" spans="1:58" ht="16.25" customHeight="1" x14ac:dyDescent="0.2">
      <c r="C1258" s="15" t="s">
        <v>9179</v>
      </c>
      <c r="W1258">
        <v>-33.591410000000003</v>
      </c>
      <c r="X1258">
        <v>18.260459999999998</v>
      </c>
      <c r="AO1258" s="16" t="s">
        <v>9180</v>
      </c>
      <c r="AP1258" s="17" t="str">
        <f t="shared" si="94"/>
        <v>Nest (foundress)</v>
      </c>
      <c r="AV1258" s="21" t="s">
        <v>9182</v>
      </c>
      <c r="BD1258" s="23" t="s">
        <v>51</v>
      </c>
      <c r="BF1258" s="24">
        <v>11</v>
      </c>
    </row>
    <row r="1259" spans="1:58" ht="16.25" customHeight="1" x14ac:dyDescent="0.2">
      <c r="C1259" s="15" t="s">
        <v>9179</v>
      </c>
      <c r="W1259">
        <v>-33.591410000000003</v>
      </c>
      <c r="X1259">
        <v>18.260459999999998</v>
      </c>
      <c r="AO1259" s="16" t="s">
        <v>9180</v>
      </c>
      <c r="AP1259" s="17" t="str">
        <f t="shared" si="94"/>
        <v>Nest (foundress)</v>
      </c>
      <c r="AV1259" s="21" t="s">
        <v>9182</v>
      </c>
      <c r="BD1259" s="23" t="s">
        <v>51</v>
      </c>
      <c r="BF1259" s="24">
        <v>11</v>
      </c>
    </row>
    <row r="1260" spans="1:58" ht="16.25" customHeight="1" x14ac:dyDescent="0.2">
      <c r="C1260" s="15" t="s">
        <v>9179</v>
      </c>
      <c r="W1260">
        <v>-33.591410000000003</v>
      </c>
      <c r="X1260">
        <v>18.260459999999998</v>
      </c>
      <c r="AO1260" s="16" t="s">
        <v>9180</v>
      </c>
      <c r="AP1260" s="17" t="str">
        <f t="shared" si="94"/>
        <v>Nest (foundress)</v>
      </c>
      <c r="AV1260" s="21" t="s">
        <v>9182</v>
      </c>
      <c r="BD1260" s="23" t="s">
        <v>51</v>
      </c>
      <c r="BF1260" s="24">
        <v>11</v>
      </c>
    </row>
    <row r="1261" spans="1:58" ht="16.25" customHeight="1" x14ac:dyDescent="0.2">
      <c r="C1261" s="15" t="s">
        <v>9179</v>
      </c>
      <c r="W1261">
        <v>-33.591410000000003</v>
      </c>
      <c r="X1261">
        <v>18.260459999999998</v>
      </c>
      <c r="AO1261" s="16" t="s">
        <v>9180</v>
      </c>
      <c r="AP1261" s="17" t="str">
        <f t="shared" si="94"/>
        <v>Nest (foundress)</v>
      </c>
      <c r="AV1261" s="21" t="s">
        <v>9182</v>
      </c>
      <c r="BD1261" s="23" t="s">
        <v>51</v>
      </c>
      <c r="BF1261" s="24">
        <v>11</v>
      </c>
    </row>
    <row r="1262" spans="1:58" ht="16.25" customHeight="1" x14ac:dyDescent="0.2">
      <c r="C1262" s="15" t="s">
        <v>9179</v>
      </c>
      <c r="W1262">
        <v>-33.591410000000003</v>
      </c>
      <c r="X1262">
        <v>18.260459999999998</v>
      </c>
      <c r="AO1262" s="16" t="s">
        <v>9180</v>
      </c>
      <c r="AP1262" s="17" t="str">
        <f t="shared" si="94"/>
        <v>Nest (foundress)</v>
      </c>
      <c r="AV1262" s="21" t="s">
        <v>9182</v>
      </c>
      <c r="BD1262" s="23" t="s">
        <v>51</v>
      </c>
      <c r="BF1262" s="24">
        <v>11</v>
      </c>
    </row>
    <row r="1263" spans="1:58" ht="16.25" customHeight="1" x14ac:dyDescent="0.2">
      <c r="C1263" s="15" t="s">
        <v>9179</v>
      </c>
      <c r="W1263">
        <v>-33.591410000000003</v>
      </c>
      <c r="X1263">
        <v>18.260459999999998</v>
      </c>
      <c r="AO1263" s="16" t="s">
        <v>9180</v>
      </c>
      <c r="AP1263" s="17" t="str">
        <f t="shared" si="94"/>
        <v>Nest (foundress)</v>
      </c>
      <c r="AV1263" s="21" t="s">
        <v>9182</v>
      </c>
      <c r="BD1263" s="23" t="s">
        <v>51</v>
      </c>
      <c r="BF1263" s="24">
        <v>11</v>
      </c>
    </row>
    <row r="1264" spans="1:58" ht="16.25" customHeight="1" x14ac:dyDescent="0.2">
      <c r="C1264" s="15" t="s">
        <v>9179</v>
      </c>
      <c r="W1264">
        <v>-33.591410000000003</v>
      </c>
      <c r="X1264">
        <v>18.260459999999998</v>
      </c>
      <c r="AO1264" s="16" t="s">
        <v>9180</v>
      </c>
      <c r="AP1264" s="17" t="str">
        <f t="shared" ref="AP1264:AP1285" si="98">IF(COUNTIF(AO1264,"*foundress*"),"Nest (foundress)",AO1264)</f>
        <v>Nest (foundress)</v>
      </c>
      <c r="AV1264" s="21" t="s">
        <v>9182</v>
      </c>
      <c r="BD1264" s="23" t="s">
        <v>51</v>
      </c>
      <c r="BF1264" s="24">
        <v>11</v>
      </c>
    </row>
    <row r="1265" spans="3:58" ht="16.25" customHeight="1" x14ac:dyDescent="0.2">
      <c r="C1265" s="15" t="s">
        <v>9179</v>
      </c>
      <c r="W1265">
        <v>-33.591410000000003</v>
      </c>
      <c r="X1265">
        <v>18.260459999999998</v>
      </c>
      <c r="AO1265" s="16" t="s">
        <v>9180</v>
      </c>
      <c r="AP1265" s="17" t="str">
        <f t="shared" si="98"/>
        <v>Nest (foundress)</v>
      </c>
      <c r="AV1265" s="21" t="s">
        <v>9182</v>
      </c>
      <c r="BD1265" s="23" t="s">
        <v>51</v>
      </c>
      <c r="BF1265" s="24">
        <v>12</v>
      </c>
    </row>
    <row r="1266" spans="3:58" ht="16.25" customHeight="1" x14ac:dyDescent="0.2">
      <c r="C1266" s="15" t="s">
        <v>9179</v>
      </c>
      <c r="W1266">
        <v>-33.591410000000003</v>
      </c>
      <c r="X1266">
        <v>18.260459999999998</v>
      </c>
      <c r="AO1266" s="16" t="s">
        <v>9180</v>
      </c>
      <c r="AP1266" s="17" t="str">
        <f t="shared" si="98"/>
        <v>Nest (foundress)</v>
      </c>
      <c r="AV1266" s="21" t="s">
        <v>9182</v>
      </c>
      <c r="BD1266" s="23" t="s">
        <v>51</v>
      </c>
      <c r="BF1266" s="24">
        <v>12</v>
      </c>
    </row>
    <row r="1267" spans="3:58" ht="16.25" customHeight="1" x14ac:dyDescent="0.2">
      <c r="C1267" s="15" t="s">
        <v>9179</v>
      </c>
      <c r="W1267">
        <v>-33.591410000000003</v>
      </c>
      <c r="X1267">
        <v>18.260459999999998</v>
      </c>
      <c r="AO1267" s="16" t="s">
        <v>9180</v>
      </c>
      <c r="AP1267" s="17" t="str">
        <f t="shared" si="98"/>
        <v>Nest (foundress)</v>
      </c>
      <c r="AV1267" s="21" t="s">
        <v>9182</v>
      </c>
      <c r="BD1267" s="23" t="s">
        <v>51</v>
      </c>
      <c r="BF1267" s="24">
        <v>12</v>
      </c>
    </row>
    <row r="1268" spans="3:58" ht="16.25" customHeight="1" x14ac:dyDescent="0.2">
      <c r="C1268" s="15" t="s">
        <v>9179</v>
      </c>
      <c r="W1268">
        <v>-33.591410000000003</v>
      </c>
      <c r="X1268">
        <v>18.260459999999998</v>
      </c>
      <c r="AO1268" s="16" t="s">
        <v>9180</v>
      </c>
      <c r="AP1268" s="17" t="str">
        <f t="shared" si="98"/>
        <v>Nest (foundress)</v>
      </c>
      <c r="AV1268" s="21" t="s">
        <v>9182</v>
      </c>
      <c r="BD1268" s="23" t="s">
        <v>51</v>
      </c>
      <c r="BF1268" s="24">
        <v>12</v>
      </c>
    </row>
    <row r="1269" spans="3:58" ht="16.25" customHeight="1" x14ac:dyDescent="0.2">
      <c r="C1269" s="15" t="s">
        <v>9179</v>
      </c>
      <c r="W1269">
        <v>-33.591410000000003</v>
      </c>
      <c r="X1269">
        <v>18.260459999999998</v>
      </c>
      <c r="AO1269" s="16" t="s">
        <v>9180</v>
      </c>
      <c r="AP1269" s="17" t="str">
        <f t="shared" si="98"/>
        <v>Nest (foundress)</v>
      </c>
      <c r="AV1269" s="21" t="s">
        <v>9182</v>
      </c>
      <c r="BD1269" s="23" t="s">
        <v>51</v>
      </c>
      <c r="BF1269" s="24">
        <v>12</v>
      </c>
    </row>
    <row r="1270" spans="3:58" ht="16.25" customHeight="1" x14ac:dyDescent="0.2">
      <c r="C1270" s="15" t="s">
        <v>9179</v>
      </c>
      <c r="W1270">
        <v>-33.591410000000003</v>
      </c>
      <c r="X1270">
        <v>18.260459999999998</v>
      </c>
      <c r="AO1270" s="16" t="s">
        <v>9180</v>
      </c>
      <c r="AP1270" s="17" t="str">
        <f t="shared" si="98"/>
        <v>Nest (foundress)</v>
      </c>
      <c r="AV1270" s="21" t="s">
        <v>9182</v>
      </c>
      <c r="BD1270" s="23" t="s">
        <v>51</v>
      </c>
      <c r="BF1270" s="24">
        <v>12</v>
      </c>
    </row>
    <row r="1271" spans="3:58" ht="16.25" customHeight="1" x14ac:dyDescent="0.2">
      <c r="C1271" s="15" t="s">
        <v>9179</v>
      </c>
      <c r="W1271">
        <v>-33.591410000000003</v>
      </c>
      <c r="X1271">
        <v>18.260459999999998</v>
      </c>
      <c r="AO1271" s="16" t="s">
        <v>9180</v>
      </c>
      <c r="AP1271" s="17" t="str">
        <f t="shared" si="98"/>
        <v>Nest (foundress)</v>
      </c>
      <c r="AV1271" s="21" t="s">
        <v>9182</v>
      </c>
      <c r="BD1271" s="23" t="s">
        <v>51</v>
      </c>
      <c r="BF1271" s="24">
        <v>12</v>
      </c>
    </row>
    <row r="1272" spans="3:58" ht="16.25" customHeight="1" x14ac:dyDescent="0.2">
      <c r="C1272" s="15" t="s">
        <v>9179</v>
      </c>
      <c r="W1272">
        <v>-33.591410000000003</v>
      </c>
      <c r="X1272">
        <v>18.260459999999998</v>
      </c>
      <c r="AO1272" s="16" t="s">
        <v>9180</v>
      </c>
      <c r="AP1272" s="17" t="str">
        <f t="shared" si="98"/>
        <v>Nest (foundress)</v>
      </c>
      <c r="AV1272" s="21" t="s">
        <v>9182</v>
      </c>
      <c r="BD1272" s="23" t="s">
        <v>51</v>
      </c>
      <c r="BF1272" s="24">
        <v>12</v>
      </c>
    </row>
    <row r="1273" spans="3:58" ht="16.25" customHeight="1" x14ac:dyDescent="0.2">
      <c r="C1273" s="15" t="s">
        <v>9179</v>
      </c>
      <c r="W1273">
        <v>-33.591410000000003</v>
      </c>
      <c r="X1273">
        <v>18.260459999999998</v>
      </c>
      <c r="AO1273" s="16" t="s">
        <v>9180</v>
      </c>
      <c r="AP1273" s="17" t="str">
        <f t="shared" si="98"/>
        <v>Nest (foundress)</v>
      </c>
      <c r="AV1273" s="21" t="s">
        <v>9182</v>
      </c>
      <c r="BD1273" s="23" t="s">
        <v>51</v>
      </c>
      <c r="BF1273" s="24">
        <v>12</v>
      </c>
    </row>
    <row r="1274" spans="3:58" ht="16.25" customHeight="1" x14ac:dyDescent="0.2">
      <c r="C1274" s="28">
        <v>41699</v>
      </c>
      <c r="W1274">
        <v>-33.591410000000003</v>
      </c>
      <c r="X1274">
        <v>18.260459999999998</v>
      </c>
      <c r="AO1274" s="16" t="s">
        <v>9183</v>
      </c>
      <c r="AP1274" s="17" t="str">
        <f t="shared" si="98"/>
        <v>Post-emergence</v>
      </c>
      <c r="AQ1274" s="18">
        <v>3</v>
      </c>
      <c r="AS1274" s="18">
        <v>0</v>
      </c>
      <c r="AT1274" s="19" t="s">
        <v>9184</v>
      </c>
      <c r="AU1274" s="20" t="s">
        <v>9184</v>
      </c>
      <c r="AV1274" s="21" t="s">
        <v>9185</v>
      </c>
      <c r="BD1274" s="23" t="s">
        <v>51</v>
      </c>
      <c r="BF1274" s="24">
        <v>3</v>
      </c>
    </row>
    <row r="1275" spans="3:58" ht="16.25" customHeight="1" x14ac:dyDescent="0.2">
      <c r="C1275" s="28">
        <v>41699</v>
      </c>
      <c r="W1275">
        <v>-33.591410000000003</v>
      </c>
      <c r="X1275">
        <v>18.260459999999998</v>
      </c>
      <c r="AO1275" s="16" t="s">
        <v>9183</v>
      </c>
      <c r="AP1275" s="17" t="str">
        <f t="shared" si="98"/>
        <v>Post-emergence</v>
      </c>
      <c r="AQ1275" s="18">
        <v>7</v>
      </c>
      <c r="AS1275" s="18">
        <v>2</v>
      </c>
      <c r="AT1275" s="19" t="s">
        <v>9184</v>
      </c>
      <c r="AU1275" s="20" t="s">
        <v>9184</v>
      </c>
      <c r="AV1275" s="21" t="s">
        <v>9186</v>
      </c>
      <c r="BD1275" s="23" t="s">
        <v>51</v>
      </c>
      <c r="BF1275" s="24">
        <v>3</v>
      </c>
    </row>
    <row r="1276" spans="3:58" ht="16.25" customHeight="1" x14ac:dyDescent="0.2">
      <c r="C1276" s="28">
        <v>41699</v>
      </c>
      <c r="W1276">
        <v>-33.591410000000003</v>
      </c>
      <c r="X1276">
        <v>18.260459999999998</v>
      </c>
      <c r="AO1276" s="16" t="s">
        <v>9183</v>
      </c>
      <c r="AP1276" s="17" t="str">
        <f t="shared" si="98"/>
        <v>Post-emergence</v>
      </c>
      <c r="AQ1276" s="18">
        <v>8</v>
      </c>
      <c r="AS1276" s="18">
        <v>3</v>
      </c>
      <c r="AT1276" s="19" t="s">
        <v>9184</v>
      </c>
      <c r="AU1276" s="20" t="s">
        <v>9184</v>
      </c>
      <c r="AV1276" s="21" t="s">
        <v>9187</v>
      </c>
      <c r="BD1276" s="23" t="s">
        <v>51</v>
      </c>
      <c r="BF1276" s="24">
        <v>3</v>
      </c>
    </row>
    <row r="1277" spans="3:58" ht="16.25" customHeight="1" x14ac:dyDescent="0.2">
      <c r="C1277" s="28">
        <v>41699</v>
      </c>
      <c r="W1277">
        <v>-33.591410000000003</v>
      </c>
      <c r="X1277">
        <v>18.260459999999998</v>
      </c>
      <c r="AO1277" s="16" t="s">
        <v>9183</v>
      </c>
      <c r="AP1277" s="17" t="str">
        <f t="shared" si="98"/>
        <v>Post-emergence</v>
      </c>
      <c r="AQ1277" s="18">
        <v>5</v>
      </c>
      <c r="AS1277" s="18">
        <v>1</v>
      </c>
      <c r="AT1277" s="19" t="s">
        <v>9184</v>
      </c>
      <c r="AU1277" s="20" t="s">
        <v>9184</v>
      </c>
      <c r="AV1277" s="21" t="s">
        <v>9188</v>
      </c>
      <c r="BD1277" s="23" t="s">
        <v>51</v>
      </c>
      <c r="BF1277" s="24">
        <v>3</v>
      </c>
    </row>
    <row r="1278" spans="3:58" ht="16.25" customHeight="1" x14ac:dyDescent="0.2">
      <c r="C1278" s="28">
        <v>41699</v>
      </c>
      <c r="W1278">
        <v>-33.591410000000003</v>
      </c>
      <c r="X1278">
        <v>18.260459999999998</v>
      </c>
      <c r="AO1278" s="16" t="s">
        <v>9183</v>
      </c>
      <c r="AP1278" s="17" t="str">
        <f t="shared" si="98"/>
        <v>Post-emergence</v>
      </c>
      <c r="AQ1278" s="18">
        <v>4</v>
      </c>
      <c r="AS1278" s="18">
        <v>8</v>
      </c>
      <c r="AT1278" s="19" t="s">
        <v>9184</v>
      </c>
      <c r="AU1278" s="20" t="s">
        <v>9184</v>
      </c>
      <c r="AV1278" s="21" t="s">
        <v>9189</v>
      </c>
      <c r="BD1278" s="23" t="s">
        <v>51</v>
      </c>
      <c r="BF1278" s="24">
        <v>3</v>
      </c>
    </row>
    <row r="1279" spans="3:58" ht="16.25" customHeight="1" x14ac:dyDescent="0.2">
      <c r="C1279" s="28">
        <v>41699</v>
      </c>
      <c r="W1279">
        <v>-33.591410000000003</v>
      </c>
      <c r="X1279">
        <v>18.260459999999998</v>
      </c>
      <c r="AO1279" s="16" t="s">
        <v>9183</v>
      </c>
      <c r="AP1279" s="17" t="str">
        <f t="shared" si="98"/>
        <v>Post-emergence</v>
      </c>
      <c r="AQ1279" s="18">
        <v>5</v>
      </c>
      <c r="AS1279" s="18">
        <v>2</v>
      </c>
      <c r="AT1279" s="19" t="s">
        <v>9184</v>
      </c>
      <c r="AU1279" s="20" t="s">
        <v>9184</v>
      </c>
      <c r="AV1279" s="21" t="s">
        <v>9190</v>
      </c>
      <c r="BD1279" s="23" t="s">
        <v>51</v>
      </c>
      <c r="BF1279" s="24">
        <v>3</v>
      </c>
    </row>
    <row r="1280" spans="3:58" ht="16.25" customHeight="1" x14ac:dyDescent="0.2">
      <c r="C1280" s="28">
        <v>41699</v>
      </c>
      <c r="W1280">
        <v>-33.591410000000003</v>
      </c>
      <c r="X1280">
        <v>18.260459999999998</v>
      </c>
      <c r="AO1280" s="16" t="s">
        <v>9183</v>
      </c>
      <c r="AP1280" s="17" t="str">
        <f t="shared" si="98"/>
        <v>Post-emergence</v>
      </c>
      <c r="AQ1280" s="18">
        <v>12</v>
      </c>
      <c r="AS1280" s="18">
        <v>1</v>
      </c>
      <c r="AT1280" s="19" t="s">
        <v>9184</v>
      </c>
      <c r="AU1280" s="20" t="s">
        <v>9184</v>
      </c>
      <c r="AV1280" s="21" t="s">
        <v>9191</v>
      </c>
      <c r="BD1280" s="23" t="s">
        <v>51</v>
      </c>
      <c r="BF1280" s="24">
        <v>3</v>
      </c>
    </row>
    <row r="1281" spans="3:58" ht="16.25" customHeight="1" x14ac:dyDescent="0.2">
      <c r="C1281" s="28">
        <v>41699</v>
      </c>
      <c r="W1281">
        <v>-33.591410000000003</v>
      </c>
      <c r="X1281">
        <v>18.260459999999998</v>
      </c>
      <c r="AO1281" s="16" t="s">
        <v>9183</v>
      </c>
      <c r="AP1281" s="17" t="str">
        <f t="shared" si="98"/>
        <v>Post-emergence</v>
      </c>
      <c r="AQ1281" s="18">
        <v>8</v>
      </c>
      <c r="AS1281" s="18">
        <v>3</v>
      </c>
      <c r="AT1281" s="19" t="s">
        <v>9184</v>
      </c>
      <c r="AU1281" s="20" t="s">
        <v>9184</v>
      </c>
      <c r="AV1281" s="21" t="s">
        <v>9192</v>
      </c>
      <c r="BD1281" s="23" t="s">
        <v>51</v>
      </c>
      <c r="BF1281" s="24">
        <v>3</v>
      </c>
    </row>
    <row r="1282" spans="3:58" ht="16.25" customHeight="1" x14ac:dyDescent="0.2">
      <c r="C1282" s="28">
        <v>41699</v>
      </c>
      <c r="W1282">
        <v>-33.591410000000003</v>
      </c>
      <c r="X1282">
        <v>18.260459999999998</v>
      </c>
      <c r="AO1282" s="16" t="s">
        <v>9183</v>
      </c>
      <c r="AP1282" s="17" t="str">
        <f t="shared" si="98"/>
        <v>Post-emergence</v>
      </c>
      <c r="AQ1282" s="18">
        <v>4</v>
      </c>
      <c r="AS1282" s="18">
        <v>1</v>
      </c>
      <c r="AT1282" s="19" t="s">
        <v>9184</v>
      </c>
      <c r="AU1282" s="20" t="s">
        <v>9184</v>
      </c>
      <c r="AV1282" s="21" t="s">
        <v>9193</v>
      </c>
      <c r="BD1282" s="23" t="s">
        <v>51</v>
      </c>
      <c r="BF1282" s="24">
        <v>3</v>
      </c>
    </row>
    <row r="1283" spans="3:58" ht="16.25" customHeight="1" x14ac:dyDescent="0.2">
      <c r="C1283" s="28">
        <v>41699</v>
      </c>
      <c r="W1283">
        <v>-33.591410000000003</v>
      </c>
      <c r="X1283">
        <v>18.260459999999998</v>
      </c>
      <c r="AO1283" s="16" t="s">
        <v>9183</v>
      </c>
      <c r="AP1283" s="17" t="str">
        <f t="shared" si="98"/>
        <v>Post-emergence</v>
      </c>
      <c r="AQ1283" s="18">
        <v>5</v>
      </c>
      <c r="AS1283" s="18">
        <v>2</v>
      </c>
      <c r="AT1283" s="19" t="s">
        <v>9184</v>
      </c>
      <c r="AU1283" s="20" t="s">
        <v>9184</v>
      </c>
      <c r="AV1283" s="21" t="s">
        <v>9194</v>
      </c>
      <c r="BD1283" s="23" t="s">
        <v>51</v>
      </c>
      <c r="BF1283" s="24">
        <v>3</v>
      </c>
    </row>
    <row r="1284" spans="3:58" ht="16.25" customHeight="1" x14ac:dyDescent="0.2">
      <c r="C1284" s="28">
        <v>41699</v>
      </c>
      <c r="W1284">
        <v>-33.591410000000003</v>
      </c>
      <c r="X1284">
        <v>18.260459999999998</v>
      </c>
      <c r="AO1284" s="16" t="s">
        <v>9183</v>
      </c>
      <c r="AP1284" s="17" t="str">
        <f t="shared" si="98"/>
        <v>Post-emergence</v>
      </c>
      <c r="AQ1284" s="18">
        <v>4</v>
      </c>
      <c r="AS1284" s="18">
        <v>2</v>
      </c>
      <c r="AT1284" s="19" t="s">
        <v>9184</v>
      </c>
      <c r="AU1284" s="20" t="s">
        <v>9184</v>
      </c>
      <c r="AV1284" s="21" t="s">
        <v>9195</v>
      </c>
      <c r="BD1284" s="23" t="s">
        <v>51</v>
      </c>
      <c r="BF1284" s="24">
        <v>3</v>
      </c>
    </row>
    <row r="1285" spans="3:58" ht="16.25" customHeight="1" x14ac:dyDescent="0.2">
      <c r="C1285" s="28">
        <v>41699</v>
      </c>
      <c r="W1285">
        <v>-33.591410000000003</v>
      </c>
      <c r="X1285">
        <v>18.260459999999998</v>
      </c>
      <c r="AO1285" s="16" t="s">
        <v>9183</v>
      </c>
      <c r="AP1285" s="17" t="str">
        <f t="shared" si="98"/>
        <v>Post-emergence</v>
      </c>
      <c r="AQ1285" s="18">
        <v>5</v>
      </c>
      <c r="AS1285" s="18">
        <v>0</v>
      </c>
      <c r="AT1285" s="19" t="s">
        <v>9184</v>
      </c>
      <c r="AU1285" s="20" t="s">
        <v>9184</v>
      </c>
      <c r="AV1285" s="21" t="s">
        <v>9196</v>
      </c>
      <c r="BD1285" s="23" t="s">
        <v>51</v>
      </c>
      <c r="BF1285" s="24">
        <v>3</v>
      </c>
    </row>
    <row r="1286" spans="3:58" ht="16.25" customHeight="1" x14ac:dyDescent="0.2">
      <c r="W1286"/>
      <c r="X1286"/>
    </row>
    <row r="1287" spans="3:58" ht="16.25" customHeight="1" x14ac:dyDescent="0.2">
      <c r="W1287"/>
      <c r="X1287"/>
    </row>
    <row r="1288" spans="3:58" ht="16.25" customHeight="1" x14ac:dyDescent="0.2">
      <c r="W1288"/>
      <c r="X1288"/>
    </row>
    <row r="1289" spans="3:58" ht="16.25" customHeight="1" x14ac:dyDescent="0.2">
      <c r="W1289"/>
      <c r="X1289"/>
    </row>
    <row r="1290" spans="3:58" ht="16.25" customHeight="1" x14ac:dyDescent="0.2">
      <c r="W1290"/>
      <c r="X1290"/>
    </row>
    <row r="1291" spans="3:58" ht="16.25" customHeight="1" x14ac:dyDescent="0.2">
      <c r="W1291"/>
      <c r="X1291"/>
    </row>
  </sheetData>
  <conditionalFormatting sqref="W1:W1048576">
    <cfRule type="duplicateValues" dxfId="1" priority="2"/>
  </conditionalFormatting>
  <conditionalFormatting sqref="X1:X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Kennedy</dc:creator>
  <cp:lastModifiedBy>Patrick Kennedy</cp:lastModifiedBy>
  <dcterms:created xsi:type="dcterms:W3CDTF">2023-12-07T19:27:48Z</dcterms:created>
  <dcterms:modified xsi:type="dcterms:W3CDTF">2023-12-07T19:27:59Z</dcterms:modified>
</cp:coreProperties>
</file>