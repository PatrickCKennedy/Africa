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k14885/Desktop/"/>
    </mc:Choice>
  </mc:AlternateContent>
  <xr:revisionPtr revIDLastSave="0" documentId="13_ncr:1_{842A6471-63D0-5545-A095-60DD563FD1C8}" xr6:coauthVersionLast="47" xr6:coauthVersionMax="47" xr10:uidLastSave="{00000000-0000-0000-0000-000000000000}"/>
  <bookViews>
    <workbookView xWindow="4440" yWindow="3320" windowWidth="25800" windowHeight="14320" xr2:uid="{E17CD9E0-1276-4D44-A275-DB61FDFF9D0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4" i="1" l="1"/>
  <c r="K94" i="1"/>
  <c r="J94" i="1"/>
  <c r="H94" i="1"/>
  <c r="G94" i="1"/>
  <c r="F94" i="1"/>
  <c r="E94" i="1"/>
  <c r="D94" i="1"/>
  <c r="L93" i="1"/>
  <c r="K93" i="1"/>
  <c r="J93" i="1"/>
  <c r="H93" i="1"/>
  <c r="G93" i="1"/>
  <c r="F93" i="1"/>
  <c r="E93" i="1"/>
  <c r="D93" i="1"/>
  <c r="L92" i="1"/>
  <c r="K92" i="1"/>
  <c r="J92" i="1"/>
  <c r="H92" i="1"/>
  <c r="G92" i="1"/>
  <c r="F92" i="1"/>
  <c r="E92" i="1"/>
  <c r="D92" i="1"/>
  <c r="L91" i="1"/>
  <c r="K91" i="1"/>
  <c r="J91" i="1"/>
  <c r="H91" i="1"/>
  <c r="G91" i="1"/>
  <c r="F91" i="1"/>
  <c r="E91" i="1"/>
  <c r="D91" i="1"/>
  <c r="L90" i="1"/>
  <c r="K90" i="1"/>
  <c r="J90" i="1"/>
  <c r="H90" i="1"/>
  <c r="G90" i="1"/>
  <c r="F90" i="1"/>
  <c r="E90" i="1"/>
  <c r="D90" i="1"/>
  <c r="L89" i="1"/>
  <c r="K89" i="1"/>
  <c r="J89" i="1"/>
  <c r="H89" i="1"/>
  <c r="G89" i="1"/>
  <c r="F89" i="1"/>
  <c r="E89" i="1"/>
  <c r="D89" i="1"/>
  <c r="L88" i="1"/>
  <c r="K88" i="1"/>
  <c r="J88" i="1"/>
  <c r="H88" i="1"/>
  <c r="G88" i="1"/>
  <c r="F88" i="1"/>
  <c r="E88" i="1"/>
  <c r="D88" i="1"/>
  <c r="L87" i="1"/>
  <c r="K87" i="1"/>
  <c r="J87" i="1"/>
  <c r="H87" i="1"/>
  <c r="G87" i="1"/>
  <c r="F87" i="1"/>
  <c r="E87" i="1"/>
  <c r="D87" i="1"/>
  <c r="L86" i="1"/>
  <c r="K86" i="1"/>
  <c r="J86" i="1"/>
  <c r="H86" i="1"/>
  <c r="G86" i="1"/>
  <c r="F86" i="1"/>
  <c r="E86" i="1"/>
  <c r="D86" i="1"/>
  <c r="L85" i="1"/>
  <c r="K85" i="1"/>
  <c r="J85" i="1"/>
  <c r="H85" i="1"/>
  <c r="G85" i="1"/>
  <c r="F85" i="1"/>
  <c r="E85" i="1"/>
  <c r="D85" i="1"/>
  <c r="L84" i="1"/>
  <c r="K84" i="1"/>
  <c r="J84" i="1"/>
  <c r="H84" i="1"/>
  <c r="G84" i="1"/>
  <c r="F84" i="1"/>
  <c r="E84" i="1"/>
  <c r="D84" i="1"/>
  <c r="L83" i="1"/>
  <c r="K83" i="1"/>
  <c r="J83" i="1"/>
  <c r="H83" i="1"/>
  <c r="G83" i="1"/>
  <c r="F83" i="1"/>
  <c r="E83" i="1"/>
  <c r="D83" i="1"/>
  <c r="L82" i="1"/>
  <c r="K82" i="1"/>
  <c r="J82" i="1"/>
  <c r="H82" i="1"/>
  <c r="G82" i="1"/>
  <c r="F82" i="1"/>
  <c r="E82" i="1"/>
  <c r="D82" i="1"/>
  <c r="L81" i="1"/>
  <c r="K81" i="1"/>
  <c r="J81" i="1"/>
  <c r="H81" i="1"/>
  <c r="G81" i="1"/>
  <c r="F81" i="1"/>
  <c r="E81" i="1"/>
  <c r="D81" i="1"/>
  <c r="L80" i="1"/>
  <c r="K80" i="1"/>
  <c r="J80" i="1"/>
  <c r="H80" i="1"/>
  <c r="G80" i="1"/>
  <c r="F80" i="1"/>
  <c r="E80" i="1"/>
  <c r="D80" i="1"/>
  <c r="L79" i="1"/>
  <c r="K79" i="1"/>
  <c r="J79" i="1"/>
  <c r="H79" i="1"/>
  <c r="G79" i="1"/>
  <c r="F79" i="1"/>
  <c r="E79" i="1"/>
  <c r="D79" i="1"/>
  <c r="L78" i="1"/>
  <c r="K78" i="1"/>
  <c r="J78" i="1"/>
  <c r="H78" i="1"/>
  <c r="G78" i="1"/>
  <c r="F78" i="1"/>
  <c r="E78" i="1"/>
  <c r="D78" i="1"/>
  <c r="L77" i="1"/>
  <c r="K77" i="1"/>
  <c r="J77" i="1"/>
  <c r="H77" i="1"/>
  <c r="G77" i="1"/>
  <c r="F77" i="1"/>
  <c r="E77" i="1"/>
  <c r="D77" i="1"/>
  <c r="L76" i="1"/>
  <c r="K76" i="1"/>
  <c r="J76" i="1"/>
  <c r="H76" i="1"/>
  <c r="G76" i="1"/>
  <c r="F76" i="1"/>
  <c r="E76" i="1"/>
  <c r="D76" i="1"/>
  <c r="L75" i="1"/>
  <c r="K75" i="1"/>
  <c r="J75" i="1"/>
  <c r="H75" i="1"/>
  <c r="G75" i="1"/>
  <c r="F75" i="1"/>
  <c r="E75" i="1"/>
  <c r="D75" i="1"/>
  <c r="L74" i="1"/>
  <c r="K74" i="1"/>
  <c r="J74" i="1"/>
  <c r="H74" i="1"/>
  <c r="G74" i="1"/>
  <c r="F74" i="1"/>
  <c r="E74" i="1"/>
  <c r="D74" i="1"/>
  <c r="L73" i="1"/>
  <c r="K73" i="1"/>
  <c r="J73" i="1"/>
  <c r="H73" i="1"/>
  <c r="G73" i="1"/>
  <c r="F73" i="1"/>
  <c r="E73" i="1"/>
  <c r="D73" i="1"/>
  <c r="L72" i="1"/>
  <c r="K72" i="1"/>
  <c r="J72" i="1"/>
  <c r="H72" i="1"/>
  <c r="G72" i="1"/>
  <c r="F72" i="1"/>
  <c r="E72" i="1"/>
  <c r="D72" i="1"/>
  <c r="L71" i="1"/>
  <c r="K71" i="1"/>
  <c r="J71" i="1"/>
  <c r="H71" i="1"/>
  <c r="G71" i="1"/>
  <c r="F71" i="1"/>
  <c r="E71" i="1"/>
  <c r="D71" i="1"/>
  <c r="L70" i="1"/>
  <c r="K70" i="1"/>
  <c r="J70" i="1"/>
  <c r="H70" i="1"/>
  <c r="G70" i="1"/>
  <c r="F70" i="1"/>
  <c r="E70" i="1"/>
  <c r="D70" i="1"/>
  <c r="L69" i="1"/>
  <c r="K69" i="1"/>
  <c r="J69" i="1"/>
  <c r="H69" i="1"/>
  <c r="G69" i="1"/>
  <c r="F69" i="1"/>
  <c r="E69" i="1"/>
  <c r="D69" i="1"/>
  <c r="L68" i="1"/>
  <c r="K68" i="1"/>
  <c r="J68" i="1"/>
  <c r="H68" i="1"/>
  <c r="G68" i="1"/>
  <c r="F68" i="1"/>
  <c r="E68" i="1"/>
  <c r="D68" i="1"/>
  <c r="L67" i="1"/>
  <c r="K67" i="1"/>
  <c r="J67" i="1"/>
  <c r="H67" i="1"/>
  <c r="G67" i="1"/>
  <c r="F67" i="1"/>
  <c r="E67" i="1"/>
  <c r="D67" i="1"/>
  <c r="L66" i="1"/>
  <c r="K66" i="1"/>
  <c r="J66" i="1"/>
  <c r="H66" i="1"/>
  <c r="G66" i="1"/>
  <c r="F66" i="1"/>
  <c r="E66" i="1"/>
  <c r="D66" i="1"/>
  <c r="L65" i="1"/>
  <c r="K65" i="1"/>
  <c r="J65" i="1"/>
  <c r="H65" i="1"/>
  <c r="G65" i="1"/>
  <c r="F65" i="1"/>
  <c r="E65" i="1"/>
  <c r="D65" i="1"/>
  <c r="L64" i="1"/>
  <c r="K64" i="1"/>
  <c r="J64" i="1"/>
  <c r="H64" i="1"/>
  <c r="G64" i="1"/>
  <c r="F64" i="1"/>
  <c r="E64" i="1"/>
  <c r="D64" i="1"/>
  <c r="L63" i="1"/>
  <c r="K63" i="1"/>
  <c r="J63" i="1"/>
  <c r="H63" i="1"/>
  <c r="G63" i="1"/>
  <c r="F63" i="1"/>
  <c r="E63" i="1"/>
  <c r="D63" i="1"/>
  <c r="L62" i="1"/>
  <c r="K62" i="1"/>
  <c r="J62" i="1"/>
  <c r="H62" i="1"/>
  <c r="G62" i="1"/>
  <c r="F62" i="1"/>
  <c r="E62" i="1"/>
  <c r="D62" i="1"/>
  <c r="L61" i="1"/>
  <c r="K61" i="1"/>
  <c r="J61" i="1"/>
  <c r="H61" i="1"/>
  <c r="G61" i="1"/>
  <c r="F61" i="1"/>
  <c r="E61" i="1"/>
  <c r="D61" i="1"/>
  <c r="L60" i="1"/>
  <c r="K60" i="1"/>
  <c r="J60" i="1"/>
  <c r="H60" i="1"/>
  <c r="G60" i="1"/>
  <c r="F60" i="1"/>
  <c r="E60" i="1"/>
  <c r="D60" i="1"/>
  <c r="L59" i="1"/>
  <c r="K59" i="1"/>
  <c r="J59" i="1"/>
  <c r="H59" i="1"/>
  <c r="G59" i="1"/>
  <c r="F59" i="1"/>
  <c r="E59" i="1"/>
  <c r="D59" i="1"/>
  <c r="L58" i="1"/>
  <c r="K58" i="1"/>
  <c r="J58" i="1"/>
  <c r="H58" i="1"/>
  <c r="G58" i="1"/>
  <c r="F58" i="1"/>
  <c r="E58" i="1"/>
  <c r="D58" i="1"/>
  <c r="L57" i="1"/>
  <c r="K57" i="1"/>
  <c r="J57" i="1"/>
  <c r="H57" i="1"/>
  <c r="G57" i="1"/>
  <c r="F57" i="1"/>
  <c r="E57" i="1"/>
  <c r="D57" i="1"/>
  <c r="L56" i="1"/>
  <c r="K56" i="1"/>
  <c r="J56" i="1"/>
  <c r="H56" i="1"/>
  <c r="G56" i="1"/>
  <c r="F56" i="1"/>
  <c r="E56" i="1"/>
  <c r="D56" i="1"/>
  <c r="L55" i="1"/>
  <c r="K55" i="1"/>
  <c r="J55" i="1"/>
  <c r="H55" i="1"/>
  <c r="G55" i="1"/>
  <c r="F55" i="1"/>
  <c r="E55" i="1"/>
  <c r="D55" i="1"/>
  <c r="L54" i="1"/>
  <c r="K54" i="1"/>
  <c r="J54" i="1"/>
  <c r="H54" i="1"/>
  <c r="G54" i="1"/>
  <c r="F54" i="1"/>
  <c r="E54" i="1"/>
  <c r="D54" i="1"/>
  <c r="L53" i="1"/>
  <c r="K53" i="1"/>
  <c r="J53" i="1"/>
  <c r="H53" i="1"/>
  <c r="G53" i="1"/>
  <c r="F53" i="1"/>
  <c r="E53" i="1"/>
  <c r="D53" i="1"/>
  <c r="L52" i="1"/>
  <c r="K52" i="1"/>
  <c r="J52" i="1"/>
  <c r="H52" i="1"/>
  <c r="G52" i="1"/>
  <c r="F52" i="1"/>
  <c r="E52" i="1"/>
  <c r="D52" i="1"/>
  <c r="L51" i="1"/>
  <c r="K51" i="1"/>
  <c r="J51" i="1"/>
  <c r="H51" i="1"/>
  <c r="G51" i="1"/>
  <c r="F51" i="1"/>
  <c r="E51" i="1"/>
  <c r="D51" i="1"/>
  <c r="L50" i="1"/>
  <c r="K50" i="1"/>
  <c r="J50" i="1"/>
  <c r="H50" i="1"/>
  <c r="G50" i="1"/>
  <c r="F50" i="1"/>
  <c r="E50" i="1"/>
  <c r="D50" i="1"/>
  <c r="L49" i="1"/>
  <c r="K49" i="1"/>
  <c r="J49" i="1"/>
  <c r="H49" i="1"/>
  <c r="G49" i="1"/>
  <c r="F49" i="1"/>
  <c r="E49" i="1"/>
  <c r="D49" i="1"/>
  <c r="L48" i="1"/>
  <c r="K48" i="1"/>
  <c r="J48" i="1"/>
  <c r="H48" i="1"/>
  <c r="G48" i="1"/>
  <c r="F48" i="1"/>
  <c r="E48" i="1"/>
  <c r="D48" i="1"/>
  <c r="L47" i="1"/>
  <c r="K47" i="1"/>
  <c r="J47" i="1"/>
  <c r="H47" i="1"/>
  <c r="G47" i="1"/>
  <c r="F47" i="1"/>
  <c r="E47" i="1"/>
  <c r="D47" i="1"/>
  <c r="L46" i="1"/>
  <c r="K46" i="1"/>
  <c r="J46" i="1"/>
  <c r="H46" i="1"/>
  <c r="G46" i="1"/>
  <c r="F46" i="1"/>
  <c r="E46" i="1"/>
  <c r="D46" i="1"/>
  <c r="L45" i="1"/>
  <c r="K45" i="1"/>
  <c r="J45" i="1"/>
  <c r="H45" i="1"/>
  <c r="G45" i="1"/>
  <c r="F45" i="1"/>
  <c r="E45" i="1"/>
  <c r="D45" i="1"/>
  <c r="L44" i="1"/>
  <c r="K44" i="1"/>
  <c r="J44" i="1"/>
  <c r="H44" i="1"/>
  <c r="G44" i="1"/>
  <c r="F44" i="1"/>
  <c r="E44" i="1"/>
  <c r="D44" i="1"/>
  <c r="L43" i="1"/>
  <c r="K43" i="1"/>
  <c r="J43" i="1"/>
  <c r="H43" i="1"/>
  <c r="G43" i="1"/>
  <c r="F43" i="1"/>
  <c r="E43" i="1"/>
  <c r="D43" i="1"/>
  <c r="L42" i="1"/>
  <c r="K42" i="1"/>
  <c r="J42" i="1"/>
  <c r="H42" i="1"/>
  <c r="G42" i="1"/>
  <c r="F42" i="1"/>
  <c r="E42" i="1"/>
  <c r="D42" i="1"/>
  <c r="L41" i="1"/>
  <c r="K41" i="1"/>
  <c r="J41" i="1"/>
  <c r="H41" i="1"/>
  <c r="G41" i="1"/>
  <c r="F41" i="1"/>
  <c r="E41" i="1"/>
  <c r="D41" i="1"/>
  <c r="L40" i="1"/>
  <c r="K40" i="1"/>
  <c r="J40" i="1"/>
  <c r="H40" i="1"/>
  <c r="G40" i="1"/>
  <c r="F40" i="1"/>
  <c r="E40" i="1"/>
  <c r="D40" i="1"/>
  <c r="L39" i="1"/>
  <c r="K39" i="1"/>
  <c r="J39" i="1"/>
  <c r="H39" i="1"/>
  <c r="G39" i="1"/>
  <c r="F39" i="1"/>
  <c r="E39" i="1"/>
  <c r="D39" i="1"/>
  <c r="L38" i="1"/>
  <c r="K38" i="1"/>
  <c r="J38" i="1"/>
  <c r="H38" i="1"/>
  <c r="G38" i="1"/>
  <c r="F38" i="1"/>
  <c r="E38" i="1"/>
  <c r="D38" i="1"/>
  <c r="L37" i="1"/>
  <c r="K37" i="1"/>
  <c r="J37" i="1"/>
  <c r="H37" i="1"/>
  <c r="G37" i="1"/>
  <c r="F37" i="1"/>
  <c r="E37" i="1"/>
  <c r="D37" i="1"/>
  <c r="L36" i="1"/>
  <c r="K36" i="1"/>
  <c r="J36" i="1"/>
  <c r="H36" i="1"/>
  <c r="G36" i="1"/>
  <c r="F36" i="1"/>
  <c r="E36" i="1"/>
  <c r="D36" i="1"/>
  <c r="L35" i="1"/>
  <c r="K35" i="1"/>
  <c r="J35" i="1"/>
  <c r="H35" i="1"/>
  <c r="G35" i="1"/>
  <c r="F35" i="1"/>
  <c r="E35" i="1"/>
  <c r="D35" i="1"/>
  <c r="L34" i="1"/>
  <c r="K34" i="1"/>
  <c r="J34" i="1"/>
  <c r="H34" i="1"/>
  <c r="G34" i="1"/>
  <c r="F34" i="1"/>
  <c r="E34" i="1"/>
  <c r="D34" i="1"/>
  <c r="L33" i="1"/>
  <c r="K33" i="1"/>
  <c r="J33" i="1"/>
  <c r="H33" i="1"/>
  <c r="G33" i="1"/>
  <c r="F33" i="1"/>
  <c r="E33" i="1"/>
  <c r="D33" i="1"/>
  <c r="L32" i="1"/>
  <c r="K32" i="1"/>
  <c r="J32" i="1"/>
  <c r="H32" i="1"/>
  <c r="G32" i="1"/>
  <c r="F32" i="1"/>
  <c r="E32" i="1"/>
  <c r="D32" i="1"/>
  <c r="L31" i="1"/>
  <c r="K31" i="1"/>
  <c r="J31" i="1"/>
  <c r="H31" i="1"/>
  <c r="G31" i="1"/>
  <c r="F31" i="1"/>
  <c r="E31" i="1"/>
  <c r="D31" i="1"/>
  <c r="L30" i="1"/>
  <c r="K30" i="1"/>
  <c r="J30" i="1"/>
  <c r="H30" i="1"/>
  <c r="G30" i="1"/>
  <c r="F30" i="1"/>
  <c r="E30" i="1"/>
  <c r="D30" i="1"/>
  <c r="L29" i="1"/>
  <c r="K29" i="1"/>
  <c r="J29" i="1"/>
  <c r="H29" i="1"/>
  <c r="G29" i="1"/>
  <c r="F29" i="1"/>
  <c r="E29" i="1"/>
  <c r="D29" i="1"/>
  <c r="L28" i="1"/>
  <c r="K28" i="1"/>
  <c r="J28" i="1"/>
  <c r="H28" i="1"/>
  <c r="G28" i="1"/>
  <c r="F28" i="1"/>
  <c r="E28" i="1"/>
  <c r="D28" i="1"/>
  <c r="L27" i="1"/>
  <c r="K27" i="1"/>
  <c r="J27" i="1"/>
  <c r="H27" i="1"/>
  <c r="G27" i="1"/>
  <c r="F27" i="1"/>
  <c r="E27" i="1"/>
  <c r="D27" i="1"/>
  <c r="L26" i="1"/>
  <c r="K26" i="1"/>
  <c r="J26" i="1"/>
  <c r="H26" i="1"/>
  <c r="G26" i="1"/>
  <c r="F26" i="1"/>
  <c r="E26" i="1"/>
  <c r="D26" i="1"/>
  <c r="L25" i="1"/>
  <c r="K25" i="1"/>
  <c r="J25" i="1"/>
  <c r="H25" i="1"/>
  <c r="G25" i="1"/>
  <c r="F25" i="1"/>
  <c r="E25" i="1"/>
  <c r="D25" i="1"/>
  <c r="L24" i="1"/>
  <c r="K24" i="1"/>
  <c r="J24" i="1"/>
  <c r="H24" i="1"/>
  <c r="G24" i="1"/>
  <c r="F24" i="1"/>
  <c r="E24" i="1"/>
  <c r="D24" i="1"/>
  <c r="L23" i="1"/>
  <c r="K23" i="1"/>
  <c r="J23" i="1"/>
  <c r="H23" i="1"/>
  <c r="G23" i="1"/>
  <c r="F23" i="1"/>
  <c r="E23" i="1"/>
  <c r="D23" i="1"/>
  <c r="L22" i="1"/>
  <c r="K22" i="1"/>
  <c r="J22" i="1"/>
  <c r="H22" i="1"/>
  <c r="G22" i="1"/>
  <c r="F22" i="1"/>
  <c r="E22" i="1"/>
  <c r="D22" i="1"/>
  <c r="L21" i="1"/>
  <c r="K21" i="1"/>
  <c r="J21" i="1"/>
  <c r="H21" i="1"/>
  <c r="G21" i="1"/>
  <c r="F21" i="1"/>
  <c r="E21" i="1"/>
  <c r="D21" i="1"/>
  <c r="L20" i="1"/>
  <c r="K20" i="1"/>
  <c r="J20" i="1"/>
  <c r="H20" i="1"/>
  <c r="G20" i="1"/>
  <c r="F20" i="1"/>
  <c r="E20" i="1"/>
  <c r="D20" i="1"/>
  <c r="L19" i="1"/>
  <c r="K19" i="1"/>
  <c r="J19" i="1"/>
  <c r="H19" i="1"/>
  <c r="G19" i="1"/>
  <c r="F19" i="1"/>
  <c r="E19" i="1"/>
  <c r="D19" i="1"/>
  <c r="L18" i="1"/>
  <c r="K18" i="1"/>
  <c r="J18" i="1"/>
  <c r="H18" i="1"/>
  <c r="G18" i="1"/>
  <c r="F18" i="1"/>
  <c r="E18" i="1"/>
  <c r="D18" i="1"/>
  <c r="L17" i="1"/>
  <c r="K17" i="1"/>
  <c r="J17" i="1"/>
  <c r="H17" i="1"/>
  <c r="G17" i="1"/>
  <c r="F17" i="1"/>
  <c r="E17" i="1"/>
  <c r="D17" i="1"/>
  <c r="L16" i="1"/>
  <c r="K16" i="1"/>
  <c r="J16" i="1"/>
  <c r="H16" i="1"/>
  <c r="G16" i="1"/>
  <c r="F16" i="1"/>
  <c r="E16" i="1"/>
  <c r="D16" i="1"/>
  <c r="L15" i="1"/>
  <c r="K15" i="1"/>
  <c r="J15" i="1"/>
  <c r="H15" i="1"/>
  <c r="G15" i="1"/>
  <c r="F15" i="1"/>
  <c r="E15" i="1"/>
  <c r="D15" i="1"/>
  <c r="L14" i="1"/>
  <c r="K14" i="1"/>
  <c r="J14" i="1"/>
  <c r="H14" i="1"/>
  <c r="G14" i="1"/>
  <c r="F14" i="1"/>
  <c r="E14" i="1"/>
  <c r="D14" i="1"/>
  <c r="L13" i="1"/>
  <c r="K13" i="1"/>
  <c r="J13" i="1"/>
  <c r="H13" i="1"/>
  <c r="G13" i="1"/>
  <c r="F13" i="1"/>
  <c r="E13" i="1"/>
  <c r="D13" i="1"/>
  <c r="L12" i="1"/>
  <c r="K12" i="1"/>
  <c r="J12" i="1"/>
  <c r="H12" i="1"/>
  <c r="G12" i="1"/>
  <c r="F12" i="1"/>
  <c r="E12" i="1"/>
  <c r="D12" i="1"/>
  <c r="L11" i="1"/>
  <c r="K11" i="1"/>
  <c r="J11" i="1"/>
  <c r="H11" i="1"/>
  <c r="G11" i="1"/>
  <c r="F11" i="1"/>
  <c r="E11" i="1"/>
  <c r="D11" i="1"/>
  <c r="L10" i="1"/>
  <c r="K10" i="1"/>
  <c r="J10" i="1"/>
  <c r="H10" i="1"/>
  <c r="G10" i="1"/>
  <c r="F10" i="1"/>
  <c r="E10" i="1"/>
  <c r="D10" i="1"/>
  <c r="L9" i="1"/>
  <c r="K9" i="1"/>
  <c r="J9" i="1"/>
  <c r="H9" i="1"/>
  <c r="G9" i="1"/>
  <c r="F9" i="1"/>
  <c r="E9" i="1"/>
  <c r="D9" i="1"/>
  <c r="L8" i="1"/>
  <c r="K8" i="1"/>
  <c r="J8" i="1"/>
  <c r="H8" i="1"/>
  <c r="G8" i="1"/>
  <c r="F8" i="1"/>
  <c r="E8" i="1"/>
  <c r="D8" i="1"/>
  <c r="L7" i="1"/>
  <c r="K7" i="1"/>
  <c r="J7" i="1"/>
  <c r="H7" i="1"/>
  <c r="G7" i="1"/>
  <c r="F7" i="1"/>
  <c r="E7" i="1"/>
  <c r="D7" i="1"/>
  <c r="L6" i="1"/>
  <c r="K6" i="1"/>
  <c r="J6" i="1"/>
  <c r="H6" i="1"/>
  <c r="G6" i="1"/>
  <c r="F6" i="1"/>
  <c r="E6" i="1"/>
  <c r="D6" i="1"/>
  <c r="L5" i="1"/>
  <c r="K5" i="1"/>
  <c r="J5" i="1"/>
  <c r="H5" i="1"/>
  <c r="G5" i="1"/>
  <c r="F5" i="1"/>
  <c r="E5" i="1"/>
  <c r="D5" i="1"/>
  <c r="L4" i="1"/>
  <c r="K4" i="1"/>
  <c r="J4" i="1"/>
  <c r="H4" i="1"/>
  <c r="G4" i="1"/>
  <c r="F4" i="1"/>
  <c r="E4" i="1"/>
  <c r="D4" i="1"/>
  <c r="L3" i="1"/>
  <c r="K3" i="1"/>
  <c r="J3" i="1"/>
  <c r="H3" i="1"/>
  <c r="G3" i="1"/>
  <c r="F3" i="1"/>
  <c r="E3" i="1"/>
  <c r="D3" i="1"/>
  <c r="L2" i="1"/>
  <c r="K2" i="1"/>
  <c r="J2" i="1"/>
  <c r="H2" i="1"/>
  <c r="G2" i="1"/>
  <c r="F2" i="1"/>
  <c r="E2" i="1"/>
  <c r="D2" i="1"/>
  <c r="I232" i="1" l="1"/>
  <c r="I146" i="1"/>
  <c r="I220" i="1"/>
  <c r="I81" i="1"/>
  <c r="I121" i="1"/>
  <c r="I187" i="1"/>
  <c r="I45" i="1"/>
  <c r="I120" i="1"/>
  <c r="I162" i="1"/>
  <c r="I5" i="1"/>
  <c r="I95" i="1"/>
  <c r="I201" i="1"/>
  <c r="I43" i="1"/>
  <c r="I134" i="1"/>
  <c r="I200" i="1"/>
  <c r="I13" i="1"/>
  <c r="I101" i="1"/>
  <c r="I175" i="1"/>
  <c r="I210" i="1"/>
  <c r="I62" i="1"/>
  <c r="I143" i="1"/>
  <c r="I185" i="1"/>
  <c r="I23" i="1"/>
  <c r="I118" i="1"/>
  <c r="I184" i="1"/>
  <c r="I226" i="1"/>
  <c r="I79" i="1"/>
  <c r="I159" i="1"/>
  <c r="I41" i="1"/>
  <c r="I116" i="1"/>
  <c r="I198" i="1"/>
  <c r="I11" i="1"/>
  <c r="I85" i="1"/>
  <c r="I165" i="1"/>
  <c r="I10" i="1"/>
  <c r="I217" i="1"/>
  <c r="I61" i="1"/>
  <c r="I150" i="1"/>
  <c r="I216" i="1"/>
  <c r="I194" i="1"/>
  <c r="I44" i="1"/>
  <c r="I127" i="1"/>
  <c r="I105" i="1"/>
  <c r="I171" i="1"/>
  <c r="I25" i="1"/>
  <c r="I104" i="1"/>
  <c r="I149" i="1"/>
  <c r="I106" i="1"/>
  <c r="I180" i="1"/>
  <c r="I83" i="1"/>
  <c r="I147" i="1"/>
  <c r="I82" i="1"/>
  <c r="I59" i="1"/>
  <c r="I132" i="1"/>
  <c r="I30" i="1"/>
  <c r="I117" i="1"/>
  <c r="I169" i="1"/>
  <c r="I4" i="1"/>
  <c r="I102" i="1"/>
  <c r="I230" i="1"/>
  <c r="I124" i="1"/>
  <c r="I206" i="1"/>
  <c r="I109" i="1"/>
  <c r="I161" i="1"/>
  <c r="I89" i="1"/>
  <c r="I138" i="1"/>
  <c r="I50" i="1"/>
  <c r="I133" i="1"/>
  <c r="I207" i="1"/>
  <c r="I21" i="1"/>
  <c r="I100" i="1"/>
  <c r="I182" i="1"/>
  <c r="I68" i="1"/>
  <c r="I223" i="1"/>
  <c r="I38" i="1"/>
  <c r="I229" i="1"/>
  <c r="I214" i="1"/>
  <c r="I191" i="1"/>
  <c r="I168" i="1"/>
  <c r="I48" i="1"/>
  <c r="I115" i="1"/>
  <c r="I197" i="1"/>
  <c r="I47" i="1"/>
  <c r="I93" i="1"/>
  <c r="I164" i="1"/>
  <c r="I17" i="1"/>
  <c r="I66" i="1"/>
  <c r="I131" i="1"/>
  <c r="I213" i="1"/>
  <c r="I65" i="1"/>
  <c r="I170" i="1"/>
  <c r="I15" i="1"/>
  <c r="I103" i="1"/>
  <c r="I145" i="1"/>
  <c r="I211" i="1"/>
  <c r="I71" i="1"/>
  <c r="I144" i="1"/>
  <c r="I122" i="1"/>
  <c r="I196" i="1"/>
  <c r="I54" i="1"/>
  <c r="I28" i="1"/>
  <c r="I99" i="1"/>
  <c r="I181" i="1"/>
  <c r="I27" i="1"/>
  <c r="I2" i="1"/>
  <c r="I77" i="1"/>
  <c r="I166" i="1"/>
  <c r="I53" i="1"/>
  <c r="I128" i="1"/>
  <c r="I3" i="1"/>
  <c r="I88" i="1"/>
  <c r="I167" i="1"/>
  <c r="I209" i="1"/>
  <c r="I51" i="1"/>
  <c r="I142" i="1"/>
  <c r="I208" i="1"/>
  <c r="I186" i="1"/>
  <c r="I33" i="1"/>
  <c r="I119" i="1"/>
  <c r="I97" i="1"/>
  <c r="I163" i="1"/>
  <c r="I16" i="1"/>
  <c r="I96" i="1"/>
  <c r="I75" i="1"/>
  <c r="I148" i="1"/>
  <c r="I49" i="1"/>
  <c r="I22" i="1"/>
  <c r="I183" i="1"/>
  <c r="I227" i="1"/>
  <c r="I160" i="1"/>
  <c r="I72" i="1"/>
  <c r="I113" i="1"/>
  <c r="I179" i="1"/>
  <c r="I34" i="1"/>
  <c r="I112" i="1"/>
  <c r="I154" i="1"/>
  <c r="I228" i="1"/>
  <c r="I90" i="1"/>
  <c r="I129" i="1"/>
  <c r="I195" i="1"/>
  <c r="I177" i="1"/>
  <c r="I14" i="1"/>
  <c r="I110" i="1"/>
  <c r="I176" i="1"/>
  <c r="I218" i="1"/>
  <c r="I70" i="1"/>
  <c r="I151" i="1"/>
  <c r="I193" i="1"/>
  <c r="I31" i="1"/>
  <c r="I126" i="1"/>
  <c r="I192" i="1"/>
  <c r="I76" i="1"/>
  <c r="I157" i="1"/>
  <c r="I231" i="1"/>
  <c r="I12" i="1"/>
  <c r="I86" i="1"/>
  <c r="I174" i="1"/>
  <c r="I60" i="1"/>
  <c r="I141" i="1"/>
  <c r="I215" i="1"/>
  <c r="I29" i="1"/>
  <c r="I108" i="1"/>
  <c r="I190" i="1"/>
  <c r="I74" i="1"/>
  <c r="I139" i="1"/>
  <c r="I221" i="1"/>
  <c r="I73" i="1"/>
  <c r="I114" i="1"/>
  <c r="I188" i="1"/>
  <c r="I46" i="1"/>
  <c r="I19" i="1"/>
  <c r="I94" i="1"/>
  <c r="I173" i="1"/>
  <c r="I18" i="1"/>
  <c r="I225" i="1"/>
  <c r="I69" i="1"/>
  <c r="I158" i="1"/>
  <c r="I224" i="1"/>
  <c r="I202" i="1"/>
  <c r="I52" i="1"/>
  <c r="I135" i="1"/>
  <c r="I64" i="1"/>
  <c r="I107" i="1"/>
  <c r="I39" i="1"/>
  <c r="I84" i="1"/>
  <c r="I156" i="1"/>
  <c r="I7" i="1"/>
  <c r="I56" i="1"/>
  <c r="I123" i="1"/>
  <c r="I205" i="1"/>
  <c r="I55" i="1"/>
  <c r="I98" i="1"/>
  <c r="I172" i="1"/>
  <c r="I26" i="1"/>
  <c r="I137" i="1"/>
  <c r="I203" i="1"/>
  <c r="I63" i="1"/>
  <c r="I136" i="1"/>
  <c r="I178" i="1"/>
  <c r="I24" i="1"/>
  <c r="I111" i="1"/>
  <c r="I92" i="1"/>
  <c r="I155" i="1"/>
  <c r="I6" i="1"/>
  <c r="I91" i="1"/>
  <c r="I67" i="1"/>
  <c r="I140" i="1"/>
  <c r="I222" i="1"/>
  <c r="I42" i="1"/>
  <c r="I125" i="1"/>
  <c r="I199" i="1"/>
  <c r="I153" i="1"/>
  <c r="I219" i="1"/>
  <c r="I80" i="1"/>
  <c r="I152" i="1"/>
  <c r="I130" i="1"/>
  <c r="I204" i="1"/>
  <c r="I40" i="1"/>
  <c r="I189" i="1"/>
  <c r="I212" i="1"/>
</calcChain>
</file>

<file path=xl/sharedStrings.xml><?xml version="1.0" encoding="utf-8"?>
<sst xmlns="http://schemas.openxmlformats.org/spreadsheetml/2006/main" count="118" uniqueCount="111">
  <si>
    <t>Trial_info_table</t>
  </si>
  <si>
    <t>NestID</t>
  </si>
  <si>
    <t>Country</t>
  </si>
  <si>
    <t>Batch</t>
  </si>
  <si>
    <t>General_location</t>
  </si>
  <si>
    <t>Prize_source</t>
  </si>
  <si>
    <t>Control_source</t>
  </si>
  <si>
    <t>Prize_pupae</t>
  </si>
  <si>
    <t>Prize_large</t>
  </si>
  <si>
    <t>Nest8</t>
  </si>
  <si>
    <t>Nest21</t>
  </si>
  <si>
    <t>A3-1</t>
  </si>
  <si>
    <t>A4-17</t>
  </si>
  <si>
    <t>C1-11</t>
  </si>
  <si>
    <t>C2-1</t>
  </si>
  <si>
    <t>C2-3</t>
  </si>
  <si>
    <t>Excluded, as immediately destroyed by ants</t>
  </si>
  <si>
    <t>C2-5</t>
  </si>
  <si>
    <t>C2-13</t>
  </si>
  <si>
    <t>(Included, but destroyed by ants at Day 4)</t>
  </si>
  <si>
    <t>A2-7</t>
  </si>
  <si>
    <t>A3-7</t>
  </si>
  <si>
    <t>A4-32</t>
  </si>
  <si>
    <t>A4-35</t>
  </si>
  <si>
    <t>A5-7</t>
  </si>
  <si>
    <t>A5-10</t>
  </si>
  <si>
    <t>C1-7</t>
  </si>
  <si>
    <t>C2-9</t>
  </si>
  <si>
    <t>C2-16</t>
  </si>
  <si>
    <t>E1-35</t>
  </si>
  <si>
    <t>Excluded, as immediately abandoned</t>
  </si>
  <si>
    <t>E1-10</t>
  </si>
  <si>
    <t>E3-4</t>
  </si>
  <si>
    <t>E3-3</t>
  </si>
  <si>
    <t>E3-8</t>
  </si>
  <si>
    <t>E3-7</t>
  </si>
  <si>
    <t>E3-12</t>
  </si>
  <si>
    <t>E3-15</t>
  </si>
  <si>
    <t>E3-14</t>
  </si>
  <si>
    <t>C2-19</t>
  </si>
  <si>
    <t>C2-11</t>
  </si>
  <si>
    <t>C2-21</t>
  </si>
  <si>
    <t>C2-8</t>
  </si>
  <si>
    <t>C2-12</t>
  </si>
  <si>
    <t>A3-11a</t>
  </si>
  <si>
    <t>F5</t>
  </si>
  <si>
    <t>C1-12</t>
  </si>
  <si>
    <t>C2-22</t>
  </si>
  <si>
    <t>SOA-1</t>
  </si>
  <si>
    <t>SOA-2</t>
  </si>
  <si>
    <t>SOA-3</t>
  </si>
  <si>
    <t>SOA-4</t>
  </si>
  <si>
    <t>SOA-6</t>
  </si>
  <si>
    <t>SOA-7</t>
  </si>
  <si>
    <t>SOA-8</t>
  </si>
  <si>
    <t>SOA-11</t>
  </si>
  <si>
    <t>SOA-10</t>
  </si>
  <si>
    <t>A4-8</t>
  </si>
  <si>
    <t>A4-28</t>
  </si>
  <si>
    <t>A côté C1-10</t>
  </si>
  <si>
    <t>B2-999</t>
  </si>
  <si>
    <t>EF12</t>
  </si>
  <si>
    <t>EF4</t>
  </si>
  <si>
    <t>EF5</t>
  </si>
  <si>
    <t>EF8</t>
  </si>
  <si>
    <t>EF7</t>
  </si>
  <si>
    <t>EF10</t>
  </si>
  <si>
    <t>EF24</t>
  </si>
  <si>
    <t>EF25</t>
  </si>
  <si>
    <t>EF21</t>
  </si>
  <si>
    <t>EF17</t>
  </si>
  <si>
    <t>EF6</t>
  </si>
  <si>
    <t>EF20</t>
  </si>
  <si>
    <t>EF18</t>
  </si>
  <si>
    <t>Z1</t>
  </si>
  <si>
    <t>Z2</t>
  </si>
  <si>
    <t>Z3</t>
  </si>
  <si>
    <t>Z4</t>
  </si>
  <si>
    <t>Z9</t>
  </si>
  <si>
    <t>Z10</t>
  </si>
  <si>
    <t>Z13</t>
  </si>
  <si>
    <t>Z14</t>
  </si>
  <si>
    <t>CS4</t>
  </si>
  <si>
    <t>CS7</t>
  </si>
  <si>
    <t>CS1</t>
  </si>
  <si>
    <t>P14</t>
  </si>
  <si>
    <t>P13</t>
  </si>
  <si>
    <t>P34</t>
  </si>
  <si>
    <t>P33</t>
  </si>
  <si>
    <t>P5</t>
  </si>
  <si>
    <t>P27</t>
  </si>
  <si>
    <t>P28</t>
  </si>
  <si>
    <t>P21</t>
  </si>
  <si>
    <t>P30</t>
  </si>
  <si>
    <t>T13</t>
  </si>
  <si>
    <t>T10</t>
  </si>
  <si>
    <t>T31</t>
  </si>
  <si>
    <t>T22</t>
  </si>
  <si>
    <t>T9</t>
  </si>
  <si>
    <t>T20</t>
  </si>
  <si>
    <t>T11</t>
  </si>
  <si>
    <t>T14</t>
  </si>
  <si>
    <t>T12</t>
  </si>
  <si>
    <t>T29</t>
  </si>
  <si>
    <t>T15</t>
  </si>
  <si>
    <t>Notes</t>
  </si>
  <si>
    <t>TrialSubordinatesCount</t>
  </si>
  <si>
    <t>Installation_date_and_time</t>
  </si>
  <si>
    <t>Note: Included, but dominance relations unclear (both remain on focal, so permanently in State 1)</t>
  </si>
  <si>
    <t>Excluded, as subordinates immediately abandon trial</t>
  </si>
  <si>
    <t>Excluded, as ambiguous presence/absence identities and dominance in video footage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</si>
</sst>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4" borderId="6" xfId="0" applyFont="1" applyFill="1" applyBorder="1" applyAlignment="1">
      <alignment horizontal="center" vertical="center" wrapText="1"/>
    </xf>
    <xf numFmtId="0" fontId="0" fillId="2" borderId="0" xfId="0" applyFill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22" fontId="5" fillId="0" borderId="4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22" fontId="5" fillId="0" borderId="2" xfId="0" applyNumberFormat="1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6" xfId="0" applyFont="1" applyFill="1" applyBorder="1"/>
    <xf numFmtId="22" fontId="5" fillId="2" borderId="5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4" fillId="2" borderId="0" xfId="0" applyFont="1" applyFill="1" applyAlignment="1">
      <alignment horizontal="left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22" fontId="1" fillId="2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d0ce9a38c4d182a/1_All_MSCA_and_Simons_Fellowship_Work/1_Main_Paper/2_Wasp_tagging_in_both_countries/Wasp%20Tagging%20-%20Cameroon%20and%20South%20Africa%202021%20-%20The%20Live%20Version.xlsx" TargetMode="External"/><Relationship Id="rId1" Type="http://schemas.openxmlformats.org/officeDocument/2006/relationships/externalLinkPath" Target="https://d.docs.live.net/9d0ce9a38c4d182a/1_All_MSCA_and_Simons_Fellowship_Work/1_Main_Paper/2_Wasp_tagging_in_both_countries/Wasp%20Tagging%20-%20Cameroon%20and%20South%20Africa%202021%20-%20The%20Live%20Ver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quenced wasps"/>
      <sheetName val="Wasp Tagging 2021"/>
      <sheetName val="SUPMAT - Heterozygosity"/>
      <sheetName val="Sheet1"/>
      <sheetName val="Wasps in the William Morris box"/>
      <sheetName val="Nest-level data summary"/>
      <sheetName val="Analyses"/>
      <sheetName val="Ovary dissections"/>
      <sheetName val="Experiment wasps"/>
      <sheetName val="SUPMAT - Experiment_wasps_table"/>
      <sheetName val="Trial_info"/>
      <sheetName val="SUPMAT - Trial_info"/>
      <sheetName val="SUPMAT - Transitions_table"/>
      <sheetName val="Is dominant largest"/>
      <sheetName val="South Africa - notes &amp; thoughts"/>
      <sheetName val="BAM_files"/>
      <sheetName val="Cameroon - notes &amp; thoughts"/>
      <sheetName val="Questions to ask"/>
      <sheetName val="Wasp records for V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G3" t="str">
            <v>Trial_not_necessarily_tagging_nest</v>
          </cell>
        </row>
        <row r="4">
          <cell r="G4" t="str">
            <v>A2-7</v>
          </cell>
        </row>
        <row r="5">
          <cell r="G5" t="str">
            <v>A2-7</v>
          </cell>
        </row>
        <row r="6">
          <cell r="G6" t="str">
            <v>A2-7</v>
          </cell>
        </row>
        <row r="7">
          <cell r="G7" t="str">
            <v>A3-1</v>
          </cell>
        </row>
        <row r="8">
          <cell r="G8" t="str">
            <v>A3-1</v>
          </cell>
        </row>
        <row r="9">
          <cell r="G9" t="str">
            <v>A3-11a</v>
          </cell>
        </row>
        <row r="10">
          <cell r="G10" t="str">
            <v>A3-11a</v>
          </cell>
        </row>
        <row r="11">
          <cell r="G11" t="str">
            <v>A3-7</v>
          </cell>
        </row>
        <row r="12">
          <cell r="G12" t="str">
            <v>A3-7</v>
          </cell>
        </row>
        <row r="13">
          <cell r="G13" t="str">
            <v>A4-17</v>
          </cell>
        </row>
        <row r="14">
          <cell r="G14" t="str">
            <v>A4-17</v>
          </cell>
        </row>
        <row r="15">
          <cell r="G15" t="str">
            <v>A4-8</v>
          </cell>
        </row>
        <row r="16">
          <cell r="G16" t="str">
            <v>A4-8</v>
          </cell>
        </row>
        <row r="17">
          <cell r="G17" t="str">
            <v>A4-28</v>
          </cell>
        </row>
        <row r="18">
          <cell r="G18" t="str">
            <v>A4-28</v>
          </cell>
        </row>
        <row r="19">
          <cell r="G19" t="str">
            <v>A4-32</v>
          </cell>
        </row>
        <row r="20">
          <cell r="G20" t="str">
            <v>A4-32</v>
          </cell>
        </row>
        <row r="21">
          <cell r="G21" t="str">
            <v>A4-35</v>
          </cell>
        </row>
        <row r="22">
          <cell r="G22" t="str">
            <v>A4-35</v>
          </cell>
        </row>
        <row r="23">
          <cell r="G23" t="str">
            <v>A5-10</v>
          </cell>
        </row>
        <row r="24">
          <cell r="G24" t="str">
            <v>A5-10</v>
          </cell>
        </row>
        <row r="25">
          <cell r="G25" t="str">
            <v>A5-7</v>
          </cell>
        </row>
        <row r="26">
          <cell r="G26" t="str">
            <v>A5-7</v>
          </cell>
        </row>
        <row r="27">
          <cell r="G27" t="str">
            <v>A côté C1-10</v>
          </cell>
        </row>
        <row r="28">
          <cell r="G28" t="str">
            <v>A côté C1-10</v>
          </cell>
        </row>
        <row r="29">
          <cell r="G29" t="str">
            <v>B2-999</v>
          </cell>
        </row>
        <row r="30">
          <cell r="G30" t="str">
            <v>TWO TRIALS</v>
          </cell>
        </row>
        <row r="31">
          <cell r="G31" t="str">
            <v>A côté C1-10</v>
          </cell>
        </row>
        <row r="32">
          <cell r="G32" t="str">
            <v>A côté C1-10</v>
          </cell>
        </row>
        <row r="33">
          <cell r="G33" t="str">
            <v>B2-999</v>
          </cell>
        </row>
        <row r="34">
          <cell r="G34" t="str">
            <v>B2-999</v>
          </cell>
        </row>
        <row r="35">
          <cell r="G35" t="str">
            <v>C1-11</v>
          </cell>
        </row>
        <row r="36">
          <cell r="G36" t="str">
            <v>C1-11</v>
          </cell>
        </row>
        <row r="37">
          <cell r="G37" t="str">
            <v>C1-7</v>
          </cell>
        </row>
        <row r="38">
          <cell r="G38" t="str">
            <v>C1-7</v>
          </cell>
        </row>
        <row r="39">
          <cell r="G39" t="str">
            <v>C2-1</v>
          </cell>
        </row>
        <row r="40">
          <cell r="G40" t="str">
            <v>C2-1</v>
          </cell>
        </row>
        <row r="41">
          <cell r="G41" t="str">
            <v>C2-1</v>
          </cell>
        </row>
        <row r="42">
          <cell r="G42" t="str">
            <v>C2-11</v>
          </cell>
        </row>
        <row r="43">
          <cell r="G43" t="str">
            <v>C2-11</v>
          </cell>
        </row>
        <row r="44">
          <cell r="G44" t="str">
            <v>C2-12</v>
          </cell>
        </row>
        <row r="45">
          <cell r="G45" t="str">
            <v>C2-12</v>
          </cell>
        </row>
        <row r="46">
          <cell r="G46" t="str">
            <v>C2-13</v>
          </cell>
        </row>
        <row r="47">
          <cell r="G47" t="str">
            <v>C2-13</v>
          </cell>
        </row>
        <row r="48">
          <cell r="G48" t="str">
            <v>C2-19</v>
          </cell>
        </row>
        <row r="49">
          <cell r="G49" t="str">
            <v>C2-19</v>
          </cell>
        </row>
        <row r="50">
          <cell r="G50" t="str">
            <v>C2-19</v>
          </cell>
        </row>
        <row r="51">
          <cell r="G51" t="str">
            <v>C2-19</v>
          </cell>
        </row>
        <row r="52">
          <cell r="G52" t="str">
            <v>C2-19</v>
          </cell>
        </row>
        <row r="53">
          <cell r="G53" t="str">
            <v>C2-21</v>
          </cell>
        </row>
        <row r="54">
          <cell r="G54" t="str">
            <v>C2-21</v>
          </cell>
        </row>
        <row r="55">
          <cell r="G55" t="str">
            <v>C2-21</v>
          </cell>
        </row>
        <row r="56">
          <cell r="G56" t="str">
            <v>C2-16</v>
          </cell>
        </row>
        <row r="57">
          <cell r="G57" t="str">
            <v>C2-16</v>
          </cell>
        </row>
        <row r="58">
          <cell r="G58" t="str">
            <v>C2-9</v>
          </cell>
        </row>
        <row r="59">
          <cell r="G59" t="str">
            <v>C2-9</v>
          </cell>
        </row>
        <row r="60">
          <cell r="G60" t="str">
            <v>C2-9</v>
          </cell>
        </row>
        <row r="61">
          <cell r="G61" t="str">
            <v>C2-9</v>
          </cell>
        </row>
        <row r="62">
          <cell r="G62" t="str">
            <v>CS1</v>
          </cell>
        </row>
        <row r="63">
          <cell r="G63" t="str">
            <v>CS1</v>
          </cell>
        </row>
        <row r="64">
          <cell r="G64" t="str">
            <v>CS1</v>
          </cell>
        </row>
        <row r="65">
          <cell r="G65" t="str">
            <v>CS1</v>
          </cell>
        </row>
        <row r="66">
          <cell r="G66" t="str">
            <v>CS7</v>
          </cell>
        </row>
        <row r="67">
          <cell r="G67" t="str">
            <v>CS7</v>
          </cell>
        </row>
        <row r="68">
          <cell r="G68" t="str">
            <v>CS7</v>
          </cell>
        </row>
        <row r="69">
          <cell r="G69" t="str">
            <v>CS7</v>
          </cell>
        </row>
        <row r="70">
          <cell r="G70" t="str">
            <v>CS4</v>
          </cell>
        </row>
        <row r="71">
          <cell r="G71" t="str">
            <v>CS4</v>
          </cell>
        </row>
        <row r="72">
          <cell r="G72" t="str">
            <v>E1-10</v>
          </cell>
        </row>
        <row r="73">
          <cell r="G73" t="str">
            <v>E1-10</v>
          </cell>
        </row>
        <row r="74">
          <cell r="G74" t="str">
            <v>E1-10</v>
          </cell>
        </row>
        <row r="75">
          <cell r="G75" t="str">
            <v>E3-12</v>
          </cell>
        </row>
        <row r="76">
          <cell r="G76" t="str">
            <v>E3-12</v>
          </cell>
        </row>
        <row r="77">
          <cell r="G77" t="str">
            <v>E3-12</v>
          </cell>
        </row>
        <row r="78">
          <cell r="G78" t="str">
            <v>E3-14</v>
          </cell>
        </row>
        <row r="79">
          <cell r="G79" t="str">
            <v>E3-14</v>
          </cell>
        </row>
        <row r="80">
          <cell r="G80" t="str">
            <v>E3-15</v>
          </cell>
        </row>
        <row r="81">
          <cell r="G81" t="str">
            <v>E3-15</v>
          </cell>
        </row>
        <row r="82">
          <cell r="G82" t="str">
            <v>E3-15</v>
          </cell>
        </row>
        <row r="83">
          <cell r="G83" t="str">
            <v>E3-3</v>
          </cell>
        </row>
        <row r="84">
          <cell r="G84" t="str">
            <v>E3-3</v>
          </cell>
        </row>
        <row r="85">
          <cell r="G85" t="str">
            <v>E3-4</v>
          </cell>
        </row>
        <row r="86">
          <cell r="G86" t="str">
            <v>E3-4</v>
          </cell>
        </row>
        <row r="87">
          <cell r="G87" t="str">
            <v>E3-4</v>
          </cell>
        </row>
        <row r="88">
          <cell r="G88" t="str">
            <v>E3-4</v>
          </cell>
        </row>
        <row r="89">
          <cell r="G89" t="str">
            <v>E3-7</v>
          </cell>
        </row>
        <row r="90">
          <cell r="G90" t="str">
            <v>E3-7</v>
          </cell>
        </row>
        <row r="91">
          <cell r="G91" t="str">
            <v>E3-8</v>
          </cell>
        </row>
        <row r="92">
          <cell r="G92" t="str">
            <v>E3-8</v>
          </cell>
        </row>
        <row r="93">
          <cell r="G93" t="str">
            <v>E3-8</v>
          </cell>
        </row>
        <row r="94">
          <cell r="G94" t="str">
            <v>E3-8</v>
          </cell>
        </row>
        <row r="95">
          <cell r="G95" t="str">
            <v>EF10</v>
          </cell>
        </row>
        <row r="96">
          <cell r="G96" t="str">
            <v>EF10</v>
          </cell>
        </row>
        <row r="97">
          <cell r="G97" t="str">
            <v>EF10</v>
          </cell>
        </row>
        <row r="98">
          <cell r="G98" t="str">
            <v>EF12</v>
          </cell>
        </row>
        <row r="99">
          <cell r="G99" t="str">
            <v>EF12</v>
          </cell>
        </row>
        <row r="100">
          <cell r="G100" t="str">
            <v>EF17</v>
          </cell>
        </row>
        <row r="101">
          <cell r="G101" t="str">
            <v>EF17</v>
          </cell>
        </row>
        <row r="102">
          <cell r="G102" t="str">
            <v>EF17</v>
          </cell>
        </row>
        <row r="103">
          <cell r="G103" t="str">
            <v>EF18</v>
          </cell>
        </row>
        <row r="104">
          <cell r="G104" t="str">
            <v>EF18</v>
          </cell>
        </row>
        <row r="105">
          <cell r="G105" t="str">
            <v>EF21</v>
          </cell>
        </row>
        <row r="106">
          <cell r="G106" t="str">
            <v>EF21</v>
          </cell>
        </row>
        <row r="107">
          <cell r="G107" t="str">
            <v>EF4</v>
          </cell>
        </row>
        <row r="108">
          <cell r="G108" t="str">
            <v>EF4</v>
          </cell>
        </row>
        <row r="109">
          <cell r="G109" t="str">
            <v>EF4</v>
          </cell>
        </row>
        <row r="110">
          <cell r="G110" t="str">
            <v>EF4</v>
          </cell>
        </row>
        <row r="111">
          <cell r="G111" t="str">
            <v>EF4</v>
          </cell>
        </row>
        <row r="112">
          <cell r="G112" t="str">
            <v>EF5</v>
          </cell>
        </row>
        <row r="113">
          <cell r="G113" t="str">
            <v>EF5</v>
          </cell>
        </row>
        <row r="114">
          <cell r="G114" t="str">
            <v>EF6</v>
          </cell>
        </row>
        <row r="115">
          <cell r="G115" t="str">
            <v>EF6</v>
          </cell>
        </row>
        <row r="116">
          <cell r="G116" t="str">
            <v>EF6</v>
          </cell>
        </row>
        <row r="117">
          <cell r="G117" t="str">
            <v>EF7</v>
          </cell>
        </row>
        <row r="118">
          <cell r="G118" t="str">
            <v>EF7</v>
          </cell>
        </row>
        <row r="119">
          <cell r="G119" t="str">
            <v>EF7</v>
          </cell>
        </row>
        <row r="120">
          <cell r="G120" t="str">
            <v>EF7</v>
          </cell>
        </row>
        <row r="121">
          <cell r="G121" t="str">
            <v>EF7</v>
          </cell>
        </row>
        <row r="122">
          <cell r="G122" t="str">
            <v>EF7</v>
          </cell>
        </row>
        <row r="123">
          <cell r="G123" t="str">
            <v>EF8</v>
          </cell>
        </row>
        <row r="124">
          <cell r="G124" t="str">
            <v>EF8</v>
          </cell>
        </row>
        <row r="125">
          <cell r="G125" t="str">
            <v>EF20</v>
          </cell>
        </row>
        <row r="126">
          <cell r="G126" t="str">
            <v>EF20</v>
          </cell>
        </row>
        <row r="127">
          <cell r="G127" t="str">
            <v>EF20</v>
          </cell>
        </row>
        <row r="128">
          <cell r="G128" t="str">
            <v>EF8</v>
          </cell>
        </row>
        <row r="129">
          <cell r="G129" t="str">
            <v>TWO TRIALS</v>
          </cell>
        </row>
        <row r="130">
          <cell r="G130" t="str">
            <v>P13</v>
          </cell>
        </row>
        <row r="131">
          <cell r="G131" t="str">
            <v>P13</v>
          </cell>
        </row>
        <row r="132">
          <cell r="G132" t="str">
            <v>P13</v>
          </cell>
        </row>
        <row r="133">
          <cell r="G133" t="str">
            <v>P13</v>
          </cell>
        </row>
        <row r="134">
          <cell r="G134" t="str">
            <v>P13</v>
          </cell>
        </row>
        <row r="135">
          <cell r="G135" t="str">
            <v>P13</v>
          </cell>
        </row>
        <row r="136">
          <cell r="G136" t="str">
            <v>P14</v>
          </cell>
        </row>
        <row r="137">
          <cell r="G137" t="str">
            <v>P14</v>
          </cell>
        </row>
        <row r="138">
          <cell r="G138" t="str">
            <v>P14</v>
          </cell>
        </row>
        <row r="139">
          <cell r="G139" t="str">
            <v>P13</v>
          </cell>
        </row>
        <row r="140">
          <cell r="G140" t="str">
            <v>TWO TRIALS</v>
          </cell>
        </row>
        <row r="141">
          <cell r="G141" t="str">
            <v>P21</v>
          </cell>
        </row>
        <row r="142">
          <cell r="G142" t="str">
            <v>P21</v>
          </cell>
        </row>
        <row r="143">
          <cell r="G143" t="str">
            <v>P21</v>
          </cell>
        </row>
        <row r="144">
          <cell r="G144" t="str">
            <v>P21</v>
          </cell>
        </row>
        <row r="145">
          <cell r="G145" t="str">
            <v>P21</v>
          </cell>
        </row>
        <row r="146">
          <cell r="G146" t="str">
            <v>P27</v>
          </cell>
        </row>
        <row r="147">
          <cell r="G147" t="str">
            <v>P28</v>
          </cell>
        </row>
        <row r="148">
          <cell r="G148" t="str">
            <v>TWO TRIALS</v>
          </cell>
        </row>
        <row r="149">
          <cell r="G149" t="str">
            <v>P27</v>
          </cell>
        </row>
        <row r="150">
          <cell r="G150" t="str">
            <v>P27</v>
          </cell>
        </row>
        <row r="151">
          <cell r="G151" t="str">
            <v>P27</v>
          </cell>
        </row>
        <row r="152">
          <cell r="G152" t="str">
            <v>P27</v>
          </cell>
        </row>
        <row r="153">
          <cell r="G153" t="str">
            <v>P27</v>
          </cell>
        </row>
        <row r="154">
          <cell r="G154" t="str">
            <v>P27</v>
          </cell>
        </row>
        <row r="155">
          <cell r="G155" t="str">
            <v>P27</v>
          </cell>
        </row>
        <row r="156">
          <cell r="G156" t="str">
            <v>P27</v>
          </cell>
        </row>
        <row r="157">
          <cell r="G157" t="str">
            <v>P28</v>
          </cell>
        </row>
        <row r="158">
          <cell r="G158" t="str">
            <v>TWO TRIALS</v>
          </cell>
        </row>
        <row r="159">
          <cell r="G159" t="str">
            <v>P27</v>
          </cell>
        </row>
        <row r="160">
          <cell r="G160" t="str">
            <v>P28</v>
          </cell>
        </row>
        <row r="161">
          <cell r="G161" t="str">
            <v>P28</v>
          </cell>
        </row>
        <row r="162">
          <cell r="G162" t="str">
            <v>P28</v>
          </cell>
        </row>
        <row r="163">
          <cell r="G163" t="str">
            <v>P28</v>
          </cell>
        </row>
        <row r="164">
          <cell r="G164" t="str">
            <v>P28</v>
          </cell>
        </row>
        <row r="165">
          <cell r="G165" t="str">
            <v>P30</v>
          </cell>
        </row>
        <row r="166">
          <cell r="G166" t="str">
            <v>P30</v>
          </cell>
        </row>
        <row r="167">
          <cell r="G167" t="str">
            <v>P30</v>
          </cell>
        </row>
        <row r="168">
          <cell r="G168" t="str">
            <v>P30</v>
          </cell>
        </row>
        <row r="169">
          <cell r="G169" t="str">
            <v>P30</v>
          </cell>
        </row>
        <row r="170">
          <cell r="G170" t="str">
            <v>P34</v>
          </cell>
        </row>
        <row r="171">
          <cell r="G171" t="str">
            <v>P34</v>
          </cell>
        </row>
        <row r="172">
          <cell r="G172" t="str">
            <v>P5</v>
          </cell>
        </row>
        <row r="173">
          <cell r="G173" t="str">
            <v>P5</v>
          </cell>
        </row>
        <row r="174">
          <cell r="G174" t="str">
            <v>P5</v>
          </cell>
        </row>
        <row r="175">
          <cell r="G175" t="str">
            <v>SOA-1</v>
          </cell>
        </row>
        <row r="176">
          <cell r="G176" t="str">
            <v>SOA-1</v>
          </cell>
        </row>
        <row r="177">
          <cell r="G177" t="str">
            <v>SOA-1</v>
          </cell>
        </row>
        <row r="178">
          <cell r="G178" t="str">
            <v>SOA-10</v>
          </cell>
        </row>
        <row r="179">
          <cell r="G179" t="str">
            <v>SOA-10</v>
          </cell>
        </row>
        <row r="180">
          <cell r="G180" t="str">
            <v>SOA-7</v>
          </cell>
        </row>
        <row r="181">
          <cell r="G181" t="str">
            <v>TWO TRIALS</v>
          </cell>
        </row>
        <row r="182">
          <cell r="G182" t="str">
            <v>SOA-10</v>
          </cell>
        </row>
        <row r="183">
          <cell r="G183" t="str">
            <v>SOA-11</v>
          </cell>
        </row>
        <row r="184">
          <cell r="G184" t="str">
            <v>SOA-11</v>
          </cell>
        </row>
        <row r="185">
          <cell r="G185" t="str">
            <v>SOA-6</v>
          </cell>
        </row>
        <row r="186">
          <cell r="G186" t="str">
            <v>SOA-11</v>
          </cell>
        </row>
        <row r="187">
          <cell r="G187" t="str">
            <v>TWO TRIALS</v>
          </cell>
        </row>
        <row r="188">
          <cell r="G188" t="str">
            <v>SOA-2</v>
          </cell>
        </row>
        <row r="189">
          <cell r="G189" t="str">
            <v>SOA-2</v>
          </cell>
        </row>
        <row r="190">
          <cell r="G190" t="str">
            <v>SOA-2</v>
          </cell>
        </row>
        <row r="191">
          <cell r="G191" t="str">
            <v>SOA-3</v>
          </cell>
        </row>
        <row r="192">
          <cell r="G192" t="str">
            <v>SOA-3</v>
          </cell>
        </row>
        <row r="193">
          <cell r="G193" t="str">
            <v>SOA-4</v>
          </cell>
        </row>
        <row r="194">
          <cell r="G194" t="str">
            <v>SOA-4</v>
          </cell>
        </row>
        <row r="195">
          <cell r="G195" t="str">
            <v>SOA-6</v>
          </cell>
        </row>
        <row r="196">
          <cell r="G196" t="str">
            <v>SOA-6</v>
          </cell>
        </row>
        <row r="197">
          <cell r="G197" t="str">
            <v>SOA-11</v>
          </cell>
        </row>
        <row r="198">
          <cell r="G198" t="str">
            <v>TWO TRIALS</v>
          </cell>
        </row>
        <row r="199">
          <cell r="G199" t="str">
            <v>SOA-7</v>
          </cell>
        </row>
        <row r="200">
          <cell r="G200" t="str">
            <v>SOA-7</v>
          </cell>
        </row>
        <row r="201">
          <cell r="G201" t="str">
            <v>SOA-8</v>
          </cell>
        </row>
        <row r="202">
          <cell r="G202" t="str">
            <v>SOA-8</v>
          </cell>
        </row>
        <row r="203">
          <cell r="G203" t="str">
            <v>SOA-8</v>
          </cell>
        </row>
        <row r="204">
          <cell r="G204" t="str">
            <v>T10</v>
          </cell>
        </row>
        <row r="205">
          <cell r="G205" t="str">
            <v>T10</v>
          </cell>
        </row>
        <row r="206">
          <cell r="G206" t="str">
            <v>T11</v>
          </cell>
        </row>
        <row r="207">
          <cell r="G207" t="str">
            <v>T11</v>
          </cell>
        </row>
        <row r="208">
          <cell r="G208" t="str">
            <v>T12</v>
          </cell>
        </row>
        <row r="209">
          <cell r="G209" t="str">
            <v>TWO TRIALS</v>
          </cell>
        </row>
        <row r="210">
          <cell r="G210" t="str">
            <v>T11</v>
          </cell>
        </row>
        <row r="211">
          <cell r="G211" t="str">
            <v>T12</v>
          </cell>
        </row>
        <row r="212">
          <cell r="G212" t="str">
            <v>TWO TRIALS</v>
          </cell>
        </row>
        <row r="213">
          <cell r="G213" t="str">
            <v>T11</v>
          </cell>
        </row>
        <row r="214">
          <cell r="G214" t="str">
            <v>T12</v>
          </cell>
        </row>
        <row r="215">
          <cell r="G215" t="str">
            <v>T11</v>
          </cell>
        </row>
        <row r="216">
          <cell r="G216" t="str">
            <v>T12</v>
          </cell>
        </row>
        <row r="217">
          <cell r="G217" t="str">
            <v>TWO TRIALS</v>
          </cell>
        </row>
        <row r="218">
          <cell r="G218" t="str">
            <v>T11</v>
          </cell>
        </row>
        <row r="219">
          <cell r="G219" t="str">
            <v>T12</v>
          </cell>
        </row>
        <row r="220">
          <cell r="G220" t="str">
            <v>TWO TRIALS</v>
          </cell>
        </row>
        <row r="221">
          <cell r="G221" t="str">
            <v>T13</v>
          </cell>
        </row>
        <row r="222">
          <cell r="G222" t="str">
            <v>T13</v>
          </cell>
        </row>
        <row r="223">
          <cell r="G223" t="str">
            <v>T13</v>
          </cell>
        </row>
        <row r="224">
          <cell r="G224" t="str">
            <v>T14</v>
          </cell>
        </row>
        <row r="225">
          <cell r="G225" t="str">
            <v>T14</v>
          </cell>
        </row>
        <row r="226">
          <cell r="G226" t="str">
            <v>T15</v>
          </cell>
        </row>
        <row r="227">
          <cell r="G227" t="str">
            <v>T15</v>
          </cell>
        </row>
        <row r="228">
          <cell r="G228" t="str">
            <v>T20</v>
          </cell>
        </row>
        <row r="229">
          <cell r="G229" t="str">
            <v>T20</v>
          </cell>
        </row>
        <row r="230">
          <cell r="G230" t="str">
            <v>T20</v>
          </cell>
        </row>
        <row r="231">
          <cell r="G231" t="str">
            <v>T20</v>
          </cell>
        </row>
        <row r="232">
          <cell r="G232" t="str">
            <v>T20</v>
          </cell>
        </row>
        <row r="233">
          <cell r="G233" t="str">
            <v>T20</v>
          </cell>
        </row>
        <row r="234">
          <cell r="G234" t="str">
            <v>T20</v>
          </cell>
        </row>
        <row r="235">
          <cell r="G235" t="str">
            <v>T20</v>
          </cell>
        </row>
        <row r="236">
          <cell r="G236" t="str">
            <v>T22</v>
          </cell>
        </row>
        <row r="237">
          <cell r="G237" t="str">
            <v>T22</v>
          </cell>
        </row>
        <row r="238">
          <cell r="G238" t="str">
            <v>T29</v>
          </cell>
        </row>
        <row r="239">
          <cell r="G239" t="str">
            <v>T29</v>
          </cell>
        </row>
        <row r="240">
          <cell r="G240" t="str">
            <v>T29</v>
          </cell>
        </row>
        <row r="241">
          <cell r="G241" t="str">
            <v>T9</v>
          </cell>
        </row>
        <row r="242">
          <cell r="G242" t="str">
            <v>T9</v>
          </cell>
        </row>
        <row r="243">
          <cell r="G243" t="str">
            <v>T31</v>
          </cell>
        </row>
        <row r="244">
          <cell r="G244" t="str">
            <v>TWO TRIALS</v>
          </cell>
        </row>
        <row r="245">
          <cell r="G245" t="str">
            <v>T31</v>
          </cell>
        </row>
        <row r="246">
          <cell r="G246" t="str">
            <v>T31</v>
          </cell>
        </row>
        <row r="247">
          <cell r="G247" t="str">
            <v>Nest21</v>
          </cell>
        </row>
        <row r="248">
          <cell r="G248" t="str">
            <v>Nest21</v>
          </cell>
        </row>
        <row r="249">
          <cell r="G249" t="str">
            <v>Nest21</v>
          </cell>
        </row>
        <row r="250">
          <cell r="G250" t="str">
            <v>Nest21</v>
          </cell>
        </row>
        <row r="251">
          <cell r="G251" t="str">
            <v>Nest21</v>
          </cell>
        </row>
        <row r="252">
          <cell r="G252" t="str">
            <v>Nest21</v>
          </cell>
        </row>
        <row r="253">
          <cell r="G253" t="str">
            <v>Nest21</v>
          </cell>
        </row>
        <row r="254">
          <cell r="G254" t="str">
            <v>Nest8</v>
          </cell>
        </row>
        <row r="255">
          <cell r="G255" t="str">
            <v>Nest8</v>
          </cell>
        </row>
        <row r="256">
          <cell r="G256" t="str">
            <v>Nest8</v>
          </cell>
        </row>
        <row r="257">
          <cell r="G257" t="str">
            <v>Z1</v>
          </cell>
        </row>
        <row r="258">
          <cell r="G258" t="str">
            <v>Z1</v>
          </cell>
        </row>
        <row r="259">
          <cell r="G259" t="str">
            <v>Z1</v>
          </cell>
        </row>
        <row r="260">
          <cell r="G260" t="str">
            <v>Z1</v>
          </cell>
        </row>
        <row r="261">
          <cell r="G261" t="str">
            <v>Z10</v>
          </cell>
        </row>
        <row r="262">
          <cell r="G262" t="str">
            <v>Z10</v>
          </cell>
        </row>
        <row r="263">
          <cell r="G263" t="str">
            <v>Z10</v>
          </cell>
        </row>
        <row r="264">
          <cell r="G264" t="str">
            <v>Z14</v>
          </cell>
        </row>
        <row r="265">
          <cell r="G265" t="str">
            <v>TWO TRIALS</v>
          </cell>
        </row>
        <row r="266">
          <cell r="G266" t="str">
            <v>Z14</v>
          </cell>
        </row>
        <row r="267">
          <cell r="G267" t="str">
            <v>Z14</v>
          </cell>
        </row>
        <row r="268">
          <cell r="G268" t="str">
            <v>Z14</v>
          </cell>
        </row>
        <row r="269">
          <cell r="G269" t="str">
            <v>Z14</v>
          </cell>
        </row>
        <row r="270">
          <cell r="G270" t="str">
            <v>Z14</v>
          </cell>
        </row>
        <row r="271">
          <cell r="G271" t="str">
            <v>Z13</v>
          </cell>
        </row>
        <row r="272">
          <cell r="G272" t="str">
            <v>Z13</v>
          </cell>
        </row>
        <row r="273">
          <cell r="G273" t="str">
            <v>Z2</v>
          </cell>
        </row>
        <row r="274">
          <cell r="G274" t="str">
            <v>Z2</v>
          </cell>
        </row>
        <row r="275">
          <cell r="G275" t="str">
            <v>Z3</v>
          </cell>
        </row>
        <row r="276">
          <cell r="G276" t="str">
            <v>Z3</v>
          </cell>
        </row>
        <row r="277">
          <cell r="G277" t="str">
            <v>Z3</v>
          </cell>
        </row>
        <row r="278">
          <cell r="G278" t="str">
            <v>Z3</v>
          </cell>
        </row>
        <row r="279">
          <cell r="G279" t="str">
            <v>Z10</v>
          </cell>
        </row>
        <row r="280">
          <cell r="G280" t="str">
            <v>Z14</v>
          </cell>
        </row>
        <row r="281">
          <cell r="G281" t="str">
            <v>THREE TRIALS</v>
          </cell>
        </row>
        <row r="282">
          <cell r="G282" t="str">
            <v>Z4</v>
          </cell>
        </row>
        <row r="283">
          <cell r="G283" t="str">
            <v>Z4</v>
          </cell>
        </row>
        <row r="284">
          <cell r="G284" t="str">
            <v>Z4</v>
          </cell>
        </row>
        <row r="285">
          <cell r="G285" t="str">
            <v>Z4</v>
          </cell>
        </row>
        <row r="286">
          <cell r="G286" t="str">
            <v>Z4</v>
          </cell>
        </row>
        <row r="287">
          <cell r="G287" t="str">
            <v>Z10</v>
          </cell>
        </row>
        <row r="288">
          <cell r="G288" t="str">
            <v>Z14</v>
          </cell>
        </row>
        <row r="289">
          <cell r="G289" t="str">
            <v>TWO TRIALS</v>
          </cell>
        </row>
        <row r="290">
          <cell r="G290" t="str">
            <v>Z9</v>
          </cell>
        </row>
        <row r="291">
          <cell r="G291" t="str">
            <v>Z9</v>
          </cell>
        </row>
        <row r="292">
          <cell r="G292" t="str">
            <v>Z10</v>
          </cell>
        </row>
        <row r="293">
          <cell r="G293" t="str">
            <v>Z14</v>
          </cell>
        </row>
        <row r="294">
          <cell r="G294" t="str">
            <v>TWO TRIALS</v>
          </cell>
        </row>
      </sheetData>
      <sheetData sheetId="10">
        <row r="1">
          <cell r="B1" t="str">
            <v>NestID</v>
          </cell>
          <cell r="C1" t="str">
            <v>Country</v>
          </cell>
          <cell r="D1" t="str">
            <v>Batch</v>
          </cell>
          <cell r="E1" t="str">
            <v>General_location</v>
          </cell>
          <cell r="F1" t="str">
            <v>Prize</v>
          </cell>
          <cell r="G1" t="str">
            <v>Control</v>
          </cell>
          <cell r="H1" t="str">
            <v>Orphan_installation_date_and_time</v>
          </cell>
          <cell r="I1" t="str">
            <v>Prize_source</v>
          </cell>
          <cell r="J1" t="str">
            <v>Control_source</v>
          </cell>
          <cell r="K1" t="str">
            <v>Prize_orphaning_date</v>
          </cell>
          <cell r="L1" t="str">
            <v>Control_orphaning_date</v>
          </cell>
          <cell r="M1" t="str">
            <v>Focal_pupa_distance</v>
          </cell>
          <cell r="N1" t="str">
            <v>Focal_control_distance</v>
          </cell>
          <cell r="O1" t="str">
            <v>Wasps_captured_date</v>
          </cell>
          <cell r="P1" t="str">
            <v>Prize_brood_map_date</v>
          </cell>
          <cell r="Q1" t="str">
            <v>Prize_brood_map_tyle</v>
          </cell>
          <cell r="R1" t="str">
            <v>Prize_pupae</v>
          </cell>
          <cell r="S1" t="str">
            <v>Prize_large</v>
          </cell>
          <cell r="T1" t="str">
            <v>Prize_medium</v>
          </cell>
          <cell r="U1" t="str">
            <v>Prize_small</v>
          </cell>
          <cell r="V1" t="str">
            <v>Prize_eggs</v>
          </cell>
          <cell r="W1" t="str">
            <v>Prize_notes</v>
          </cell>
          <cell r="X1" t="str">
            <v>Control_brood_map_date</v>
          </cell>
        </row>
        <row r="2">
          <cell r="B2" t="str">
            <v>Nest8</v>
          </cell>
          <cell r="C2" t="str">
            <v>Cameroon</v>
          </cell>
          <cell r="D2" t="str">
            <v>Batch 1</v>
          </cell>
          <cell r="E2" t="str">
            <v>University of Yaounde 1 (Central Cameroon)</v>
          </cell>
          <cell r="F2" t="str">
            <v>Unmarked 6 from Building C</v>
          </cell>
          <cell r="G2" t="str">
            <v>Unmarked 5 from Building C</v>
          </cell>
          <cell r="H2">
            <v>44277.670138888891</v>
          </cell>
          <cell r="I2" t="str">
            <v>C</v>
          </cell>
          <cell r="J2" t="str">
            <v>C</v>
          </cell>
          <cell r="O2">
            <v>44292</v>
          </cell>
          <cell r="P2">
            <v>44277</v>
          </cell>
          <cell r="Q2" t="str">
            <v>Direct</v>
          </cell>
          <cell r="R2">
            <v>3</v>
          </cell>
          <cell r="S2">
            <v>4</v>
          </cell>
          <cell r="T2">
            <v>1</v>
          </cell>
          <cell r="U2">
            <v>6</v>
          </cell>
          <cell r="V2">
            <v>11</v>
          </cell>
          <cell r="X2">
            <v>44277</v>
          </cell>
        </row>
        <row r="3">
          <cell r="B3" t="str">
            <v>Nest21</v>
          </cell>
          <cell r="C3" t="str">
            <v>Cameroon</v>
          </cell>
          <cell r="D3" t="str">
            <v>Batch 1</v>
          </cell>
          <cell r="E3" t="str">
            <v>University of Yaounde 1 (Central Cameroon)</v>
          </cell>
          <cell r="F3" t="str">
            <v>Unmarked 4 from Building C</v>
          </cell>
          <cell r="G3" t="str">
            <v>Unmarked 3 from Building C</v>
          </cell>
          <cell r="H3">
            <v>44277.666666666664</v>
          </cell>
          <cell r="I3" t="str">
            <v>C</v>
          </cell>
          <cell r="J3" t="str">
            <v>C</v>
          </cell>
          <cell r="O3">
            <v>44292</v>
          </cell>
          <cell r="P3">
            <v>44277</v>
          </cell>
          <cell r="Q3" t="str">
            <v>Direct</v>
          </cell>
          <cell r="R3">
            <v>4</v>
          </cell>
          <cell r="S3">
            <v>3</v>
          </cell>
          <cell r="T3">
            <v>0</v>
          </cell>
          <cell r="U3">
            <v>2</v>
          </cell>
          <cell r="V3">
            <v>21</v>
          </cell>
          <cell r="X3">
            <v>44277</v>
          </cell>
        </row>
        <row r="4">
          <cell r="B4" t="str">
            <v>A3-1</v>
          </cell>
          <cell r="C4" t="str">
            <v>Cameroon</v>
          </cell>
          <cell r="D4" t="str">
            <v>Batch 1</v>
          </cell>
          <cell r="E4" t="str">
            <v>University of Yaounde 1 (Central Cameroon)</v>
          </cell>
          <cell r="F4" t="str">
            <v>Unmarked 1 from Building C</v>
          </cell>
          <cell r="G4">
            <v>7</v>
          </cell>
          <cell r="H4">
            <v>44277.666666666664</v>
          </cell>
          <cell r="I4" t="str">
            <v>C</v>
          </cell>
          <cell r="J4" t="str">
            <v>Animalerie</v>
          </cell>
          <cell r="L4" t="str">
            <v>22/03/2021 Afternoon</v>
          </cell>
          <cell r="M4">
            <v>5</v>
          </cell>
          <cell r="N4">
            <v>5</v>
          </cell>
          <cell r="O4">
            <v>44292</v>
          </cell>
          <cell r="P4">
            <v>44277</v>
          </cell>
          <cell r="Q4" t="str">
            <v>Direct</v>
          </cell>
          <cell r="R4">
            <v>7</v>
          </cell>
          <cell r="S4">
            <v>3</v>
          </cell>
          <cell r="T4">
            <v>10</v>
          </cell>
          <cell r="U4">
            <v>12</v>
          </cell>
          <cell r="V4">
            <v>48</v>
          </cell>
          <cell r="X4">
            <v>44277</v>
          </cell>
        </row>
        <row r="5">
          <cell r="B5" t="str">
            <v>A4-17</v>
          </cell>
          <cell r="C5" t="str">
            <v>Cameroon</v>
          </cell>
          <cell r="D5" t="str">
            <v>Batch 1</v>
          </cell>
          <cell r="E5" t="str">
            <v>University of Yaounde 1 (Central Cameroon)</v>
          </cell>
          <cell r="F5" t="str">
            <v>Unmarked 2 from Building C</v>
          </cell>
          <cell r="G5">
            <v>10</v>
          </cell>
          <cell r="H5">
            <v>44277.663194444445</v>
          </cell>
          <cell r="I5" t="str">
            <v>C</v>
          </cell>
          <cell r="J5" t="str">
            <v>Animalerie</v>
          </cell>
          <cell r="L5" t="str">
            <v>22/03/2021 Afternoon</v>
          </cell>
          <cell r="M5">
            <v>5</v>
          </cell>
          <cell r="N5">
            <v>5</v>
          </cell>
          <cell r="O5">
            <v>44292</v>
          </cell>
          <cell r="P5">
            <v>44277</v>
          </cell>
          <cell r="Q5" t="str">
            <v>Direct</v>
          </cell>
          <cell r="R5">
            <v>5</v>
          </cell>
          <cell r="S5">
            <v>7</v>
          </cell>
          <cell r="T5">
            <v>4</v>
          </cell>
          <cell r="U5">
            <v>3</v>
          </cell>
          <cell r="V5">
            <v>19</v>
          </cell>
          <cell r="X5">
            <v>44277</v>
          </cell>
        </row>
        <row r="6">
          <cell r="B6" t="str">
            <v>C1-11</v>
          </cell>
          <cell r="C6" t="str">
            <v>Cameroon</v>
          </cell>
          <cell r="D6" t="str">
            <v>Batch 1</v>
          </cell>
          <cell r="E6" t="str">
            <v>University of Yaounde 1 (Central Cameroon)</v>
          </cell>
          <cell r="F6">
            <v>22</v>
          </cell>
          <cell r="G6">
            <v>38</v>
          </cell>
          <cell r="H6">
            <v>44277.628472222219</v>
          </cell>
          <cell r="I6" t="str">
            <v>Animalerie</v>
          </cell>
          <cell r="J6" t="str">
            <v>Animalerie</v>
          </cell>
          <cell r="K6" t="str">
            <v>22/03/2021 Afternoon</v>
          </cell>
          <cell r="L6" t="str">
            <v>22/03/2021 Afternoon</v>
          </cell>
          <cell r="M6">
            <v>5</v>
          </cell>
          <cell r="N6">
            <v>6</v>
          </cell>
          <cell r="O6">
            <v>44292</v>
          </cell>
          <cell r="P6">
            <v>44277</v>
          </cell>
          <cell r="Q6" t="str">
            <v>Direct</v>
          </cell>
          <cell r="R6">
            <v>2</v>
          </cell>
          <cell r="S6">
            <v>0</v>
          </cell>
          <cell r="T6">
            <v>6</v>
          </cell>
          <cell r="U6">
            <v>0</v>
          </cell>
          <cell r="V6">
            <v>15</v>
          </cell>
          <cell r="W6" t="str">
            <v>"15 eggs, 6 medium larvae, 2 pupae"</v>
          </cell>
          <cell r="X6">
            <v>44277</v>
          </cell>
        </row>
        <row r="7">
          <cell r="B7" t="str">
            <v>C2-1</v>
          </cell>
          <cell r="C7" t="str">
            <v>Cameroon</v>
          </cell>
          <cell r="D7" t="str">
            <v>Batch 1</v>
          </cell>
          <cell r="E7" t="str">
            <v>University of Yaounde 1 (Central Cameroon)</v>
          </cell>
          <cell r="F7" t="str">
            <v>A4-13</v>
          </cell>
          <cell r="G7">
            <v>20</v>
          </cell>
          <cell r="H7">
            <v>44277.635416666664</v>
          </cell>
          <cell r="I7" t="str">
            <v>A</v>
          </cell>
          <cell r="J7" t="str">
            <v>Animalerie</v>
          </cell>
          <cell r="K7" t="str">
            <v>22/03/2021 Afternoon</v>
          </cell>
          <cell r="L7" t="str">
            <v>22/03/2021 Afternoon</v>
          </cell>
          <cell r="M7">
            <v>5.5</v>
          </cell>
          <cell r="N7">
            <v>6</v>
          </cell>
          <cell r="O7">
            <v>44292</v>
          </cell>
          <cell r="P7">
            <v>44277</v>
          </cell>
          <cell r="Q7" t="str">
            <v>Direct</v>
          </cell>
          <cell r="R7">
            <v>4</v>
          </cell>
          <cell r="S7">
            <v>0</v>
          </cell>
          <cell r="T7">
            <v>10</v>
          </cell>
          <cell r="U7">
            <v>0</v>
          </cell>
          <cell r="V7">
            <v>20</v>
          </cell>
          <cell r="W7" t="str">
            <v>"3 empty, 4 pupae, 20 eggs, 10 medium larvae"</v>
          </cell>
          <cell r="X7">
            <v>44277</v>
          </cell>
        </row>
        <row r="8">
          <cell r="B8" t="str">
            <v>C2-3</v>
          </cell>
          <cell r="C8" t="str">
            <v>Cameroon</v>
          </cell>
          <cell r="D8" t="str">
            <v>Batch 1</v>
          </cell>
          <cell r="E8" t="str">
            <v>University of Yaounde 1 (Central Cameroon)</v>
          </cell>
          <cell r="F8" t="str">
            <v>A4-14</v>
          </cell>
          <cell r="G8">
            <v>27</v>
          </cell>
          <cell r="H8">
            <v>44277.638888888891</v>
          </cell>
          <cell r="I8" t="str">
            <v>A</v>
          </cell>
          <cell r="J8" t="str">
            <v>Animalerie</v>
          </cell>
          <cell r="K8" t="str">
            <v>22/03/2021 Afternoon</v>
          </cell>
          <cell r="L8" t="str">
            <v>22/03/2021 Afternoon</v>
          </cell>
          <cell r="M8">
            <v>5</v>
          </cell>
          <cell r="N8">
            <v>5</v>
          </cell>
          <cell r="O8">
            <v>44292</v>
          </cell>
          <cell r="P8">
            <v>44277</v>
          </cell>
          <cell r="Q8" t="str">
            <v>Direct</v>
          </cell>
          <cell r="R8">
            <v>2</v>
          </cell>
          <cell r="S8">
            <v>4</v>
          </cell>
          <cell r="T8">
            <v>10</v>
          </cell>
          <cell r="U8">
            <v>0</v>
          </cell>
          <cell r="V8">
            <v>15</v>
          </cell>
          <cell r="W8" t="str">
            <v>"2 pupae, 4 large larvae, 10 medium/small, 15 eggs". Have therefore entered the 10 medium/small larvae under 'medium'.</v>
          </cell>
          <cell r="X8">
            <v>44277</v>
          </cell>
        </row>
        <row r="9">
          <cell r="B9" t="str">
            <v>C2-5</v>
          </cell>
          <cell r="C9" t="str">
            <v>Cameroon</v>
          </cell>
          <cell r="D9" t="str">
            <v>Batch 1</v>
          </cell>
          <cell r="E9" t="str">
            <v>University of Yaounde 1 (Central Cameroon)</v>
          </cell>
          <cell r="F9" t="str">
            <v>A4-12</v>
          </cell>
          <cell r="G9">
            <v>1</v>
          </cell>
          <cell r="H9">
            <v>44277.642361111109</v>
          </cell>
          <cell r="I9" t="str">
            <v>A</v>
          </cell>
          <cell r="J9" t="str">
            <v>Animalerie</v>
          </cell>
          <cell r="K9" t="str">
            <v>22/03/2021 Afternoon</v>
          </cell>
          <cell r="L9" t="str">
            <v>22/03/2021 Afternoon</v>
          </cell>
          <cell r="M9">
            <v>8</v>
          </cell>
          <cell r="N9">
            <v>7</v>
          </cell>
          <cell r="O9">
            <v>44292</v>
          </cell>
          <cell r="P9">
            <v>44277</v>
          </cell>
          <cell r="Q9" t="str">
            <v>Direct</v>
          </cell>
          <cell r="R9">
            <v>6</v>
          </cell>
          <cell r="S9">
            <v>3</v>
          </cell>
          <cell r="T9">
            <v>15</v>
          </cell>
          <cell r="U9">
            <v>0</v>
          </cell>
          <cell r="V9">
            <v>13</v>
          </cell>
          <cell r="W9" t="str">
            <v>"6 pupae, 3 large larvae, 5 medium/small, 13 eggs." Have therefore entered the 5 medium/small larvae under 'medium'.</v>
          </cell>
          <cell r="X9">
            <v>44277</v>
          </cell>
        </row>
        <row r="10">
          <cell r="B10" t="str">
            <v>C2-13</v>
          </cell>
          <cell r="C10" t="str">
            <v>Cameroon</v>
          </cell>
          <cell r="D10" t="str">
            <v>Batch 1</v>
          </cell>
          <cell r="E10" t="str">
            <v>University of Yaounde 1 (Central Cameroon)</v>
          </cell>
          <cell r="F10" t="str">
            <v>A5-4</v>
          </cell>
          <cell r="G10">
            <v>39</v>
          </cell>
          <cell r="H10">
            <v>44277.645833333336</v>
          </cell>
          <cell r="I10" t="str">
            <v>A</v>
          </cell>
          <cell r="J10" t="str">
            <v>Animalerie</v>
          </cell>
          <cell r="K10" t="str">
            <v>22/03/2021 Afternoon</v>
          </cell>
          <cell r="L10" t="str">
            <v>22/03/2021 Afternoon</v>
          </cell>
          <cell r="M10">
            <v>5</v>
          </cell>
          <cell r="N10">
            <v>5</v>
          </cell>
          <cell r="O10">
            <v>44292</v>
          </cell>
          <cell r="P10">
            <v>44277</v>
          </cell>
          <cell r="Q10" t="str">
            <v>Direct</v>
          </cell>
          <cell r="R10">
            <v>3</v>
          </cell>
          <cell r="S10">
            <v>3</v>
          </cell>
          <cell r="T10">
            <v>3</v>
          </cell>
          <cell r="U10">
            <v>0</v>
          </cell>
          <cell r="V10">
            <v>9</v>
          </cell>
          <cell r="W10" t="str">
            <v>"3 pupae, 3 large, 3 medium/small, 9 eggs." Have therefore entered the 3 medium/small larvae under 'medium'.</v>
          </cell>
          <cell r="X10">
            <v>44277</v>
          </cell>
        </row>
        <row r="11">
          <cell r="B11" t="str">
            <v>A2-7</v>
          </cell>
          <cell r="C11" t="str">
            <v>Cameroon</v>
          </cell>
          <cell r="D11" t="str">
            <v>Batch 2</v>
          </cell>
          <cell r="E11" t="str">
            <v>University of Yaounde 1 (Central Cameroon)</v>
          </cell>
          <cell r="F11" t="str">
            <v>E1-32</v>
          </cell>
          <cell r="G11" t="str">
            <v>E1-15</v>
          </cell>
          <cell r="H11">
            <v>44280.670138888891</v>
          </cell>
          <cell r="I11" t="str">
            <v>E</v>
          </cell>
          <cell r="J11" t="str">
            <v>E</v>
          </cell>
          <cell r="M11">
            <v>7.5</v>
          </cell>
          <cell r="N11">
            <v>6</v>
          </cell>
          <cell r="O11">
            <v>44294</v>
          </cell>
          <cell r="P11">
            <v>44284</v>
          </cell>
          <cell r="Q11" t="str">
            <v>Photo</v>
          </cell>
          <cell r="R11">
            <v>2</v>
          </cell>
          <cell r="S11">
            <v>0</v>
          </cell>
          <cell r="T11">
            <v>0</v>
          </cell>
          <cell r="U11">
            <v>1</v>
          </cell>
          <cell r="V11">
            <v>13</v>
          </cell>
          <cell r="X11">
            <v>44284</v>
          </cell>
        </row>
        <row r="12">
          <cell r="B12" t="str">
            <v>A3-7</v>
          </cell>
          <cell r="C12" t="str">
            <v>Cameroon</v>
          </cell>
          <cell r="D12" t="str">
            <v>Batch 2</v>
          </cell>
          <cell r="E12" t="str">
            <v>University of Yaounde 1 (Central Cameroon)</v>
          </cell>
          <cell r="F12" t="str">
            <v>E2-2</v>
          </cell>
          <cell r="G12" t="str">
            <v>E1-1</v>
          </cell>
          <cell r="H12">
            <v>44280.666666666664</v>
          </cell>
          <cell r="I12" t="str">
            <v>E</v>
          </cell>
          <cell r="J12" t="str">
            <v>E</v>
          </cell>
          <cell r="M12">
            <v>7.2</v>
          </cell>
          <cell r="N12">
            <v>7.5</v>
          </cell>
          <cell r="O12">
            <v>44294</v>
          </cell>
          <cell r="P12">
            <v>44280</v>
          </cell>
          <cell r="Q12" t="str">
            <v>Photo</v>
          </cell>
          <cell r="R12">
            <v>1</v>
          </cell>
          <cell r="S12">
            <v>1</v>
          </cell>
          <cell r="T12">
            <v>0</v>
          </cell>
          <cell r="U12">
            <v>3</v>
          </cell>
          <cell r="V12">
            <v>6</v>
          </cell>
        </row>
        <row r="13">
          <cell r="B13" t="str">
            <v>A4-32</v>
          </cell>
          <cell r="C13" t="str">
            <v>Cameroon</v>
          </cell>
          <cell r="D13" t="str">
            <v>Batch 2</v>
          </cell>
          <cell r="E13" t="str">
            <v>University of Yaounde 1 (Central Cameroon)</v>
          </cell>
          <cell r="F13" t="str">
            <v>E2-3</v>
          </cell>
          <cell r="G13" t="str">
            <v>E1-16</v>
          </cell>
          <cell r="H13">
            <v>44280.671527777777</v>
          </cell>
          <cell r="I13" t="str">
            <v>E</v>
          </cell>
          <cell r="J13" t="str">
            <v>E</v>
          </cell>
          <cell r="M13">
            <v>7</v>
          </cell>
          <cell r="N13">
            <v>7</v>
          </cell>
          <cell r="O13">
            <v>44294</v>
          </cell>
          <cell r="P13">
            <v>44280</v>
          </cell>
          <cell r="Q13" t="str">
            <v>Photo</v>
          </cell>
          <cell r="R13">
            <v>1</v>
          </cell>
          <cell r="S13">
            <v>6</v>
          </cell>
          <cell r="T13">
            <v>3</v>
          </cell>
          <cell r="U13">
            <v>4</v>
          </cell>
          <cell r="V13">
            <v>21</v>
          </cell>
        </row>
        <row r="14">
          <cell r="B14" t="str">
            <v>A4-35</v>
          </cell>
          <cell r="C14" t="str">
            <v>Cameroon</v>
          </cell>
          <cell r="D14" t="str">
            <v>Batch 2</v>
          </cell>
          <cell r="E14" t="str">
            <v>University of Yaounde 1 (Central Cameroon)</v>
          </cell>
          <cell r="F14" t="str">
            <v>E3-1</v>
          </cell>
          <cell r="G14" t="str">
            <v>E1-22</v>
          </cell>
          <cell r="H14">
            <v>44280.677083333336</v>
          </cell>
          <cell r="I14" t="str">
            <v>E</v>
          </cell>
          <cell r="J14" t="str">
            <v>E</v>
          </cell>
          <cell r="M14">
            <v>8.5</v>
          </cell>
          <cell r="N14">
            <v>8.5</v>
          </cell>
          <cell r="O14">
            <v>44294</v>
          </cell>
          <cell r="P14">
            <v>44280</v>
          </cell>
          <cell r="Q14" t="str">
            <v>Photo</v>
          </cell>
          <cell r="R14">
            <v>1</v>
          </cell>
          <cell r="S14">
            <v>1</v>
          </cell>
          <cell r="T14">
            <v>1</v>
          </cell>
          <cell r="U14">
            <v>4</v>
          </cell>
          <cell r="V14">
            <v>8</v>
          </cell>
        </row>
        <row r="15">
          <cell r="B15" t="str">
            <v>A5-7</v>
          </cell>
          <cell r="C15" t="str">
            <v>Cameroon</v>
          </cell>
          <cell r="D15" t="str">
            <v>Batch 2</v>
          </cell>
          <cell r="E15" t="str">
            <v>University of Yaounde 1 (Central Cameroon)</v>
          </cell>
          <cell r="F15" t="str">
            <v>C2-999</v>
          </cell>
          <cell r="G15" t="str">
            <v>E1-18</v>
          </cell>
          <cell r="H15">
            <v>44280.680555555555</v>
          </cell>
          <cell r="I15" t="str">
            <v>C</v>
          </cell>
          <cell r="J15" t="str">
            <v>E</v>
          </cell>
          <cell r="K15" t="str">
            <v>Morning of 26th March</v>
          </cell>
          <cell r="M15">
            <v>6.5</v>
          </cell>
          <cell r="N15">
            <v>7.5</v>
          </cell>
          <cell r="O15">
            <v>44294</v>
          </cell>
          <cell r="P15">
            <v>44281</v>
          </cell>
          <cell r="Q15" t="str">
            <v>Direct</v>
          </cell>
          <cell r="R15">
            <v>2</v>
          </cell>
          <cell r="S15">
            <v>1</v>
          </cell>
          <cell r="T15">
            <v>0</v>
          </cell>
          <cell r="U15">
            <v>0</v>
          </cell>
          <cell r="V15">
            <v>4</v>
          </cell>
        </row>
        <row r="16">
          <cell r="B16" t="str">
            <v>A5-10</v>
          </cell>
          <cell r="C16" t="str">
            <v>Cameroon</v>
          </cell>
          <cell r="D16" t="str">
            <v>Batch 2</v>
          </cell>
          <cell r="E16" t="str">
            <v>University of Yaounde 1 (Central Cameroon)</v>
          </cell>
          <cell r="F16" t="str">
            <v>E1-29</v>
          </cell>
          <cell r="G16" t="str">
            <v>E1-? (the page is torn, leaving only "E1" Should be possible to find out from the photos)</v>
          </cell>
          <cell r="H16">
            <v>44280.664583333331</v>
          </cell>
          <cell r="I16" t="str">
            <v>E</v>
          </cell>
          <cell r="J16" t="str">
            <v>E</v>
          </cell>
          <cell r="M16">
            <v>7</v>
          </cell>
          <cell r="N16">
            <v>5</v>
          </cell>
          <cell r="O16">
            <v>44294</v>
          </cell>
          <cell r="P16">
            <v>44284</v>
          </cell>
          <cell r="Q16" t="str">
            <v>Photo</v>
          </cell>
          <cell r="R16">
            <v>1</v>
          </cell>
          <cell r="S16">
            <v>0</v>
          </cell>
          <cell r="W16" t="str">
            <v>Hard to see beyond pupa</v>
          </cell>
          <cell r="X16">
            <v>44284</v>
          </cell>
        </row>
        <row r="17">
          <cell r="B17" t="str">
            <v>C1-7</v>
          </cell>
          <cell r="C17" t="str">
            <v>Cameroon</v>
          </cell>
          <cell r="D17" t="str">
            <v>Batch 2</v>
          </cell>
          <cell r="E17" t="str">
            <v>University of Yaounde 1 (Central Cameroon)</v>
          </cell>
          <cell r="F17" t="str">
            <v>E1-30</v>
          </cell>
          <cell r="G17" t="str">
            <v>E1-7</v>
          </cell>
          <cell r="H17">
            <v>44280.6875</v>
          </cell>
          <cell r="I17" t="str">
            <v>E</v>
          </cell>
          <cell r="J17" t="str">
            <v>E</v>
          </cell>
          <cell r="M17">
            <v>8.5</v>
          </cell>
          <cell r="N17">
            <v>7</v>
          </cell>
          <cell r="O17">
            <v>44294</v>
          </cell>
          <cell r="P17">
            <v>44284</v>
          </cell>
          <cell r="Q17" t="str">
            <v>Photo</v>
          </cell>
          <cell r="R17">
            <v>3</v>
          </cell>
          <cell r="S17">
            <v>3</v>
          </cell>
          <cell r="T17">
            <v>2</v>
          </cell>
          <cell r="U17">
            <v>2</v>
          </cell>
          <cell r="V17">
            <v>9</v>
          </cell>
          <cell r="W17" t="str">
            <v>Hard to see egg part of nest</v>
          </cell>
        </row>
        <row r="18">
          <cell r="B18" t="str">
            <v>C2-9</v>
          </cell>
          <cell r="C18" t="str">
            <v>Cameroon</v>
          </cell>
          <cell r="D18" t="str">
            <v>Batch 2</v>
          </cell>
          <cell r="E18" t="str">
            <v>University of Yaounde 1 (Central Cameroon)</v>
          </cell>
          <cell r="F18" t="str">
            <v>E1-31</v>
          </cell>
          <cell r="G18" t="str">
            <v>E1-3</v>
          </cell>
          <cell r="H18">
            <v>44280.6875</v>
          </cell>
          <cell r="I18" t="str">
            <v>E</v>
          </cell>
          <cell r="J18" t="str">
            <v>E</v>
          </cell>
          <cell r="M18">
            <v>6.5</v>
          </cell>
          <cell r="N18">
            <v>8.5</v>
          </cell>
          <cell r="O18">
            <v>44294</v>
          </cell>
          <cell r="P18">
            <v>44284</v>
          </cell>
          <cell r="Q18" t="str">
            <v>Photo</v>
          </cell>
          <cell r="R18">
            <v>2</v>
          </cell>
          <cell r="S18">
            <v>1</v>
          </cell>
          <cell r="T18">
            <v>0</v>
          </cell>
          <cell r="U18">
            <v>2</v>
          </cell>
          <cell r="V18">
            <v>4</v>
          </cell>
          <cell r="W18" t="str">
            <v>Hard to see in the photo</v>
          </cell>
          <cell r="X18">
            <v>44284</v>
          </cell>
        </row>
        <row r="19">
          <cell r="B19" t="str">
            <v>C2-16</v>
          </cell>
          <cell r="C19" t="str">
            <v>Cameroon</v>
          </cell>
          <cell r="D19" t="str">
            <v>Batch 2</v>
          </cell>
          <cell r="E19" t="str">
            <v>University of Yaounde 1 (Central Cameroon)</v>
          </cell>
          <cell r="F19" t="str">
            <v>E1-28</v>
          </cell>
          <cell r="G19" t="str">
            <v>E1-33</v>
          </cell>
          <cell r="H19">
            <v>44280.6875</v>
          </cell>
          <cell r="I19" t="str">
            <v>E</v>
          </cell>
          <cell r="J19" t="str">
            <v>E</v>
          </cell>
          <cell r="M19">
            <v>8</v>
          </cell>
          <cell r="N19">
            <v>7</v>
          </cell>
          <cell r="O19">
            <v>44294</v>
          </cell>
          <cell r="P19">
            <v>44280</v>
          </cell>
          <cell r="Q19" t="str">
            <v>Photo</v>
          </cell>
          <cell r="R19">
            <v>1</v>
          </cell>
          <cell r="S19">
            <v>1</v>
          </cell>
          <cell r="T19">
            <v>5</v>
          </cell>
          <cell r="U19">
            <v>0</v>
          </cell>
          <cell r="V19">
            <v>11</v>
          </cell>
          <cell r="X19">
            <v>44280</v>
          </cell>
        </row>
        <row r="20">
          <cell r="B20" t="str">
            <v>E1-35</v>
          </cell>
          <cell r="C20" t="str">
            <v>Cameroon</v>
          </cell>
          <cell r="D20" t="str">
            <v>Batch 3</v>
          </cell>
          <cell r="E20" t="str">
            <v>University of Yaounde 1 (Central Cameroon)</v>
          </cell>
          <cell r="F20" t="str">
            <v>[DEPT GEO]</v>
          </cell>
          <cell r="G20" t="str">
            <v>[T MESSA]</v>
          </cell>
          <cell r="H20">
            <v>44284.684027777781</v>
          </cell>
          <cell r="I20" t="str">
            <v>Department of Geography</v>
          </cell>
          <cell r="J20" t="str">
            <v>Messa</v>
          </cell>
          <cell r="M20">
            <v>7</v>
          </cell>
          <cell r="N20">
            <v>6.5</v>
          </cell>
          <cell r="P20">
            <v>44284</v>
          </cell>
          <cell r="Q20" t="str">
            <v>Photo</v>
          </cell>
          <cell r="R20">
            <v>1</v>
          </cell>
          <cell r="S20">
            <v>0</v>
          </cell>
          <cell r="T20">
            <v>0</v>
          </cell>
          <cell r="U20">
            <v>3</v>
          </cell>
          <cell r="V20">
            <v>16</v>
          </cell>
          <cell r="X20">
            <v>44284</v>
          </cell>
        </row>
        <row r="21">
          <cell r="B21" t="str">
            <v>E1-10</v>
          </cell>
          <cell r="C21" t="str">
            <v>Cameroon</v>
          </cell>
          <cell r="D21" t="str">
            <v>Batch 3</v>
          </cell>
          <cell r="E21" t="str">
            <v>University of Yaounde 1 (Central Cameroon)</v>
          </cell>
          <cell r="F21" t="str">
            <v>[DEPT GEO]</v>
          </cell>
          <cell r="G21" t="str">
            <v>[T MESSA]</v>
          </cell>
          <cell r="H21">
            <v>44284.690972222219</v>
          </cell>
          <cell r="I21" t="str">
            <v>Department of Geography</v>
          </cell>
          <cell r="J21" t="str">
            <v>Messa</v>
          </cell>
          <cell r="M21">
            <v>8</v>
          </cell>
          <cell r="N21">
            <v>6.5</v>
          </cell>
          <cell r="P21">
            <v>44284</v>
          </cell>
          <cell r="Q21" t="str">
            <v>Photo</v>
          </cell>
          <cell r="R21">
            <v>1</v>
          </cell>
          <cell r="S21">
            <v>1</v>
          </cell>
          <cell r="T21">
            <v>0</v>
          </cell>
          <cell r="U21">
            <v>0</v>
          </cell>
          <cell r="V21">
            <v>1</v>
          </cell>
          <cell r="X21">
            <v>44284</v>
          </cell>
        </row>
        <row r="22">
          <cell r="B22" t="str">
            <v>E3-4</v>
          </cell>
          <cell r="C22" t="str">
            <v>Cameroon</v>
          </cell>
          <cell r="D22" t="str">
            <v>Batch 3</v>
          </cell>
          <cell r="E22" t="str">
            <v>University of Yaounde 1 (Central Cameroon)</v>
          </cell>
          <cell r="F22" t="str">
            <v>[MESSA]</v>
          </cell>
          <cell r="G22" t="str">
            <v>[DEPT GEO: "nid Departement de Geo * (3), pupa coupé"]</v>
          </cell>
          <cell r="H22">
            <v>44284.694444444445</v>
          </cell>
          <cell r="I22" t="str">
            <v>Messa</v>
          </cell>
          <cell r="J22" t="str">
            <v>Department of Geography</v>
          </cell>
          <cell r="M22">
            <v>9</v>
          </cell>
          <cell r="N22">
            <v>8</v>
          </cell>
          <cell r="P22">
            <v>44284</v>
          </cell>
          <cell r="Q22" t="str">
            <v>Photo</v>
          </cell>
          <cell r="R22">
            <v>4</v>
          </cell>
          <cell r="S22">
            <v>2</v>
          </cell>
          <cell r="T22">
            <v>3</v>
          </cell>
          <cell r="U22">
            <v>2</v>
          </cell>
          <cell r="V22">
            <v>11</v>
          </cell>
          <cell r="X22">
            <v>44284</v>
          </cell>
        </row>
        <row r="23">
          <cell r="B23" t="str">
            <v>E3-3</v>
          </cell>
          <cell r="C23" t="str">
            <v>Cameroon</v>
          </cell>
          <cell r="D23" t="str">
            <v>Batch 3</v>
          </cell>
          <cell r="E23" t="str">
            <v>University of Yaounde 1 (Central Cameroon)</v>
          </cell>
          <cell r="F23" t="str">
            <v>[MESSA]</v>
          </cell>
          <cell r="G23" t="str">
            <v>[MESSA]</v>
          </cell>
          <cell r="H23">
            <v>44284.697916666664</v>
          </cell>
          <cell r="I23" t="str">
            <v>Messa</v>
          </cell>
          <cell r="J23" t="str">
            <v>Messa</v>
          </cell>
          <cell r="M23">
            <v>8</v>
          </cell>
          <cell r="N23">
            <v>7.5</v>
          </cell>
          <cell r="P23">
            <v>44284</v>
          </cell>
          <cell r="Q23" t="str">
            <v>Photo</v>
          </cell>
          <cell r="R23">
            <v>2</v>
          </cell>
          <cell r="S23">
            <v>1</v>
          </cell>
          <cell r="T23">
            <v>0</v>
          </cell>
          <cell r="U23">
            <v>0</v>
          </cell>
          <cell r="V23">
            <v>0</v>
          </cell>
          <cell r="X23">
            <v>44284</v>
          </cell>
        </row>
        <row r="24">
          <cell r="B24" t="str">
            <v>E3-8</v>
          </cell>
          <cell r="C24" t="str">
            <v>Cameroon</v>
          </cell>
          <cell r="D24" t="str">
            <v>Batch 3</v>
          </cell>
          <cell r="E24" t="str">
            <v>University of Yaounde 1 (Central Cameroon)</v>
          </cell>
          <cell r="F24" t="str">
            <v>["Dept Geo, no photo, 2 pupa, 3 large, 2 medium, 2 small, 12 eggs"]</v>
          </cell>
          <cell r="G24" t="str">
            <v>["Messa, 2 eggs, 2 empty"]</v>
          </cell>
          <cell r="H24">
            <v>44284.701388888891</v>
          </cell>
          <cell r="I24" t="str">
            <v>Department of Geography</v>
          </cell>
          <cell r="J24" t="str">
            <v>Messa</v>
          </cell>
          <cell r="M24">
            <v>8</v>
          </cell>
          <cell r="N24">
            <v>8.5</v>
          </cell>
          <cell r="P24">
            <v>44284</v>
          </cell>
          <cell r="Q24" t="str">
            <v>Direct</v>
          </cell>
          <cell r="R24">
            <v>2</v>
          </cell>
          <cell r="S24">
            <v>3</v>
          </cell>
          <cell r="T24">
            <v>2</v>
          </cell>
          <cell r="U24">
            <v>2</v>
          </cell>
          <cell r="V24">
            <v>12</v>
          </cell>
          <cell r="X24">
            <v>44284</v>
          </cell>
        </row>
        <row r="25">
          <cell r="B25" t="str">
            <v>E3-7</v>
          </cell>
          <cell r="C25" t="str">
            <v>Cameroon</v>
          </cell>
          <cell r="D25" t="str">
            <v>Batch 3</v>
          </cell>
          <cell r="E25" t="str">
            <v>University of Yaounde 1 (Central Cameroon)</v>
          </cell>
          <cell r="F25" t="str">
            <v>["Messa, 2 pupa, 3 large, 3 small, 7 eggs"]</v>
          </cell>
          <cell r="G25" t="str">
            <v>["7 eggs"]</v>
          </cell>
          <cell r="H25">
            <v>44284.704861111109</v>
          </cell>
          <cell r="I25" t="str">
            <v>Messa</v>
          </cell>
          <cell r="J25" t="str">
            <v>Messa (presumed)</v>
          </cell>
          <cell r="M25">
            <v>7.5</v>
          </cell>
          <cell r="N25">
            <v>8.5</v>
          </cell>
          <cell r="P25">
            <v>44284</v>
          </cell>
          <cell r="Q25" t="str">
            <v>Direct</v>
          </cell>
          <cell r="R25">
            <v>2</v>
          </cell>
          <cell r="S25">
            <v>3</v>
          </cell>
          <cell r="T25">
            <v>0</v>
          </cell>
          <cell r="U25">
            <v>3</v>
          </cell>
          <cell r="V25">
            <v>7</v>
          </cell>
          <cell r="X25">
            <v>44284</v>
          </cell>
        </row>
        <row r="26">
          <cell r="B26" t="str">
            <v>E3-12</v>
          </cell>
          <cell r="C26" t="str">
            <v>Cameroon</v>
          </cell>
          <cell r="D26" t="str">
            <v>Batch 3</v>
          </cell>
          <cell r="E26" t="str">
            <v>University of Yaounde 1 (Central Cameroon)</v>
          </cell>
          <cell r="F26" t="str">
            <v>["Dept Geo, 2 pupa, 8 eggs"]</v>
          </cell>
          <cell r="G26" t="str">
            <v>Messa E3</v>
          </cell>
          <cell r="H26">
            <v>44284.708333333336</v>
          </cell>
          <cell r="I26" t="str">
            <v>Department of Geography</v>
          </cell>
          <cell r="J26" t="str">
            <v>Messa</v>
          </cell>
          <cell r="M26">
            <v>7.5</v>
          </cell>
          <cell r="N26">
            <v>7</v>
          </cell>
          <cell r="P26">
            <v>44284</v>
          </cell>
          <cell r="Q26" t="str">
            <v>Direct</v>
          </cell>
          <cell r="R26">
            <v>2</v>
          </cell>
          <cell r="S26">
            <v>0</v>
          </cell>
          <cell r="T26">
            <v>0</v>
          </cell>
          <cell r="U26">
            <v>0</v>
          </cell>
          <cell r="V26">
            <v>8</v>
          </cell>
          <cell r="X26">
            <v>44284</v>
          </cell>
        </row>
        <row r="27">
          <cell r="B27" t="str">
            <v>E3-15</v>
          </cell>
          <cell r="C27" t="str">
            <v>Cameroon</v>
          </cell>
          <cell r="D27" t="str">
            <v>Batch 3</v>
          </cell>
          <cell r="E27" t="str">
            <v>University of Yaounde 1 (Central Cameroon)</v>
          </cell>
          <cell r="F27" t="str">
            <v>Messa T8</v>
          </cell>
          <cell r="G27" t="str">
            <v>["Dept Geo, 4 medium, 11 small, 33 eggs"]</v>
          </cell>
          <cell r="H27">
            <v>44284.711805613428</v>
          </cell>
          <cell r="I27" t="str">
            <v>Messa</v>
          </cell>
          <cell r="J27" t="str">
            <v>Department of Geography</v>
          </cell>
          <cell r="M27">
            <v>8</v>
          </cell>
          <cell r="N27">
            <v>8</v>
          </cell>
          <cell r="P27">
            <v>44284</v>
          </cell>
          <cell r="Q27" t="str">
            <v>Direct</v>
          </cell>
          <cell r="R27">
            <v>1</v>
          </cell>
          <cell r="S27">
            <v>1</v>
          </cell>
          <cell r="T27">
            <v>3</v>
          </cell>
          <cell r="U27">
            <v>0</v>
          </cell>
          <cell r="V27">
            <v>3</v>
          </cell>
          <cell r="X27">
            <v>44284</v>
          </cell>
        </row>
        <row r="28">
          <cell r="B28" t="str">
            <v>E3-14</v>
          </cell>
          <cell r="C28" t="str">
            <v>Cameroon</v>
          </cell>
          <cell r="D28" t="str">
            <v>Batch 3</v>
          </cell>
          <cell r="E28" t="str">
            <v>University of Yaounde 1 (Central Cameroon)</v>
          </cell>
          <cell r="F28" t="str">
            <v>["Messa, 1 pupa, 1 large, 1 medium, 3 small, 3 eggs"]</v>
          </cell>
          <cell r="G28" t="str">
            <v>["Geo, 1 medium, 5 small, 17 eggs"]</v>
          </cell>
          <cell r="H28">
            <v>44284.71527789352</v>
          </cell>
          <cell r="I28" t="str">
            <v>Messa</v>
          </cell>
          <cell r="J28" t="str">
            <v>Department of Geography</v>
          </cell>
          <cell r="M28">
            <v>7.5</v>
          </cell>
          <cell r="N28">
            <v>7.5</v>
          </cell>
          <cell r="P28">
            <v>44284</v>
          </cell>
          <cell r="Q28" t="str">
            <v>Direct</v>
          </cell>
          <cell r="R28">
            <v>1</v>
          </cell>
          <cell r="S28">
            <v>1</v>
          </cell>
          <cell r="T28">
            <v>1</v>
          </cell>
          <cell r="U28">
            <v>3</v>
          </cell>
          <cell r="V28">
            <v>3</v>
          </cell>
          <cell r="X28">
            <v>44284</v>
          </cell>
        </row>
        <row r="29">
          <cell r="B29" t="str">
            <v>C2-19</v>
          </cell>
          <cell r="C29" t="str">
            <v>Cameroon</v>
          </cell>
          <cell r="D29" t="str">
            <v>Batch 4</v>
          </cell>
          <cell r="E29" t="str">
            <v>University of Yaounde 1 (Central Cameroon)</v>
          </cell>
          <cell r="F29" t="str">
            <v>IA-2</v>
          </cell>
          <cell r="G29" t="str">
            <v>IA-8</v>
          </cell>
          <cell r="H29">
            <v>44306.75277777778</v>
          </cell>
          <cell r="I29" t="str">
            <v>Immeuble Academique 2000, University of Yaounde 2, Soa</v>
          </cell>
          <cell r="J29" t="str">
            <v>Immeuble Academique 2000, University of Yaounde 2, Soa</v>
          </cell>
          <cell r="K29">
            <v>44306</v>
          </cell>
          <cell r="L29">
            <v>44306</v>
          </cell>
          <cell r="M29">
            <v>8</v>
          </cell>
          <cell r="N29">
            <v>8</v>
          </cell>
          <cell r="P29">
            <v>44306</v>
          </cell>
          <cell r="Q29" t="str">
            <v>Photo</v>
          </cell>
          <cell r="R29">
            <v>2</v>
          </cell>
          <cell r="S29">
            <v>2</v>
          </cell>
          <cell r="T29">
            <v>1</v>
          </cell>
          <cell r="U29">
            <v>1</v>
          </cell>
          <cell r="V29">
            <v>8</v>
          </cell>
          <cell r="X29">
            <v>44306</v>
          </cell>
        </row>
        <row r="30">
          <cell r="B30" t="str">
            <v>C2-11</v>
          </cell>
          <cell r="C30" t="str">
            <v>Cameroon</v>
          </cell>
          <cell r="D30" t="str">
            <v>Batch 4</v>
          </cell>
          <cell r="E30" t="str">
            <v>University of Yaounde 1 (Central Cameroon)</v>
          </cell>
          <cell r="F30" t="str">
            <v>IA-3</v>
          </cell>
          <cell r="G30" t="str">
            <v>IA-15</v>
          </cell>
          <cell r="H30">
            <v>44306.754861111112</v>
          </cell>
          <cell r="I30" t="str">
            <v>Immeuble Academique 2000, University of Yaounde 2, Soa</v>
          </cell>
          <cell r="J30" t="str">
            <v>Immeuble Academique 2000, University of Yaounde 2, Soa</v>
          </cell>
          <cell r="K30">
            <v>44306</v>
          </cell>
          <cell r="L30">
            <v>44306</v>
          </cell>
          <cell r="M30">
            <v>8</v>
          </cell>
          <cell r="N30">
            <v>8</v>
          </cell>
          <cell r="P30">
            <v>44306</v>
          </cell>
          <cell r="Q30" t="str">
            <v>Photo</v>
          </cell>
          <cell r="R30">
            <v>3</v>
          </cell>
          <cell r="S30">
            <v>3</v>
          </cell>
          <cell r="T30">
            <v>4</v>
          </cell>
          <cell r="U30">
            <v>1</v>
          </cell>
          <cell r="V30">
            <v>12</v>
          </cell>
        </row>
        <row r="31">
          <cell r="B31" t="str">
            <v>C2-21</v>
          </cell>
          <cell r="C31" t="str">
            <v>Cameroon</v>
          </cell>
          <cell r="D31" t="str">
            <v>Batch 4</v>
          </cell>
          <cell r="E31" t="str">
            <v>University of Yaounde 1 (Central Cameroon)</v>
          </cell>
          <cell r="F31" t="str">
            <v>IA-999 (since IA-4 fell off during first night, so trial restarted)</v>
          </cell>
          <cell r="G31" t="str">
            <v>IA-888 (previously IA-14, but removed so that both orphans were replaced for the trial restart)</v>
          </cell>
          <cell r="H31">
            <v>44307.743750000001</v>
          </cell>
          <cell r="I31" t="str">
            <v>Immeuble Academique 2000, University of Yaounde 2, Soa</v>
          </cell>
          <cell r="J31" t="str">
            <v>Immeuble Academique 2000, University of Yaounde 2, Soa</v>
          </cell>
          <cell r="K31">
            <v>44307</v>
          </cell>
          <cell r="L31">
            <v>44307</v>
          </cell>
          <cell r="M31">
            <v>6.5</v>
          </cell>
          <cell r="N31">
            <v>8</v>
          </cell>
          <cell r="P31">
            <v>44307</v>
          </cell>
          <cell r="Q31" t="str">
            <v>Direct</v>
          </cell>
          <cell r="R31">
            <v>2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 t="str">
            <v>IA-999: "Disaster! The pupa nest was damanged in the car after the photos - all larvae/eggs gone. All that is left is two pupae. Still use."</v>
          </cell>
          <cell r="X31">
            <v>44307</v>
          </cell>
        </row>
        <row r="32">
          <cell r="B32" t="str">
            <v>C2-8</v>
          </cell>
          <cell r="C32" t="str">
            <v>Cameroon</v>
          </cell>
          <cell r="D32" t="str">
            <v>Batch 4</v>
          </cell>
          <cell r="E32" t="str">
            <v>University of Yaounde 1 (Central Cameroon)</v>
          </cell>
          <cell r="F32" t="str">
            <v>IA-12</v>
          </cell>
          <cell r="G32" t="str">
            <v>IA-10</v>
          </cell>
          <cell r="H32">
            <v>44306.759722222225</v>
          </cell>
          <cell r="I32" t="str">
            <v>Immeuble Academique 2000, University of Yaounde 2, Soa</v>
          </cell>
          <cell r="J32" t="str">
            <v>Immeuble Academique 2000, University of Yaounde 2, Soa</v>
          </cell>
          <cell r="K32">
            <v>44306</v>
          </cell>
          <cell r="L32">
            <v>44306</v>
          </cell>
          <cell r="M32">
            <v>10</v>
          </cell>
          <cell r="N32">
            <v>7</v>
          </cell>
          <cell r="P32">
            <v>44306</v>
          </cell>
          <cell r="Q32" t="str">
            <v>Photo</v>
          </cell>
          <cell r="R32">
            <v>1</v>
          </cell>
          <cell r="S32">
            <v>2</v>
          </cell>
          <cell r="T32">
            <v>1</v>
          </cell>
          <cell r="U32">
            <v>0</v>
          </cell>
          <cell r="V32">
            <v>7</v>
          </cell>
        </row>
        <row r="33">
          <cell r="B33" t="str">
            <v>C2-12</v>
          </cell>
          <cell r="C33" t="str">
            <v>Cameroon</v>
          </cell>
          <cell r="D33" t="str">
            <v>Batch 4</v>
          </cell>
          <cell r="E33" t="str">
            <v>University of Yaounde 1 (Central Cameroon)</v>
          </cell>
          <cell r="F33" t="str">
            <v>IA-13</v>
          </cell>
          <cell r="G33" t="str">
            <v>IA-6</v>
          </cell>
          <cell r="H33">
            <v>44306.763194444444</v>
          </cell>
          <cell r="I33" t="str">
            <v>Immeuble Academique 2000, University of Yaounde 2, Soa</v>
          </cell>
          <cell r="J33" t="str">
            <v>Immeuble Academique 2000, University of Yaounde 2, Soa</v>
          </cell>
          <cell r="K33">
            <v>44306</v>
          </cell>
          <cell r="L33">
            <v>44306</v>
          </cell>
          <cell r="M33">
            <v>10</v>
          </cell>
          <cell r="N33">
            <v>9</v>
          </cell>
          <cell r="P33">
            <v>44306</v>
          </cell>
          <cell r="Q33" t="str">
            <v>Photo</v>
          </cell>
          <cell r="R33">
            <v>6</v>
          </cell>
          <cell r="S33">
            <v>9</v>
          </cell>
          <cell r="T33">
            <v>7</v>
          </cell>
          <cell r="U33">
            <v>18</v>
          </cell>
          <cell r="V33">
            <v>14</v>
          </cell>
          <cell r="X33">
            <v>44306</v>
          </cell>
        </row>
        <row r="34">
          <cell r="B34" t="str">
            <v>A3-11a</v>
          </cell>
          <cell r="C34" t="str">
            <v>Cameroon</v>
          </cell>
          <cell r="D34" t="str">
            <v>Batch 4</v>
          </cell>
          <cell r="E34" t="str">
            <v>University of Yaounde 1 (Central Cameroon)</v>
          </cell>
          <cell r="F34" t="str">
            <v>IA-14</v>
          </cell>
          <cell r="G34" t="str">
            <v>IA-5</v>
          </cell>
          <cell r="H34">
            <v>44306.765277777777</v>
          </cell>
          <cell r="I34" t="str">
            <v>Immeuble Academique 2000, University of Yaounde 2, Soa</v>
          </cell>
          <cell r="J34" t="str">
            <v>Immeuble Academique 2000, University of Yaounde 2, Soa</v>
          </cell>
          <cell r="K34">
            <v>44306</v>
          </cell>
          <cell r="L34">
            <v>44306</v>
          </cell>
          <cell r="M34">
            <v>8</v>
          </cell>
          <cell r="N34">
            <v>8</v>
          </cell>
          <cell r="P34">
            <v>44306</v>
          </cell>
          <cell r="Q34" t="str">
            <v>Photo</v>
          </cell>
          <cell r="R34">
            <v>4</v>
          </cell>
          <cell r="S34">
            <v>0</v>
          </cell>
          <cell r="T34">
            <v>2</v>
          </cell>
          <cell r="U34">
            <v>4</v>
          </cell>
          <cell r="V34">
            <v>5</v>
          </cell>
        </row>
        <row r="35">
          <cell r="B35" t="str">
            <v>F5</v>
          </cell>
          <cell r="C35" t="str">
            <v>Cameroon</v>
          </cell>
          <cell r="D35" t="str">
            <v>Batch 4</v>
          </cell>
          <cell r="E35" t="str">
            <v>University of Yaounde 1 (Central Cameroon)</v>
          </cell>
          <cell r="F35" t="str">
            <v>IA-17</v>
          </cell>
          <cell r="G35" t="str">
            <v>IA-16</v>
          </cell>
          <cell r="H35">
            <v>44306.736111111109</v>
          </cell>
          <cell r="I35" t="str">
            <v>Immeuble Academique 2000, University of Yaounde 2, Soa</v>
          </cell>
          <cell r="J35" t="str">
            <v>Immeuble Academique 2000, University of Yaounde 2, Soa</v>
          </cell>
          <cell r="K35">
            <v>44306</v>
          </cell>
          <cell r="L35">
            <v>44306</v>
          </cell>
          <cell r="M35">
            <v>8</v>
          </cell>
          <cell r="N35">
            <v>7</v>
          </cell>
          <cell r="P35">
            <v>44309</v>
          </cell>
          <cell r="Q35" t="str">
            <v>Photo</v>
          </cell>
          <cell r="R35">
            <v>4</v>
          </cell>
          <cell r="S35">
            <v>4</v>
          </cell>
          <cell r="T35">
            <v>0</v>
          </cell>
          <cell r="U35">
            <v>1</v>
          </cell>
          <cell r="V35">
            <v>11</v>
          </cell>
          <cell r="X35">
            <v>44309</v>
          </cell>
        </row>
        <row r="36">
          <cell r="B36" t="str">
            <v>C1-12</v>
          </cell>
          <cell r="C36" t="str">
            <v>Cameroon</v>
          </cell>
          <cell r="D36" t="str">
            <v>Batch 4</v>
          </cell>
          <cell r="E36" t="str">
            <v>Soa, University of Yaounde 2 (Central Cameroon)</v>
          </cell>
          <cell r="F36" t="str">
            <v>IA-1</v>
          </cell>
          <cell r="G36" t="str">
            <v>IA-7</v>
          </cell>
          <cell r="H36">
            <v>44306.749305555553</v>
          </cell>
          <cell r="I36" t="str">
            <v>Immeuble Academique 2000, University of Yaounde 2, Soa</v>
          </cell>
          <cell r="J36" t="str">
            <v>Immeuble Academique 2000, University of Yaounde 2, Soa</v>
          </cell>
          <cell r="K36">
            <v>44306</v>
          </cell>
          <cell r="L36">
            <v>44306</v>
          </cell>
          <cell r="M36">
            <v>6.8</v>
          </cell>
          <cell r="N36">
            <v>7.5</v>
          </cell>
          <cell r="P36">
            <v>44306</v>
          </cell>
          <cell r="Q36" t="str">
            <v>Photo</v>
          </cell>
          <cell r="R36">
            <v>5</v>
          </cell>
          <cell r="S36">
            <v>5</v>
          </cell>
          <cell r="T36">
            <v>4</v>
          </cell>
          <cell r="U36">
            <v>13</v>
          </cell>
          <cell r="V36">
            <v>13</v>
          </cell>
        </row>
        <row r="37">
          <cell r="B37" t="str">
            <v>C2-22</v>
          </cell>
          <cell r="C37" t="str">
            <v>Cameroon</v>
          </cell>
          <cell r="D37" t="str">
            <v>Batch 4</v>
          </cell>
          <cell r="E37" t="str">
            <v>Soa, University of Yaounde 2 (Central Cameroon)</v>
          </cell>
          <cell r="F37" t="str">
            <v>IA-11</v>
          </cell>
          <cell r="G37" t="str">
            <v>IA-9</v>
          </cell>
          <cell r="H37">
            <v>44306.758333333331</v>
          </cell>
          <cell r="I37" t="str">
            <v>Immeuble Academique 2000, University of Yaounde 2, Soa</v>
          </cell>
          <cell r="J37" t="str">
            <v>Immeuble Academique 2000, University of Yaounde 2, Soa</v>
          </cell>
          <cell r="K37">
            <v>44306</v>
          </cell>
          <cell r="L37">
            <v>44306</v>
          </cell>
          <cell r="M37">
            <v>9</v>
          </cell>
          <cell r="N37">
            <v>6.5</v>
          </cell>
          <cell r="P37">
            <v>44306</v>
          </cell>
          <cell r="Q37" t="str">
            <v>Photo</v>
          </cell>
          <cell r="R37">
            <v>3</v>
          </cell>
          <cell r="S37">
            <v>1</v>
          </cell>
          <cell r="T37" t="str">
            <v>Unclear</v>
          </cell>
          <cell r="U37" t="str">
            <v>Unclear</v>
          </cell>
          <cell r="V37" t="str">
            <v>Unclear</v>
          </cell>
        </row>
        <row r="38">
          <cell r="B38" t="str">
            <v>SOA-1</v>
          </cell>
          <cell r="C38" t="str">
            <v>Cameroon</v>
          </cell>
          <cell r="D38" t="str">
            <v>Batch 5</v>
          </cell>
          <cell r="E38" t="str">
            <v>Soa, University of Yaounde 2 (Central Cameroon)</v>
          </cell>
          <cell r="F38" t="str">
            <v>YT7</v>
          </cell>
          <cell r="G38" t="str">
            <v>YT10</v>
          </cell>
          <cell r="H38">
            <v>44312.708333333336</v>
          </cell>
          <cell r="I38" t="str">
            <v>University of Yaounde 1</v>
          </cell>
          <cell r="J38" t="str">
            <v>University of Yaounde 1</v>
          </cell>
          <cell r="M38">
            <v>9.9</v>
          </cell>
          <cell r="N38">
            <v>9.9</v>
          </cell>
          <cell r="P38">
            <v>44312</v>
          </cell>
          <cell r="Q38" t="str">
            <v>Photo</v>
          </cell>
          <cell r="R38">
            <v>8</v>
          </cell>
          <cell r="S38">
            <v>3</v>
          </cell>
          <cell r="T38">
            <v>3</v>
          </cell>
          <cell r="U38">
            <v>0</v>
          </cell>
          <cell r="V38">
            <v>7</v>
          </cell>
          <cell r="X38">
            <v>44312</v>
          </cell>
        </row>
        <row r="39">
          <cell r="B39" t="str">
            <v>SOA-2</v>
          </cell>
          <cell r="C39" t="str">
            <v>Cameroon</v>
          </cell>
          <cell r="D39" t="str">
            <v>Batch 5</v>
          </cell>
          <cell r="E39" t="str">
            <v>Soa, University of Yaounde 2 (Central Cameroon)</v>
          </cell>
          <cell r="F39" t="str">
            <v>"which?" [Note at Bristol 26th April 2023: Looking at the photos, it must be YT5]</v>
          </cell>
          <cell r="G39" t="str">
            <v>"which?" [Note at Bristol 26th April 2023: Looking at the photos, it must be YT11]</v>
          </cell>
          <cell r="H39">
            <v>44312.708333333336</v>
          </cell>
          <cell r="I39" t="str">
            <v>University of Yaounde 1</v>
          </cell>
          <cell r="J39" t="str">
            <v>University of Yaounde 1</v>
          </cell>
          <cell r="M39">
            <v>9.5</v>
          </cell>
          <cell r="N39">
            <v>8.6</v>
          </cell>
          <cell r="P39">
            <v>44312</v>
          </cell>
          <cell r="Q39" t="str">
            <v>Photo</v>
          </cell>
          <cell r="R39">
            <v>4</v>
          </cell>
          <cell r="S39">
            <v>2</v>
          </cell>
          <cell r="T39">
            <v>0</v>
          </cell>
          <cell r="U39">
            <v>0</v>
          </cell>
          <cell r="V39">
            <v>10</v>
          </cell>
          <cell r="X39">
            <v>44312</v>
          </cell>
        </row>
        <row r="40">
          <cell r="B40" t="str">
            <v>SOA-3</v>
          </cell>
          <cell r="C40" t="str">
            <v>Cameroon</v>
          </cell>
          <cell r="D40" t="str">
            <v>Batch 5</v>
          </cell>
          <cell r="E40" t="str">
            <v>Soa, University of Yaounde 2 (Central Cameroon)</v>
          </cell>
          <cell r="F40" t="str">
            <v>YT8</v>
          </cell>
          <cell r="G40" t="str">
            <v>YT15</v>
          </cell>
          <cell r="H40">
            <v>44312.708333333336</v>
          </cell>
          <cell r="I40" t="str">
            <v>University of Yaounde 1</v>
          </cell>
          <cell r="J40" t="str">
            <v>University of Yaounde 1</v>
          </cell>
          <cell r="M40">
            <v>8</v>
          </cell>
          <cell r="N40">
            <v>8</v>
          </cell>
          <cell r="P40">
            <v>44312</v>
          </cell>
          <cell r="Q40" t="str">
            <v>Trial video</v>
          </cell>
          <cell r="R40">
            <v>3</v>
          </cell>
          <cell r="S40" t="str">
            <v>Unclear</v>
          </cell>
          <cell r="T40" t="str">
            <v>Unclear</v>
          </cell>
          <cell r="U40" t="str">
            <v>Unclear</v>
          </cell>
          <cell r="V40" t="str">
            <v>Unclear</v>
          </cell>
          <cell r="X40">
            <v>44312</v>
          </cell>
        </row>
        <row r="41">
          <cell r="B41" t="str">
            <v>SOA-4</v>
          </cell>
          <cell r="C41" t="str">
            <v>Cameroon</v>
          </cell>
          <cell r="D41" t="str">
            <v>Batch 5</v>
          </cell>
          <cell r="E41" t="str">
            <v>Soa, University of Yaounde 2 (Central Cameroon)</v>
          </cell>
          <cell r="F41" t="str">
            <v>YT3</v>
          </cell>
          <cell r="G41" t="str">
            <v>YT12</v>
          </cell>
          <cell r="H41">
            <v>44312.708333333336</v>
          </cell>
          <cell r="I41" t="str">
            <v>University of Yaounde 1</v>
          </cell>
          <cell r="J41" t="str">
            <v>University of Yaounde 1</v>
          </cell>
          <cell r="M41">
            <v>7.3</v>
          </cell>
          <cell r="N41">
            <v>9.6999999999999993</v>
          </cell>
          <cell r="P41">
            <v>44312</v>
          </cell>
          <cell r="Q41" t="str">
            <v>Photo</v>
          </cell>
          <cell r="R41">
            <v>2</v>
          </cell>
          <cell r="S41">
            <v>2</v>
          </cell>
          <cell r="T41">
            <v>0</v>
          </cell>
          <cell r="U41">
            <v>0</v>
          </cell>
          <cell r="V41">
            <v>17</v>
          </cell>
          <cell r="X41">
            <v>44312</v>
          </cell>
        </row>
        <row r="42">
          <cell r="B42" t="str">
            <v>SOA-6</v>
          </cell>
          <cell r="C42" t="str">
            <v>Cameroon</v>
          </cell>
          <cell r="D42" t="str">
            <v>Batch 5</v>
          </cell>
          <cell r="E42" t="str">
            <v>Soa, University of Yaounde 2 (Central Cameroon)</v>
          </cell>
          <cell r="F42" t="str">
            <v>YT4</v>
          </cell>
          <cell r="G42" t="str">
            <v>YT13</v>
          </cell>
          <cell r="H42">
            <v>44312.708333333336</v>
          </cell>
          <cell r="I42" t="str">
            <v>University of Yaounde 1</v>
          </cell>
          <cell r="J42" t="str">
            <v>University of Yaounde 1</v>
          </cell>
          <cell r="M42">
            <v>9</v>
          </cell>
          <cell r="N42">
            <v>9.6999999999999993</v>
          </cell>
          <cell r="P42">
            <v>44312</v>
          </cell>
          <cell r="Q42" t="str">
            <v>Trial video</v>
          </cell>
          <cell r="R42">
            <v>4</v>
          </cell>
          <cell r="S42">
            <v>1</v>
          </cell>
          <cell r="T42" t="str">
            <v>Unclear</v>
          </cell>
          <cell r="U42" t="str">
            <v>Unclear</v>
          </cell>
          <cell r="V42" t="str">
            <v>Unclear</v>
          </cell>
          <cell r="X42">
            <v>44312</v>
          </cell>
        </row>
        <row r="43">
          <cell r="B43" t="str">
            <v>SOA-7</v>
          </cell>
          <cell r="C43" t="str">
            <v>Cameroon</v>
          </cell>
          <cell r="D43" t="str">
            <v>Batch 5</v>
          </cell>
          <cell r="E43" t="str">
            <v>Soa, University of Yaounde 2 (Central Cameroon)</v>
          </cell>
          <cell r="F43" t="str">
            <v>REPLACE-3</v>
          </cell>
          <cell r="G43" t="str">
            <v>YT18</v>
          </cell>
          <cell r="H43">
            <v>44313.479166666664</v>
          </cell>
          <cell r="I43" t="str">
            <v>University of Yaounde 1</v>
          </cell>
          <cell r="J43" t="str">
            <v>University of Yaounde 1</v>
          </cell>
          <cell r="M43">
            <v>7.9</v>
          </cell>
          <cell r="N43">
            <v>9</v>
          </cell>
          <cell r="P43">
            <v>44312</v>
          </cell>
          <cell r="Q43" t="str">
            <v>Photo</v>
          </cell>
          <cell r="R43">
            <v>6</v>
          </cell>
          <cell r="S43">
            <v>2</v>
          </cell>
          <cell r="T43">
            <v>0</v>
          </cell>
          <cell r="U43">
            <v>2</v>
          </cell>
          <cell r="V43">
            <v>11</v>
          </cell>
        </row>
        <row r="44">
          <cell r="B44" t="str">
            <v>SOA-8</v>
          </cell>
          <cell r="C44" t="str">
            <v>Cameroon</v>
          </cell>
          <cell r="D44" t="str">
            <v>Batch 5</v>
          </cell>
          <cell r="E44" t="str">
            <v>Soa, University of Yaounde 2 (Central Cameroon)</v>
          </cell>
          <cell r="F44" t="str">
            <v>REPLACE-2</v>
          </cell>
          <cell r="G44" t="str">
            <v>YT14</v>
          </cell>
          <cell r="H44">
            <v>44313.475694444445</v>
          </cell>
          <cell r="I44" t="str">
            <v>University of Yaounde 1</v>
          </cell>
          <cell r="J44" t="str">
            <v>University of Yaounde 1</v>
          </cell>
          <cell r="M44" t="str">
            <v>Data deficient</v>
          </cell>
          <cell r="N44" t="str">
            <v>Data deficient</v>
          </cell>
          <cell r="P44">
            <v>44312</v>
          </cell>
          <cell r="Q44" t="str">
            <v>Photo</v>
          </cell>
          <cell r="R44">
            <v>4</v>
          </cell>
          <cell r="S44">
            <v>3</v>
          </cell>
          <cell r="T44">
            <v>1</v>
          </cell>
          <cell r="U44">
            <v>5</v>
          </cell>
          <cell r="V44">
            <v>11</v>
          </cell>
          <cell r="X44">
            <v>44312</v>
          </cell>
        </row>
        <row r="45">
          <cell r="B45" t="str">
            <v>SOA-11</v>
          </cell>
          <cell r="C45" t="str">
            <v>Cameroon</v>
          </cell>
          <cell r="D45" t="str">
            <v>Batch 5</v>
          </cell>
          <cell r="E45" t="str">
            <v>Soa, University of Yaounde 2 (Central Cameroon)</v>
          </cell>
          <cell r="F45" t="str">
            <v>YT9</v>
          </cell>
          <cell r="G45" t="str">
            <v>YT16</v>
          </cell>
          <cell r="H45">
            <v>44312.708333333336</v>
          </cell>
          <cell r="I45" t="str">
            <v>University of Yaounde 1</v>
          </cell>
          <cell r="J45" t="str">
            <v>University of Yaounde 1</v>
          </cell>
          <cell r="M45">
            <v>9.1</v>
          </cell>
          <cell r="N45">
            <v>6</v>
          </cell>
          <cell r="P45">
            <v>44376</v>
          </cell>
          <cell r="Q45" t="str">
            <v>Trial photo</v>
          </cell>
          <cell r="R45">
            <v>4</v>
          </cell>
          <cell r="S45">
            <v>0</v>
          </cell>
          <cell r="T45" t="str">
            <v>Unclear</v>
          </cell>
          <cell r="U45" t="str">
            <v>Unclear</v>
          </cell>
          <cell r="V45" t="str">
            <v>Unclear</v>
          </cell>
          <cell r="X45">
            <v>44312</v>
          </cell>
        </row>
        <row r="46">
          <cell r="B46" t="str">
            <v>SOA-10</v>
          </cell>
          <cell r="C46" t="str">
            <v>Cameroon</v>
          </cell>
          <cell r="D46" t="str">
            <v>Batch 5</v>
          </cell>
          <cell r="E46" t="str">
            <v>Soa, University of Yaounde 2 (Central Cameroon)</v>
          </cell>
          <cell r="F46" t="str">
            <v>REPLACE-1</v>
          </cell>
          <cell r="G46" t="str">
            <v>YT17</v>
          </cell>
          <cell r="H46">
            <v>44313.472222222219</v>
          </cell>
          <cell r="I46" t="str">
            <v>University of Yaounde 1</v>
          </cell>
          <cell r="J46" t="str">
            <v>University of Yaounde 1</v>
          </cell>
          <cell r="K46" t="str">
            <v>This note on 27/04/2021 applies to SOA-10: "Several orphan nests are missing. Are they victims of birds? Will restart thsee nests." For SOA-10, the restarted post-manipulation phase used nest REPLACE-1 for the pupa orphan (which came from the "other side (the grim side) of the toilet". The small orphan (from UY1) was kept the same.</v>
          </cell>
          <cell r="M46">
            <v>10.9</v>
          </cell>
          <cell r="N46">
            <v>9.5</v>
          </cell>
          <cell r="P46">
            <v>44312</v>
          </cell>
          <cell r="Q46" t="str">
            <v>Photo</v>
          </cell>
          <cell r="R46">
            <v>5</v>
          </cell>
          <cell r="S46">
            <v>3</v>
          </cell>
          <cell r="T46">
            <v>4</v>
          </cell>
          <cell r="U46">
            <v>12</v>
          </cell>
          <cell r="V46">
            <v>21</v>
          </cell>
          <cell r="X46">
            <v>44312</v>
          </cell>
        </row>
        <row r="47">
          <cell r="B47" t="str">
            <v>A4-8</v>
          </cell>
          <cell r="C47" t="str">
            <v>Cameroon</v>
          </cell>
          <cell r="D47" t="str">
            <v>Batch 6</v>
          </cell>
          <cell r="E47" t="str">
            <v>University of Yaounde 1 (Central Cameroon)</v>
          </cell>
          <cell r="F47" t="str">
            <v>F2</v>
          </cell>
          <cell r="G47" t="str">
            <v>S94</v>
          </cell>
          <cell r="H47">
            <v>44331.463194444441</v>
          </cell>
          <cell r="I47" t="str">
            <v>Finance</v>
          </cell>
          <cell r="P47">
            <v>44295</v>
          </cell>
          <cell r="Q47" t="str">
            <v>Photo</v>
          </cell>
          <cell r="R47">
            <v>7</v>
          </cell>
          <cell r="S47">
            <v>5</v>
          </cell>
        </row>
        <row r="48">
          <cell r="B48" t="str">
            <v>A4-28</v>
          </cell>
          <cell r="C48" t="str">
            <v>Cameroon</v>
          </cell>
          <cell r="D48" t="str">
            <v>Batch 6</v>
          </cell>
          <cell r="E48" t="str">
            <v>University of Yaounde 1 (Central Cameroon)</v>
          </cell>
          <cell r="F48" t="str">
            <v>A2</v>
          </cell>
          <cell r="G48" t="str">
            <v>G1</v>
          </cell>
          <cell r="H48">
            <v>44331.454861111109</v>
          </cell>
          <cell r="I48" t="str">
            <v>A</v>
          </cell>
          <cell r="P48" t="str">
            <v>Am assuming that 'A2' is 'A2-7' (the former focal nest), here photographed on 29/03/2021:</v>
          </cell>
          <cell r="Q48" t="str">
            <v>Photo</v>
          </cell>
          <cell r="R48">
            <v>2</v>
          </cell>
          <cell r="S48">
            <v>0</v>
          </cell>
        </row>
        <row r="49">
          <cell r="B49" t="str">
            <v>A côté C1-10</v>
          </cell>
          <cell r="C49" t="str">
            <v>Cameroon</v>
          </cell>
          <cell r="D49" t="str">
            <v>Batch 6</v>
          </cell>
          <cell r="E49" t="str">
            <v>University of Yaounde 1 (Central Cameroon)</v>
          </cell>
          <cell r="F49" t="str">
            <v>B2</v>
          </cell>
          <cell r="G49" t="str">
            <v>C1</v>
          </cell>
          <cell r="H49">
            <v>44331.472222222219</v>
          </cell>
          <cell r="I49" t="str">
            <v>B</v>
          </cell>
          <cell r="J49" t="str">
            <v>C</v>
          </cell>
          <cell r="P49" t="str">
            <v>Am assuming that 'B2' is 'B2-6', here photographed on 25/03/2021:</v>
          </cell>
          <cell r="Q49" t="str">
            <v>Photo</v>
          </cell>
          <cell r="R49">
            <v>1</v>
          </cell>
          <cell r="S49">
            <v>0</v>
          </cell>
        </row>
        <row r="50">
          <cell r="B50" t="str">
            <v>B2-999</v>
          </cell>
          <cell r="C50" t="str">
            <v>Cameroon</v>
          </cell>
          <cell r="D50" t="str">
            <v>Batch 6</v>
          </cell>
          <cell r="E50" t="str">
            <v>University of Yaounde 1 (Central Cameroon)</v>
          </cell>
          <cell r="F50" t="str">
            <v>A4-29</v>
          </cell>
          <cell r="G50" t="str">
            <v>B1</v>
          </cell>
          <cell r="H50">
            <v>44331.466666666667</v>
          </cell>
          <cell r="I50" t="str">
            <v>A</v>
          </cell>
          <cell r="J50" t="str">
            <v>B</v>
          </cell>
          <cell r="R50" t="str">
            <v>Data deficient</v>
          </cell>
          <cell r="S50" t="str">
            <v>Data deficient</v>
          </cell>
        </row>
        <row r="51">
          <cell r="B51" t="str">
            <v>EF12</v>
          </cell>
          <cell r="C51" t="str">
            <v>Cameroon</v>
          </cell>
          <cell r="D51" t="str">
            <v>Batch 7</v>
          </cell>
          <cell r="E51" t="str">
            <v>Somalomo (Dja Biosphere Reserve, East Cameroon)</v>
          </cell>
          <cell r="F51" t="str">
            <v>OP6</v>
          </cell>
          <cell r="G51" t="str">
            <v>O6</v>
          </cell>
          <cell r="H51">
            <v>44336.718055555553</v>
          </cell>
          <cell r="I51" t="str">
            <v>Somalomo (other buildings)</v>
          </cell>
          <cell r="J51" t="str">
            <v>Somalomo (other buildings)</v>
          </cell>
          <cell r="M51">
            <v>7.4</v>
          </cell>
          <cell r="N51">
            <v>9.3000000000000007</v>
          </cell>
          <cell r="P51">
            <v>44336</v>
          </cell>
          <cell r="Q51" t="str">
            <v>Photo</v>
          </cell>
          <cell r="R51">
            <v>2</v>
          </cell>
          <cell r="S51">
            <v>4</v>
          </cell>
          <cell r="T51">
            <v>2</v>
          </cell>
          <cell r="U51">
            <v>0</v>
          </cell>
          <cell r="V51">
            <v>39</v>
          </cell>
          <cell r="X51">
            <v>44336</v>
          </cell>
        </row>
        <row r="52">
          <cell r="B52" t="str">
            <v>EF4</v>
          </cell>
          <cell r="C52" t="str">
            <v>Cameroon</v>
          </cell>
          <cell r="D52" t="str">
            <v>Batch 7</v>
          </cell>
          <cell r="E52" t="str">
            <v>Somalomo (Dja Biosphere Reserve, East Cameroon)</v>
          </cell>
          <cell r="F52" t="str">
            <v>OP2</v>
          </cell>
          <cell r="G52" t="str">
            <v>O2</v>
          </cell>
          <cell r="H52">
            <v>44336.711805555555</v>
          </cell>
          <cell r="I52" t="str">
            <v>Somalomo (other buildings)</v>
          </cell>
          <cell r="J52" t="str">
            <v>Somalomo (other buildings)</v>
          </cell>
          <cell r="M52">
            <v>8</v>
          </cell>
          <cell r="N52">
            <v>7</v>
          </cell>
          <cell r="P52">
            <v>44336</v>
          </cell>
          <cell r="Q52" t="str">
            <v>Photo</v>
          </cell>
          <cell r="R52">
            <v>4</v>
          </cell>
          <cell r="S52">
            <v>4</v>
          </cell>
          <cell r="T52">
            <v>2</v>
          </cell>
          <cell r="U52">
            <v>0</v>
          </cell>
          <cell r="V52">
            <v>7</v>
          </cell>
          <cell r="X52">
            <v>44336</v>
          </cell>
        </row>
        <row r="53">
          <cell r="B53" t="str">
            <v>EF5</v>
          </cell>
          <cell r="C53" t="str">
            <v>Cameroon</v>
          </cell>
          <cell r="D53" t="str">
            <v>Batch 7</v>
          </cell>
          <cell r="E53" t="str">
            <v>Somalomo (Dja Biosphere Reserve, East Cameroon)</v>
          </cell>
          <cell r="F53" t="str">
            <v>OP5</v>
          </cell>
          <cell r="G53" t="str">
            <v>O5</v>
          </cell>
          <cell r="H53">
            <v>44336.71597222222</v>
          </cell>
          <cell r="I53" t="str">
            <v>Somalomo (other buildings)</v>
          </cell>
          <cell r="J53" t="str">
            <v>Somalomo (other buildings)</v>
          </cell>
          <cell r="M53">
            <v>7.7</v>
          </cell>
          <cell r="N53">
            <v>8.4</v>
          </cell>
          <cell r="P53">
            <v>44336</v>
          </cell>
          <cell r="Q53" t="str">
            <v>Photo</v>
          </cell>
          <cell r="R53">
            <v>5</v>
          </cell>
          <cell r="S53">
            <v>0</v>
          </cell>
          <cell r="T53">
            <v>0</v>
          </cell>
          <cell r="U53">
            <v>0</v>
          </cell>
          <cell r="V53">
            <v>1</v>
          </cell>
          <cell r="X53">
            <v>44336</v>
          </cell>
        </row>
        <row r="54">
          <cell r="B54" t="str">
            <v>EF8</v>
          </cell>
          <cell r="C54" t="str">
            <v>Cameroon</v>
          </cell>
          <cell r="D54" t="str">
            <v>Batch 7</v>
          </cell>
          <cell r="E54" t="str">
            <v>Somalomo (Dja Biosphere Reserve, East Cameroon)</v>
          </cell>
          <cell r="F54" t="str">
            <v>OP3</v>
          </cell>
          <cell r="G54" t="str">
            <v>O3</v>
          </cell>
          <cell r="H54">
            <v>44336.713194444441</v>
          </cell>
          <cell r="I54" t="str">
            <v>Somalomo (other buildings)</v>
          </cell>
          <cell r="J54" t="str">
            <v>Somalomo (other buildings)</v>
          </cell>
          <cell r="M54">
            <v>7.6</v>
          </cell>
          <cell r="N54">
            <v>7.4</v>
          </cell>
          <cell r="P54">
            <v>44336</v>
          </cell>
          <cell r="Q54" t="str">
            <v>Photo</v>
          </cell>
          <cell r="R54">
            <v>3</v>
          </cell>
          <cell r="S54">
            <v>0</v>
          </cell>
          <cell r="T54">
            <v>0</v>
          </cell>
          <cell r="U54">
            <v>0</v>
          </cell>
          <cell r="V54">
            <v>1</v>
          </cell>
          <cell r="X54">
            <v>44336</v>
          </cell>
        </row>
        <row r="55">
          <cell r="B55" t="str">
            <v>EF7</v>
          </cell>
          <cell r="C55" t="str">
            <v>Cameroon</v>
          </cell>
          <cell r="D55" t="str">
            <v>Batch 7</v>
          </cell>
          <cell r="E55" t="str">
            <v>Somalomo (Dja Biosphere Reserve, East Cameroon)</v>
          </cell>
          <cell r="F55" t="str">
            <v>OP4</v>
          </cell>
          <cell r="G55" t="str">
            <v>O4</v>
          </cell>
          <cell r="H55">
            <v>44336.715277777781</v>
          </cell>
          <cell r="I55" t="str">
            <v>Somalomo (other buildings)</v>
          </cell>
          <cell r="J55" t="str">
            <v>Somalomo (other buildings)</v>
          </cell>
          <cell r="M55">
            <v>8.9</v>
          </cell>
          <cell r="N55">
            <v>6</v>
          </cell>
          <cell r="P55">
            <v>44336</v>
          </cell>
          <cell r="Q55" t="str">
            <v>Photo</v>
          </cell>
          <cell r="R55">
            <v>1</v>
          </cell>
          <cell r="S55">
            <v>4</v>
          </cell>
          <cell r="T55">
            <v>0</v>
          </cell>
          <cell r="U55">
            <v>0</v>
          </cell>
          <cell r="V55">
            <v>0</v>
          </cell>
          <cell r="X55">
            <v>44336</v>
          </cell>
        </row>
        <row r="56">
          <cell r="B56" t="str">
            <v>EF10</v>
          </cell>
          <cell r="C56" t="str">
            <v>Cameroon</v>
          </cell>
          <cell r="D56" t="str">
            <v>Batch 7</v>
          </cell>
          <cell r="E56" t="str">
            <v>Somalomo (Dja Biosphere Reserve, East Cameroon)</v>
          </cell>
          <cell r="F56" t="str">
            <v>OP1</v>
          </cell>
          <cell r="G56" t="str">
            <v>O1</v>
          </cell>
          <cell r="H56">
            <v>44336.709722222222</v>
          </cell>
          <cell r="I56" t="str">
            <v>Somalomo (other buildings)</v>
          </cell>
          <cell r="J56" t="str">
            <v>Somalomo (other buildings)</v>
          </cell>
          <cell r="M56">
            <v>7</v>
          </cell>
          <cell r="N56">
            <v>5.5</v>
          </cell>
          <cell r="P56">
            <v>44336</v>
          </cell>
          <cell r="Q56" t="str">
            <v>Photo</v>
          </cell>
          <cell r="R56">
            <v>1</v>
          </cell>
          <cell r="S56">
            <v>4</v>
          </cell>
          <cell r="T56">
            <v>4</v>
          </cell>
          <cell r="U56">
            <v>3</v>
          </cell>
          <cell r="V56">
            <v>19</v>
          </cell>
          <cell r="X56">
            <v>44336</v>
          </cell>
        </row>
        <row r="57">
          <cell r="B57" t="str">
            <v>EF24</v>
          </cell>
          <cell r="C57" t="str">
            <v>Cameroon</v>
          </cell>
          <cell r="D57" t="str">
            <v>Batch 7</v>
          </cell>
          <cell r="E57" t="str">
            <v>Somalomo (Dja Biosphere Reserve, East Cameroon)</v>
          </cell>
          <cell r="F57" t="str">
            <v>OP7</v>
          </cell>
          <cell r="G57" t="str">
            <v>O7</v>
          </cell>
          <cell r="H57">
            <v>44336.720833333333</v>
          </cell>
          <cell r="I57" t="str">
            <v>Somalomo (other buildings)</v>
          </cell>
          <cell r="J57" t="str">
            <v>Somalomo (other buildings)</v>
          </cell>
          <cell r="M57">
            <v>7.3</v>
          </cell>
          <cell r="N57">
            <v>7.5</v>
          </cell>
          <cell r="P57">
            <v>44336</v>
          </cell>
          <cell r="Q57" t="str">
            <v>Photo</v>
          </cell>
          <cell r="R57">
            <v>1</v>
          </cell>
          <cell r="S57">
            <v>1</v>
          </cell>
          <cell r="T57">
            <v>1</v>
          </cell>
          <cell r="U57">
            <v>0</v>
          </cell>
          <cell r="V57">
            <v>0</v>
          </cell>
          <cell r="X57">
            <v>44336</v>
          </cell>
        </row>
        <row r="58">
          <cell r="B58" t="str">
            <v>EF25</v>
          </cell>
          <cell r="C58" t="str">
            <v>Cameroon</v>
          </cell>
          <cell r="D58" t="str">
            <v>Batch 7</v>
          </cell>
          <cell r="E58" t="str">
            <v>Somalomo (Dja Biosphere Reserve, East Cameroon)</v>
          </cell>
          <cell r="F58" t="str">
            <v>OP9</v>
          </cell>
          <cell r="G58" t="str">
            <v>O9</v>
          </cell>
          <cell r="H58">
            <v>44336.722222222219</v>
          </cell>
          <cell r="I58" t="str">
            <v>Somalomo (other buildings)</v>
          </cell>
          <cell r="J58" t="str">
            <v>Somalomo (other buildings)</v>
          </cell>
          <cell r="M58">
            <v>8</v>
          </cell>
          <cell r="N58">
            <v>7</v>
          </cell>
          <cell r="P58">
            <v>44336</v>
          </cell>
          <cell r="Q58" t="str">
            <v>Photo</v>
          </cell>
          <cell r="R58">
            <v>5</v>
          </cell>
          <cell r="S58">
            <v>4</v>
          </cell>
          <cell r="T58">
            <v>1</v>
          </cell>
          <cell r="U58">
            <v>1</v>
          </cell>
          <cell r="V58">
            <v>26</v>
          </cell>
          <cell r="X58">
            <v>44336</v>
          </cell>
        </row>
        <row r="59">
          <cell r="B59" t="str">
            <v>EF21</v>
          </cell>
          <cell r="C59" t="str">
            <v>Cameroon</v>
          </cell>
          <cell r="D59" t="str">
            <v>Batch 7</v>
          </cell>
          <cell r="E59" t="str">
            <v>Somalomo (Dja Biosphere Reserve, East Cameroon)</v>
          </cell>
          <cell r="F59" t="str">
            <v>OP10</v>
          </cell>
          <cell r="G59" t="str">
            <v>O10</v>
          </cell>
          <cell r="H59">
            <v>44336.727083333331</v>
          </cell>
          <cell r="I59" t="str">
            <v>Somalomo (other buildings)</v>
          </cell>
          <cell r="J59" t="str">
            <v>Somalomo (other buildings)</v>
          </cell>
          <cell r="M59">
            <v>7</v>
          </cell>
          <cell r="N59">
            <v>7.5</v>
          </cell>
          <cell r="P59">
            <v>44336</v>
          </cell>
          <cell r="Q59" t="str">
            <v>Photo</v>
          </cell>
          <cell r="R59">
            <v>3</v>
          </cell>
          <cell r="S59">
            <v>6</v>
          </cell>
          <cell r="T59">
            <v>1</v>
          </cell>
          <cell r="U59">
            <v>0</v>
          </cell>
          <cell r="V59">
            <v>73</v>
          </cell>
          <cell r="W59" t="str">
            <v>Many eggs!</v>
          </cell>
        </row>
        <row r="60">
          <cell r="B60" t="str">
            <v>EF17</v>
          </cell>
          <cell r="C60" t="str">
            <v>Cameroon</v>
          </cell>
          <cell r="D60" t="str">
            <v>Batch 7</v>
          </cell>
          <cell r="E60" t="str">
            <v>Somalomo (Dja Biosphere Reserve, East Cameroon)</v>
          </cell>
          <cell r="F60" t="str">
            <v>NEW1</v>
          </cell>
          <cell r="G60" t="str">
            <v>O8</v>
          </cell>
          <cell r="H60">
            <v>44337.402777777781</v>
          </cell>
          <cell r="I60" t="str">
            <v>Somalomo (other buildings)</v>
          </cell>
          <cell r="J60" t="str">
            <v>Somalomo (other buildings)</v>
          </cell>
          <cell r="M60">
            <v>7</v>
          </cell>
          <cell r="N60">
            <v>7</v>
          </cell>
          <cell r="P60">
            <v>44337</v>
          </cell>
          <cell r="Q60" t="str">
            <v>Photo</v>
          </cell>
          <cell r="R60">
            <v>2</v>
          </cell>
          <cell r="S60">
            <v>1</v>
          </cell>
          <cell r="T60">
            <v>0</v>
          </cell>
          <cell r="U60">
            <v>0</v>
          </cell>
          <cell r="V60">
            <v>18</v>
          </cell>
          <cell r="X60">
            <v>44336</v>
          </cell>
        </row>
        <row r="61">
          <cell r="B61" t="str">
            <v>EF6</v>
          </cell>
          <cell r="C61" t="str">
            <v>Cameroon</v>
          </cell>
          <cell r="D61" t="str">
            <v>Batch 7</v>
          </cell>
          <cell r="E61" t="str">
            <v>Somalomo (Dja Biosphere Reserve, East Cameroon)</v>
          </cell>
          <cell r="F61" t="str">
            <v>OP11</v>
          </cell>
          <cell r="G61" t="str">
            <v>O11</v>
          </cell>
          <cell r="H61">
            <v>44336.731944444444</v>
          </cell>
          <cell r="I61" t="str">
            <v>Somalomo (other buildings)</v>
          </cell>
          <cell r="J61" t="str">
            <v>Somalomo (other buildings)</v>
          </cell>
          <cell r="P61">
            <v>44336</v>
          </cell>
          <cell r="Q61" t="str">
            <v>Photo</v>
          </cell>
          <cell r="R61">
            <v>2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X61">
            <v>44336</v>
          </cell>
        </row>
        <row r="62">
          <cell r="B62" t="str">
            <v>EF20</v>
          </cell>
          <cell r="C62" t="str">
            <v>Cameroon</v>
          </cell>
          <cell r="D62" t="str">
            <v>Batch 7</v>
          </cell>
          <cell r="E62" t="str">
            <v>Somalomo (Dja Biosphere Reserve, East Cameroon)</v>
          </cell>
          <cell r="F62" t="str">
            <v>BED-5</v>
          </cell>
          <cell r="G62" t="str">
            <v>BED-1</v>
          </cell>
          <cell r="H62">
            <v>44337.491666666669</v>
          </cell>
          <cell r="I62" t="str">
            <v>Somalomo bedroom</v>
          </cell>
          <cell r="J62" t="str">
            <v>Somalomo bedroom</v>
          </cell>
          <cell r="M62">
            <v>7.2</v>
          </cell>
          <cell r="N62">
            <v>7</v>
          </cell>
          <cell r="P62">
            <v>44337</v>
          </cell>
          <cell r="Q62" t="str">
            <v>Photo</v>
          </cell>
          <cell r="R62">
            <v>4</v>
          </cell>
          <cell r="S62">
            <v>7</v>
          </cell>
          <cell r="T62">
            <v>3</v>
          </cell>
          <cell r="U62">
            <v>4</v>
          </cell>
          <cell r="V62">
            <v>12</v>
          </cell>
          <cell r="X62">
            <v>44337</v>
          </cell>
        </row>
        <row r="63">
          <cell r="B63" t="str">
            <v>EF18</v>
          </cell>
          <cell r="C63" t="str">
            <v>Cameroon</v>
          </cell>
          <cell r="D63" t="str">
            <v>Batch 7</v>
          </cell>
          <cell r="E63" t="str">
            <v>Somalomo (Dja Biosphere Reserve, East Cameroon)</v>
          </cell>
          <cell r="F63" t="str">
            <v>BED-6</v>
          </cell>
          <cell r="G63" t="str">
            <v>BED-2</v>
          </cell>
          <cell r="H63">
            <v>44337.496527777781</v>
          </cell>
          <cell r="I63" t="str">
            <v>Somalomo bedroom</v>
          </cell>
          <cell r="J63" t="str">
            <v>Somalomo bedroom</v>
          </cell>
          <cell r="M63">
            <v>7.6</v>
          </cell>
          <cell r="N63">
            <v>5.8</v>
          </cell>
          <cell r="P63">
            <v>44337</v>
          </cell>
          <cell r="Q63" t="str">
            <v>Photo</v>
          </cell>
          <cell r="R63">
            <v>15</v>
          </cell>
          <cell r="S63">
            <v>6</v>
          </cell>
          <cell r="T63">
            <v>2</v>
          </cell>
          <cell r="U63">
            <v>24</v>
          </cell>
          <cell r="V63">
            <v>95</v>
          </cell>
          <cell r="X63">
            <v>44337</v>
          </cell>
        </row>
        <row r="64">
          <cell r="B64" t="str">
            <v>Z1</v>
          </cell>
          <cell r="C64" t="str">
            <v>SouthAfrica</v>
          </cell>
          <cell r="D64">
            <v>1</v>
          </cell>
          <cell r="E64" t="str">
            <v>Zebra House</v>
          </cell>
          <cell r="F64" t="str">
            <v>CP2</v>
          </cell>
          <cell r="G64" t="str">
            <v>Chalet1(1)</v>
          </cell>
          <cell r="H64">
            <v>44470.37222222222</v>
          </cell>
          <cell r="I64" t="str">
            <v>Cow Pens (University Farm)</v>
          </cell>
          <cell r="J64" t="str">
            <v>Bushwillow Bend Chalets</v>
          </cell>
          <cell r="K64" t="str">
            <v>30th October 2021</v>
          </cell>
          <cell r="L64" t="str">
            <v>1st October 2021 11:20</v>
          </cell>
          <cell r="M64">
            <v>7</v>
          </cell>
          <cell r="N64">
            <v>7.69</v>
          </cell>
          <cell r="P64" t="str">
            <v>30th October 2021</v>
          </cell>
          <cell r="Q64" t="str">
            <v>Photo</v>
          </cell>
          <cell r="R64">
            <v>1</v>
          </cell>
          <cell r="S64">
            <v>6</v>
          </cell>
          <cell r="T64">
            <v>3</v>
          </cell>
          <cell r="U64">
            <v>5</v>
          </cell>
          <cell r="V64">
            <v>19</v>
          </cell>
          <cell r="W64" t="str">
            <v>Nest CP2 on 30/Sept/2021 in little red tagging book: "4 wasps. All collected straight into 100% ethanol. Nest collected for transplant, and photo taken, but unfortunately 2-3 large larvae got squashed."</v>
          </cell>
          <cell r="X64" t="str">
            <v>1st October 2021</v>
          </cell>
        </row>
        <row r="65">
          <cell r="B65" t="str">
            <v>Z2</v>
          </cell>
          <cell r="C65" t="str">
            <v>SouthAfrica</v>
          </cell>
          <cell r="E65" t="str">
            <v>Zebra House</v>
          </cell>
          <cell r="F65" t="str">
            <v>AL4</v>
          </cell>
          <cell r="G65" t="str">
            <v>AL6</v>
          </cell>
          <cell r="H65">
            <v>44478.382638888892</v>
          </cell>
          <cell r="I65" t="str">
            <v>African Laboratories (University Famr)</v>
          </cell>
          <cell r="J65" t="str">
            <v>African Laboratories (University Famr)</v>
          </cell>
          <cell r="K65" t="str">
            <v>8th October 2021 16:50</v>
          </cell>
          <cell r="L65" t="str">
            <v>8th October 2021 16:50</v>
          </cell>
          <cell r="M65">
            <v>7</v>
          </cell>
          <cell r="N65">
            <v>7.07</v>
          </cell>
          <cell r="P65" t="str">
            <v>8th October 2021</v>
          </cell>
          <cell r="Q65" t="str">
            <v>Photo</v>
          </cell>
          <cell r="R65">
            <v>1</v>
          </cell>
          <cell r="S65">
            <v>2</v>
          </cell>
          <cell r="T65">
            <v>3</v>
          </cell>
          <cell r="U65">
            <v>4</v>
          </cell>
          <cell r="V65">
            <v>9</v>
          </cell>
          <cell r="X65" t="str">
            <v>8th October 2021</v>
          </cell>
        </row>
        <row r="66">
          <cell r="B66" t="str">
            <v>Z3</v>
          </cell>
          <cell r="C66" t="str">
            <v>SouthAfrica</v>
          </cell>
          <cell r="D66">
            <v>2</v>
          </cell>
          <cell r="E66" t="str">
            <v>Zebra House</v>
          </cell>
          <cell r="F66" t="str">
            <v>LR3</v>
          </cell>
          <cell r="G66" t="str">
            <v>LR6</v>
          </cell>
          <cell r="H66">
            <v>44473.714583333334</v>
          </cell>
          <cell r="I66" t="str">
            <v>Lovers Rock</v>
          </cell>
          <cell r="J66" t="str">
            <v>Lovers Rock</v>
          </cell>
          <cell r="K66" t="str">
            <v>4th October 2021 11.30</v>
          </cell>
          <cell r="L66" t="str">
            <v>4th October 2021 11.30</v>
          </cell>
          <cell r="M66">
            <v>7.1</v>
          </cell>
          <cell r="N66">
            <v>7.58</v>
          </cell>
          <cell r="P66" t="str">
            <v>4th October 2021</v>
          </cell>
          <cell r="Q66" t="str">
            <v>Photo</v>
          </cell>
          <cell r="R66">
            <v>0</v>
          </cell>
          <cell r="S66">
            <v>5</v>
          </cell>
          <cell r="T66">
            <v>3</v>
          </cell>
          <cell r="U66">
            <v>5</v>
          </cell>
          <cell r="V66">
            <v>20</v>
          </cell>
          <cell r="W66" t="str">
            <v>No pupa on this 'pupa orphan'</v>
          </cell>
          <cell r="X66" t="str">
            <v>4th October 2021</v>
          </cell>
        </row>
        <row r="67">
          <cell r="B67" t="str">
            <v>Z4</v>
          </cell>
          <cell r="C67" t="str">
            <v>SouthAfrica</v>
          </cell>
          <cell r="E67" t="str">
            <v>Zebra House</v>
          </cell>
          <cell r="F67" t="str">
            <v>AL3</v>
          </cell>
          <cell r="G67" t="str">
            <v>Chalet-4</v>
          </cell>
          <cell r="H67">
            <v>44478.37222222222</v>
          </cell>
          <cell r="I67" t="str">
            <v>African Laboratories (University Famr)</v>
          </cell>
          <cell r="J67" t="str">
            <v>Bushwillow Bend Chalets</v>
          </cell>
          <cell r="M67">
            <v>7.38</v>
          </cell>
          <cell r="N67">
            <v>7</v>
          </cell>
          <cell r="P67" t="str">
            <v>8th October 2021</v>
          </cell>
          <cell r="Q67" t="str">
            <v>Photo</v>
          </cell>
          <cell r="R67">
            <v>4</v>
          </cell>
          <cell r="S67">
            <v>7</v>
          </cell>
          <cell r="T67">
            <v>3</v>
          </cell>
          <cell r="U67">
            <v>9</v>
          </cell>
          <cell r="V67">
            <v>26</v>
          </cell>
          <cell r="X67" t="str">
            <v>9th October 2021</v>
          </cell>
        </row>
        <row r="68">
          <cell r="B68" t="str">
            <v>Z9</v>
          </cell>
          <cell r="C68" t="str">
            <v>SouthAfrica</v>
          </cell>
          <cell r="E68" t="str">
            <v>Zebra House</v>
          </cell>
          <cell r="F68" t="str">
            <v>AL2</v>
          </cell>
          <cell r="G68" t="str">
            <v>CT2</v>
          </cell>
          <cell r="H68">
            <v>44478.377083333333</v>
          </cell>
          <cell r="I68" t="str">
            <v>African Laboratories (University Famr)</v>
          </cell>
          <cell r="J68" t="str">
            <v>Circular Tub (University Farm)</v>
          </cell>
          <cell r="K68" t="str">
            <v>8th October 2021 16:50</v>
          </cell>
          <cell r="L68" t="str">
            <v>8th October 2021 16:50</v>
          </cell>
          <cell r="M68">
            <v>7</v>
          </cell>
          <cell r="N68">
            <v>7.81</v>
          </cell>
          <cell r="P68" t="str">
            <v>8th October 2021</v>
          </cell>
          <cell r="Q68" t="str">
            <v>Photo</v>
          </cell>
          <cell r="R68">
            <v>2</v>
          </cell>
          <cell r="S68">
            <v>7</v>
          </cell>
          <cell r="T68">
            <v>8</v>
          </cell>
          <cell r="U68">
            <v>1</v>
          </cell>
          <cell r="V68">
            <v>1</v>
          </cell>
          <cell r="X68" t="str">
            <v>8th October 2021</v>
          </cell>
        </row>
        <row r="69">
          <cell r="B69" t="str">
            <v>Z10</v>
          </cell>
          <cell r="C69" t="str">
            <v>SouthAfrica</v>
          </cell>
          <cell r="E69" t="str">
            <v>Zebra House</v>
          </cell>
          <cell r="F69" t="str">
            <v>LR2</v>
          </cell>
          <cell r="G69" t="str">
            <v>LR5</v>
          </cell>
          <cell r="H69">
            <v>44473.72152777778</v>
          </cell>
          <cell r="I69" t="str">
            <v>Lovers Rock</v>
          </cell>
          <cell r="J69" t="str">
            <v>Lovers Rock</v>
          </cell>
          <cell r="K69" t="str">
            <v>4th October 2021 11.30</v>
          </cell>
          <cell r="L69" t="str">
            <v>4th October 2021 11.30</v>
          </cell>
          <cell r="M69">
            <v>9.01</v>
          </cell>
          <cell r="N69">
            <v>8.9600000000000009</v>
          </cell>
          <cell r="P69" t="str">
            <v>4th October 2021</v>
          </cell>
          <cell r="Q69" t="str">
            <v>Photo</v>
          </cell>
          <cell r="R69">
            <v>0</v>
          </cell>
          <cell r="S69">
            <v>8</v>
          </cell>
          <cell r="T69">
            <v>5</v>
          </cell>
          <cell r="U69">
            <v>4</v>
          </cell>
          <cell r="V69">
            <v>17</v>
          </cell>
          <cell r="X69" t="str">
            <v>4th October 2021</v>
          </cell>
        </row>
        <row r="70">
          <cell r="B70" t="str">
            <v>Z13</v>
          </cell>
          <cell r="C70" t="str">
            <v>SouthAfrica</v>
          </cell>
          <cell r="E70" t="str">
            <v>Zebra House</v>
          </cell>
          <cell r="F70" t="str">
            <v>AL5</v>
          </cell>
          <cell r="G70" t="str">
            <v>Chalet-3</v>
          </cell>
          <cell r="H70">
            <v>44478.367361111108</v>
          </cell>
          <cell r="I70" t="str">
            <v>African Laboratories (University Famr)</v>
          </cell>
          <cell r="J70" t="str">
            <v>Bushwillow Bend Chalets</v>
          </cell>
          <cell r="K70" t="str">
            <v>8th October 2021 16:50</v>
          </cell>
          <cell r="L70" t="str">
            <v>9th October 2021</v>
          </cell>
          <cell r="M70">
            <v>7</v>
          </cell>
          <cell r="N70">
            <v>7</v>
          </cell>
          <cell r="P70" t="str">
            <v>8th October 2021</v>
          </cell>
          <cell r="Q70" t="str">
            <v>Photo</v>
          </cell>
          <cell r="R70">
            <v>1</v>
          </cell>
          <cell r="S70">
            <v>4</v>
          </cell>
          <cell r="T70">
            <v>5</v>
          </cell>
          <cell r="U70">
            <v>3</v>
          </cell>
          <cell r="V70">
            <v>14</v>
          </cell>
          <cell r="X70" t="str">
            <v>9th October 2021</v>
          </cell>
        </row>
        <row r="71">
          <cell r="B71" t="str">
            <v>Z14</v>
          </cell>
          <cell r="C71" t="str">
            <v>SouthAfrica</v>
          </cell>
          <cell r="E71" t="str">
            <v>Zebra House</v>
          </cell>
          <cell r="F71" t="str">
            <v>LR1</v>
          </cell>
          <cell r="G71" t="str">
            <v>LR4</v>
          </cell>
          <cell r="H71">
            <v>44473.717361111114</v>
          </cell>
          <cell r="I71" t="str">
            <v>Lovers Rock</v>
          </cell>
          <cell r="J71" t="str">
            <v>Lovers Rock</v>
          </cell>
          <cell r="K71" t="str">
            <v>4th October 2021 11.30</v>
          </cell>
          <cell r="L71" t="str">
            <v>4th October 2021 11.30</v>
          </cell>
          <cell r="M71">
            <v>8.69</v>
          </cell>
          <cell r="N71">
            <v>8.1199999999999992</v>
          </cell>
          <cell r="P71" t="str">
            <v>4th October 2021</v>
          </cell>
          <cell r="Q71" t="str">
            <v>Photo</v>
          </cell>
          <cell r="R71">
            <v>6</v>
          </cell>
          <cell r="S71">
            <v>6</v>
          </cell>
          <cell r="T71">
            <v>3</v>
          </cell>
          <cell r="U71">
            <v>5</v>
          </cell>
          <cell r="V71">
            <v>7</v>
          </cell>
          <cell r="X71" t="str">
            <v>4th October 2021</v>
          </cell>
        </row>
        <row r="72">
          <cell r="B72" t="str">
            <v>CS4</v>
          </cell>
          <cell r="C72" t="str">
            <v>SouthAfrica</v>
          </cell>
          <cell r="E72" t="str">
            <v>Cowshed (neighbouring farm)</v>
          </cell>
          <cell r="F72" t="str">
            <v>CT1</v>
          </cell>
          <cell r="G72" t="str">
            <v>Chalet-6</v>
          </cell>
          <cell r="H72">
            <v>44478.481944444444</v>
          </cell>
          <cell r="I72" t="str">
            <v>Circular Tubs (University Farm)</v>
          </cell>
          <cell r="J72" t="str">
            <v>Bushwillow Bend Chalets</v>
          </cell>
          <cell r="K72" t="str">
            <v>8th October 2021 16:50</v>
          </cell>
          <cell r="M72">
            <v>7</v>
          </cell>
          <cell r="N72">
            <v>7</v>
          </cell>
          <cell r="P72" t="str">
            <v>8th October 2021</v>
          </cell>
          <cell r="Q72" t="str">
            <v>Photo</v>
          </cell>
          <cell r="R72">
            <v>0</v>
          </cell>
          <cell r="S72">
            <v>3</v>
          </cell>
          <cell r="T72">
            <v>3</v>
          </cell>
          <cell r="U72">
            <v>3</v>
          </cell>
          <cell r="V72">
            <v>3</v>
          </cell>
          <cell r="X72" t="str">
            <v>9th October 2021</v>
          </cell>
        </row>
        <row r="73">
          <cell r="B73" t="str">
            <v>CS7</v>
          </cell>
          <cell r="C73" t="str">
            <v>SouthAfrica</v>
          </cell>
          <cell r="E73" t="str">
            <v>Cowshed (neighbouring farm)</v>
          </cell>
          <cell r="F73" t="str">
            <v>AL1</v>
          </cell>
          <cell r="G73" t="str">
            <v>Chalet-5</v>
          </cell>
          <cell r="H73">
            <v>44478.493750000001</v>
          </cell>
          <cell r="I73" t="str">
            <v>African Laboratories (University Famr)</v>
          </cell>
          <cell r="J73" t="str">
            <v>Bushwillow Bend Chalets</v>
          </cell>
          <cell r="K73" t="str">
            <v>8th October 2021 16:50</v>
          </cell>
          <cell r="M73">
            <v>7.32</v>
          </cell>
          <cell r="N73">
            <v>7</v>
          </cell>
          <cell r="P73" t="str">
            <v>8th October 2021</v>
          </cell>
          <cell r="Q73" t="str">
            <v>Photo</v>
          </cell>
          <cell r="R73">
            <v>0</v>
          </cell>
          <cell r="S73">
            <v>6</v>
          </cell>
          <cell r="T73">
            <v>1</v>
          </cell>
          <cell r="U73">
            <v>2</v>
          </cell>
          <cell r="V73">
            <v>11</v>
          </cell>
          <cell r="X73" t="str">
            <v>9th October 2021</v>
          </cell>
        </row>
        <row r="74">
          <cell r="B74" t="str">
            <v>CS1</v>
          </cell>
          <cell r="C74" t="str">
            <v>SouthAfrica</v>
          </cell>
          <cell r="E74" t="str">
            <v>Cowshed (neighbouring farm)</v>
          </cell>
          <cell r="F74" t="str">
            <v>P2</v>
          </cell>
          <cell r="G74" t="str">
            <v>LD999</v>
          </cell>
          <cell r="H74">
            <v>44491.704861111109</v>
          </cell>
          <cell r="I74" t="str">
            <v>Pumphouse</v>
          </cell>
          <cell r="J74" t="str">
            <v>Bushwillow Bend</v>
          </cell>
          <cell r="M74">
            <v>7.05</v>
          </cell>
          <cell r="N74">
            <v>7</v>
          </cell>
          <cell r="P74" t="str">
            <v>22nd October 2021</v>
          </cell>
          <cell r="Q74" t="str">
            <v>Photo</v>
          </cell>
          <cell r="R74">
            <v>11</v>
          </cell>
          <cell r="S74">
            <v>3</v>
          </cell>
          <cell r="T74">
            <v>2</v>
          </cell>
          <cell r="U74">
            <v>1</v>
          </cell>
          <cell r="V74">
            <v>25</v>
          </cell>
          <cell r="X74" t="str">
            <v>22nd October 2021</v>
          </cell>
        </row>
        <row r="75">
          <cell r="B75" t="str">
            <v>P14</v>
          </cell>
          <cell r="C75" t="str">
            <v>SouthAfrica</v>
          </cell>
          <cell r="E75" t="str">
            <v>Pumphouse</v>
          </cell>
          <cell r="F75" t="str">
            <v>PRETORIA-1</v>
          </cell>
          <cell r="G75" t="str">
            <v>BRAAI-1</v>
          </cell>
          <cell r="H75">
            <v>44485.501388888886</v>
          </cell>
          <cell r="I75" t="str">
            <v>Pretoria</v>
          </cell>
          <cell r="J75" t="str">
            <v>Bushwillow Bend</v>
          </cell>
          <cell r="K75" t="str">
            <v>15th October 2021</v>
          </cell>
          <cell r="L75" t="str">
            <v>16th October 2021</v>
          </cell>
          <cell r="M75">
            <v>7</v>
          </cell>
          <cell r="N75">
            <v>7</v>
          </cell>
          <cell r="P75" t="str">
            <v>16th October 2021</v>
          </cell>
          <cell r="Q75" t="str">
            <v>Photo</v>
          </cell>
          <cell r="R75">
            <v>1</v>
          </cell>
          <cell r="S75">
            <v>6</v>
          </cell>
          <cell r="T75">
            <v>5</v>
          </cell>
          <cell r="U75">
            <v>4</v>
          </cell>
          <cell r="V75">
            <v>10</v>
          </cell>
          <cell r="X75" t="str">
            <v>16th October 2021</v>
          </cell>
        </row>
        <row r="76">
          <cell r="B76" t="str">
            <v>P13</v>
          </cell>
          <cell r="C76" t="str">
            <v>SouthAfrica</v>
          </cell>
          <cell r="E76" t="str">
            <v>Pumphouse</v>
          </cell>
          <cell r="F76" t="str">
            <v>PRETORIA-4</v>
          </cell>
          <cell r="G76" t="str">
            <v>Old-Farmhouse-2</v>
          </cell>
          <cell r="H76">
            <v>44485.504166666666</v>
          </cell>
          <cell r="I76" t="str">
            <v>Pretoria</v>
          </cell>
          <cell r="J76" t="str">
            <v>Old Farmhouse</v>
          </cell>
          <cell r="K76" t="str">
            <v>15th October 2021</v>
          </cell>
          <cell r="L76" t="str">
            <v>16th October 2021 9:00</v>
          </cell>
          <cell r="M76">
            <v>7</v>
          </cell>
          <cell r="N76">
            <v>7</v>
          </cell>
          <cell r="P76" t="str">
            <v>16th October 2021</v>
          </cell>
          <cell r="Q76" t="str">
            <v>Photo</v>
          </cell>
          <cell r="R76">
            <v>5</v>
          </cell>
          <cell r="S76">
            <v>5</v>
          </cell>
          <cell r="T76">
            <v>3</v>
          </cell>
          <cell r="U76">
            <v>4</v>
          </cell>
          <cell r="V76">
            <v>15</v>
          </cell>
          <cell r="X76" t="str">
            <v>16th October 2021</v>
          </cell>
        </row>
        <row r="77">
          <cell r="B77" t="str">
            <v>P34</v>
          </cell>
          <cell r="C77" t="str">
            <v>SouthAfrica</v>
          </cell>
          <cell r="E77" t="str">
            <v>Pumphouse</v>
          </cell>
          <cell r="F77" t="str">
            <v>Z1</v>
          </cell>
          <cell r="G77" t="str">
            <v>Old-Farmhouse-1</v>
          </cell>
          <cell r="H77">
            <v>44485.507638888892</v>
          </cell>
          <cell r="I77" t="str">
            <v>Zebra Houe</v>
          </cell>
          <cell r="J77" t="str">
            <v>Old Farmhouse</v>
          </cell>
          <cell r="K77" t="str">
            <v>16th October 2021 8:55</v>
          </cell>
          <cell r="L77" t="str">
            <v>16th October 2021 9:00</v>
          </cell>
          <cell r="M77">
            <v>7</v>
          </cell>
          <cell r="N77">
            <v>7</v>
          </cell>
          <cell r="P77" t="str">
            <v>16th October 2021</v>
          </cell>
          <cell r="Q77" t="str">
            <v>Photo</v>
          </cell>
          <cell r="R77">
            <v>5</v>
          </cell>
          <cell r="S77">
            <v>4</v>
          </cell>
          <cell r="T77">
            <v>3</v>
          </cell>
          <cell r="U77">
            <v>1</v>
          </cell>
          <cell r="V77">
            <v>14</v>
          </cell>
          <cell r="X77" t="str">
            <v>16th October 2021</v>
          </cell>
        </row>
        <row r="78">
          <cell r="B78" t="str">
            <v>P33</v>
          </cell>
          <cell r="C78" t="str">
            <v>SouthAfrica</v>
          </cell>
          <cell r="E78" t="str">
            <v>Pumphouse</v>
          </cell>
          <cell r="F78" t="str">
            <v>PRETORIA-6</v>
          </cell>
          <cell r="G78" t="str">
            <v>LD3</v>
          </cell>
          <cell r="H78">
            <v>44485.511111111111</v>
          </cell>
          <cell r="I78" t="str">
            <v>Pretoria</v>
          </cell>
          <cell r="J78" t="str">
            <v xml:space="preserve">Bushwillow Bend </v>
          </cell>
          <cell r="K78" t="str">
            <v>15th October 2021</v>
          </cell>
          <cell r="M78">
            <v>7</v>
          </cell>
          <cell r="N78">
            <v>7</v>
          </cell>
          <cell r="P78" t="str">
            <v>16th October 2021</v>
          </cell>
          <cell r="Q78" t="str">
            <v>Photo</v>
          </cell>
          <cell r="R78">
            <v>1</v>
          </cell>
          <cell r="S78">
            <v>8</v>
          </cell>
          <cell r="T78">
            <v>3</v>
          </cell>
          <cell r="U78">
            <v>3</v>
          </cell>
          <cell r="V78">
            <v>0</v>
          </cell>
          <cell r="X78" t="str">
            <v>16th October 2021</v>
          </cell>
        </row>
        <row r="79">
          <cell r="B79" t="str">
            <v>P5</v>
          </cell>
          <cell r="C79" t="str">
            <v>SouthAfrica</v>
          </cell>
          <cell r="E79" t="str">
            <v>Pumphouse</v>
          </cell>
          <cell r="F79" t="str">
            <v>PRETORIA-7</v>
          </cell>
          <cell r="G79" t="str">
            <v>BRAAI-2</v>
          </cell>
          <cell r="H79">
            <v>44485.5</v>
          </cell>
          <cell r="I79" t="str">
            <v>Pretoria</v>
          </cell>
          <cell r="J79" t="str">
            <v>Bushwillow Bend Chalets</v>
          </cell>
          <cell r="K79" t="str">
            <v>15th October 2021</v>
          </cell>
          <cell r="L79" t="str">
            <v>16th October 2021</v>
          </cell>
          <cell r="M79">
            <v>7</v>
          </cell>
          <cell r="N79">
            <v>7</v>
          </cell>
          <cell r="P79" t="str">
            <v>16th October 2021</v>
          </cell>
          <cell r="Q79" t="str">
            <v>Photo</v>
          </cell>
          <cell r="R79">
            <v>2</v>
          </cell>
          <cell r="S79">
            <v>2</v>
          </cell>
          <cell r="T79">
            <v>2</v>
          </cell>
          <cell r="U79">
            <v>2</v>
          </cell>
          <cell r="V79">
            <v>9</v>
          </cell>
          <cell r="X79" t="str">
            <v>16th October 2021</v>
          </cell>
        </row>
        <row r="80">
          <cell r="B80" t="str">
            <v>P27</v>
          </cell>
          <cell r="C80" t="str">
            <v>SouthAfrica</v>
          </cell>
          <cell r="E80" t="str">
            <v>Pumphouse</v>
          </cell>
          <cell r="F80" t="str">
            <v>PRETORIA-8</v>
          </cell>
          <cell r="G80" t="str">
            <v>LD1</v>
          </cell>
          <cell r="H80">
            <v>44485.518055555556</v>
          </cell>
          <cell r="I80" t="str">
            <v>Pretoria</v>
          </cell>
          <cell r="J80" t="str">
            <v>Bushwillow Bend</v>
          </cell>
          <cell r="K80" t="str">
            <v>15th October 2021</v>
          </cell>
          <cell r="M80">
            <v>7.54</v>
          </cell>
          <cell r="N80">
            <v>7</v>
          </cell>
          <cell r="P80" t="str">
            <v>16th October 2021</v>
          </cell>
          <cell r="Q80" t="str">
            <v>Photo</v>
          </cell>
          <cell r="R80">
            <v>2</v>
          </cell>
          <cell r="S80">
            <v>3</v>
          </cell>
          <cell r="T80">
            <v>5</v>
          </cell>
          <cell r="U80">
            <v>4</v>
          </cell>
          <cell r="V80">
            <v>5</v>
          </cell>
          <cell r="X80" t="str">
            <v>16th October 2021</v>
          </cell>
        </row>
        <row r="81">
          <cell r="B81" t="str">
            <v>P4  - NEST FELL OFF</v>
          </cell>
          <cell r="C81" t="str">
            <v>SouthAfrica</v>
          </cell>
        </row>
        <row r="82">
          <cell r="B82" t="str">
            <v>P28</v>
          </cell>
          <cell r="C82" t="str">
            <v>SouthAfrica</v>
          </cell>
          <cell r="E82" t="str">
            <v>Pumphouse</v>
          </cell>
          <cell r="F82" t="str">
            <v>CS9</v>
          </cell>
          <cell r="G82" t="str">
            <v>LD888</v>
          </cell>
          <cell r="H82">
            <v>44492.36041666667</v>
          </cell>
          <cell r="I82" t="str">
            <v>Cowshed (neighbouring farm)</v>
          </cell>
          <cell r="J82" t="str">
            <v>Bushwillow Bend (Leslie &amp; Danie's House)</v>
          </cell>
          <cell r="K82" t="str">
            <v>22nd October 2021 15:00</v>
          </cell>
          <cell r="L82" t="str">
            <v>22nd October 2021 15:45</v>
          </cell>
          <cell r="M82">
            <v>7</v>
          </cell>
          <cell r="N82">
            <v>7</v>
          </cell>
          <cell r="P82" t="str">
            <v>22nd October 2021</v>
          </cell>
          <cell r="Q82" t="str">
            <v>Photo</v>
          </cell>
          <cell r="R82">
            <v>5</v>
          </cell>
          <cell r="S82">
            <v>3</v>
          </cell>
          <cell r="T82">
            <v>3</v>
          </cell>
          <cell r="U82">
            <v>1</v>
          </cell>
          <cell r="V82">
            <v>3</v>
          </cell>
          <cell r="X82" t="str">
            <v>22nd October 2021</v>
          </cell>
        </row>
        <row r="83">
          <cell r="B83" t="str">
            <v>P21</v>
          </cell>
          <cell r="C83" t="str">
            <v>SouthAfrica</v>
          </cell>
          <cell r="E83" t="str">
            <v>Pumphouse</v>
          </cell>
          <cell r="F83" t="str">
            <v>PRETORIA-5</v>
          </cell>
          <cell r="G83" t="str">
            <v>BRAAI-4</v>
          </cell>
          <cell r="H83">
            <v>44485.521527777775</v>
          </cell>
          <cell r="I83" t="str">
            <v>Pretoria</v>
          </cell>
          <cell r="J83" t="str">
            <v>Bushwillow Bend Chalets</v>
          </cell>
          <cell r="K83" t="str">
            <v>15th October 2021</v>
          </cell>
          <cell r="L83" t="str">
            <v>16th October 2021</v>
          </cell>
          <cell r="M83">
            <v>7</v>
          </cell>
          <cell r="N83">
            <v>7</v>
          </cell>
          <cell r="P83" t="str">
            <v>16th October 2021</v>
          </cell>
          <cell r="R83">
            <v>0</v>
          </cell>
          <cell r="S83">
            <v>3</v>
          </cell>
          <cell r="T83">
            <v>5</v>
          </cell>
          <cell r="U83">
            <v>2</v>
          </cell>
          <cell r="V83">
            <v>10</v>
          </cell>
          <cell r="X83" t="str">
            <v>16th October 2021</v>
          </cell>
        </row>
        <row r="84">
          <cell r="B84" t="str">
            <v>P30</v>
          </cell>
          <cell r="C84" t="str">
            <v>SouthAfrica</v>
          </cell>
          <cell r="E84" t="str">
            <v>Pumphouse</v>
          </cell>
          <cell r="F84" t="str">
            <v>"Cowshed Doorway" nest from CS</v>
          </cell>
          <cell r="G84" t="str">
            <v>LD777</v>
          </cell>
          <cell r="H84">
            <v>44492.351388888892</v>
          </cell>
          <cell r="I84" t="str">
            <v>Cowshed (neighbouring farm)</v>
          </cell>
          <cell r="J84" t="str">
            <v>Bushwillow Bend</v>
          </cell>
          <cell r="K84" t="str">
            <v>22nd October 2021 15:00</v>
          </cell>
          <cell r="L84" t="str">
            <v>22nd October 2021 15:00</v>
          </cell>
          <cell r="M84">
            <v>7</v>
          </cell>
          <cell r="N84">
            <v>7</v>
          </cell>
          <cell r="P84" t="str">
            <v>22nd October 2021</v>
          </cell>
          <cell r="Q84" t="str">
            <v>Photo</v>
          </cell>
          <cell r="R84">
            <v>6</v>
          </cell>
          <cell r="S84">
            <v>6</v>
          </cell>
          <cell r="T84">
            <v>1</v>
          </cell>
          <cell r="U84">
            <v>1</v>
          </cell>
          <cell r="V84">
            <v>15</v>
          </cell>
        </row>
        <row r="85">
          <cell r="B85" t="str">
            <v>T13</v>
          </cell>
          <cell r="C85" t="str">
            <v>SouthAfrica</v>
          </cell>
          <cell r="E85" t="str">
            <v>Trudie's Farm</v>
          </cell>
          <cell r="F85" t="str">
            <v>P6</v>
          </cell>
          <cell r="G85" t="str">
            <v>Old-Farmhouse-3</v>
          </cell>
          <cell r="H85">
            <v>44493.495833333334</v>
          </cell>
          <cell r="I85" t="str">
            <v>Pumphouse</v>
          </cell>
          <cell r="J85" t="str">
            <v>Old Farmhouse</v>
          </cell>
          <cell r="M85">
            <v>7</v>
          </cell>
          <cell r="N85">
            <v>7</v>
          </cell>
          <cell r="P85" t="str">
            <v>25th October 2021</v>
          </cell>
          <cell r="Q85" t="str">
            <v>Video</v>
          </cell>
          <cell r="R85">
            <v>6</v>
          </cell>
          <cell r="S85">
            <v>4</v>
          </cell>
          <cell r="X85" t="str">
            <v>24th October 2021</v>
          </cell>
        </row>
        <row r="86">
          <cell r="B86" t="str">
            <v>T10</v>
          </cell>
          <cell r="C86" t="str">
            <v>SouthAfrica</v>
          </cell>
          <cell r="E86" t="str">
            <v>Trudie's Farm</v>
          </cell>
          <cell r="F86" t="str">
            <v>P11</v>
          </cell>
          <cell r="G86" t="str">
            <v>LEON-2</v>
          </cell>
          <cell r="H86">
            <v>44493.467361111114</v>
          </cell>
          <cell r="I86" t="str">
            <v>Pumphouse</v>
          </cell>
          <cell r="J86" t="str">
            <v>Leon's Farm</v>
          </cell>
          <cell r="K86" t="str">
            <v>24th October 2021 8:50</v>
          </cell>
          <cell r="M86">
            <v>7</v>
          </cell>
          <cell r="N86">
            <v>7</v>
          </cell>
          <cell r="P86" t="str">
            <v>24th October 2021</v>
          </cell>
          <cell r="Q86" t="str">
            <v>Photo</v>
          </cell>
          <cell r="R86">
            <v>6</v>
          </cell>
          <cell r="S86">
            <v>6</v>
          </cell>
          <cell r="T86">
            <v>2</v>
          </cell>
          <cell r="U86">
            <v>1</v>
          </cell>
          <cell r="V86">
            <v>14</v>
          </cell>
          <cell r="X86" t="str">
            <v>24th October 2021</v>
          </cell>
        </row>
        <row r="87">
          <cell r="B87" t="str">
            <v>T31</v>
          </cell>
          <cell r="C87" t="str">
            <v>SouthAfrica</v>
          </cell>
          <cell r="E87" t="str">
            <v>Trudie's Farm</v>
          </cell>
          <cell r="F87" t="str">
            <v>P9</v>
          </cell>
          <cell r="G87" t="str">
            <v>LEON-5</v>
          </cell>
          <cell r="H87">
            <v>44493.472916666666</v>
          </cell>
          <cell r="I87" t="str">
            <v>Pumphouse</v>
          </cell>
          <cell r="J87" t="str">
            <v>Leon's Farm</v>
          </cell>
          <cell r="K87" t="str">
            <v>24th October 2021 8:50</v>
          </cell>
          <cell r="L87" t="str">
            <v>24th October 2021 9:35</v>
          </cell>
          <cell r="M87">
            <v>7</v>
          </cell>
          <cell r="N87">
            <v>7</v>
          </cell>
          <cell r="P87" t="str">
            <v>24th October 2021</v>
          </cell>
          <cell r="Q87" t="str">
            <v>Photo</v>
          </cell>
          <cell r="R87">
            <v>3</v>
          </cell>
          <cell r="S87">
            <v>7</v>
          </cell>
          <cell r="T87">
            <v>4</v>
          </cell>
          <cell r="U87">
            <v>3</v>
          </cell>
          <cell r="V87">
            <v>4</v>
          </cell>
          <cell r="X87" t="str">
            <v>24th October 2021</v>
          </cell>
        </row>
        <row r="88">
          <cell r="B88" t="str">
            <v>T22</v>
          </cell>
          <cell r="C88" t="str">
            <v>SouthAfrica</v>
          </cell>
          <cell r="E88" t="str">
            <v>Trudie's Farm</v>
          </cell>
          <cell r="F88" t="str">
            <v>P16</v>
          </cell>
          <cell r="G88" t="str">
            <v>LEON-7</v>
          </cell>
          <cell r="H88">
            <v>44493.481249999997</v>
          </cell>
          <cell r="I88" t="str">
            <v>Pumphouse</v>
          </cell>
          <cell r="J88" t="str">
            <v>Leon's Farm</v>
          </cell>
          <cell r="K88" t="str">
            <v>24th October 2021 8:50</v>
          </cell>
          <cell r="L88" t="str">
            <v>24th October 2021 9:35</v>
          </cell>
          <cell r="M88">
            <v>7</v>
          </cell>
          <cell r="N88">
            <v>7</v>
          </cell>
          <cell r="P88" t="str">
            <v>24th October 2021</v>
          </cell>
          <cell r="Q88" t="str">
            <v>Photo</v>
          </cell>
          <cell r="R88">
            <v>2</v>
          </cell>
          <cell r="S88">
            <v>2</v>
          </cell>
          <cell r="T88">
            <v>3</v>
          </cell>
          <cell r="U88">
            <v>3</v>
          </cell>
          <cell r="V88">
            <v>8</v>
          </cell>
          <cell r="X88" t="str">
            <v>24th October 2021</v>
          </cell>
        </row>
        <row r="89">
          <cell r="B89" t="str">
            <v>T9</v>
          </cell>
          <cell r="C89" t="str">
            <v>SouthAfrica</v>
          </cell>
          <cell r="E89" t="str">
            <v>Trudie's Farm</v>
          </cell>
          <cell r="F89" t="str">
            <v>CS4</v>
          </cell>
          <cell r="G89" t="str">
            <v>LEON-1</v>
          </cell>
          <cell r="H89">
            <v>44496.363888888889</v>
          </cell>
          <cell r="I89" t="str">
            <v>Cowshed (neighbouring farm)</v>
          </cell>
          <cell r="J89" t="str">
            <v>Leon's Farm</v>
          </cell>
          <cell r="K89" t="str">
            <v>27th October 7:55</v>
          </cell>
          <cell r="M89">
            <v>7</v>
          </cell>
          <cell r="N89">
            <v>7</v>
          </cell>
          <cell r="P89" t="str">
            <v>27th October 2021</v>
          </cell>
          <cell r="Q89" t="str">
            <v>Photo</v>
          </cell>
          <cell r="R89">
            <v>1</v>
          </cell>
          <cell r="S89">
            <v>4</v>
          </cell>
          <cell r="T89">
            <v>3</v>
          </cell>
          <cell r="U89">
            <v>1</v>
          </cell>
          <cell r="V89">
            <v>4</v>
          </cell>
          <cell r="X89" t="str">
            <v>24th October 2021</v>
          </cell>
        </row>
        <row r="90">
          <cell r="B90" t="str">
            <v>T20</v>
          </cell>
          <cell r="C90" t="str">
            <v>SouthAfrica</v>
          </cell>
          <cell r="E90" t="str">
            <v>Trudie's Farm</v>
          </cell>
          <cell r="F90" t="str">
            <v>P21</v>
          </cell>
          <cell r="G90" t="str">
            <v>COWSHED DOORWAY 4</v>
          </cell>
          <cell r="H90">
            <v>44496.380555555559</v>
          </cell>
          <cell r="I90" t="str">
            <v>Pumphouse</v>
          </cell>
          <cell r="J90" t="str">
            <v>Cowshed (neighbouring farm)</v>
          </cell>
          <cell r="L90" t="str">
            <v>27th October 8:05</v>
          </cell>
          <cell r="M90">
            <v>7</v>
          </cell>
          <cell r="N90">
            <v>7</v>
          </cell>
          <cell r="P90" t="str">
            <v>26th October 2021</v>
          </cell>
          <cell r="Q90" t="str">
            <v>Photo</v>
          </cell>
          <cell r="R90">
            <v>3</v>
          </cell>
          <cell r="S90">
            <v>5</v>
          </cell>
          <cell r="T90">
            <v>1</v>
          </cell>
          <cell r="U90">
            <v>4</v>
          </cell>
          <cell r="V90">
            <v>7</v>
          </cell>
          <cell r="X90" t="str">
            <v>27th October 2021</v>
          </cell>
        </row>
        <row r="91">
          <cell r="B91" t="str">
            <v>T11</v>
          </cell>
          <cell r="C91" t="str">
            <v>SouthAfrica</v>
          </cell>
          <cell r="E91" t="str">
            <v>Trudie's Farm</v>
          </cell>
          <cell r="F91" t="str">
            <v>P13</v>
          </cell>
          <cell r="G91" t="str">
            <v>LEON-10</v>
          </cell>
          <cell r="H91">
            <v>44496.370138888888</v>
          </cell>
          <cell r="I91" t="str">
            <v>Pumphouse</v>
          </cell>
          <cell r="J91" t="str">
            <v>Leon's Farm</v>
          </cell>
          <cell r="K91" t="str">
            <v>26th October 2021 16:40</v>
          </cell>
          <cell r="M91">
            <v>7</v>
          </cell>
          <cell r="N91">
            <v>7</v>
          </cell>
          <cell r="P91" t="str">
            <v>26th October 2021</v>
          </cell>
          <cell r="Q91" t="str">
            <v>Photo</v>
          </cell>
          <cell r="R91">
            <v>10</v>
          </cell>
          <cell r="S91">
            <v>5</v>
          </cell>
          <cell r="T91">
            <v>4</v>
          </cell>
          <cell r="U91">
            <v>4</v>
          </cell>
          <cell r="V91">
            <v>24</v>
          </cell>
          <cell r="X91" t="str">
            <v>24th October 2021</v>
          </cell>
        </row>
        <row r="92">
          <cell r="B92" t="str">
            <v>T14</v>
          </cell>
          <cell r="C92" t="str">
            <v>SouthAfrica</v>
          </cell>
          <cell r="E92" t="str">
            <v>Trudie's Farm</v>
          </cell>
          <cell r="F92" t="str">
            <v>CS7</v>
          </cell>
          <cell r="G92" t="str">
            <v>LEON-3</v>
          </cell>
          <cell r="H92">
            <v>44496.367361111108</v>
          </cell>
          <cell r="I92" t="str">
            <v>Cowshed (neighbouring farm)</v>
          </cell>
          <cell r="J92" t="str">
            <v>Leon's Farm</v>
          </cell>
          <cell r="K92" t="str">
            <v>27th October 2021 7:55</v>
          </cell>
          <cell r="M92">
            <v>7</v>
          </cell>
          <cell r="N92">
            <v>7</v>
          </cell>
          <cell r="P92" t="str">
            <v>27th October 2021</v>
          </cell>
          <cell r="Q92" t="str">
            <v>Photo</v>
          </cell>
          <cell r="R92">
            <v>5</v>
          </cell>
          <cell r="S92">
            <v>4</v>
          </cell>
          <cell r="T92">
            <v>1</v>
          </cell>
          <cell r="U92">
            <v>1</v>
          </cell>
          <cell r="V92">
            <v>14</v>
          </cell>
          <cell r="X92" t="str">
            <v>24th October 2021</v>
          </cell>
        </row>
        <row r="93">
          <cell r="B93" t="str">
            <v>T12</v>
          </cell>
          <cell r="C93" t="str">
            <v>SouthAfrica</v>
          </cell>
          <cell r="E93" t="str">
            <v>Trudie's Farm</v>
          </cell>
          <cell r="F93" t="str">
            <v>P5</v>
          </cell>
          <cell r="G93" t="str">
            <v>LEON-9</v>
          </cell>
          <cell r="H93">
            <v>44496.374305555553</v>
          </cell>
          <cell r="I93" t="str">
            <v>Pumphouse</v>
          </cell>
          <cell r="J93" t="str">
            <v>Leon's Farm</v>
          </cell>
          <cell r="K93" t="str">
            <v>26th October 2021 16:40</v>
          </cell>
          <cell r="M93">
            <v>7</v>
          </cell>
          <cell r="N93">
            <v>7.13</v>
          </cell>
          <cell r="P93" t="str">
            <v>26th October 2021</v>
          </cell>
          <cell r="Q93" t="str">
            <v>Photo</v>
          </cell>
          <cell r="R93">
            <v>6</v>
          </cell>
          <cell r="S93">
            <v>5</v>
          </cell>
          <cell r="T93">
            <v>3</v>
          </cell>
          <cell r="U93">
            <v>0</v>
          </cell>
          <cell r="V93">
            <v>11</v>
          </cell>
          <cell r="X93" t="str">
            <v>24th October 2021</v>
          </cell>
        </row>
        <row r="94">
          <cell r="B94" t="str">
            <v>T29</v>
          </cell>
          <cell r="C94" t="str">
            <v>SouthAfrica</v>
          </cell>
          <cell r="E94" t="str">
            <v>Trudie's Farm</v>
          </cell>
          <cell r="F94" t="str">
            <v>P4</v>
          </cell>
          <cell r="G94" t="str">
            <v>LEON-8</v>
          </cell>
          <cell r="H94">
            <v>44496.4</v>
          </cell>
          <cell r="I94" t="str">
            <v>Pumphouse</v>
          </cell>
          <cell r="J94" t="str">
            <v>Leon's Farm</v>
          </cell>
          <cell r="K94" t="str">
            <v>26th October 2021 16:40</v>
          </cell>
          <cell r="M94">
            <v>7</v>
          </cell>
          <cell r="N94">
            <v>7</v>
          </cell>
          <cell r="P94" t="str">
            <v>26th October 2021</v>
          </cell>
          <cell r="Q94" t="str">
            <v>Photo</v>
          </cell>
          <cell r="R94">
            <v>3</v>
          </cell>
          <cell r="S94">
            <v>3</v>
          </cell>
          <cell r="T94">
            <v>3</v>
          </cell>
          <cell r="U94">
            <v>2</v>
          </cell>
          <cell r="V94">
            <v>4</v>
          </cell>
          <cell r="X94" t="str">
            <v>24th October 2021</v>
          </cell>
        </row>
        <row r="95">
          <cell r="B95" t="str">
            <v>T15</v>
          </cell>
          <cell r="C95" t="str">
            <v>SouthAfrica</v>
          </cell>
          <cell r="E95" t="str">
            <v>Trudie's Farm</v>
          </cell>
          <cell r="F95" t="str">
            <v>P25</v>
          </cell>
          <cell r="G95" t="str">
            <v>OLD-FARMHOUSE-1234</v>
          </cell>
          <cell r="H95">
            <v>44500.075694444444</v>
          </cell>
          <cell r="I95" t="str">
            <v>Pumphouse</v>
          </cell>
          <cell r="J95" t="str">
            <v>Old Farmhouse</v>
          </cell>
          <cell r="K95" t="str">
            <v>31st October 2021 11:50</v>
          </cell>
          <cell r="L95" t="str">
            <v>31st October 2021 12:15</v>
          </cell>
          <cell r="M95">
            <v>7</v>
          </cell>
          <cell r="N95">
            <v>7</v>
          </cell>
          <cell r="P95" t="str">
            <v>31st October 2021</v>
          </cell>
          <cell r="Q95" t="str">
            <v>Photo</v>
          </cell>
          <cell r="R95">
            <v>8</v>
          </cell>
          <cell r="S95">
            <v>6</v>
          </cell>
          <cell r="T95">
            <v>7</v>
          </cell>
          <cell r="U95">
            <v>1</v>
          </cell>
          <cell r="V95">
            <v>10</v>
          </cell>
          <cell r="X95" t="str">
            <v>31st October 2021</v>
          </cell>
        </row>
        <row r="98">
          <cell r="C98" t="str">
            <v>Note for additional trials that were not included:</v>
          </cell>
        </row>
        <row r="99">
          <cell r="B99">
            <v>29</v>
          </cell>
          <cell r="C99" t="str">
            <v>Cameroon</v>
          </cell>
          <cell r="D99" t="str">
            <v>Batch 6</v>
          </cell>
          <cell r="E99" t="str">
            <v>University of Yaounde 1 (Central Cameroon)</v>
          </cell>
          <cell r="F99" t="str">
            <v>D2</v>
          </cell>
          <cell r="G99" t="str">
            <v>F1</v>
          </cell>
          <cell r="H99">
            <v>44331.422222222223</v>
          </cell>
        </row>
        <row r="100">
          <cell r="B100">
            <v>24</v>
          </cell>
          <cell r="C100" t="str">
            <v>Cameroon</v>
          </cell>
          <cell r="D100" t="str">
            <v>Batch 6</v>
          </cell>
          <cell r="E100" t="str">
            <v>University of Yaounde 1 (Central Cameroon)</v>
          </cell>
          <cell r="F100" t="str">
            <v>S15</v>
          </cell>
          <cell r="G100" t="str">
            <v>A1</v>
          </cell>
          <cell r="H100">
            <v>44331.423611111109</v>
          </cell>
        </row>
        <row r="101">
          <cell r="B101">
            <v>28</v>
          </cell>
          <cell r="C101" t="str">
            <v>Cameroon</v>
          </cell>
          <cell r="D101" t="str">
            <v>Batch 6</v>
          </cell>
          <cell r="E101" t="str">
            <v>University of Yaounde 1 (Central Cameroon)</v>
          </cell>
          <cell r="F101" t="str">
            <v>G2</v>
          </cell>
          <cell r="G101" t="str">
            <v>D1</v>
          </cell>
          <cell r="H101">
            <v>44331.427083333336</v>
          </cell>
        </row>
        <row r="102">
          <cell r="B102">
            <v>13</v>
          </cell>
          <cell r="C102" t="str">
            <v>Cameroon</v>
          </cell>
          <cell r="D102" t="str">
            <v>Batch 6</v>
          </cell>
          <cell r="E102" t="str">
            <v>University of Yaounde 1 (Central Cameroon)</v>
          </cell>
          <cell r="F102" t="str">
            <v>E2</v>
          </cell>
          <cell r="G102" t="str">
            <v>E1</v>
          </cell>
          <cell r="H102">
            <v>44331.436111111114</v>
          </cell>
        </row>
        <row r="103">
          <cell r="B103">
            <v>40</v>
          </cell>
          <cell r="C103" t="str">
            <v>Cameroon</v>
          </cell>
          <cell r="D103" t="str">
            <v>Batch 6</v>
          </cell>
          <cell r="E103" t="str">
            <v>University of Yaounde 1 (Central Cameroon)</v>
          </cell>
          <cell r="F103" t="str">
            <v>H2</v>
          </cell>
          <cell r="G103" t="str">
            <v>H1</v>
          </cell>
          <cell r="H103">
            <v>44331.447916666664</v>
          </cell>
        </row>
      </sheetData>
      <sheetData sheetId="11">
        <row r="2">
          <cell r="B2" t="str">
            <v>Nest8</v>
          </cell>
        </row>
        <row r="3">
          <cell r="B3" t="str">
            <v>Nest21</v>
          </cell>
        </row>
        <row r="4">
          <cell r="B4" t="str">
            <v>A3-1</v>
          </cell>
        </row>
        <row r="5">
          <cell r="B5" t="str">
            <v>A4-17</v>
          </cell>
        </row>
        <row r="6">
          <cell r="B6" t="str">
            <v>C1-11</v>
          </cell>
        </row>
        <row r="7">
          <cell r="B7" t="str">
            <v>C2-1</v>
          </cell>
        </row>
        <row r="10">
          <cell r="B10" t="str">
            <v>C2-13</v>
          </cell>
        </row>
        <row r="11">
          <cell r="B11" t="str">
            <v>A2-7</v>
          </cell>
        </row>
        <row r="12">
          <cell r="B12" t="str">
            <v>A3-7</v>
          </cell>
        </row>
        <row r="13">
          <cell r="B13" t="str">
            <v>A4-32</v>
          </cell>
        </row>
        <row r="14">
          <cell r="B14" t="str">
            <v>A4-35</v>
          </cell>
        </row>
        <row r="15">
          <cell r="B15" t="str">
            <v>A5-7</v>
          </cell>
        </row>
        <row r="16">
          <cell r="B16" t="str">
            <v>A5-10</v>
          </cell>
        </row>
        <row r="17">
          <cell r="B17" t="str">
            <v>C1-7</v>
          </cell>
        </row>
        <row r="18">
          <cell r="B18" t="str">
            <v>C2-9</v>
          </cell>
        </row>
        <row r="19">
          <cell r="B19" t="str">
            <v>C2-16</v>
          </cell>
        </row>
        <row r="21">
          <cell r="B21" t="str">
            <v>E1-10</v>
          </cell>
        </row>
        <row r="22">
          <cell r="B22" t="str">
            <v>E3-4</v>
          </cell>
        </row>
        <row r="23">
          <cell r="B23" t="str">
            <v>E3-3</v>
          </cell>
        </row>
        <row r="24">
          <cell r="B24" t="str">
            <v>E3-8</v>
          </cell>
        </row>
        <row r="25">
          <cell r="B25" t="str">
            <v>E3-7</v>
          </cell>
        </row>
        <row r="26">
          <cell r="B26" t="str">
            <v>E3-12</v>
          </cell>
        </row>
        <row r="27">
          <cell r="B27" t="str">
            <v>E3-15</v>
          </cell>
        </row>
        <row r="28">
          <cell r="B28" t="str">
            <v>E3-14</v>
          </cell>
        </row>
        <row r="29">
          <cell r="B29" t="str">
            <v>C2-19</v>
          </cell>
        </row>
        <row r="30">
          <cell r="B30" t="str">
            <v>C2-11</v>
          </cell>
        </row>
        <row r="31">
          <cell r="B31" t="str">
            <v>C2-21</v>
          </cell>
        </row>
        <row r="33">
          <cell r="B33" t="str">
            <v>C2-12</v>
          </cell>
        </row>
        <row r="34">
          <cell r="B34" t="str">
            <v>A3-11a</v>
          </cell>
        </row>
        <row r="38">
          <cell r="B38" t="str">
            <v>SOA-1</v>
          </cell>
        </row>
        <row r="39">
          <cell r="B39" t="str">
            <v>SOA-2</v>
          </cell>
        </row>
        <row r="40">
          <cell r="B40" t="str">
            <v>SOA-3</v>
          </cell>
        </row>
        <row r="41">
          <cell r="B41" t="str">
            <v>SOA-4</v>
          </cell>
        </row>
        <row r="42">
          <cell r="B42" t="str">
            <v>SOA-6</v>
          </cell>
        </row>
        <row r="43">
          <cell r="B43" t="str">
            <v>SOA-7</v>
          </cell>
        </row>
        <row r="44">
          <cell r="B44" t="str">
            <v>SOA-8</v>
          </cell>
        </row>
        <row r="45">
          <cell r="B45" t="str">
            <v>SOA-11</v>
          </cell>
        </row>
        <row r="46">
          <cell r="B46" t="str">
            <v>SOA-10</v>
          </cell>
        </row>
        <row r="47">
          <cell r="B47" t="str">
            <v>A4-8</v>
          </cell>
        </row>
        <row r="48">
          <cell r="B48" t="str">
            <v>A4-28</v>
          </cell>
        </row>
        <row r="49">
          <cell r="B49" t="str">
            <v>A côté C1-10</v>
          </cell>
        </row>
        <row r="50">
          <cell r="B50" t="str">
            <v>B2-999</v>
          </cell>
        </row>
        <row r="51">
          <cell r="B51" t="str">
            <v>EF12</v>
          </cell>
        </row>
        <row r="52">
          <cell r="B52" t="str">
            <v>EF4</v>
          </cell>
        </row>
        <row r="53">
          <cell r="B53" t="str">
            <v>EF5</v>
          </cell>
        </row>
        <row r="54">
          <cell r="B54" t="str">
            <v>EF8</v>
          </cell>
        </row>
        <row r="55">
          <cell r="B55" t="str">
            <v>EF7</v>
          </cell>
        </row>
        <row r="56">
          <cell r="B56" t="str">
            <v>EF10</v>
          </cell>
        </row>
        <row r="59">
          <cell r="B59" t="str">
            <v>EF21</v>
          </cell>
        </row>
        <row r="60">
          <cell r="B60" t="str">
            <v>EF17</v>
          </cell>
        </row>
        <row r="61">
          <cell r="B61" t="str">
            <v>EF6</v>
          </cell>
        </row>
        <row r="62">
          <cell r="B62" t="str">
            <v>EF20</v>
          </cell>
        </row>
        <row r="63">
          <cell r="B63" t="str">
            <v>EF18</v>
          </cell>
        </row>
        <row r="64">
          <cell r="B64" t="str">
            <v>Z1</v>
          </cell>
        </row>
        <row r="65">
          <cell r="B65" t="str">
            <v>Z2</v>
          </cell>
        </row>
        <row r="66">
          <cell r="B66" t="str">
            <v>Z3</v>
          </cell>
        </row>
        <row r="67">
          <cell r="B67" t="str">
            <v>Z4</v>
          </cell>
        </row>
        <row r="68">
          <cell r="B68" t="str">
            <v>Z9</v>
          </cell>
        </row>
        <row r="69">
          <cell r="B69" t="str">
            <v>Z10</v>
          </cell>
        </row>
        <row r="70">
          <cell r="B70" t="str">
            <v>Z13</v>
          </cell>
        </row>
        <row r="71">
          <cell r="B71" t="str">
            <v>Z14</v>
          </cell>
        </row>
        <row r="72">
          <cell r="B72" t="str">
            <v>CS4</v>
          </cell>
        </row>
        <row r="73">
          <cell r="B73" t="str">
            <v>CS7</v>
          </cell>
        </row>
        <row r="74">
          <cell r="B74" t="str">
            <v>CS1</v>
          </cell>
        </row>
        <row r="75">
          <cell r="B75" t="str">
            <v>P14</v>
          </cell>
        </row>
        <row r="76">
          <cell r="B76" t="str">
            <v>P13</v>
          </cell>
        </row>
        <row r="77">
          <cell r="B77" t="str">
            <v>P34</v>
          </cell>
        </row>
        <row r="79">
          <cell r="B79" t="str">
            <v>P5</v>
          </cell>
        </row>
        <row r="80">
          <cell r="B80" t="str">
            <v>P27</v>
          </cell>
        </row>
        <row r="81">
          <cell r="B81" t="str">
            <v>P28</v>
          </cell>
        </row>
        <row r="82">
          <cell r="B82" t="str">
            <v>P21</v>
          </cell>
        </row>
        <row r="83">
          <cell r="B83" t="str">
            <v>P30</v>
          </cell>
        </row>
        <row r="84">
          <cell r="B84" t="str">
            <v>T13</v>
          </cell>
        </row>
        <row r="85">
          <cell r="B85" t="str">
            <v>T10</v>
          </cell>
        </row>
        <row r="86">
          <cell r="B86" t="str">
            <v>T31</v>
          </cell>
        </row>
        <row r="88">
          <cell r="B88" t="str">
            <v>T9</v>
          </cell>
        </row>
        <row r="89">
          <cell r="B89" t="str">
            <v>T20</v>
          </cell>
        </row>
        <row r="90">
          <cell r="B90" t="str">
            <v>T11</v>
          </cell>
        </row>
        <row r="91">
          <cell r="B91" t="str">
            <v>T14</v>
          </cell>
        </row>
        <row r="92">
          <cell r="B92" t="str">
            <v>T12</v>
          </cell>
        </row>
        <row r="93">
          <cell r="B93" t="str">
            <v>T29</v>
          </cell>
        </row>
        <row r="94">
          <cell r="B94" t="str">
            <v>T15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14AF4-CDA1-BA42-854D-55393DA6D4E0}">
  <dimension ref="A1:L232"/>
  <sheetViews>
    <sheetView tabSelected="1" workbookViewId="0">
      <selection sqref="A1:L232"/>
    </sheetView>
  </sheetViews>
  <sheetFormatPr baseColWidth="10" defaultRowHeight="16" x14ac:dyDescent="0.2"/>
  <sheetData>
    <row r="1" spans="1:12" ht="124" x14ac:dyDescent="0.3">
      <c r="A1" s="1" t="s">
        <v>0</v>
      </c>
      <c r="B1" s="2" t="s">
        <v>1</v>
      </c>
      <c r="C1" s="3" t="s">
        <v>105</v>
      </c>
      <c r="D1" s="3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106</v>
      </c>
      <c r="J1" s="4" t="s">
        <v>7</v>
      </c>
      <c r="K1" s="4" t="s">
        <v>8</v>
      </c>
      <c r="L1" s="4" t="s">
        <v>107</v>
      </c>
    </row>
    <row r="2" spans="1:12" x14ac:dyDescent="0.2">
      <c r="A2" s="6"/>
      <c r="B2" s="7" t="s">
        <v>9</v>
      </c>
      <c r="C2" s="8"/>
      <c r="D2" s="9" t="str">
        <f>VLOOKUP(B2,[1]Trial_info!B:C,2,FALSE)</f>
        <v>Cameroon</v>
      </c>
      <c r="E2" s="9" t="str">
        <f>VLOOKUP($B2,[1]Trial_info!$B:$X,3,FALSE)</f>
        <v>Batch 1</v>
      </c>
      <c r="F2" s="9" t="str">
        <f>VLOOKUP($B2,[1]Trial_info!$B:$X,4,FALSE)</f>
        <v>University of Yaounde 1 (Central Cameroon)</v>
      </c>
      <c r="G2" s="9" t="str">
        <f>VLOOKUP($B2,[1]Trial_info!$B:$X,8,FALSE)</f>
        <v>C</v>
      </c>
      <c r="H2" s="9" t="str">
        <f>VLOOKUP($B2,[1]Trial_info!$B:$X,9,FALSE)</f>
        <v>C</v>
      </c>
      <c r="I2" s="10">
        <f>COUNTIF('[1]SUPMAT - Experiment_wasps_table'!G:G,'[1]SUPMAT - Trial_info'!B2)-1</f>
        <v>2</v>
      </c>
      <c r="J2" s="9">
        <f>VLOOKUP($B2,[1]Trial_info!$B:$X,17,FALSE)</f>
        <v>3</v>
      </c>
      <c r="K2" s="9">
        <f>VLOOKUP($B2,[1]Trial_info!$B:$X,18,FALSE)</f>
        <v>4</v>
      </c>
      <c r="L2" s="11">
        <f>VLOOKUP(B2,[1]Trial_info!B:H,7,FALSE)</f>
        <v>44277.670138888891</v>
      </c>
    </row>
    <row r="3" spans="1:12" x14ac:dyDescent="0.2">
      <c r="A3" s="6"/>
      <c r="B3" s="7" t="s">
        <v>10</v>
      </c>
      <c r="C3" s="8"/>
      <c r="D3" s="9" t="str">
        <f>VLOOKUP(B3,[1]Trial_info!B:C,2,FALSE)</f>
        <v>Cameroon</v>
      </c>
      <c r="E3" s="9" t="str">
        <f>VLOOKUP($B3,[1]Trial_info!$B:$X,3,FALSE)</f>
        <v>Batch 1</v>
      </c>
      <c r="F3" s="9" t="str">
        <f>VLOOKUP($B3,[1]Trial_info!$B:$X,4,FALSE)</f>
        <v>University of Yaounde 1 (Central Cameroon)</v>
      </c>
      <c r="G3" s="9" t="str">
        <f>VLOOKUP($B3,[1]Trial_info!$B:$X,8,FALSE)</f>
        <v>C</v>
      </c>
      <c r="H3" s="9" t="str">
        <f>VLOOKUP($B3,[1]Trial_info!$B:$X,9,FALSE)</f>
        <v>C</v>
      </c>
      <c r="I3" s="10">
        <f>COUNTIF('[1]SUPMAT - Experiment_wasps_table'!G:G,'[1]SUPMAT - Trial_info'!B3)-1</f>
        <v>6</v>
      </c>
      <c r="J3" s="9">
        <f>VLOOKUP($B3,[1]Trial_info!$B:$X,17,FALSE)</f>
        <v>4</v>
      </c>
      <c r="K3" s="9">
        <f>VLOOKUP($B3,[1]Trial_info!$B:$X,18,FALSE)</f>
        <v>3</v>
      </c>
      <c r="L3" s="11">
        <f>VLOOKUP(B3,[1]Trial_info!B:H,7,FALSE)</f>
        <v>44277.666666666664</v>
      </c>
    </row>
    <row r="4" spans="1:12" x14ac:dyDescent="0.2">
      <c r="A4" s="6"/>
      <c r="B4" s="7" t="s">
        <v>11</v>
      </c>
      <c r="C4" s="8"/>
      <c r="D4" s="9" t="str">
        <f>VLOOKUP(B4,[1]Trial_info!B:C,2,FALSE)</f>
        <v>Cameroon</v>
      </c>
      <c r="E4" s="9" t="str">
        <f>VLOOKUP($B4,[1]Trial_info!$B:$X,3,FALSE)</f>
        <v>Batch 1</v>
      </c>
      <c r="F4" s="9" t="str">
        <f>VLOOKUP($B4,[1]Trial_info!$B:$X,4,FALSE)</f>
        <v>University of Yaounde 1 (Central Cameroon)</v>
      </c>
      <c r="G4" s="9" t="str">
        <f>VLOOKUP($B4,[1]Trial_info!$B:$X,8,FALSE)</f>
        <v>C</v>
      </c>
      <c r="H4" s="9" t="str">
        <f>VLOOKUP($B4,[1]Trial_info!$B:$X,9,FALSE)</f>
        <v>Animalerie</v>
      </c>
      <c r="I4" s="10">
        <f>COUNTIF('[1]SUPMAT - Experiment_wasps_table'!G:G,'[1]SUPMAT - Trial_info'!B4)-1</f>
        <v>1</v>
      </c>
      <c r="J4" s="9">
        <f>VLOOKUP($B4,[1]Trial_info!$B:$X,17,FALSE)</f>
        <v>7</v>
      </c>
      <c r="K4" s="9">
        <f>VLOOKUP($B4,[1]Trial_info!$B:$X,18,FALSE)</f>
        <v>3</v>
      </c>
      <c r="L4" s="11">
        <f>VLOOKUP(B4,[1]Trial_info!B:H,7,FALSE)</f>
        <v>44277.666666666664</v>
      </c>
    </row>
    <row r="5" spans="1:12" x14ac:dyDescent="0.2">
      <c r="A5" s="6"/>
      <c r="B5" s="7" t="s">
        <v>12</v>
      </c>
      <c r="C5" s="8"/>
      <c r="D5" s="9" t="str">
        <f>VLOOKUP(B5,[1]Trial_info!B:C,2,FALSE)</f>
        <v>Cameroon</v>
      </c>
      <c r="E5" s="9" t="str">
        <f>VLOOKUP($B5,[1]Trial_info!$B:$X,3,FALSE)</f>
        <v>Batch 1</v>
      </c>
      <c r="F5" s="9" t="str">
        <f>VLOOKUP($B5,[1]Trial_info!$B:$X,4,FALSE)</f>
        <v>University of Yaounde 1 (Central Cameroon)</v>
      </c>
      <c r="G5" s="9" t="str">
        <f>VLOOKUP($B5,[1]Trial_info!$B:$X,8,FALSE)</f>
        <v>C</v>
      </c>
      <c r="H5" s="9" t="str">
        <f>VLOOKUP($B5,[1]Trial_info!$B:$X,9,FALSE)</f>
        <v>Animalerie</v>
      </c>
      <c r="I5" s="10">
        <f>COUNTIF('[1]SUPMAT - Experiment_wasps_table'!G:G,'[1]SUPMAT - Trial_info'!B5)-1</f>
        <v>1</v>
      </c>
      <c r="J5" s="9">
        <f>VLOOKUP($B5,[1]Trial_info!$B:$X,17,FALSE)</f>
        <v>5</v>
      </c>
      <c r="K5" s="9">
        <f>VLOOKUP($B5,[1]Trial_info!$B:$X,18,FALSE)</f>
        <v>7</v>
      </c>
      <c r="L5" s="11">
        <f>VLOOKUP(B5,[1]Trial_info!B:H,7,FALSE)</f>
        <v>44277.663194444445</v>
      </c>
    </row>
    <row r="6" spans="1:12" x14ac:dyDescent="0.2">
      <c r="A6" s="6"/>
      <c r="B6" s="7" t="s">
        <v>13</v>
      </c>
      <c r="C6" s="12"/>
      <c r="D6" s="9" t="str">
        <f>VLOOKUP(B6,[1]Trial_info!B:C,2,FALSE)</f>
        <v>Cameroon</v>
      </c>
      <c r="E6" s="9" t="str">
        <f>VLOOKUP($B6,[1]Trial_info!$B:$X,3,FALSE)</f>
        <v>Batch 1</v>
      </c>
      <c r="F6" s="9" t="str">
        <f>VLOOKUP($B6,[1]Trial_info!$B:$X,4,FALSE)</f>
        <v>University of Yaounde 1 (Central Cameroon)</v>
      </c>
      <c r="G6" s="9" t="str">
        <f>VLOOKUP($B6,[1]Trial_info!$B:$X,8,FALSE)</f>
        <v>Animalerie</v>
      </c>
      <c r="H6" s="9" t="str">
        <f>VLOOKUP($B6,[1]Trial_info!$B:$X,9,FALSE)</f>
        <v>Animalerie</v>
      </c>
      <c r="I6" s="10">
        <f>COUNTIF('[1]SUPMAT - Experiment_wasps_table'!G:G,'[1]SUPMAT - Trial_info'!B6)-1</f>
        <v>1</v>
      </c>
      <c r="J6" s="9">
        <f>VLOOKUP($B6,[1]Trial_info!$B:$X,17,FALSE)</f>
        <v>2</v>
      </c>
      <c r="K6" s="9">
        <f>VLOOKUP($B6,[1]Trial_info!$B:$X,18,FALSE)</f>
        <v>0</v>
      </c>
      <c r="L6" s="11">
        <f>VLOOKUP(B6,[1]Trial_info!B:H,7,FALSE)</f>
        <v>44277.628472222219</v>
      </c>
    </row>
    <row r="7" spans="1:12" x14ac:dyDescent="0.2">
      <c r="A7" s="6"/>
      <c r="B7" s="7" t="s">
        <v>14</v>
      </c>
      <c r="C7" s="12"/>
      <c r="D7" s="9" t="str">
        <f>VLOOKUP(B7,[1]Trial_info!B:C,2,FALSE)</f>
        <v>Cameroon</v>
      </c>
      <c r="E7" s="9" t="str">
        <f>VLOOKUP($B7,[1]Trial_info!$B:$X,3,FALSE)</f>
        <v>Batch 1</v>
      </c>
      <c r="F7" s="9" t="str">
        <f>VLOOKUP($B7,[1]Trial_info!$B:$X,4,FALSE)</f>
        <v>University of Yaounde 1 (Central Cameroon)</v>
      </c>
      <c r="G7" s="9" t="str">
        <f>VLOOKUP($B7,[1]Trial_info!$B:$X,8,FALSE)</f>
        <v>A</v>
      </c>
      <c r="H7" s="9" t="str">
        <f>VLOOKUP($B7,[1]Trial_info!$B:$X,9,FALSE)</f>
        <v>Animalerie</v>
      </c>
      <c r="I7" s="10">
        <f>COUNTIF('[1]SUPMAT - Experiment_wasps_table'!G:G,'[1]SUPMAT - Trial_info'!B7)-1</f>
        <v>2</v>
      </c>
      <c r="J7" s="9">
        <f>VLOOKUP($B7,[1]Trial_info!$B:$X,17,FALSE)</f>
        <v>4</v>
      </c>
      <c r="K7" s="9">
        <f>VLOOKUP($B7,[1]Trial_info!$B:$X,18,FALSE)</f>
        <v>0</v>
      </c>
      <c r="L7" s="11">
        <f>VLOOKUP(B7,[1]Trial_info!B:H,7,FALSE)</f>
        <v>44277.635416666664</v>
      </c>
    </row>
    <row r="8" spans="1:12" x14ac:dyDescent="0.2">
      <c r="A8" s="6"/>
      <c r="B8" s="13" t="s">
        <v>15</v>
      </c>
      <c r="C8" s="14" t="s">
        <v>16</v>
      </c>
      <c r="D8" s="15" t="str">
        <f>VLOOKUP(B8,[1]Trial_info!B:C,2,FALSE)</f>
        <v>Cameroon</v>
      </c>
      <c r="E8" s="15" t="str">
        <f>VLOOKUP($B8,[1]Trial_info!$B:$X,3,FALSE)</f>
        <v>Batch 1</v>
      </c>
      <c r="F8" s="15" t="str">
        <f>VLOOKUP($B8,[1]Trial_info!$B:$X,4,FALSE)</f>
        <v>University of Yaounde 1 (Central Cameroon)</v>
      </c>
      <c r="G8" s="15" t="str">
        <f>VLOOKUP($B8,[1]Trial_info!$B:$X,8,FALSE)</f>
        <v>A</v>
      </c>
      <c r="H8" s="15" t="str">
        <f>VLOOKUP($B8,[1]Trial_info!$B:$X,9,FALSE)</f>
        <v>Animalerie</v>
      </c>
      <c r="I8" s="16"/>
      <c r="J8" s="15">
        <f>VLOOKUP($B8,[1]Trial_info!$B:$X,17,FALSE)</f>
        <v>2</v>
      </c>
      <c r="K8" s="15">
        <f>VLOOKUP($B8,[1]Trial_info!$B:$X,18,FALSE)</f>
        <v>4</v>
      </c>
      <c r="L8" s="11">
        <f>VLOOKUP(B8,[1]Trial_info!B:H,7,FALSE)</f>
        <v>44277.638888888891</v>
      </c>
    </row>
    <row r="9" spans="1:12" x14ac:dyDescent="0.2">
      <c r="A9" s="6"/>
      <c r="B9" s="13" t="s">
        <v>17</v>
      </c>
      <c r="C9" s="14" t="s">
        <v>16</v>
      </c>
      <c r="D9" s="15" t="str">
        <f>VLOOKUP(B9,[1]Trial_info!B:C,2,FALSE)</f>
        <v>Cameroon</v>
      </c>
      <c r="E9" s="15" t="str">
        <f>VLOOKUP($B9,[1]Trial_info!$B:$X,3,FALSE)</f>
        <v>Batch 1</v>
      </c>
      <c r="F9" s="15" t="str">
        <f>VLOOKUP($B9,[1]Trial_info!$B:$X,4,FALSE)</f>
        <v>University of Yaounde 1 (Central Cameroon)</v>
      </c>
      <c r="G9" s="15" t="str">
        <f>VLOOKUP($B9,[1]Trial_info!$B:$X,8,FALSE)</f>
        <v>A</v>
      </c>
      <c r="H9" s="15" t="str">
        <f>VLOOKUP($B9,[1]Trial_info!$B:$X,9,FALSE)</f>
        <v>Animalerie</v>
      </c>
      <c r="I9" s="16"/>
      <c r="J9" s="15">
        <f>VLOOKUP($B9,[1]Trial_info!$B:$X,17,FALSE)</f>
        <v>6</v>
      </c>
      <c r="K9" s="15">
        <f>VLOOKUP($B9,[1]Trial_info!$B:$X,18,FALSE)</f>
        <v>3</v>
      </c>
      <c r="L9" s="11">
        <f>VLOOKUP(B9,[1]Trial_info!B:H,7,FALSE)</f>
        <v>44277.642361111109</v>
      </c>
    </row>
    <row r="10" spans="1:12" x14ac:dyDescent="0.2">
      <c r="A10" s="6"/>
      <c r="B10" s="7" t="s">
        <v>18</v>
      </c>
      <c r="C10" s="9" t="s">
        <v>19</v>
      </c>
      <c r="D10" s="9" t="str">
        <f>VLOOKUP(B10,[1]Trial_info!B:C,2,FALSE)</f>
        <v>Cameroon</v>
      </c>
      <c r="E10" s="9" t="str">
        <f>VLOOKUP($B10,[1]Trial_info!$B:$X,3,FALSE)</f>
        <v>Batch 1</v>
      </c>
      <c r="F10" s="9" t="str">
        <f>VLOOKUP($B10,[1]Trial_info!$B:$X,4,FALSE)</f>
        <v>University of Yaounde 1 (Central Cameroon)</v>
      </c>
      <c r="G10" s="9" t="str">
        <f>VLOOKUP($B10,[1]Trial_info!$B:$X,8,FALSE)</f>
        <v>A</v>
      </c>
      <c r="H10" s="9" t="str">
        <f>VLOOKUP($B10,[1]Trial_info!$B:$X,9,FALSE)</f>
        <v>Animalerie</v>
      </c>
      <c r="I10" s="10">
        <f>COUNTIF('[1]SUPMAT - Experiment_wasps_table'!G:G,'[1]SUPMAT - Trial_info'!B10)-1</f>
        <v>1</v>
      </c>
      <c r="J10" s="9">
        <f>VLOOKUP($B10,[1]Trial_info!$B:$X,17,FALSE)</f>
        <v>3</v>
      </c>
      <c r="K10" s="9">
        <f>VLOOKUP($B10,[1]Trial_info!$B:$X,18,FALSE)</f>
        <v>3</v>
      </c>
      <c r="L10" s="11">
        <f>VLOOKUP(B10,[1]Trial_info!B:H,7,FALSE)</f>
        <v>44277.645833333336</v>
      </c>
    </row>
    <row r="11" spans="1:12" x14ac:dyDescent="0.2">
      <c r="A11" s="6"/>
      <c r="B11" s="7" t="s">
        <v>20</v>
      </c>
      <c r="C11" s="12"/>
      <c r="D11" s="9" t="str">
        <f>VLOOKUP(B11,[1]Trial_info!B:C,2,FALSE)</f>
        <v>Cameroon</v>
      </c>
      <c r="E11" s="9" t="str">
        <f>VLOOKUP($B11,[1]Trial_info!$B:$X,3,FALSE)</f>
        <v>Batch 2</v>
      </c>
      <c r="F11" s="9" t="str">
        <f>VLOOKUP($B11,[1]Trial_info!$B:$X,4,FALSE)</f>
        <v>University of Yaounde 1 (Central Cameroon)</v>
      </c>
      <c r="G11" s="9" t="str">
        <f>VLOOKUP($B11,[1]Trial_info!$B:$X,8,FALSE)</f>
        <v>E</v>
      </c>
      <c r="H11" s="9" t="str">
        <f>VLOOKUP($B11,[1]Trial_info!$B:$X,9,FALSE)</f>
        <v>E</v>
      </c>
      <c r="I11" s="10">
        <f>COUNTIF('[1]SUPMAT - Experiment_wasps_table'!G:G,'[1]SUPMAT - Trial_info'!B11)-1</f>
        <v>2</v>
      </c>
      <c r="J11" s="9">
        <f>VLOOKUP($B11,[1]Trial_info!$B:$X,17,FALSE)</f>
        <v>2</v>
      </c>
      <c r="K11" s="9">
        <f>VLOOKUP($B11,[1]Trial_info!$B:$X,18,FALSE)</f>
        <v>0</v>
      </c>
      <c r="L11" s="11">
        <f>VLOOKUP(B11,[1]Trial_info!B:H,7,FALSE)</f>
        <v>44280.670138888891</v>
      </c>
    </row>
    <row r="12" spans="1:12" x14ac:dyDescent="0.2">
      <c r="B12" s="7" t="s">
        <v>21</v>
      </c>
      <c r="C12" s="17" t="s">
        <v>108</v>
      </c>
      <c r="D12" s="9" t="str">
        <f>VLOOKUP(B12,[1]Trial_info!B:C,2,FALSE)</f>
        <v>Cameroon</v>
      </c>
      <c r="E12" s="9" t="str">
        <f>VLOOKUP($B12,[1]Trial_info!$B:$X,3,FALSE)</f>
        <v>Batch 2</v>
      </c>
      <c r="F12" s="9" t="str">
        <f>VLOOKUP($B12,[1]Trial_info!$B:$X,4,FALSE)</f>
        <v>University of Yaounde 1 (Central Cameroon)</v>
      </c>
      <c r="G12" s="9" t="str">
        <f>VLOOKUP($B12,[1]Trial_info!$B:$X,8,FALSE)</f>
        <v>E</v>
      </c>
      <c r="H12" s="9" t="str">
        <f>VLOOKUP($B12,[1]Trial_info!$B:$X,9,FALSE)</f>
        <v>E</v>
      </c>
      <c r="I12" s="10">
        <f>COUNTIF('[1]SUPMAT - Experiment_wasps_table'!G:G,'[1]SUPMAT - Trial_info'!B12)-1</f>
        <v>1</v>
      </c>
      <c r="J12" s="9">
        <f>VLOOKUP($B12,[1]Trial_info!$B:$X,17,FALSE)</f>
        <v>1</v>
      </c>
      <c r="K12" s="9">
        <f>VLOOKUP($B12,[1]Trial_info!$B:$X,18,FALSE)</f>
        <v>1</v>
      </c>
      <c r="L12" s="11">
        <f>VLOOKUP(B12,[1]Trial_info!B:H,7,FALSE)</f>
        <v>44280.666666666664</v>
      </c>
    </row>
    <row r="13" spans="1:12" x14ac:dyDescent="0.2">
      <c r="A13" s="6"/>
      <c r="B13" s="7" t="s">
        <v>22</v>
      </c>
      <c r="C13" s="12"/>
      <c r="D13" s="9" t="str">
        <f>VLOOKUP(B13,[1]Trial_info!B:C,2,FALSE)</f>
        <v>Cameroon</v>
      </c>
      <c r="E13" s="9" t="str">
        <f>VLOOKUP($B13,[1]Trial_info!$B:$X,3,FALSE)</f>
        <v>Batch 2</v>
      </c>
      <c r="F13" s="9" t="str">
        <f>VLOOKUP($B13,[1]Trial_info!$B:$X,4,FALSE)</f>
        <v>University of Yaounde 1 (Central Cameroon)</v>
      </c>
      <c r="G13" s="9" t="str">
        <f>VLOOKUP($B13,[1]Trial_info!$B:$X,8,FALSE)</f>
        <v>E</v>
      </c>
      <c r="H13" s="9" t="str">
        <f>VLOOKUP($B13,[1]Trial_info!$B:$X,9,FALSE)</f>
        <v>E</v>
      </c>
      <c r="I13" s="10">
        <f>COUNTIF('[1]SUPMAT - Experiment_wasps_table'!G:G,'[1]SUPMAT - Trial_info'!B13)-1</f>
        <v>1</v>
      </c>
      <c r="J13" s="9">
        <f>VLOOKUP($B13,[1]Trial_info!$B:$X,17,FALSE)</f>
        <v>1</v>
      </c>
      <c r="K13" s="9">
        <f>VLOOKUP($B13,[1]Trial_info!$B:$X,18,FALSE)</f>
        <v>6</v>
      </c>
      <c r="L13" s="11">
        <f>VLOOKUP(B13,[1]Trial_info!B:H,7,FALSE)</f>
        <v>44280.671527777777</v>
      </c>
    </row>
    <row r="14" spans="1:12" x14ac:dyDescent="0.2">
      <c r="A14" s="6"/>
      <c r="B14" s="7" t="s">
        <v>23</v>
      </c>
      <c r="C14" s="12"/>
      <c r="D14" s="9" t="str">
        <f>VLOOKUP(B14,[1]Trial_info!B:C,2,FALSE)</f>
        <v>Cameroon</v>
      </c>
      <c r="E14" s="9" t="str">
        <f>VLOOKUP($B14,[1]Trial_info!$B:$X,3,FALSE)</f>
        <v>Batch 2</v>
      </c>
      <c r="F14" s="9" t="str">
        <f>VLOOKUP($B14,[1]Trial_info!$B:$X,4,FALSE)</f>
        <v>University of Yaounde 1 (Central Cameroon)</v>
      </c>
      <c r="G14" s="9" t="str">
        <f>VLOOKUP($B14,[1]Trial_info!$B:$X,8,FALSE)</f>
        <v>E</v>
      </c>
      <c r="H14" s="9" t="str">
        <f>VLOOKUP($B14,[1]Trial_info!$B:$X,9,FALSE)</f>
        <v>E</v>
      </c>
      <c r="I14" s="10">
        <f>COUNTIF('[1]SUPMAT - Experiment_wasps_table'!G:G,'[1]SUPMAT - Trial_info'!B14)-1</f>
        <v>1</v>
      </c>
      <c r="J14" s="9">
        <f>VLOOKUP($B14,[1]Trial_info!$B:$X,17,FALSE)</f>
        <v>1</v>
      </c>
      <c r="K14" s="9">
        <f>VLOOKUP($B14,[1]Trial_info!$B:$X,18,FALSE)</f>
        <v>1</v>
      </c>
      <c r="L14" s="11">
        <f>VLOOKUP(B14,[1]Trial_info!B:H,7,FALSE)</f>
        <v>44280.677083333336</v>
      </c>
    </row>
    <row r="15" spans="1:12" x14ac:dyDescent="0.2">
      <c r="A15" s="6"/>
      <c r="B15" s="7" t="s">
        <v>24</v>
      </c>
      <c r="C15" s="12"/>
      <c r="D15" s="9" t="str">
        <f>VLOOKUP(B15,[1]Trial_info!B:C,2,FALSE)</f>
        <v>Cameroon</v>
      </c>
      <c r="E15" s="9" t="str">
        <f>VLOOKUP($B15,[1]Trial_info!$B:$X,3,FALSE)</f>
        <v>Batch 2</v>
      </c>
      <c r="F15" s="9" t="str">
        <f>VLOOKUP($B15,[1]Trial_info!$B:$X,4,FALSE)</f>
        <v>University of Yaounde 1 (Central Cameroon)</v>
      </c>
      <c r="G15" s="9" t="str">
        <f>VLOOKUP($B15,[1]Trial_info!$B:$X,8,FALSE)</f>
        <v>C</v>
      </c>
      <c r="H15" s="9" t="str">
        <f>VLOOKUP($B15,[1]Trial_info!$B:$X,9,FALSE)</f>
        <v>E</v>
      </c>
      <c r="I15" s="10">
        <f>COUNTIF('[1]SUPMAT - Experiment_wasps_table'!G:G,'[1]SUPMAT - Trial_info'!B15)-1</f>
        <v>1</v>
      </c>
      <c r="J15" s="9">
        <f>VLOOKUP($B15,[1]Trial_info!$B:$X,17,FALSE)</f>
        <v>2</v>
      </c>
      <c r="K15" s="9">
        <f>VLOOKUP($B15,[1]Trial_info!$B:$X,18,FALSE)</f>
        <v>1</v>
      </c>
      <c r="L15" s="11">
        <f>VLOOKUP(B15,[1]Trial_info!B:H,7,FALSE)</f>
        <v>44280.680555555555</v>
      </c>
    </row>
    <row r="16" spans="1:12" x14ac:dyDescent="0.2">
      <c r="A16" s="6"/>
      <c r="B16" s="7" t="s">
        <v>25</v>
      </c>
      <c r="C16" s="12"/>
      <c r="D16" s="9" t="str">
        <f>VLOOKUP(B16,[1]Trial_info!B:C,2,FALSE)</f>
        <v>Cameroon</v>
      </c>
      <c r="E16" s="9" t="str">
        <f>VLOOKUP($B16,[1]Trial_info!$B:$X,3,FALSE)</f>
        <v>Batch 2</v>
      </c>
      <c r="F16" s="9" t="str">
        <f>VLOOKUP($B16,[1]Trial_info!$B:$X,4,FALSE)</f>
        <v>University of Yaounde 1 (Central Cameroon)</v>
      </c>
      <c r="G16" s="9" t="str">
        <f>VLOOKUP($B16,[1]Trial_info!$B:$X,8,FALSE)</f>
        <v>E</v>
      </c>
      <c r="H16" s="9" t="str">
        <f>VLOOKUP($B16,[1]Trial_info!$B:$X,9,FALSE)</f>
        <v>E</v>
      </c>
      <c r="I16" s="10">
        <f>COUNTIF('[1]SUPMAT - Experiment_wasps_table'!G:G,'[1]SUPMAT - Trial_info'!B16)-1</f>
        <v>1</v>
      </c>
      <c r="J16" s="9">
        <f>VLOOKUP($B16,[1]Trial_info!$B:$X,17,FALSE)</f>
        <v>1</v>
      </c>
      <c r="K16" s="9">
        <f>VLOOKUP($B16,[1]Trial_info!$B:$X,18,FALSE)</f>
        <v>0</v>
      </c>
      <c r="L16" s="11">
        <f>VLOOKUP(B16,[1]Trial_info!B:H,7,FALSE)</f>
        <v>44280.664583333331</v>
      </c>
    </row>
    <row r="17" spans="1:12" x14ac:dyDescent="0.2">
      <c r="A17" s="6"/>
      <c r="B17" s="7" t="s">
        <v>26</v>
      </c>
      <c r="C17" s="12"/>
      <c r="D17" s="9" t="str">
        <f>VLOOKUP(B17,[1]Trial_info!B:C,2,FALSE)</f>
        <v>Cameroon</v>
      </c>
      <c r="E17" s="9" t="str">
        <f>VLOOKUP($B17,[1]Trial_info!$B:$X,3,FALSE)</f>
        <v>Batch 2</v>
      </c>
      <c r="F17" s="9" t="str">
        <f>VLOOKUP($B17,[1]Trial_info!$B:$X,4,FALSE)</f>
        <v>University of Yaounde 1 (Central Cameroon)</v>
      </c>
      <c r="G17" s="9" t="str">
        <f>VLOOKUP($B17,[1]Trial_info!$B:$X,8,FALSE)</f>
        <v>E</v>
      </c>
      <c r="H17" s="9" t="str">
        <f>VLOOKUP($B17,[1]Trial_info!$B:$X,9,FALSE)</f>
        <v>E</v>
      </c>
      <c r="I17" s="10">
        <f>COUNTIF('[1]SUPMAT - Experiment_wasps_table'!G:G,'[1]SUPMAT - Trial_info'!B17)-1</f>
        <v>1</v>
      </c>
      <c r="J17" s="9">
        <f>VLOOKUP($B17,[1]Trial_info!$B:$X,17,FALSE)</f>
        <v>3</v>
      </c>
      <c r="K17" s="9">
        <f>VLOOKUP($B17,[1]Trial_info!$B:$X,18,FALSE)</f>
        <v>3</v>
      </c>
      <c r="L17" s="11">
        <f>VLOOKUP(B17,[1]Trial_info!B:H,7,FALSE)</f>
        <v>44280.6875</v>
      </c>
    </row>
    <row r="18" spans="1:12" x14ac:dyDescent="0.2">
      <c r="A18" s="6"/>
      <c r="B18" s="7" t="s">
        <v>27</v>
      </c>
      <c r="C18" s="12"/>
      <c r="D18" s="9" t="str">
        <f>VLOOKUP(B18,[1]Trial_info!B:C,2,FALSE)</f>
        <v>Cameroon</v>
      </c>
      <c r="E18" s="9" t="str">
        <f>VLOOKUP($B18,[1]Trial_info!$B:$X,3,FALSE)</f>
        <v>Batch 2</v>
      </c>
      <c r="F18" s="9" t="str">
        <f>VLOOKUP($B18,[1]Trial_info!$B:$X,4,FALSE)</f>
        <v>University of Yaounde 1 (Central Cameroon)</v>
      </c>
      <c r="G18" s="9" t="str">
        <f>VLOOKUP($B18,[1]Trial_info!$B:$X,8,FALSE)</f>
        <v>E</v>
      </c>
      <c r="H18" s="9" t="str">
        <f>VLOOKUP($B18,[1]Trial_info!$B:$X,9,FALSE)</f>
        <v>E</v>
      </c>
      <c r="I18" s="10">
        <f>COUNTIF('[1]SUPMAT - Experiment_wasps_table'!G:G,'[1]SUPMAT - Trial_info'!B18)-1</f>
        <v>3</v>
      </c>
      <c r="J18" s="9">
        <f>VLOOKUP($B18,[1]Trial_info!$B:$X,17,FALSE)</f>
        <v>2</v>
      </c>
      <c r="K18" s="9">
        <f>VLOOKUP($B18,[1]Trial_info!$B:$X,18,FALSE)</f>
        <v>1</v>
      </c>
      <c r="L18" s="11">
        <f>VLOOKUP(B18,[1]Trial_info!B:H,7,FALSE)</f>
        <v>44280.6875</v>
      </c>
    </row>
    <row r="19" spans="1:12" x14ac:dyDescent="0.2">
      <c r="A19" s="6"/>
      <c r="B19" s="7" t="s">
        <v>28</v>
      </c>
      <c r="C19" s="12"/>
      <c r="D19" s="9" t="str">
        <f>VLOOKUP(B19,[1]Trial_info!B:C,2,FALSE)</f>
        <v>Cameroon</v>
      </c>
      <c r="E19" s="9" t="str">
        <f>VLOOKUP($B19,[1]Trial_info!$B:$X,3,FALSE)</f>
        <v>Batch 2</v>
      </c>
      <c r="F19" s="9" t="str">
        <f>VLOOKUP($B19,[1]Trial_info!$B:$X,4,FALSE)</f>
        <v>University of Yaounde 1 (Central Cameroon)</v>
      </c>
      <c r="G19" s="9" t="str">
        <f>VLOOKUP($B19,[1]Trial_info!$B:$X,8,FALSE)</f>
        <v>E</v>
      </c>
      <c r="H19" s="9" t="str">
        <f>VLOOKUP($B19,[1]Trial_info!$B:$X,9,FALSE)</f>
        <v>E</v>
      </c>
      <c r="I19" s="10">
        <f>COUNTIF('[1]SUPMAT - Experiment_wasps_table'!G:G,'[1]SUPMAT - Trial_info'!B19)-1</f>
        <v>1</v>
      </c>
      <c r="J19" s="9">
        <f>VLOOKUP($B19,[1]Trial_info!$B:$X,17,FALSE)</f>
        <v>1</v>
      </c>
      <c r="K19" s="9">
        <f>VLOOKUP($B19,[1]Trial_info!$B:$X,18,FALSE)</f>
        <v>1</v>
      </c>
      <c r="L19" s="11">
        <f>VLOOKUP(B19,[1]Trial_info!B:H,7,FALSE)</f>
        <v>44280.6875</v>
      </c>
    </row>
    <row r="20" spans="1:12" x14ac:dyDescent="0.2">
      <c r="A20" s="6"/>
      <c r="B20" s="13" t="s">
        <v>29</v>
      </c>
      <c r="C20" s="14" t="s">
        <v>30</v>
      </c>
      <c r="D20" s="15" t="str">
        <f>VLOOKUP(B20,[1]Trial_info!B:C,2,FALSE)</f>
        <v>Cameroon</v>
      </c>
      <c r="E20" s="15" t="str">
        <f>VLOOKUP($B20,[1]Trial_info!$B:$X,3,FALSE)</f>
        <v>Batch 3</v>
      </c>
      <c r="F20" s="15" t="str">
        <f>VLOOKUP($B20,[1]Trial_info!$B:$X,4,FALSE)</f>
        <v>University of Yaounde 1 (Central Cameroon)</v>
      </c>
      <c r="G20" s="15" t="str">
        <f>VLOOKUP($B20,[1]Trial_info!$B:$X,8,FALSE)</f>
        <v>Department of Geography</v>
      </c>
      <c r="H20" s="15" t="str">
        <f>VLOOKUP($B20,[1]Trial_info!$B:$X,9,FALSE)</f>
        <v>Messa</v>
      </c>
      <c r="I20" s="10"/>
      <c r="J20" s="15">
        <f>VLOOKUP($B20,[1]Trial_info!$B:$X,17,FALSE)</f>
        <v>1</v>
      </c>
      <c r="K20" s="15">
        <f>VLOOKUP($B20,[1]Trial_info!$B:$X,18,FALSE)</f>
        <v>0</v>
      </c>
      <c r="L20" s="11">
        <f>VLOOKUP(B20,[1]Trial_info!B:H,7,FALSE)</f>
        <v>44284.684027777781</v>
      </c>
    </row>
    <row r="21" spans="1:12" x14ac:dyDescent="0.2">
      <c r="A21" s="6"/>
      <c r="B21" s="7" t="s">
        <v>31</v>
      </c>
      <c r="C21" s="12"/>
      <c r="D21" s="9" t="str">
        <f>VLOOKUP(B21,[1]Trial_info!B:C,2,FALSE)</f>
        <v>Cameroon</v>
      </c>
      <c r="E21" s="9" t="str">
        <f>VLOOKUP($B21,[1]Trial_info!$B:$X,3,FALSE)</f>
        <v>Batch 3</v>
      </c>
      <c r="F21" s="9" t="str">
        <f>VLOOKUP($B21,[1]Trial_info!$B:$X,4,FALSE)</f>
        <v>University of Yaounde 1 (Central Cameroon)</v>
      </c>
      <c r="G21" s="9" t="str">
        <f>VLOOKUP($B21,[1]Trial_info!$B:$X,8,FALSE)</f>
        <v>Department of Geography</v>
      </c>
      <c r="H21" s="9" t="str">
        <f>VLOOKUP($B21,[1]Trial_info!$B:$X,9,FALSE)</f>
        <v>Messa</v>
      </c>
      <c r="I21" s="10">
        <f>COUNTIF('[1]SUPMAT - Experiment_wasps_table'!G:G,'[1]SUPMAT - Trial_info'!B21)-1</f>
        <v>2</v>
      </c>
      <c r="J21" s="9">
        <f>VLOOKUP($B21,[1]Trial_info!$B:$X,17,FALSE)</f>
        <v>1</v>
      </c>
      <c r="K21" s="9">
        <f>VLOOKUP($B21,[1]Trial_info!$B:$X,18,FALSE)</f>
        <v>1</v>
      </c>
      <c r="L21" s="11">
        <f>VLOOKUP(B21,[1]Trial_info!B:H,7,FALSE)</f>
        <v>44284.690972222219</v>
      </c>
    </row>
    <row r="22" spans="1:12" x14ac:dyDescent="0.2">
      <c r="A22" s="6"/>
      <c r="B22" s="7" t="s">
        <v>32</v>
      </c>
      <c r="C22" s="12"/>
      <c r="D22" s="9" t="str">
        <f>VLOOKUP(B22,[1]Trial_info!B:C,2,FALSE)</f>
        <v>Cameroon</v>
      </c>
      <c r="E22" s="9" t="str">
        <f>VLOOKUP($B22,[1]Trial_info!$B:$X,3,FALSE)</f>
        <v>Batch 3</v>
      </c>
      <c r="F22" s="9" t="str">
        <f>VLOOKUP($B22,[1]Trial_info!$B:$X,4,FALSE)</f>
        <v>University of Yaounde 1 (Central Cameroon)</v>
      </c>
      <c r="G22" s="9" t="str">
        <f>VLOOKUP($B22,[1]Trial_info!$B:$X,8,FALSE)</f>
        <v>Messa</v>
      </c>
      <c r="H22" s="9" t="str">
        <f>VLOOKUP($B22,[1]Trial_info!$B:$X,9,FALSE)</f>
        <v>Department of Geography</v>
      </c>
      <c r="I22" s="10">
        <f>COUNTIF('[1]SUPMAT - Experiment_wasps_table'!G:G,'[1]SUPMAT - Trial_info'!B22)-1</f>
        <v>3</v>
      </c>
      <c r="J22" s="9">
        <f>VLOOKUP($B22,[1]Trial_info!$B:$X,17,FALSE)</f>
        <v>4</v>
      </c>
      <c r="K22" s="9">
        <f>VLOOKUP($B22,[1]Trial_info!$B:$X,18,FALSE)</f>
        <v>2</v>
      </c>
      <c r="L22" s="11">
        <f>VLOOKUP(B22,[1]Trial_info!B:H,7,FALSE)</f>
        <v>44284.694444444445</v>
      </c>
    </row>
    <row r="23" spans="1:12" x14ac:dyDescent="0.2">
      <c r="A23" s="6"/>
      <c r="B23" s="7" t="s">
        <v>33</v>
      </c>
      <c r="C23" s="12"/>
      <c r="D23" s="9" t="str">
        <f>VLOOKUP(B23,[1]Trial_info!B:C,2,FALSE)</f>
        <v>Cameroon</v>
      </c>
      <c r="E23" s="9" t="str">
        <f>VLOOKUP($B23,[1]Trial_info!$B:$X,3,FALSE)</f>
        <v>Batch 3</v>
      </c>
      <c r="F23" s="9" t="str">
        <f>VLOOKUP($B23,[1]Trial_info!$B:$X,4,FALSE)</f>
        <v>University of Yaounde 1 (Central Cameroon)</v>
      </c>
      <c r="G23" s="9" t="str">
        <f>VLOOKUP($B23,[1]Trial_info!$B:$X,8,FALSE)</f>
        <v>Messa</v>
      </c>
      <c r="H23" s="9" t="str">
        <f>VLOOKUP($B23,[1]Trial_info!$B:$X,9,FALSE)</f>
        <v>Messa</v>
      </c>
      <c r="I23" s="10">
        <f>COUNTIF('[1]SUPMAT - Experiment_wasps_table'!G:G,'[1]SUPMAT - Trial_info'!B23)-1</f>
        <v>1</v>
      </c>
      <c r="J23" s="9">
        <f>VLOOKUP($B23,[1]Trial_info!$B:$X,17,FALSE)</f>
        <v>2</v>
      </c>
      <c r="K23" s="9">
        <f>VLOOKUP($B23,[1]Trial_info!$B:$X,18,FALSE)</f>
        <v>1</v>
      </c>
      <c r="L23" s="11">
        <f>VLOOKUP(B23,[1]Trial_info!B:H,7,FALSE)</f>
        <v>44284.697916666664</v>
      </c>
    </row>
    <row r="24" spans="1:12" x14ac:dyDescent="0.2">
      <c r="A24" s="6"/>
      <c r="B24" s="7" t="s">
        <v>34</v>
      </c>
      <c r="C24" s="12"/>
      <c r="D24" s="9" t="str">
        <f>VLOOKUP(B24,[1]Trial_info!B:C,2,FALSE)</f>
        <v>Cameroon</v>
      </c>
      <c r="E24" s="9" t="str">
        <f>VLOOKUP($B24,[1]Trial_info!$B:$X,3,FALSE)</f>
        <v>Batch 3</v>
      </c>
      <c r="F24" s="9" t="str">
        <f>VLOOKUP($B24,[1]Trial_info!$B:$X,4,FALSE)</f>
        <v>University of Yaounde 1 (Central Cameroon)</v>
      </c>
      <c r="G24" s="9" t="str">
        <f>VLOOKUP($B24,[1]Trial_info!$B:$X,8,FALSE)</f>
        <v>Department of Geography</v>
      </c>
      <c r="H24" s="9" t="str">
        <f>VLOOKUP($B24,[1]Trial_info!$B:$X,9,FALSE)</f>
        <v>Messa</v>
      </c>
      <c r="I24" s="10">
        <f>COUNTIF('[1]SUPMAT - Experiment_wasps_table'!G:G,'[1]SUPMAT - Trial_info'!B24)-1</f>
        <v>3</v>
      </c>
      <c r="J24" s="9">
        <f>VLOOKUP($B24,[1]Trial_info!$B:$X,17,FALSE)</f>
        <v>2</v>
      </c>
      <c r="K24" s="9">
        <f>VLOOKUP($B24,[1]Trial_info!$B:$X,18,FALSE)</f>
        <v>3</v>
      </c>
      <c r="L24" s="11">
        <f>VLOOKUP(B24,[1]Trial_info!B:H,7,FALSE)</f>
        <v>44284.701388888891</v>
      </c>
    </row>
    <row r="25" spans="1:12" x14ac:dyDescent="0.2">
      <c r="A25" s="6"/>
      <c r="B25" s="7" t="s">
        <v>35</v>
      </c>
      <c r="C25" s="12"/>
      <c r="D25" s="9" t="str">
        <f>VLOOKUP(B25,[1]Trial_info!B:C,2,FALSE)</f>
        <v>Cameroon</v>
      </c>
      <c r="E25" s="9" t="str">
        <f>VLOOKUP($B25,[1]Trial_info!$B:$X,3,FALSE)</f>
        <v>Batch 3</v>
      </c>
      <c r="F25" s="9" t="str">
        <f>VLOOKUP($B25,[1]Trial_info!$B:$X,4,FALSE)</f>
        <v>University of Yaounde 1 (Central Cameroon)</v>
      </c>
      <c r="G25" s="9" t="str">
        <f>VLOOKUP($B25,[1]Trial_info!$B:$X,8,FALSE)</f>
        <v>Messa</v>
      </c>
      <c r="H25" s="9" t="str">
        <f>VLOOKUP($B25,[1]Trial_info!$B:$X,9,FALSE)</f>
        <v>Messa (presumed)</v>
      </c>
      <c r="I25" s="10">
        <f>COUNTIF('[1]SUPMAT - Experiment_wasps_table'!G:G,'[1]SUPMAT - Trial_info'!B25)-1</f>
        <v>1</v>
      </c>
      <c r="J25" s="9">
        <f>VLOOKUP($B25,[1]Trial_info!$B:$X,17,FALSE)</f>
        <v>2</v>
      </c>
      <c r="K25" s="9">
        <f>VLOOKUP($B25,[1]Trial_info!$B:$X,18,FALSE)</f>
        <v>3</v>
      </c>
      <c r="L25" s="11">
        <f>VLOOKUP(B25,[1]Trial_info!B:H,7,FALSE)</f>
        <v>44284.704861111109</v>
      </c>
    </row>
    <row r="26" spans="1:12" x14ac:dyDescent="0.2">
      <c r="A26" s="6"/>
      <c r="B26" s="7" t="s">
        <v>36</v>
      </c>
      <c r="C26" s="12"/>
      <c r="D26" s="9" t="str">
        <f>VLOOKUP(B26,[1]Trial_info!B:C,2,FALSE)</f>
        <v>Cameroon</v>
      </c>
      <c r="E26" s="9" t="str">
        <f>VLOOKUP($B26,[1]Trial_info!$B:$X,3,FALSE)</f>
        <v>Batch 3</v>
      </c>
      <c r="F26" s="9" t="str">
        <f>VLOOKUP($B26,[1]Trial_info!$B:$X,4,FALSE)</f>
        <v>University of Yaounde 1 (Central Cameroon)</v>
      </c>
      <c r="G26" s="9" t="str">
        <f>VLOOKUP($B26,[1]Trial_info!$B:$X,8,FALSE)</f>
        <v>Department of Geography</v>
      </c>
      <c r="H26" s="9" t="str">
        <f>VLOOKUP($B26,[1]Trial_info!$B:$X,9,FALSE)</f>
        <v>Messa</v>
      </c>
      <c r="I26" s="10">
        <f>COUNTIF('[1]SUPMAT - Experiment_wasps_table'!G:G,'[1]SUPMAT - Trial_info'!B26)-1</f>
        <v>2</v>
      </c>
      <c r="J26" s="9">
        <f>VLOOKUP($B26,[1]Trial_info!$B:$X,17,FALSE)</f>
        <v>2</v>
      </c>
      <c r="K26" s="9">
        <f>VLOOKUP($B26,[1]Trial_info!$B:$X,18,FALSE)</f>
        <v>0</v>
      </c>
      <c r="L26" s="11">
        <f>VLOOKUP(B26,[1]Trial_info!B:H,7,FALSE)</f>
        <v>44284.708333333336</v>
      </c>
    </row>
    <row r="27" spans="1:12" x14ac:dyDescent="0.2">
      <c r="A27" s="6"/>
      <c r="B27" s="7" t="s">
        <v>37</v>
      </c>
      <c r="C27" s="12"/>
      <c r="D27" s="9" t="str">
        <f>VLOOKUP(B27,[1]Trial_info!B:C,2,FALSE)</f>
        <v>Cameroon</v>
      </c>
      <c r="E27" s="9" t="str">
        <f>VLOOKUP($B27,[1]Trial_info!$B:$X,3,FALSE)</f>
        <v>Batch 3</v>
      </c>
      <c r="F27" s="9" t="str">
        <f>VLOOKUP($B27,[1]Trial_info!$B:$X,4,FALSE)</f>
        <v>University of Yaounde 1 (Central Cameroon)</v>
      </c>
      <c r="G27" s="9" t="str">
        <f>VLOOKUP($B27,[1]Trial_info!$B:$X,8,FALSE)</f>
        <v>Messa</v>
      </c>
      <c r="H27" s="9" t="str">
        <f>VLOOKUP($B27,[1]Trial_info!$B:$X,9,FALSE)</f>
        <v>Department of Geography</v>
      </c>
      <c r="I27" s="10">
        <f>COUNTIF('[1]SUPMAT - Experiment_wasps_table'!G:G,'[1]SUPMAT - Trial_info'!B27)-1</f>
        <v>2</v>
      </c>
      <c r="J27" s="9">
        <f>VLOOKUP($B27,[1]Trial_info!$B:$X,17,FALSE)</f>
        <v>1</v>
      </c>
      <c r="K27" s="9">
        <f>VLOOKUP($B27,[1]Trial_info!$B:$X,18,FALSE)</f>
        <v>1</v>
      </c>
      <c r="L27" s="11">
        <f>VLOOKUP(B27,[1]Trial_info!B:H,7,FALSE)</f>
        <v>44284.711805613428</v>
      </c>
    </row>
    <row r="28" spans="1:12" x14ac:dyDescent="0.2">
      <c r="A28" s="6"/>
      <c r="B28" s="7" t="s">
        <v>38</v>
      </c>
      <c r="C28" s="12"/>
      <c r="D28" s="9" t="str">
        <f>VLOOKUP(B28,[1]Trial_info!B:C,2,FALSE)</f>
        <v>Cameroon</v>
      </c>
      <c r="E28" s="9" t="str">
        <f>VLOOKUP($B28,[1]Trial_info!$B:$X,3,FALSE)</f>
        <v>Batch 3</v>
      </c>
      <c r="F28" s="9" t="str">
        <f>VLOOKUP($B28,[1]Trial_info!$B:$X,4,FALSE)</f>
        <v>University of Yaounde 1 (Central Cameroon)</v>
      </c>
      <c r="G28" s="9" t="str">
        <f>VLOOKUP($B28,[1]Trial_info!$B:$X,8,FALSE)</f>
        <v>Messa</v>
      </c>
      <c r="H28" s="9" t="str">
        <f>VLOOKUP($B28,[1]Trial_info!$B:$X,9,FALSE)</f>
        <v>Department of Geography</v>
      </c>
      <c r="I28" s="10">
        <f>COUNTIF('[1]SUPMAT - Experiment_wasps_table'!G:G,'[1]SUPMAT - Trial_info'!B28)-1</f>
        <v>1</v>
      </c>
      <c r="J28" s="9">
        <f>VLOOKUP($B28,[1]Trial_info!$B:$X,17,FALSE)</f>
        <v>1</v>
      </c>
      <c r="K28" s="9">
        <f>VLOOKUP($B28,[1]Trial_info!$B:$X,18,FALSE)</f>
        <v>1</v>
      </c>
      <c r="L28" s="11">
        <f>VLOOKUP(B28,[1]Trial_info!B:H,7,FALSE)</f>
        <v>44284.71527789352</v>
      </c>
    </row>
    <row r="29" spans="1:12" x14ac:dyDescent="0.2">
      <c r="A29" s="6"/>
      <c r="B29" s="7" t="s">
        <v>39</v>
      </c>
      <c r="C29" s="12"/>
      <c r="D29" s="9" t="str">
        <f>VLOOKUP(B29,[1]Trial_info!B:C,2,FALSE)</f>
        <v>Cameroon</v>
      </c>
      <c r="E29" s="9" t="str">
        <f>VLOOKUP($B29,[1]Trial_info!$B:$X,3,FALSE)</f>
        <v>Batch 4</v>
      </c>
      <c r="F29" s="9" t="str">
        <f>VLOOKUP($B29,[1]Trial_info!$B:$X,4,FALSE)</f>
        <v>University of Yaounde 1 (Central Cameroon)</v>
      </c>
      <c r="G29" s="9" t="str">
        <f>VLOOKUP($B29,[1]Trial_info!$B:$X,8,FALSE)</f>
        <v>Immeuble Academique 2000, University of Yaounde 2, Soa</v>
      </c>
      <c r="H29" s="9" t="str">
        <f>VLOOKUP($B29,[1]Trial_info!$B:$X,9,FALSE)</f>
        <v>Immeuble Academique 2000, University of Yaounde 2, Soa</v>
      </c>
      <c r="I29" s="10">
        <f>COUNTIF('[1]SUPMAT - Experiment_wasps_table'!G:G,'[1]SUPMAT - Trial_info'!B29)-1</f>
        <v>4</v>
      </c>
      <c r="J29" s="9">
        <f>VLOOKUP($B29,[1]Trial_info!$B:$X,17,FALSE)</f>
        <v>2</v>
      </c>
      <c r="K29" s="9">
        <f>VLOOKUP($B29,[1]Trial_info!$B:$X,18,FALSE)</f>
        <v>2</v>
      </c>
      <c r="L29" s="11">
        <f>VLOOKUP(B29,[1]Trial_info!B:H,7,FALSE)</f>
        <v>44306.75277777778</v>
      </c>
    </row>
    <row r="30" spans="1:12" x14ac:dyDescent="0.2">
      <c r="A30" s="6"/>
      <c r="B30" s="7" t="s">
        <v>40</v>
      </c>
      <c r="C30" s="12"/>
      <c r="D30" s="9" t="str">
        <f>VLOOKUP(B30,[1]Trial_info!B:C,2,FALSE)</f>
        <v>Cameroon</v>
      </c>
      <c r="E30" s="9" t="str">
        <f>VLOOKUP($B30,[1]Trial_info!$B:$X,3,FALSE)</f>
        <v>Batch 4</v>
      </c>
      <c r="F30" s="9" t="str">
        <f>VLOOKUP($B30,[1]Trial_info!$B:$X,4,FALSE)</f>
        <v>University of Yaounde 1 (Central Cameroon)</v>
      </c>
      <c r="G30" s="9" t="str">
        <f>VLOOKUP($B30,[1]Trial_info!$B:$X,8,FALSE)</f>
        <v>Immeuble Academique 2000, University of Yaounde 2, Soa</v>
      </c>
      <c r="H30" s="9" t="str">
        <f>VLOOKUP($B30,[1]Trial_info!$B:$X,9,FALSE)</f>
        <v>Immeuble Academique 2000, University of Yaounde 2, Soa</v>
      </c>
      <c r="I30" s="10">
        <f>COUNTIF('[1]SUPMAT - Experiment_wasps_table'!G:G,'[1]SUPMAT - Trial_info'!B30)-1</f>
        <v>1</v>
      </c>
      <c r="J30" s="9">
        <f>VLOOKUP($B30,[1]Trial_info!$B:$X,17,FALSE)</f>
        <v>3</v>
      </c>
      <c r="K30" s="9">
        <f>VLOOKUP($B30,[1]Trial_info!$B:$X,18,FALSE)</f>
        <v>3</v>
      </c>
      <c r="L30" s="11">
        <f>VLOOKUP(B30,[1]Trial_info!B:H,7,FALSE)</f>
        <v>44306.754861111112</v>
      </c>
    </row>
    <row r="31" spans="1:12" x14ac:dyDescent="0.2">
      <c r="A31" s="6"/>
      <c r="B31" s="7" t="s">
        <v>41</v>
      </c>
      <c r="C31" s="12"/>
      <c r="D31" s="9" t="str">
        <f>VLOOKUP(B31,[1]Trial_info!B:C,2,FALSE)</f>
        <v>Cameroon</v>
      </c>
      <c r="E31" s="9" t="str">
        <f>VLOOKUP($B31,[1]Trial_info!$B:$X,3,FALSE)</f>
        <v>Batch 4</v>
      </c>
      <c r="F31" s="9" t="str">
        <f>VLOOKUP($B31,[1]Trial_info!$B:$X,4,FALSE)</f>
        <v>University of Yaounde 1 (Central Cameroon)</v>
      </c>
      <c r="G31" s="9" t="str">
        <f>VLOOKUP($B31,[1]Trial_info!$B:$X,8,FALSE)</f>
        <v>Immeuble Academique 2000, University of Yaounde 2, Soa</v>
      </c>
      <c r="H31" s="9" t="str">
        <f>VLOOKUP($B31,[1]Trial_info!$B:$X,9,FALSE)</f>
        <v>Immeuble Academique 2000, University of Yaounde 2, Soa</v>
      </c>
      <c r="I31" s="10">
        <f>COUNTIF('[1]SUPMAT - Experiment_wasps_table'!G:G,'[1]SUPMAT - Trial_info'!B31)-1</f>
        <v>2</v>
      </c>
      <c r="J31" s="9">
        <f>VLOOKUP($B31,[1]Trial_info!$B:$X,17,FALSE)</f>
        <v>2</v>
      </c>
      <c r="K31" s="9">
        <f>VLOOKUP($B31,[1]Trial_info!$B:$X,18,FALSE)</f>
        <v>0</v>
      </c>
      <c r="L31" s="11">
        <f>VLOOKUP(B31,[1]Trial_info!B:H,7,FALSE)</f>
        <v>44307.743750000001</v>
      </c>
    </row>
    <row r="32" spans="1:12" x14ac:dyDescent="0.2">
      <c r="A32" s="6"/>
      <c r="B32" s="13" t="s">
        <v>42</v>
      </c>
      <c r="C32" s="14" t="s">
        <v>16</v>
      </c>
      <c r="D32" s="15" t="str">
        <f>VLOOKUP(B32,[1]Trial_info!B:C,2,FALSE)</f>
        <v>Cameroon</v>
      </c>
      <c r="E32" s="15" t="str">
        <f>VLOOKUP($B32,[1]Trial_info!$B:$X,3,FALSE)</f>
        <v>Batch 4</v>
      </c>
      <c r="F32" s="15" t="str">
        <f>VLOOKUP($B32,[1]Trial_info!$B:$X,4,FALSE)</f>
        <v>University of Yaounde 1 (Central Cameroon)</v>
      </c>
      <c r="G32" s="15" t="str">
        <f>VLOOKUP($B32,[1]Trial_info!$B:$X,8,FALSE)</f>
        <v>Immeuble Academique 2000, University of Yaounde 2, Soa</v>
      </c>
      <c r="H32" s="15" t="str">
        <f>VLOOKUP($B32,[1]Trial_info!$B:$X,9,FALSE)</f>
        <v>Immeuble Academique 2000, University of Yaounde 2, Soa</v>
      </c>
      <c r="I32" s="16"/>
      <c r="J32" s="15">
        <f>VLOOKUP($B32,[1]Trial_info!$B:$X,17,FALSE)</f>
        <v>1</v>
      </c>
      <c r="K32" s="15">
        <f>VLOOKUP($B32,[1]Trial_info!$B:$X,18,FALSE)</f>
        <v>2</v>
      </c>
      <c r="L32" s="11">
        <f>VLOOKUP(B32,[1]Trial_info!B:H,7,FALSE)</f>
        <v>44306.759722222225</v>
      </c>
    </row>
    <row r="33" spans="1:12" x14ac:dyDescent="0.2">
      <c r="A33" s="6"/>
      <c r="B33" s="7" t="s">
        <v>43</v>
      </c>
      <c r="C33" s="12"/>
      <c r="D33" s="9" t="str">
        <f>VLOOKUP(B33,[1]Trial_info!B:C,2,FALSE)</f>
        <v>Cameroon</v>
      </c>
      <c r="E33" s="9" t="str">
        <f>VLOOKUP($B33,[1]Trial_info!$B:$X,3,FALSE)</f>
        <v>Batch 4</v>
      </c>
      <c r="F33" s="9" t="str">
        <f>VLOOKUP($B33,[1]Trial_info!$B:$X,4,FALSE)</f>
        <v>University of Yaounde 1 (Central Cameroon)</v>
      </c>
      <c r="G33" s="9" t="str">
        <f>VLOOKUP($B33,[1]Trial_info!$B:$X,8,FALSE)</f>
        <v>Immeuble Academique 2000, University of Yaounde 2, Soa</v>
      </c>
      <c r="H33" s="9" t="str">
        <f>VLOOKUP($B33,[1]Trial_info!$B:$X,9,FALSE)</f>
        <v>Immeuble Academique 2000, University of Yaounde 2, Soa</v>
      </c>
      <c r="I33" s="10">
        <f>COUNTIF('[1]SUPMAT - Experiment_wasps_table'!G:G,'[1]SUPMAT - Trial_info'!B33)-1</f>
        <v>1</v>
      </c>
      <c r="J33" s="9">
        <f>VLOOKUP($B33,[1]Trial_info!$B:$X,17,FALSE)</f>
        <v>6</v>
      </c>
      <c r="K33" s="9">
        <f>VLOOKUP($B33,[1]Trial_info!$B:$X,18,FALSE)</f>
        <v>9</v>
      </c>
      <c r="L33" s="11">
        <f>VLOOKUP(B33,[1]Trial_info!B:H,7,FALSE)</f>
        <v>44306.763194444444</v>
      </c>
    </row>
    <row r="34" spans="1:12" x14ac:dyDescent="0.2">
      <c r="A34" s="6"/>
      <c r="B34" s="7" t="s">
        <v>44</v>
      </c>
      <c r="C34" s="12"/>
      <c r="D34" s="9" t="str">
        <f>VLOOKUP(B34,[1]Trial_info!B:C,2,FALSE)</f>
        <v>Cameroon</v>
      </c>
      <c r="E34" s="9" t="str">
        <f>VLOOKUP($B34,[1]Trial_info!$B:$X,3,FALSE)</f>
        <v>Batch 4</v>
      </c>
      <c r="F34" s="9" t="str">
        <f>VLOOKUP($B34,[1]Trial_info!$B:$X,4,FALSE)</f>
        <v>University of Yaounde 1 (Central Cameroon)</v>
      </c>
      <c r="G34" s="9" t="str">
        <f>VLOOKUP($B34,[1]Trial_info!$B:$X,8,FALSE)</f>
        <v>Immeuble Academique 2000, University of Yaounde 2, Soa</v>
      </c>
      <c r="H34" s="9" t="str">
        <f>VLOOKUP($B34,[1]Trial_info!$B:$X,9,FALSE)</f>
        <v>Immeuble Academique 2000, University of Yaounde 2, Soa</v>
      </c>
      <c r="I34" s="10">
        <f>COUNTIF('[1]SUPMAT - Experiment_wasps_table'!G:G,'[1]SUPMAT - Trial_info'!B34)-1</f>
        <v>1</v>
      </c>
      <c r="J34" s="9">
        <f>VLOOKUP($B34,[1]Trial_info!$B:$X,17,FALSE)</f>
        <v>4</v>
      </c>
      <c r="K34" s="9">
        <f>VLOOKUP($B34,[1]Trial_info!$B:$X,18,FALSE)</f>
        <v>0</v>
      </c>
      <c r="L34" s="11">
        <f>VLOOKUP(B34,[1]Trial_info!B:H,7,FALSE)</f>
        <v>44306.765277777777</v>
      </c>
    </row>
    <row r="35" spans="1:12" x14ac:dyDescent="0.2">
      <c r="A35" s="6"/>
      <c r="B35" s="13" t="s">
        <v>45</v>
      </c>
      <c r="C35" s="14" t="s">
        <v>109</v>
      </c>
      <c r="D35" s="15" t="str">
        <f>VLOOKUP(B35,[1]Trial_info!B:C,2,FALSE)</f>
        <v>Cameroon</v>
      </c>
      <c r="E35" s="15" t="str">
        <f>VLOOKUP($B35,[1]Trial_info!$B:$X,3,FALSE)</f>
        <v>Batch 4</v>
      </c>
      <c r="F35" s="15" t="str">
        <f>VLOOKUP($B35,[1]Trial_info!$B:$X,4,FALSE)</f>
        <v>University of Yaounde 1 (Central Cameroon)</v>
      </c>
      <c r="G35" s="15" t="str">
        <f>VLOOKUP($B35,[1]Trial_info!$B:$X,8,FALSE)</f>
        <v>Immeuble Academique 2000, University of Yaounde 2, Soa</v>
      </c>
      <c r="H35" s="15" t="str">
        <f>VLOOKUP($B35,[1]Trial_info!$B:$X,9,FALSE)</f>
        <v>Immeuble Academique 2000, University of Yaounde 2, Soa</v>
      </c>
      <c r="I35" s="16"/>
      <c r="J35" s="15">
        <f>VLOOKUP($B35,[1]Trial_info!$B:$X,17,FALSE)</f>
        <v>4</v>
      </c>
      <c r="K35" s="15">
        <f>VLOOKUP($B35,[1]Trial_info!$B:$X,18,FALSE)</f>
        <v>4</v>
      </c>
      <c r="L35" s="11">
        <f>VLOOKUP(B35,[1]Trial_info!B:H,7,FALSE)</f>
        <v>44306.736111111109</v>
      </c>
    </row>
    <row r="36" spans="1:12" x14ac:dyDescent="0.2">
      <c r="A36" s="6"/>
      <c r="B36" s="13" t="s">
        <v>46</v>
      </c>
      <c r="C36" s="14" t="s">
        <v>110</v>
      </c>
      <c r="D36" s="15" t="str">
        <f>VLOOKUP(B36,[1]Trial_info!B:C,2,FALSE)</f>
        <v>Cameroon</v>
      </c>
      <c r="E36" s="15" t="str">
        <f>VLOOKUP($B36,[1]Trial_info!$B:$X,3,FALSE)</f>
        <v>Batch 4</v>
      </c>
      <c r="F36" s="15" t="str">
        <f>VLOOKUP($B36,[1]Trial_info!$B:$X,4,FALSE)</f>
        <v>Soa, University of Yaounde 2 (Central Cameroon)</v>
      </c>
      <c r="G36" s="15" t="str">
        <f>VLOOKUP($B36,[1]Trial_info!$B:$X,8,FALSE)</f>
        <v>Immeuble Academique 2000, University of Yaounde 2, Soa</v>
      </c>
      <c r="H36" s="15" t="str">
        <f>VLOOKUP($B36,[1]Trial_info!$B:$X,9,FALSE)</f>
        <v>Immeuble Academique 2000, University of Yaounde 2, Soa</v>
      </c>
      <c r="I36" s="16"/>
      <c r="J36" s="15">
        <f>VLOOKUP($B36,[1]Trial_info!$B:$X,17,FALSE)</f>
        <v>5</v>
      </c>
      <c r="K36" s="15">
        <f>VLOOKUP($B36,[1]Trial_info!$B:$X,18,FALSE)</f>
        <v>5</v>
      </c>
      <c r="L36" s="11">
        <f>VLOOKUP(B36,[1]Trial_info!B:H,7,FALSE)</f>
        <v>44306.749305555553</v>
      </c>
    </row>
    <row r="37" spans="1:12" x14ac:dyDescent="0.2">
      <c r="A37" s="6"/>
      <c r="B37" s="13" t="s">
        <v>47</v>
      </c>
      <c r="C37" s="14" t="s">
        <v>109</v>
      </c>
      <c r="D37" s="15" t="str">
        <f>VLOOKUP(B37,[1]Trial_info!B:C,2,FALSE)</f>
        <v>Cameroon</v>
      </c>
      <c r="E37" s="15" t="str">
        <f>VLOOKUP($B37,[1]Trial_info!$B:$X,3,FALSE)</f>
        <v>Batch 4</v>
      </c>
      <c r="F37" s="15" t="str">
        <f>VLOOKUP($B37,[1]Trial_info!$B:$X,4,FALSE)</f>
        <v>Soa, University of Yaounde 2 (Central Cameroon)</v>
      </c>
      <c r="G37" s="15" t="str">
        <f>VLOOKUP($B37,[1]Trial_info!$B:$X,8,FALSE)</f>
        <v>Immeuble Academique 2000, University of Yaounde 2, Soa</v>
      </c>
      <c r="H37" s="15" t="str">
        <f>VLOOKUP($B37,[1]Trial_info!$B:$X,9,FALSE)</f>
        <v>Immeuble Academique 2000, University of Yaounde 2, Soa</v>
      </c>
      <c r="I37" s="16"/>
      <c r="J37" s="15">
        <f>VLOOKUP($B37,[1]Trial_info!$B:$X,17,FALSE)</f>
        <v>3</v>
      </c>
      <c r="K37" s="15">
        <f>VLOOKUP($B37,[1]Trial_info!$B:$X,18,FALSE)</f>
        <v>1</v>
      </c>
      <c r="L37" s="11">
        <f>VLOOKUP(B37,[1]Trial_info!B:H,7,FALSE)</f>
        <v>44306.758333333331</v>
      </c>
    </row>
    <row r="38" spans="1:12" x14ac:dyDescent="0.2">
      <c r="A38" s="6"/>
      <c r="B38" s="7" t="s">
        <v>48</v>
      </c>
      <c r="C38" s="8"/>
      <c r="D38" s="9" t="str">
        <f>VLOOKUP(B38,[1]Trial_info!B:C,2,FALSE)</f>
        <v>Cameroon</v>
      </c>
      <c r="E38" s="9" t="str">
        <f>VLOOKUP($B38,[1]Trial_info!$B:$X,3,FALSE)</f>
        <v>Batch 5</v>
      </c>
      <c r="F38" s="9" t="str">
        <f>VLOOKUP($B38,[1]Trial_info!$B:$X,4,FALSE)</f>
        <v>Soa, University of Yaounde 2 (Central Cameroon)</v>
      </c>
      <c r="G38" s="9" t="str">
        <f>VLOOKUP($B38,[1]Trial_info!$B:$X,8,FALSE)</f>
        <v>University of Yaounde 1</v>
      </c>
      <c r="H38" s="9" t="str">
        <f>VLOOKUP($B38,[1]Trial_info!$B:$X,9,FALSE)</f>
        <v>University of Yaounde 1</v>
      </c>
      <c r="I38" s="10">
        <f>COUNTIF('[1]SUPMAT - Experiment_wasps_table'!G:G,'[1]SUPMAT - Trial_info'!B38)-1</f>
        <v>2</v>
      </c>
      <c r="J38" s="9">
        <f>VLOOKUP($B38,[1]Trial_info!$B:$X,17,FALSE)</f>
        <v>8</v>
      </c>
      <c r="K38" s="9">
        <f>VLOOKUP($B38,[1]Trial_info!$B:$X,18,FALSE)</f>
        <v>3</v>
      </c>
      <c r="L38" s="11">
        <f>VLOOKUP(B38,[1]Trial_info!B:H,7,FALSE)</f>
        <v>44312.708333333336</v>
      </c>
    </row>
    <row r="39" spans="1:12" x14ac:dyDescent="0.2">
      <c r="A39" s="6"/>
      <c r="B39" s="7" t="s">
        <v>49</v>
      </c>
      <c r="C39" s="8"/>
      <c r="D39" s="9" t="str">
        <f>VLOOKUP(B39,[1]Trial_info!B:C,2,FALSE)</f>
        <v>Cameroon</v>
      </c>
      <c r="E39" s="9" t="str">
        <f>VLOOKUP($B39,[1]Trial_info!$B:$X,3,FALSE)</f>
        <v>Batch 5</v>
      </c>
      <c r="F39" s="9" t="str">
        <f>VLOOKUP($B39,[1]Trial_info!$B:$X,4,FALSE)</f>
        <v>Soa, University of Yaounde 2 (Central Cameroon)</v>
      </c>
      <c r="G39" s="9" t="str">
        <f>VLOOKUP($B39,[1]Trial_info!$B:$X,8,FALSE)</f>
        <v>University of Yaounde 1</v>
      </c>
      <c r="H39" s="9" t="str">
        <f>VLOOKUP($B39,[1]Trial_info!$B:$X,9,FALSE)</f>
        <v>University of Yaounde 1</v>
      </c>
      <c r="I39" s="10">
        <f>COUNTIF('[1]SUPMAT - Experiment_wasps_table'!G:G,'[1]SUPMAT - Trial_info'!B39)-1</f>
        <v>2</v>
      </c>
      <c r="J39" s="9">
        <f>VLOOKUP($B39,[1]Trial_info!$B:$X,17,FALSE)</f>
        <v>4</v>
      </c>
      <c r="K39" s="9">
        <f>VLOOKUP($B39,[1]Trial_info!$B:$X,18,FALSE)</f>
        <v>2</v>
      </c>
      <c r="L39" s="11">
        <f>VLOOKUP(B39,[1]Trial_info!B:H,7,FALSE)</f>
        <v>44312.708333333336</v>
      </c>
    </row>
    <row r="40" spans="1:12" x14ac:dyDescent="0.2">
      <c r="A40" s="6"/>
      <c r="B40" s="7" t="s">
        <v>50</v>
      </c>
      <c r="C40" s="8"/>
      <c r="D40" s="9" t="str">
        <f>VLOOKUP(B40,[1]Trial_info!B:C,2,FALSE)</f>
        <v>Cameroon</v>
      </c>
      <c r="E40" s="9" t="str">
        <f>VLOOKUP($B40,[1]Trial_info!$B:$X,3,FALSE)</f>
        <v>Batch 5</v>
      </c>
      <c r="F40" s="9" t="str">
        <f>VLOOKUP($B40,[1]Trial_info!$B:$X,4,FALSE)</f>
        <v>Soa, University of Yaounde 2 (Central Cameroon)</v>
      </c>
      <c r="G40" s="9" t="str">
        <f>VLOOKUP($B40,[1]Trial_info!$B:$X,8,FALSE)</f>
        <v>University of Yaounde 1</v>
      </c>
      <c r="H40" s="9" t="str">
        <f>VLOOKUP($B40,[1]Trial_info!$B:$X,9,FALSE)</f>
        <v>University of Yaounde 1</v>
      </c>
      <c r="I40" s="10">
        <f>COUNTIF('[1]SUPMAT - Experiment_wasps_table'!G:G,'[1]SUPMAT - Trial_info'!B40)-1</f>
        <v>1</v>
      </c>
      <c r="J40" s="9">
        <f>VLOOKUP($B40,[1]Trial_info!$B:$X,17,FALSE)</f>
        <v>3</v>
      </c>
      <c r="K40" s="9" t="str">
        <f>VLOOKUP($B40,[1]Trial_info!$B:$X,18,FALSE)</f>
        <v>Unclear</v>
      </c>
      <c r="L40" s="11">
        <f>VLOOKUP(B40,[1]Trial_info!B:H,7,FALSE)</f>
        <v>44312.708333333336</v>
      </c>
    </row>
    <row r="41" spans="1:12" x14ac:dyDescent="0.2">
      <c r="A41" s="6"/>
      <c r="B41" s="7" t="s">
        <v>51</v>
      </c>
      <c r="C41" s="8"/>
      <c r="D41" s="9" t="str">
        <f>VLOOKUP(B41,[1]Trial_info!B:C,2,FALSE)</f>
        <v>Cameroon</v>
      </c>
      <c r="E41" s="9" t="str">
        <f>VLOOKUP($B41,[1]Trial_info!$B:$X,3,FALSE)</f>
        <v>Batch 5</v>
      </c>
      <c r="F41" s="9" t="str">
        <f>VLOOKUP($B41,[1]Trial_info!$B:$X,4,FALSE)</f>
        <v>Soa, University of Yaounde 2 (Central Cameroon)</v>
      </c>
      <c r="G41" s="9" t="str">
        <f>VLOOKUP($B41,[1]Trial_info!$B:$X,8,FALSE)</f>
        <v>University of Yaounde 1</v>
      </c>
      <c r="H41" s="9" t="str">
        <f>VLOOKUP($B41,[1]Trial_info!$B:$X,9,FALSE)</f>
        <v>University of Yaounde 1</v>
      </c>
      <c r="I41" s="10">
        <f>COUNTIF('[1]SUPMAT - Experiment_wasps_table'!G:G,'[1]SUPMAT - Trial_info'!B41)-1</f>
        <v>1</v>
      </c>
      <c r="J41" s="9">
        <f>VLOOKUP($B41,[1]Trial_info!$B:$X,17,FALSE)</f>
        <v>2</v>
      </c>
      <c r="K41" s="9">
        <f>VLOOKUP($B41,[1]Trial_info!$B:$X,18,FALSE)</f>
        <v>2</v>
      </c>
      <c r="L41" s="11">
        <f>VLOOKUP(B41,[1]Trial_info!B:H,7,FALSE)</f>
        <v>44312.708333333336</v>
      </c>
    </row>
    <row r="42" spans="1:12" x14ac:dyDescent="0.2">
      <c r="A42" s="6"/>
      <c r="B42" s="7" t="s">
        <v>52</v>
      </c>
      <c r="C42" s="8"/>
      <c r="D42" s="9" t="str">
        <f>VLOOKUP(B42,[1]Trial_info!B:C,2,FALSE)</f>
        <v>Cameroon</v>
      </c>
      <c r="E42" s="9" t="str">
        <f>VLOOKUP($B42,[1]Trial_info!$B:$X,3,FALSE)</f>
        <v>Batch 5</v>
      </c>
      <c r="F42" s="9" t="str">
        <f>VLOOKUP($B42,[1]Trial_info!$B:$X,4,FALSE)</f>
        <v>Soa, University of Yaounde 2 (Central Cameroon)</v>
      </c>
      <c r="G42" s="9" t="str">
        <f>VLOOKUP($B42,[1]Trial_info!$B:$X,8,FALSE)</f>
        <v>University of Yaounde 1</v>
      </c>
      <c r="H42" s="9" t="str">
        <f>VLOOKUP($B42,[1]Trial_info!$B:$X,9,FALSE)</f>
        <v>University of Yaounde 1</v>
      </c>
      <c r="I42" s="10">
        <f>COUNTIF('[1]SUPMAT - Experiment_wasps_table'!G:G,'[1]SUPMAT - Trial_info'!B42)-1</f>
        <v>2</v>
      </c>
      <c r="J42" s="9">
        <f>VLOOKUP($B42,[1]Trial_info!$B:$X,17,FALSE)</f>
        <v>4</v>
      </c>
      <c r="K42" s="9">
        <f>VLOOKUP($B42,[1]Trial_info!$B:$X,18,FALSE)</f>
        <v>1</v>
      </c>
      <c r="L42" s="11">
        <f>VLOOKUP(B42,[1]Trial_info!B:H,7,FALSE)</f>
        <v>44312.708333333336</v>
      </c>
    </row>
    <row r="43" spans="1:12" x14ac:dyDescent="0.2">
      <c r="A43" s="6"/>
      <c r="B43" s="7" t="s">
        <v>53</v>
      </c>
      <c r="C43" s="8"/>
      <c r="D43" s="9" t="str">
        <f>VLOOKUP(B43,[1]Trial_info!B:C,2,FALSE)</f>
        <v>Cameroon</v>
      </c>
      <c r="E43" s="9" t="str">
        <f>VLOOKUP($B43,[1]Trial_info!$B:$X,3,FALSE)</f>
        <v>Batch 5</v>
      </c>
      <c r="F43" s="9" t="str">
        <f>VLOOKUP($B43,[1]Trial_info!$B:$X,4,FALSE)</f>
        <v>Soa, University of Yaounde 2 (Central Cameroon)</v>
      </c>
      <c r="G43" s="9" t="str">
        <f>VLOOKUP($B43,[1]Trial_info!$B:$X,8,FALSE)</f>
        <v>University of Yaounde 1</v>
      </c>
      <c r="H43" s="9" t="str">
        <f>VLOOKUP($B43,[1]Trial_info!$B:$X,9,FALSE)</f>
        <v>University of Yaounde 1</v>
      </c>
      <c r="I43" s="10">
        <f>COUNTIF('[1]SUPMAT - Experiment_wasps_table'!G:G,'[1]SUPMAT - Trial_info'!B43)-1</f>
        <v>2</v>
      </c>
      <c r="J43" s="9">
        <f>VLOOKUP($B43,[1]Trial_info!$B:$X,17,FALSE)</f>
        <v>6</v>
      </c>
      <c r="K43" s="9">
        <f>VLOOKUP($B43,[1]Trial_info!$B:$X,18,FALSE)</f>
        <v>2</v>
      </c>
      <c r="L43" s="11">
        <f>VLOOKUP(B43,[1]Trial_info!B:H,7,FALSE)</f>
        <v>44313.479166666664</v>
      </c>
    </row>
    <row r="44" spans="1:12" x14ac:dyDescent="0.2">
      <c r="A44" s="6"/>
      <c r="B44" s="7" t="s">
        <v>54</v>
      </c>
      <c r="C44" s="8"/>
      <c r="D44" s="9" t="str">
        <f>VLOOKUP(B44,[1]Trial_info!B:C,2,FALSE)</f>
        <v>Cameroon</v>
      </c>
      <c r="E44" s="9" t="str">
        <f>VLOOKUP($B44,[1]Trial_info!$B:$X,3,FALSE)</f>
        <v>Batch 5</v>
      </c>
      <c r="F44" s="9" t="str">
        <f>VLOOKUP($B44,[1]Trial_info!$B:$X,4,FALSE)</f>
        <v>Soa, University of Yaounde 2 (Central Cameroon)</v>
      </c>
      <c r="G44" s="9" t="str">
        <f>VLOOKUP($B44,[1]Trial_info!$B:$X,8,FALSE)</f>
        <v>University of Yaounde 1</v>
      </c>
      <c r="H44" s="9" t="str">
        <f>VLOOKUP($B44,[1]Trial_info!$B:$X,9,FALSE)</f>
        <v>University of Yaounde 1</v>
      </c>
      <c r="I44" s="10">
        <f>COUNTIF('[1]SUPMAT - Experiment_wasps_table'!G:G,'[1]SUPMAT - Trial_info'!B44)-1</f>
        <v>2</v>
      </c>
      <c r="J44" s="9">
        <f>VLOOKUP($B44,[1]Trial_info!$B:$X,17,FALSE)</f>
        <v>4</v>
      </c>
      <c r="K44" s="9">
        <f>VLOOKUP($B44,[1]Trial_info!$B:$X,18,FALSE)</f>
        <v>3</v>
      </c>
      <c r="L44" s="11">
        <f>VLOOKUP(B44,[1]Trial_info!B:H,7,FALSE)</f>
        <v>44313.475694444445</v>
      </c>
    </row>
    <row r="45" spans="1:12" x14ac:dyDescent="0.2">
      <c r="A45" s="6"/>
      <c r="B45" s="7" t="s">
        <v>55</v>
      </c>
      <c r="C45" s="8"/>
      <c r="D45" s="9" t="str">
        <f>VLOOKUP(B45,[1]Trial_info!B:C,2,FALSE)</f>
        <v>Cameroon</v>
      </c>
      <c r="E45" s="9" t="str">
        <f>VLOOKUP($B45,[1]Trial_info!$B:$X,3,FALSE)</f>
        <v>Batch 5</v>
      </c>
      <c r="F45" s="9" t="str">
        <f>VLOOKUP($B45,[1]Trial_info!$B:$X,4,FALSE)</f>
        <v>Soa, University of Yaounde 2 (Central Cameroon)</v>
      </c>
      <c r="G45" s="9" t="str">
        <f>VLOOKUP($B45,[1]Trial_info!$B:$X,8,FALSE)</f>
        <v>University of Yaounde 1</v>
      </c>
      <c r="H45" s="9" t="str">
        <f>VLOOKUP($B45,[1]Trial_info!$B:$X,9,FALSE)</f>
        <v>University of Yaounde 1</v>
      </c>
      <c r="I45" s="10">
        <f>COUNTIF('[1]SUPMAT - Experiment_wasps_table'!G:G,'[1]SUPMAT - Trial_info'!B45)-1</f>
        <v>3</v>
      </c>
      <c r="J45" s="9">
        <f>VLOOKUP($B45,[1]Trial_info!$B:$X,17,FALSE)</f>
        <v>4</v>
      </c>
      <c r="K45" s="9">
        <f>VLOOKUP($B45,[1]Trial_info!$B:$X,18,FALSE)</f>
        <v>0</v>
      </c>
      <c r="L45" s="11">
        <f>VLOOKUP(B45,[1]Trial_info!B:H,7,FALSE)</f>
        <v>44312.708333333336</v>
      </c>
    </row>
    <row r="46" spans="1:12" x14ac:dyDescent="0.2">
      <c r="A46" s="6"/>
      <c r="B46" s="7" t="s">
        <v>56</v>
      </c>
      <c r="C46" s="8"/>
      <c r="D46" s="9" t="str">
        <f>VLOOKUP(B46,[1]Trial_info!B:C,2,FALSE)</f>
        <v>Cameroon</v>
      </c>
      <c r="E46" s="9" t="str">
        <f>VLOOKUP($B46,[1]Trial_info!$B:$X,3,FALSE)</f>
        <v>Batch 5</v>
      </c>
      <c r="F46" s="9" t="str">
        <f>VLOOKUP($B46,[1]Trial_info!$B:$X,4,FALSE)</f>
        <v>Soa, University of Yaounde 2 (Central Cameroon)</v>
      </c>
      <c r="G46" s="9" t="str">
        <f>VLOOKUP($B46,[1]Trial_info!$B:$X,8,FALSE)</f>
        <v>University of Yaounde 1</v>
      </c>
      <c r="H46" s="9" t="str">
        <f>VLOOKUP($B46,[1]Trial_info!$B:$X,9,FALSE)</f>
        <v>University of Yaounde 1</v>
      </c>
      <c r="I46" s="10">
        <f>COUNTIF('[1]SUPMAT - Experiment_wasps_table'!G:G,'[1]SUPMAT - Trial_info'!B46)-1</f>
        <v>2</v>
      </c>
      <c r="J46" s="9">
        <f>VLOOKUP($B46,[1]Trial_info!$B:$X,17,FALSE)</f>
        <v>5</v>
      </c>
      <c r="K46" s="9">
        <f>VLOOKUP($B46,[1]Trial_info!$B:$X,18,FALSE)</f>
        <v>3</v>
      </c>
      <c r="L46" s="11">
        <f>VLOOKUP(B46,[1]Trial_info!B:H,7,FALSE)</f>
        <v>44313.472222222219</v>
      </c>
    </row>
    <row r="47" spans="1:12" x14ac:dyDescent="0.2">
      <c r="A47" s="6"/>
      <c r="B47" s="7" t="s">
        <v>57</v>
      </c>
      <c r="C47" s="8"/>
      <c r="D47" s="9" t="str">
        <f>VLOOKUP(B47,[1]Trial_info!B:C,2,FALSE)</f>
        <v>Cameroon</v>
      </c>
      <c r="E47" s="9" t="str">
        <f>VLOOKUP($B47,[1]Trial_info!$B:$X,3,FALSE)</f>
        <v>Batch 6</v>
      </c>
      <c r="F47" s="9" t="str">
        <f>VLOOKUP($B47,[1]Trial_info!$B:$X,4,FALSE)</f>
        <v>University of Yaounde 1 (Central Cameroon)</v>
      </c>
      <c r="G47" s="9" t="str">
        <f>VLOOKUP($B47,[1]Trial_info!$B:$X,8,FALSE)</f>
        <v>Finance</v>
      </c>
      <c r="H47" s="9">
        <f>VLOOKUP($B47,[1]Trial_info!$B:$X,9,FALSE)</f>
        <v>0</v>
      </c>
      <c r="I47" s="10">
        <f>COUNTIF('[1]SUPMAT - Experiment_wasps_table'!G:G,'[1]SUPMAT - Trial_info'!B47)-1</f>
        <v>1</v>
      </c>
      <c r="J47" s="9">
        <f>VLOOKUP($B47,[1]Trial_info!$B:$X,17,FALSE)</f>
        <v>7</v>
      </c>
      <c r="K47" s="9">
        <f>VLOOKUP($B47,[1]Trial_info!$B:$X,18,FALSE)</f>
        <v>5</v>
      </c>
      <c r="L47" s="11">
        <f>VLOOKUP(B47,[1]Trial_info!B:H,7,FALSE)</f>
        <v>44331.463194444441</v>
      </c>
    </row>
    <row r="48" spans="1:12" x14ac:dyDescent="0.2">
      <c r="A48" s="6"/>
      <c r="B48" s="7" t="s">
        <v>58</v>
      </c>
      <c r="C48" s="8"/>
      <c r="D48" s="9" t="str">
        <f>VLOOKUP(B48,[1]Trial_info!B:C,2,FALSE)</f>
        <v>Cameroon</v>
      </c>
      <c r="E48" s="9" t="str">
        <f>VLOOKUP($B48,[1]Trial_info!$B:$X,3,FALSE)</f>
        <v>Batch 6</v>
      </c>
      <c r="F48" s="9" t="str">
        <f>VLOOKUP($B48,[1]Trial_info!$B:$X,4,FALSE)</f>
        <v>University of Yaounde 1 (Central Cameroon)</v>
      </c>
      <c r="G48" s="9" t="str">
        <f>VLOOKUP($B48,[1]Trial_info!$B:$X,8,FALSE)</f>
        <v>A</v>
      </c>
      <c r="H48" s="9">
        <f>VLOOKUP($B48,[1]Trial_info!$B:$X,9,FALSE)</f>
        <v>0</v>
      </c>
      <c r="I48" s="10">
        <f>COUNTIF('[1]SUPMAT - Experiment_wasps_table'!G:G,'[1]SUPMAT - Trial_info'!B48)-1</f>
        <v>1</v>
      </c>
      <c r="J48" s="9">
        <f>VLOOKUP($B48,[1]Trial_info!$B:$X,17,FALSE)</f>
        <v>2</v>
      </c>
      <c r="K48" s="9">
        <f>VLOOKUP($B48,[1]Trial_info!$B:$X,18,FALSE)</f>
        <v>0</v>
      </c>
      <c r="L48" s="11">
        <f>VLOOKUP(B48,[1]Trial_info!B:H,7,FALSE)</f>
        <v>44331.454861111109</v>
      </c>
    </row>
    <row r="49" spans="1:12" x14ac:dyDescent="0.2">
      <c r="A49" s="6"/>
      <c r="B49" s="7" t="s">
        <v>59</v>
      </c>
      <c r="C49" s="8"/>
      <c r="D49" s="9" t="str">
        <f>VLOOKUP(B49,[1]Trial_info!B:C,2,FALSE)</f>
        <v>Cameroon</v>
      </c>
      <c r="E49" s="9" t="str">
        <f>VLOOKUP($B49,[1]Trial_info!$B:$X,3,FALSE)</f>
        <v>Batch 6</v>
      </c>
      <c r="F49" s="9" t="str">
        <f>VLOOKUP($B49,[1]Trial_info!$B:$X,4,FALSE)</f>
        <v>University of Yaounde 1 (Central Cameroon)</v>
      </c>
      <c r="G49" s="9" t="str">
        <f>VLOOKUP($B49,[1]Trial_info!$B:$X,8,FALSE)</f>
        <v>B</v>
      </c>
      <c r="H49" s="9" t="str">
        <f>VLOOKUP($B49,[1]Trial_info!$B:$X,9,FALSE)</f>
        <v>C</v>
      </c>
      <c r="I49" s="10">
        <f>COUNTIF('[1]SUPMAT - Experiment_wasps_table'!G:G,'[1]SUPMAT - Trial_info'!B49)-1</f>
        <v>3</v>
      </c>
      <c r="J49" s="9">
        <f>VLOOKUP($B49,[1]Trial_info!$B:$X,17,FALSE)</f>
        <v>1</v>
      </c>
      <c r="K49" s="9">
        <f>VLOOKUP($B49,[1]Trial_info!$B:$X,18,FALSE)</f>
        <v>0</v>
      </c>
      <c r="L49" s="11">
        <f>VLOOKUP(B49,[1]Trial_info!B:H,7,FALSE)</f>
        <v>44331.472222222219</v>
      </c>
    </row>
    <row r="50" spans="1:12" x14ac:dyDescent="0.2">
      <c r="A50" s="6"/>
      <c r="B50" s="7" t="s">
        <v>60</v>
      </c>
      <c r="C50" s="8"/>
      <c r="D50" s="9" t="str">
        <f>VLOOKUP(B50,[1]Trial_info!B:C,2,FALSE)</f>
        <v>Cameroon</v>
      </c>
      <c r="E50" s="9" t="str">
        <f>VLOOKUP($B50,[1]Trial_info!$B:$X,3,FALSE)</f>
        <v>Batch 6</v>
      </c>
      <c r="F50" s="9" t="str">
        <f>VLOOKUP($B50,[1]Trial_info!$B:$X,4,FALSE)</f>
        <v>University of Yaounde 1 (Central Cameroon)</v>
      </c>
      <c r="G50" s="9" t="str">
        <f>VLOOKUP($B50,[1]Trial_info!$B:$X,8,FALSE)</f>
        <v>A</v>
      </c>
      <c r="H50" s="9" t="str">
        <f>VLOOKUP($B50,[1]Trial_info!$B:$X,9,FALSE)</f>
        <v>B</v>
      </c>
      <c r="I50" s="10">
        <f>COUNTIF('[1]SUPMAT - Experiment_wasps_table'!G:G,'[1]SUPMAT - Trial_info'!B50)-1</f>
        <v>2</v>
      </c>
      <c r="J50" s="9" t="str">
        <f>VLOOKUP($B50,[1]Trial_info!$B:$X,17,FALSE)</f>
        <v>Data deficient</v>
      </c>
      <c r="K50" s="9" t="str">
        <f>VLOOKUP($B50,[1]Trial_info!$B:$X,18,FALSE)</f>
        <v>Data deficient</v>
      </c>
      <c r="L50" s="11">
        <f>VLOOKUP(B50,[1]Trial_info!B:H,7,FALSE)</f>
        <v>44331.466666666667</v>
      </c>
    </row>
    <row r="51" spans="1:12" x14ac:dyDescent="0.2">
      <c r="A51" s="6"/>
      <c r="B51" s="7" t="s">
        <v>61</v>
      </c>
      <c r="C51" s="8"/>
      <c r="D51" s="9" t="str">
        <f>VLOOKUP(B51,[1]Trial_info!B:C,2,FALSE)</f>
        <v>Cameroon</v>
      </c>
      <c r="E51" s="9" t="str">
        <f>VLOOKUP($B51,[1]Trial_info!$B:$X,3,FALSE)</f>
        <v>Batch 7</v>
      </c>
      <c r="F51" s="9" t="str">
        <f>VLOOKUP($B51,[1]Trial_info!$B:$X,4,FALSE)</f>
        <v>Somalomo (Dja Biosphere Reserve, East Cameroon)</v>
      </c>
      <c r="G51" s="9" t="str">
        <f>VLOOKUP($B51,[1]Trial_info!$B:$X,8,FALSE)</f>
        <v>Somalomo (other buildings)</v>
      </c>
      <c r="H51" s="9" t="str">
        <f>VLOOKUP($B51,[1]Trial_info!$B:$X,9,FALSE)</f>
        <v>Somalomo (other buildings)</v>
      </c>
      <c r="I51" s="10">
        <f>COUNTIF('[1]SUPMAT - Experiment_wasps_table'!G:G,'[1]SUPMAT - Trial_info'!B51)-1</f>
        <v>1</v>
      </c>
      <c r="J51" s="9">
        <f>VLOOKUP($B51,[1]Trial_info!$B:$X,17,FALSE)</f>
        <v>2</v>
      </c>
      <c r="K51" s="9">
        <f>VLOOKUP($B51,[1]Trial_info!$B:$X,18,FALSE)</f>
        <v>4</v>
      </c>
      <c r="L51" s="11">
        <f>VLOOKUP(B51,[1]Trial_info!B:H,7,FALSE)</f>
        <v>44336.718055555553</v>
      </c>
    </row>
    <row r="52" spans="1:12" x14ac:dyDescent="0.2">
      <c r="A52" s="6"/>
      <c r="B52" s="7" t="s">
        <v>62</v>
      </c>
      <c r="C52" s="8"/>
      <c r="D52" s="9" t="str">
        <f>VLOOKUP(B52,[1]Trial_info!B:C,2,FALSE)</f>
        <v>Cameroon</v>
      </c>
      <c r="E52" s="9" t="str">
        <f>VLOOKUP($B52,[1]Trial_info!$B:$X,3,FALSE)</f>
        <v>Batch 7</v>
      </c>
      <c r="F52" s="9" t="str">
        <f>VLOOKUP($B52,[1]Trial_info!$B:$X,4,FALSE)</f>
        <v>Somalomo (Dja Biosphere Reserve, East Cameroon)</v>
      </c>
      <c r="G52" s="9" t="str">
        <f>VLOOKUP($B52,[1]Trial_info!$B:$X,8,FALSE)</f>
        <v>Somalomo (other buildings)</v>
      </c>
      <c r="H52" s="9" t="str">
        <f>VLOOKUP($B52,[1]Trial_info!$B:$X,9,FALSE)</f>
        <v>Somalomo (other buildings)</v>
      </c>
      <c r="I52" s="10">
        <f>COUNTIF('[1]SUPMAT - Experiment_wasps_table'!G:G,'[1]SUPMAT - Trial_info'!B52)-1</f>
        <v>4</v>
      </c>
      <c r="J52" s="9">
        <f>VLOOKUP($B52,[1]Trial_info!$B:$X,17,FALSE)</f>
        <v>4</v>
      </c>
      <c r="K52" s="9">
        <f>VLOOKUP($B52,[1]Trial_info!$B:$X,18,FALSE)</f>
        <v>4</v>
      </c>
      <c r="L52" s="11">
        <f>VLOOKUP(B52,[1]Trial_info!B:H,7,FALSE)</f>
        <v>44336.711805555555</v>
      </c>
    </row>
    <row r="53" spans="1:12" x14ac:dyDescent="0.2">
      <c r="A53" s="6"/>
      <c r="B53" s="7" t="s">
        <v>63</v>
      </c>
      <c r="C53" s="8"/>
      <c r="D53" s="9" t="str">
        <f>VLOOKUP(B53,[1]Trial_info!B:C,2,FALSE)</f>
        <v>Cameroon</v>
      </c>
      <c r="E53" s="9" t="str">
        <f>VLOOKUP($B53,[1]Trial_info!$B:$X,3,FALSE)</f>
        <v>Batch 7</v>
      </c>
      <c r="F53" s="9" t="str">
        <f>VLOOKUP($B53,[1]Trial_info!$B:$X,4,FALSE)</f>
        <v>Somalomo (Dja Biosphere Reserve, East Cameroon)</v>
      </c>
      <c r="G53" s="9" t="str">
        <f>VLOOKUP($B53,[1]Trial_info!$B:$X,8,FALSE)</f>
        <v>Somalomo (other buildings)</v>
      </c>
      <c r="H53" s="9" t="str">
        <f>VLOOKUP($B53,[1]Trial_info!$B:$X,9,FALSE)</f>
        <v>Somalomo (other buildings)</v>
      </c>
      <c r="I53" s="10">
        <f>COUNTIF('[1]SUPMAT - Experiment_wasps_table'!G:G,'[1]SUPMAT - Trial_info'!B53)-1</f>
        <v>1</v>
      </c>
      <c r="J53" s="9">
        <f>VLOOKUP($B53,[1]Trial_info!$B:$X,17,FALSE)</f>
        <v>5</v>
      </c>
      <c r="K53" s="9">
        <f>VLOOKUP($B53,[1]Trial_info!$B:$X,18,FALSE)</f>
        <v>0</v>
      </c>
      <c r="L53" s="11">
        <f>VLOOKUP(B53,[1]Trial_info!B:H,7,FALSE)</f>
        <v>44336.71597222222</v>
      </c>
    </row>
    <row r="54" spans="1:12" x14ac:dyDescent="0.2">
      <c r="A54" s="6"/>
      <c r="B54" s="7" t="s">
        <v>64</v>
      </c>
      <c r="C54" s="8"/>
      <c r="D54" s="9" t="str">
        <f>VLOOKUP(B54,[1]Trial_info!B:C,2,FALSE)</f>
        <v>Cameroon</v>
      </c>
      <c r="E54" s="9" t="str">
        <f>VLOOKUP($B54,[1]Trial_info!$B:$X,3,FALSE)</f>
        <v>Batch 7</v>
      </c>
      <c r="F54" s="9" t="str">
        <f>VLOOKUP($B54,[1]Trial_info!$B:$X,4,FALSE)</f>
        <v>Somalomo (Dja Biosphere Reserve, East Cameroon)</v>
      </c>
      <c r="G54" s="9" t="str">
        <f>VLOOKUP($B54,[1]Trial_info!$B:$X,8,FALSE)</f>
        <v>Somalomo (other buildings)</v>
      </c>
      <c r="H54" s="9" t="str">
        <f>VLOOKUP($B54,[1]Trial_info!$B:$X,9,FALSE)</f>
        <v>Somalomo (other buildings)</v>
      </c>
      <c r="I54" s="10">
        <f>COUNTIF('[1]SUPMAT - Experiment_wasps_table'!G:G,'[1]SUPMAT - Trial_info'!B54)-1</f>
        <v>2</v>
      </c>
      <c r="J54" s="9">
        <f>VLOOKUP($B54,[1]Trial_info!$B:$X,17,FALSE)</f>
        <v>3</v>
      </c>
      <c r="K54" s="9">
        <f>VLOOKUP($B54,[1]Trial_info!$B:$X,18,FALSE)</f>
        <v>0</v>
      </c>
      <c r="L54" s="11">
        <f>VLOOKUP(B54,[1]Trial_info!B:H,7,FALSE)</f>
        <v>44336.713194444441</v>
      </c>
    </row>
    <row r="55" spans="1:12" x14ac:dyDescent="0.2">
      <c r="A55" s="6"/>
      <c r="B55" s="7" t="s">
        <v>65</v>
      </c>
      <c r="C55" s="8"/>
      <c r="D55" s="9" t="str">
        <f>VLOOKUP(B55,[1]Trial_info!B:C,2,FALSE)</f>
        <v>Cameroon</v>
      </c>
      <c r="E55" s="9" t="str">
        <f>VLOOKUP($B55,[1]Trial_info!$B:$X,3,FALSE)</f>
        <v>Batch 7</v>
      </c>
      <c r="F55" s="9" t="str">
        <f>VLOOKUP($B55,[1]Trial_info!$B:$X,4,FALSE)</f>
        <v>Somalomo (Dja Biosphere Reserve, East Cameroon)</v>
      </c>
      <c r="G55" s="9" t="str">
        <f>VLOOKUP($B55,[1]Trial_info!$B:$X,8,FALSE)</f>
        <v>Somalomo (other buildings)</v>
      </c>
      <c r="H55" s="9" t="str">
        <f>VLOOKUP($B55,[1]Trial_info!$B:$X,9,FALSE)</f>
        <v>Somalomo (other buildings)</v>
      </c>
      <c r="I55" s="10">
        <f>COUNTIF('[1]SUPMAT - Experiment_wasps_table'!G:G,'[1]SUPMAT - Trial_info'!B55)-1</f>
        <v>5</v>
      </c>
      <c r="J55" s="9">
        <f>VLOOKUP($B55,[1]Trial_info!$B:$X,17,FALSE)</f>
        <v>1</v>
      </c>
      <c r="K55" s="9">
        <f>VLOOKUP($B55,[1]Trial_info!$B:$X,18,FALSE)</f>
        <v>4</v>
      </c>
      <c r="L55" s="11">
        <f>VLOOKUP(B55,[1]Trial_info!B:H,7,FALSE)</f>
        <v>44336.715277777781</v>
      </c>
    </row>
    <row r="56" spans="1:12" x14ac:dyDescent="0.2">
      <c r="A56" s="6"/>
      <c r="B56" s="7" t="s">
        <v>66</v>
      </c>
      <c r="C56" s="8"/>
      <c r="D56" s="9" t="str">
        <f>VLOOKUP(B56,[1]Trial_info!B:C,2,FALSE)</f>
        <v>Cameroon</v>
      </c>
      <c r="E56" s="9" t="str">
        <f>VLOOKUP($B56,[1]Trial_info!$B:$X,3,FALSE)</f>
        <v>Batch 7</v>
      </c>
      <c r="F56" s="9" t="str">
        <f>VLOOKUP($B56,[1]Trial_info!$B:$X,4,FALSE)</f>
        <v>Somalomo (Dja Biosphere Reserve, East Cameroon)</v>
      </c>
      <c r="G56" s="9" t="str">
        <f>VLOOKUP($B56,[1]Trial_info!$B:$X,8,FALSE)</f>
        <v>Somalomo (other buildings)</v>
      </c>
      <c r="H56" s="9" t="str">
        <f>VLOOKUP($B56,[1]Trial_info!$B:$X,9,FALSE)</f>
        <v>Somalomo (other buildings)</v>
      </c>
      <c r="I56" s="10">
        <f>COUNTIF('[1]SUPMAT - Experiment_wasps_table'!G:G,'[1]SUPMAT - Trial_info'!B56)-1</f>
        <v>2</v>
      </c>
      <c r="J56" s="9">
        <f>VLOOKUP($B56,[1]Trial_info!$B:$X,17,FALSE)</f>
        <v>1</v>
      </c>
      <c r="K56" s="9">
        <f>VLOOKUP($B56,[1]Trial_info!$B:$X,18,FALSE)</f>
        <v>4</v>
      </c>
      <c r="L56" s="11">
        <f>VLOOKUP(B56,[1]Trial_info!B:H,7,FALSE)</f>
        <v>44336.709722222222</v>
      </c>
    </row>
    <row r="57" spans="1:12" x14ac:dyDescent="0.2">
      <c r="A57" s="6"/>
      <c r="B57" s="13" t="s">
        <v>67</v>
      </c>
      <c r="C57" s="14" t="s">
        <v>109</v>
      </c>
      <c r="D57" s="15" t="str">
        <f>VLOOKUP(B57,[1]Trial_info!B:C,2,FALSE)</f>
        <v>Cameroon</v>
      </c>
      <c r="E57" s="15" t="str">
        <f>VLOOKUP($B57,[1]Trial_info!$B:$X,3,FALSE)</f>
        <v>Batch 7</v>
      </c>
      <c r="F57" s="15" t="str">
        <f>VLOOKUP($B57,[1]Trial_info!$B:$X,4,FALSE)</f>
        <v>Somalomo (Dja Biosphere Reserve, East Cameroon)</v>
      </c>
      <c r="G57" s="15" t="str">
        <f>VLOOKUP($B57,[1]Trial_info!$B:$X,8,FALSE)</f>
        <v>Somalomo (other buildings)</v>
      </c>
      <c r="H57" s="15" t="str">
        <f>VLOOKUP($B57,[1]Trial_info!$B:$X,9,FALSE)</f>
        <v>Somalomo (other buildings)</v>
      </c>
      <c r="I57" s="16"/>
      <c r="J57" s="15">
        <f>VLOOKUP($B57,[1]Trial_info!$B:$X,17,FALSE)</f>
        <v>1</v>
      </c>
      <c r="K57" s="15">
        <f>VLOOKUP($B57,[1]Trial_info!$B:$X,18,FALSE)</f>
        <v>1</v>
      </c>
      <c r="L57" s="11">
        <f>VLOOKUP(B57,[1]Trial_info!B:H,7,FALSE)</f>
        <v>44336.720833333333</v>
      </c>
    </row>
    <row r="58" spans="1:12" x14ac:dyDescent="0.2">
      <c r="A58" s="6"/>
      <c r="B58" s="13" t="s">
        <v>68</v>
      </c>
      <c r="C58" s="14" t="s">
        <v>109</v>
      </c>
      <c r="D58" s="15" t="str">
        <f>VLOOKUP(B58,[1]Trial_info!B:C,2,FALSE)</f>
        <v>Cameroon</v>
      </c>
      <c r="E58" s="15" t="str">
        <f>VLOOKUP($B58,[1]Trial_info!$B:$X,3,FALSE)</f>
        <v>Batch 7</v>
      </c>
      <c r="F58" s="15" t="str">
        <f>VLOOKUP($B58,[1]Trial_info!$B:$X,4,FALSE)</f>
        <v>Somalomo (Dja Biosphere Reserve, East Cameroon)</v>
      </c>
      <c r="G58" s="15" t="str">
        <f>VLOOKUP($B58,[1]Trial_info!$B:$X,8,FALSE)</f>
        <v>Somalomo (other buildings)</v>
      </c>
      <c r="H58" s="15" t="str">
        <f>VLOOKUP($B58,[1]Trial_info!$B:$X,9,FALSE)</f>
        <v>Somalomo (other buildings)</v>
      </c>
      <c r="I58" s="16"/>
      <c r="J58" s="15">
        <f>VLOOKUP($B58,[1]Trial_info!$B:$X,17,FALSE)</f>
        <v>5</v>
      </c>
      <c r="K58" s="15">
        <f>VLOOKUP($B58,[1]Trial_info!$B:$X,18,FALSE)</f>
        <v>4</v>
      </c>
      <c r="L58" s="11">
        <f>VLOOKUP(B58,[1]Trial_info!B:H,7,FALSE)</f>
        <v>44336.722222222219</v>
      </c>
    </row>
    <row r="59" spans="1:12" x14ac:dyDescent="0.2">
      <c r="A59" s="6"/>
      <c r="B59" s="7" t="s">
        <v>69</v>
      </c>
      <c r="C59" s="8"/>
      <c r="D59" s="9" t="str">
        <f>VLOOKUP(B59,[1]Trial_info!B:C,2,FALSE)</f>
        <v>Cameroon</v>
      </c>
      <c r="E59" s="9" t="str">
        <f>VLOOKUP($B59,[1]Trial_info!$B:$X,3,FALSE)</f>
        <v>Batch 7</v>
      </c>
      <c r="F59" s="9" t="str">
        <f>VLOOKUP($B59,[1]Trial_info!$B:$X,4,FALSE)</f>
        <v>Somalomo (Dja Biosphere Reserve, East Cameroon)</v>
      </c>
      <c r="G59" s="9" t="str">
        <f>VLOOKUP($B59,[1]Trial_info!$B:$X,8,FALSE)</f>
        <v>Somalomo (other buildings)</v>
      </c>
      <c r="H59" s="9" t="str">
        <f>VLOOKUP($B59,[1]Trial_info!$B:$X,9,FALSE)</f>
        <v>Somalomo (other buildings)</v>
      </c>
      <c r="I59" s="10">
        <f>COUNTIF('[1]SUPMAT - Experiment_wasps_table'!G:G,'[1]SUPMAT - Trial_info'!B59)-1</f>
        <v>1</v>
      </c>
      <c r="J59" s="9">
        <f>VLOOKUP($B59,[1]Trial_info!$B:$X,17,FALSE)</f>
        <v>3</v>
      </c>
      <c r="K59" s="9">
        <f>VLOOKUP($B59,[1]Trial_info!$B:$X,18,FALSE)</f>
        <v>6</v>
      </c>
      <c r="L59" s="11">
        <f>VLOOKUP(B59,[1]Trial_info!B:H,7,FALSE)</f>
        <v>44336.727083333331</v>
      </c>
    </row>
    <row r="60" spans="1:12" x14ac:dyDescent="0.2">
      <c r="A60" s="6"/>
      <c r="B60" s="7" t="s">
        <v>70</v>
      </c>
      <c r="C60" s="8"/>
      <c r="D60" s="9" t="str">
        <f>VLOOKUP(B60,[1]Trial_info!B:C,2,FALSE)</f>
        <v>Cameroon</v>
      </c>
      <c r="E60" s="9" t="str">
        <f>VLOOKUP($B60,[1]Trial_info!$B:$X,3,FALSE)</f>
        <v>Batch 7</v>
      </c>
      <c r="F60" s="9" t="str">
        <f>VLOOKUP($B60,[1]Trial_info!$B:$X,4,FALSE)</f>
        <v>Somalomo (Dja Biosphere Reserve, East Cameroon)</v>
      </c>
      <c r="G60" s="9" t="str">
        <f>VLOOKUP($B60,[1]Trial_info!$B:$X,8,FALSE)</f>
        <v>Somalomo (other buildings)</v>
      </c>
      <c r="H60" s="9" t="str">
        <f>VLOOKUP($B60,[1]Trial_info!$B:$X,9,FALSE)</f>
        <v>Somalomo (other buildings)</v>
      </c>
      <c r="I60" s="10">
        <f>COUNTIF('[1]SUPMAT - Experiment_wasps_table'!G:G,'[1]SUPMAT - Trial_info'!B60)-1</f>
        <v>2</v>
      </c>
      <c r="J60" s="9">
        <f>VLOOKUP($B60,[1]Trial_info!$B:$X,17,FALSE)</f>
        <v>2</v>
      </c>
      <c r="K60" s="9">
        <f>VLOOKUP($B60,[1]Trial_info!$B:$X,18,FALSE)</f>
        <v>1</v>
      </c>
      <c r="L60" s="11">
        <f>VLOOKUP(B60,[1]Trial_info!B:H,7,FALSE)</f>
        <v>44337.402777777781</v>
      </c>
    </row>
    <row r="61" spans="1:12" x14ac:dyDescent="0.2">
      <c r="A61" s="6"/>
      <c r="B61" s="7" t="s">
        <v>71</v>
      </c>
      <c r="C61" s="8"/>
      <c r="D61" s="9" t="str">
        <f>VLOOKUP(B61,[1]Trial_info!B:C,2,FALSE)</f>
        <v>Cameroon</v>
      </c>
      <c r="E61" s="9" t="str">
        <f>VLOOKUP($B61,[1]Trial_info!$B:$X,3,FALSE)</f>
        <v>Batch 7</v>
      </c>
      <c r="F61" s="9" t="str">
        <f>VLOOKUP($B61,[1]Trial_info!$B:$X,4,FALSE)</f>
        <v>Somalomo (Dja Biosphere Reserve, East Cameroon)</v>
      </c>
      <c r="G61" s="9" t="str">
        <f>VLOOKUP($B61,[1]Trial_info!$B:$X,8,FALSE)</f>
        <v>Somalomo (other buildings)</v>
      </c>
      <c r="H61" s="9" t="str">
        <f>VLOOKUP($B61,[1]Trial_info!$B:$X,9,FALSE)</f>
        <v>Somalomo (other buildings)</v>
      </c>
      <c r="I61" s="10">
        <f>COUNTIF('[1]SUPMAT - Experiment_wasps_table'!G:G,'[1]SUPMAT - Trial_info'!B61)-1</f>
        <v>2</v>
      </c>
      <c r="J61" s="9">
        <f>VLOOKUP($B61,[1]Trial_info!$B:$X,17,FALSE)</f>
        <v>2</v>
      </c>
      <c r="K61" s="9">
        <f>VLOOKUP($B61,[1]Trial_info!$B:$X,18,FALSE)</f>
        <v>0</v>
      </c>
      <c r="L61" s="11">
        <f>VLOOKUP(B61,[1]Trial_info!B:H,7,FALSE)</f>
        <v>44336.731944444444</v>
      </c>
    </row>
    <row r="62" spans="1:12" x14ac:dyDescent="0.2">
      <c r="A62" s="6"/>
      <c r="B62" s="7" t="s">
        <v>72</v>
      </c>
      <c r="C62" s="8"/>
      <c r="D62" s="9" t="str">
        <f>VLOOKUP(B62,[1]Trial_info!B:C,2,FALSE)</f>
        <v>Cameroon</v>
      </c>
      <c r="E62" s="9" t="str">
        <f>VLOOKUP($B62,[1]Trial_info!$B:$X,3,FALSE)</f>
        <v>Batch 7</v>
      </c>
      <c r="F62" s="9" t="str">
        <f>VLOOKUP($B62,[1]Trial_info!$B:$X,4,FALSE)</f>
        <v>Somalomo (Dja Biosphere Reserve, East Cameroon)</v>
      </c>
      <c r="G62" s="9" t="str">
        <f>VLOOKUP($B62,[1]Trial_info!$B:$X,8,FALSE)</f>
        <v>Somalomo bedroom</v>
      </c>
      <c r="H62" s="9" t="str">
        <f>VLOOKUP($B62,[1]Trial_info!$B:$X,9,FALSE)</f>
        <v>Somalomo bedroom</v>
      </c>
      <c r="I62" s="10">
        <f>COUNTIF('[1]SUPMAT - Experiment_wasps_table'!G:G,'[1]SUPMAT - Trial_info'!B62)-1</f>
        <v>2</v>
      </c>
      <c r="J62" s="9">
        <f>VLOOKUP($B62,[1]Trial_info!$B:$X,17,FALSE)</f>
        <v>4</v>
      </c>
      <c r="K62" s="9">
        <f>VLOOKUP($B62,[1]Trial_info!$B:$X,18,FALSE)</f>
        <v>7</v>
      </c>
      <c r="L62" s="11">
        <f>VLOOKUP(B62,[1]Trial_info!B:H,7,FALSE)</f>
        <v>44337.491666666669</v>
      </c>
    </row>
    <row r="63" spans="1:12" x14ac:dyDescent="0.2">
      <c r="A63" s="6"/>
      <c r="B63" s="7" t="s">
        <v>73</v>
      </c>
      <c r="C63" s="8"/>
      <c r="D63" s="9" t="str">
        <f>VLOOKUP(B63,[1]Trial_info!B:C,2,FALSE)</f>
        <v>Cameroon</v>
      </c>
      <c r="E63" s="9" t="str">
        <f>VLOOKUP($B63,[1]Trial_info!$B:$X,3,FALSE)</f>
        <v>Batch 7</v>
      </c>
      <c r="F63" s="9" t="str">
        <f>VLOOKUP($B63,[1]Trial_info!$B:$X,4,FALSE)</f>
        <v>Somalomo (Dja Biosphere Reserve, East Cameroon)</v>
      </c>
      <c r="G63" s="9" t="str">
        <f>VLOOKUP($B63,[1]Trial_info!$B:$X,8,FALSE)</f>
        <v>Somalomo bedroom</v>
      </c>
      <c r="H63" s="9" t="str">
        <f>VLOOKUP($B63,[1]Trial_info!$B:$X,9,FALSE)</f>
        <v>Somalomo bedroom</v>
      </c>
      <c r="I63" s="10">
        <f>COUNTIF('[1]SUPMAT - Experiment_wasps_table'!G:G,'[1]SUPMAT - Trial_info'!B63)-1</f>
        <v>1</v>
      </c>
      <c r="J63" s="9">
        <f>VLOOKUP($B63,[1]Trial_info!$B:$X,17,FALSE)</f>
        <v>15</v>
      </c>
      <c r="K63" s="9">
        <f>VLOOKUP($B63,[1]Trial_info!$B:$X,18,FALSE)</f>
        <v>6</v>
      </c>
      <c r="L63" s="11">
        <f>VLOOKUP(B63,[1]Trial_info!B:H,7,FALSE)</f>
        <v>44337.496527777781</v>
      </c>
    </row>
    <row r="64" spans="1:12" x14ac:dyDescent="0.2">
      <c r="A64" s="6"/>
      <c r="B64" s="7" t="s">
        <v>74</v>
      </c>
      <c r="C64" s="8"/>
      <c r="D64" s="9" t="str">
        <f>VLOOKUP(B64,[1]Trial_info!B:C,2,FALSE)</f>
        <v>SouthAfrica</v>
      </c>
      <c r="E64" s="9">
        <f>VLOOKUP($B64,[1]Trial_info!$B:$X,3,FALSE)</f>
        <v>1</v>
      </c>
      <c r="F64" s="9" t="str">
        <f>VLOOKUP($B64,[1]Trial_info!$B:$X,4,FALSE)</f>
        <v>Zebra House</v>
      </c>
      <c r="G64" s="9" t="str">
        <f>VLOOKUP($B64,[1]Trial_info!$B:$X,8,FALSE)</f>
        <v>Cow Pens (University Farm)</v>
      </c>
      <c r="H64" s="9" t="str">
        <f>VLOOKUP($B64,[1]Trial_info!$B:$X,9,FALSE)</f>
        <v>Bushwillow Bend Chalets</v>
      </c>
      <c r="I64" s="10">
        <f>COUNTIF('[1]SUPMAT - Experiment_wasps_table'!G:G,'[1]SUPMAT - Trial_info'!B64)-1</f>
        <v>3</v>
      </c>
      <c r="J64" s="9">
        <f>VLOOKUP($B64,[1]Trial_info!$B:$X,17,FALSE)</f>
        <v>1</v>
      </c>
      <c r="K64" s="9">
        <f>VLOOKUP($B64,[1]Trial_info!$B:$X,18,FALSE)</f>
        <v>6</v>
      </c>
      <c r="L64" s="11">
        <f>VLOOKUP(B64,[1]Trial_info!B:H,7,FALSE)</f>
        <v>44470.37222222222</v>
      </c>
    </row>
    <row r="65" spans="1:12" x14ac:dyDescent="0.2">
      <c r="A65" s="6"/>
      <c r="B65" s="7" t="s">
        <v>75</v>
      </c>
      <c r="C65" s="8"/>
      <c r="D65" s="9" t="str">
        <f>VLOOKUP(B65,[1]Trial_info!B:C,2,FALSE)</f>
        <v>SouthAfrica</v>
      </c>
      <c r="E65" s="9">
        <f>VLOOKUP($B65,[1]Trial_info!$B:$X,3,FALSE)</f>
        <v>0</v>
      </c>
      <c r="F65" s="9" t="str">
        <f>VLOOKUP($B65,[1]Trial_info!$B:$X,4,FALSE)</f>
        <v>Zebra House</v>
      </c>
      <c r="G65" s="9" t="str">
        <f>VLOOKUP($B65,[1]Trial_info!$B:$X,8,FALSE)</f>
        <v>African Laboratories (University Famr)</v>
      </c>
      <c r="H65" s="9" t="str">
        <f>VLOOKUP($B65,[1]Trial_info!$B:$X,9,FALSE)</f>
        <v>African Laboratories (University Famr)</v>
      </c>
      <c r="I65" s="10">
        <f>COUNTIF('[1]SUPMAT - Experiment_wasps_table'!G:G,'[1]SUPMAT - Trial_info'!B65)-1</f>
        <v>1</v>
      </c>
      <c r="J65" s="9">
        <f>VLOOKUP($B65,[1]Trial_info!$B:$X,17,FALSE)</f>
        <v>1</v>
      </c>
      <c r="K65" s="9">
        <f>VLOOKUP($B65,[1]Trial_info!$B:$X,18,FALSE)</f>
        <v>2</v>
      </c>
      <c r="L65" s="11">
        <f>VLOOKUP(B65,[1]Trial_info!B:H,7,FALSE)</f>
        <v>44478.382638888892</v>
      </c>
    </row>
    <row r="66" spans="1:12" x14ac:dyDescent="0.2">
      <c r="A66" s="6"/>
      <c r="B66" s="7" t="s">
        <v>76</v>
      </c>
      <c r="C66" s="8"/>
      <c r="D66" s="9" t="str">
        <f>VLOOKUP(B66,[1]Trial_info!B:C,2,FALSE)</f>
        <v>SouthAfrica</v>
      </c>
      <c r="E66" s="9">
        <f>VLOOKUP($B66,[1]Trial_info!$B:$X,3,FALSE)</f>
        <v>2</v>
      </c>
      <c r="F66" s="9" t="str">
        <f>VLOOKUP($B66,[1]Trial_info!$B:$X,4,FALSE)</f>
        <v>Zebra House</v>
      </c>
      <c r="G66" s="9" t="str">
        <f>VLOOKUP($B66,[1]Trial_info!$B:$X,8,FALSE)</f>
        <v>Lovers Rock</v>
      </c>
      <c r="H66" s="9" t="str">
        <f>VLOOKUP($B66,[1]Trial_info!$B:$X,9,FALSE)</f>
        <v>Lovers Rock</v>
      </c>
      <c r="I66" s="10">
        <f>COUNTIF('[1]SUPMAT - Experiment_wasps_table'!G:G,'[1]SUPMAT - Trial_info'!B66)-1</f>
        <v>3</v>
      </c>
      <c r="J66" s="9">
        <f>VLOOKUP($B66,[1]Trial_info!$B:$X,17,FALSE)</f>
        <v>0</v>
      </c>
      <c r="K66" s="9">
        <f>VLOOKUP($B66,[1]Trial_info!$B:$X,18,FALSE)</f>
        <v>5</v>
      </c>
      <c r="L66" s="11">
        <f>VLOOKUP(B66,[1]Trial_info!B:H,7,FALSE)</f>
        <v>44473.714583333334</v>
      </c>
    </row>
    <row r="67" spans="1:12" x14ac:dyDescent="0.2">
      <c r="A67" s="6"/>
      <c r="B67" s="7" t="s">
        <v>77</v>
      </c>
      <c r="C67" s="8"/>
      <c r="D67" s="9" t="str">
        <f>VLOOKUP(B67,[1]Trial_info!B:C,2,FALSE)</f>
        <v>SouthAfrica</v>
      </c>
      <c r="E67" s="9">
        <f>VLOOKUP($B67,[1]Trial_info!$B:$X,3,FALSE)</f>
        <v>0</v>
      </c>
      <c r="F67" s="9" t="str">
        <f>VLOOKUP($B67,[1]Trial_info!$B:$X,4,FALSE)</f>
        <v>Zebra House</v>
      </c>
      <c r="G67" s="9" t="str">
        <f>VLOOKUP($B67,[1]Trial_info!$B:$X,8,FALSE)</f>
        <v>African Laboratories (University Famr)</v>
      </c>
      <c r="H67" s="9" t="str">
        <f>VLOOKUP($B67,[1]Trial_info!$B:$X,9,FALSE)</f>
        <v>Bushwillow Bend Chalets</v>
      </c>
      <c r="I67" s="10">
        <f>COUNTIF('[1]SUPMAT - Experiment_wasps_table'!G:G,'[1]SUPMAT - Trial_info'!B67)-1</f>
        <v>4</v>
      </c>
      <c r="J67" s="9">
        <f>VLOOKUP($B67,[1]Trial_info!$B:$X,17,FALSE)</f>
        <v>4</v>
      </c>
      <c r="K67" s="9">
        <f>VLOOKUP($B67,[1]Trial_info!$B:$X,18,FALSE)</f>
        <v>7</v>
      </c>
      <c r="L67" s="11">
        <f>VLOOKUP(B67,[1]Trial_info!B:H,7,FALSE)</f>
        <v>44478.37222222222</v>
      </c>
    </row>
    <row r="68" spans="1:12" x14ac:dyDescent="0.2">
      <c r="A68" s="6"/>
      <c r="B68" s="7" t="s">
        <v>78</v>
      </c>
      <c r="C68" s="8"/>
      <c r="D68" s="9" t="str">
        <f>VLOOKUP(B68,[1]Trial_info!B:C,2,FALSE)</f>
        <v>SouthAfrica</v>
      </c>
      <c r="E68" s="9">
        <f>VLOOKUP($B68,[1]Trial_info!$B:$X,3,FALSE)</f>
        <v>0</v>
      </c>
      <c r="F68" s="9" t="str">
        <f>VLOOKUP($B68,[1]Trial_info!$B:$X,4,FALSE)</f>
        <v>Zebra House</v>
      </c>
      <c r="G68" s="9" t="str">
        <f>VLOOKUP($B68,[1]Trial_info!$B:$X,8,FALSE)</f>
        <v>African Laboratories (University Famr)</v>
      </c>
      <c r="H68" s="9" t="str">
        <f>VLOOKUP($B68,[1]Trial_info!$B:$X,9,FALSE)</f>
        <v>Circular Tub (University Farm)</v>
      </c>
      <c r="I68" s="10">
        <f>COUNTIF('[1]SUPMAT - Experiment_wasps_table'!G:G,'[1]SUPMAT - Trial_info'!B68)-1</f>
        <v>1</v>
      </c>
      <c r="J68" s="9">
        <f>VLOOKUP($B68,[1]Trial_info!$B:$X,17,FALSE)</f>
        <v>2</v>
      </c>
      <c r="K68" s="9">
        <f>VLOOKUP($B68,[1]Trial_info!$B:$X,18,FALSE)</f>
        <v>7</v>
      </c>
      <c r="L68" s="11">
        <f>VLOOKUP(B68,[1]Trial_info!B:H,7,FALSE)</f>
        <v>44478.377083333333</v>
      </c>
    </row>
    <row r="69" spans="1:12" x14ac:dyDescent="0.2">
      <c r="A69" s="6"/>
      <c r="B69" s="7" t="s">
        <v>79</v>
      </c>
      <c r="C69" s="8"/>
      <c r="D69" s="9" t="str">
        <f>VLOOKUP(B69,[1]Trial_info!B:C,2,FALSE)</f>
        <v>SouthAfrica</v>
      </c>
      <c r="E69" s="9">
        <f>VLOOKUP($B69,[1]Trial_info!$B:$X,3,FALSE)</f>
        <v>0</v>
      </c>
      <c r="F69" s="9" t="str">
        <f>VLOOKUP($B69,[1]Trial_info!$B:$X,4,FALSE)</f>
        <v>Zebra House</v>
      </c>
      <c r="G69" s="9" t="str">
        <f>VLOOKUP($B69,[1]Trial_info!$B:$X,8,FALSE)</f>
        <v>Lovers Rock</v>
      </c>
      <c r="H69" s="9" t="str">
        <f>VLOOKUP($B69,[1]Trial_info!$B:$X,9,FALSE)</f>
        <v>Lovers Rock</v>
      </c>
      <c r="I69" s="10">
        <f>COUNTIF('[1]SUPMAT - Experiment_wasps_table'!G:G,'[1]SUPMAT - Trial_info'!B69)-1</f>
        <v>5</v>
      </c>
      <c r="J69" s="9">
        <f>VLOOKUP($B69,[1]Trial_info!$B:$X,17,FALSE)</f>
        <v>0</v>
      </c>
      <c r="K69" s="9">
        <f>VLOOKUP($B69,[1]Trial_info!$B:$X,18,FALSE)</f>
        <v>8</v>
      </c>
      <c r="L69" s="11">
        <f>VLOOKUP(B69,[1]Trial_info!B:H,7,FALSE)</f>
        <v>44473.72152777778</v>
      </c>
    </row>
    <row r="70" spans="1:12" x14ac:dyDescent="0.2">
      <c r="A70" s="6"/>
      <c r="B70" s="7" t="s">
        <v>80</v>
      </c>
      <c r="C70" s="8"/>
      <c r="D70" s="9" t="str">
        <f>VLOOKUP(B70,[1]Trial_info!B:C,2,FALSE)</f>
        <v>SouthAfrica</v>
      </c>
      <c r="E70" s="9">
        <f>VLOOKUP($B70,[1]Trial_info!$B:$X,3,FALSE)</f>
        <v>0</v>
      </c>
      <c r="F70" s="9" t="str">
        <f>VLOOKUP($B70,[1]Trial_info!$B:$X,4,FALSE)</f>
        <v>Zebra House</v>
      </c>
      <c r="G70" s="9" t="str">
        <f>VLOOKUP($B70,[1]Trial_info!$B:$X,8,FALSE)</f>
        <v>African Laboratories (University Famr)</v>
      </c>
      <c r="H70" s="9" t="str">
        <f>VLOOKUP($B70,[1]Trial_info!$B:$X,9,FALSE)</f>
        <v>Bushwillow Bend Chalets</v>
      </c>
      <c r="I70" s="10">
        <f>COUNTIF('[1]SUPMAT - Experiment_wasps_table'!G:G,'[1]SUPMAT - Trial_info'!B70)-1</f>
        <v>1</v>
      </c>
      <c r="J70" s="9">
        <f>VLOOKUP($B70,[1]Trial_info!$B:$X,17,FALSE)</f>
        <v>1</v>
      </c>
      <c r="K70" s="9">
        <f>VLOOKUP($B70,[1]Trial_info!$B:$X,18,FALSE)</f>
        <v>4</v>
      </c>
      <c r="L70" s="11">
        <f>VLOOKUP(B70,[1]Trial_info!B:H,7,FALSE)</f>
        <v>44478.367361111108</v>
      </c>
    </row>
    <row r="71" spans="1:12" x14ac:dyDescent="0.2">
      <c r="A71" s="6"/>
      <c r="B71" s="7" t="s">
        <v>81</v>
      </c>
      <c r="C71" s="8"/>
      <c r="D71" s="9" t="str">
        <f>VLOOKUP(B71,[1]Trial_info!B:C,2,FALSE)</f>
        <v>SouthAfrica</v>
      </c>
      <c r="E71" s="9">
        <f>VLOOKUP($B71,[1]Trial_info!$B:$X,3,FALSE)</f>
        <v>0</v>
      </c>
      <c r="F71" s="9" t="str">
        <f>VLOOKUP($B71,[1]Trial_info!$B:$X,4,FALSE)</f>
        <v>Zebra House</v>
      </c>
      <c r="G71" s="9" t="str">
        <f>VLOOKUP($B71,[1]Trial_info!$B:$X,8,FALSE)</f>
        <v>Lovers Rock</v>
      </c>
      <c r="H71" s="9" t="str">
        <f>VLOOKUP($B71,[1]Trial_info!$B:$X,9,FALSE)</f>
        <v>Lovers Rock</v>
      </c>
      <c r="I71" s="10">
        <f>COUNTIF('[1]SUPMAT - Experiment_wasps_table'!G:G,'[1]SUPMAT - Trial_info'!B71)-1</f>
        <v>8</v>
      </c>
      <c r="J71" s="9">
        <f>VLOOKUP($B71,[1]Trial_info!$B:$X,17,FALSE)</f>
        <v>6</v>
      </c>
      <c r="K71" s="9">
        <f>VLOOKUP($B71,[1]Trial_info!$B:$X,18,FALSE)</f>
        <v>6</v>
      </c>
      <c r="L71" s="11">
        <f>VLOOKUP(B71,[1]Trial_info!B:H,7,FALSE)</f>
        <v>44473.717361111114</v>
      </c>
    </row>
    <row r="72" spans="1:12" x14ac:dyDescent="0.2">
      <c r="A72" s="6"/>
      <c r="B72" s="7" t="s">
        <v>82</v>
      </c>
      <c r="C72" s="8"/>
      <c r="D72" s="9" t="str">
        <f>VLOOKUP(B72,[1]Trial_info!B:C,2,FALSE)</f>
        <v>SouthAfrica</v>
      </c>
      <c r="E72" s="9">
        <f>VLOOKUP($B72,[1]Trial_info!$B:$X,3,FALSE)</f>
        <v>0</v>
      </c>
      <c r="F72" s="9" t="str">
        <f>VLOOKUP($B72,[1]Trial_info!$B:$X,4,FALSE)</f>
        <v>Cowshed (neighbouring farm)</v>
      </c>
      <c r="G72" s="9" t="str">
        <f>VLOOKUP($B72,[1]Trial_info!$B:$X,8,FALSE)</f>
        <v>Circular Tubs (University Farm)</v>
      </c>
      <c r="H72" s="9" t="str">
        <f>VLOOKUP($B72,[1]Trial_info!$B:$X,9,FALSE)</f>
        <v>Bushwillow Bend Chalets</v>
      </c>
      <c r="I72" s="10">
        <f>COUNTIF('[1]SUPMAT - Experiment_wasps_table'!G:G,'[1]SUPMAT - Trial_info'!B72)-1</f>
        <v>1</v>
      </c>
      <c r="J72" s="9">
        <f>VLOOKUP($B72,[1]Trial_info!$B:$X,17,FALSE)</f>
        <v>0</v>
      </c>
      <c r="K72" s="9">
        <f>VLOOKUP($B72,[1]Trial_info!$B:$X,18,FALSE)</f>
        <v>3</v>
      </c>
      <c r="L72" s="11">
        <f>VLOOKUP(B72,[1]Trial_info!B:H,7,FALSE)</f>
        <v>44478.481944444444</v>
      </c>
    </row>
    <row r="73" spans="1:12" x14ac:dyDescent="0.2">
      <c r="A73" s="6"/>
      <c r="B73" s="7" t="s">
        <v>83</v>
      </c>
      <c r="C73" s="8"/>
      <c r="D73" s="9" t="str">
        <f>VLOOKUP(B73,[1]Trial_info!B:C,2,FALSE)</f>
        <v>SouthAfrica</v>
      </c>
      <c r="E73" s="9">
        <f>VLOOKUP($B73,[1]Trial_info!$B:$X,3,FALSE)</f>
        <v>0</v>
      </c>
      <c r="F73" s="9" t="str">
        <f>VLOOKUP($B73,[1]Trial_info!$B:$X,4,FALSE)</f>
        <v>Cowshed (neighbouring farm)</v>
      </c>
      <c r="G73" s="9" t="str">
        <f>VLOOKUP($B73,[1]Trial_info!$B:$X,8,FALSE)</f>
        <v>African Laboratories (University Famr)</v>
      </c>
      <c r="H73" s="9" t="str">
        <f>VLOOKUP($B73,[1]Trial_info!$B:$X,9,FALSE)</f>
        <v>Bushwillow Bend Chalets</v>
      </c>
      <c r="I73" s="10">
        <f>COUNTIF('[1]SUPMAT - Experiment_wasps_table'!G:G,'[1]SUPMAT - Trial_info'!B73)-1</f>
        <v>3</v>
      </c>
      <c r="J73" s="9">
        <f>VLOOKUP($B73,[1]Trial_info!$B:$X,17,FALSE)</f>
        <v>0</v>
      </c>
      <c r="K73" s="9">
        <f>VLOOKUP($B73,[1]Trial_info!$B:$X,18,FALSE)</f>
        <v>6</v>
      </c>
      <c r="L73" s="11">
        <f>VLOOKUP(B73,[1]Trial_info!B:H,7,FALSE)</f>
        <v>44478.493750000001</v>
      </c>
    </row>
    <row r="74" spans="1:12" x14ac:dyDescent="0.2">
      <c r="A74" s="6"/>
      <c r="B74" s="7" t="s">
        <v>84</v>
      </c>
      <c r="C74" s="8"/>
      <c r="D74" s="9" t="str">
        <f>VLOOKUP(B74,[1]Trial_info!B:C,2,FALSE)</f>
        <v>SouthAfrica</v>
      </c>
      <c r="E74" s="9">
        <f>VLOOKUP($B74,[1]Trial_info!$B:$X,3,FALSE)</f>
        <v>0</v>
      </c>
      <c r="F74" s="9" t="str">
        <f>VLOOKUP($B74,[1]Trial_info!$B:$X,4,FALSE)</f>
        <v>Cowshed (neighbouring farm)</v>
      </c>
      <c r="G74" s="9" t="str">
        <f>VLOOKUP($B74,[1]Trial_info!$B:$X,8,FALSE)</f>
        <v>Pumphouse</v>
      </c>
      <c r="H74" s="9" t="str">
        <f>VLOOKUP($B74,[1]Trial_info!$B:$X,9,FALSE)</f>
        <v>Bushwillow Bend</v>
      </c>
      <c r="I74" s="10">
        <f>COUNTIF('[1]SUPMAT - Experiment_wasps_table'!G:G,'[1]SUPMAT - Trial_info'!B74)-1</f>
        <v>3</v>
      </c>
      <c r="J74" s="9">
        <f>VLOOKUP($B74,[1]Trial_info!$B:$X,17,FALSE)</f>
        <v>11</v>
      </c>
      <c r="K74" s="9">
        <f>VLOOKUP($B74,[1]Trial_info!$B:$X,18,FALSE)</f>
        <v>3</v>
      </c>
      <c r="L74" s="11">
        <f>VLOOKUP(B74,[1]Trial_info!B:H,7,FALSE)</f>
        <v>44491.704861111109</v>
      </c>
    </row>
    <row r="75" spans="1:12" x14ac:dyDescent="0.2">
      <c r="A75" s="6"/>
      <c r="B75" s="7" t="s">
        <v>85</v>
      </c>
      <c r="C75" s="8"/>
      <c r="D75" s="9" t="str">
        <f>VLOOKUP(B75,[1]Trial_info!B:C,2,FALSE)</f>
        <v>SouthAfrica</v>
      </c>
      <c r="E75" s="9">
        <f>VLOOKUP($B75,[1]Trial_info!$B:$X,3,FALSE)</f>
        <v>0</v>
      </c>
      <c r="F75" s="9" t="str">
        <f>VLOOKUP($B75,[1]Trial_info!$B:$X,4,FALSE)</f>
        <v>Pumphouse</v>
      </c>
      <c r="G75" s="9" t="str">
        <f>VLOOKUP($B75,[1]Trial_info!$B:$X,8,FALSE)</f>
        <v>Pretoria</v>
      </c>
      <c r="H75" s="9" t="str">
        <f>VLOOKUP($B75,[1]Trial_info!$B:$X,9,FALSE)</f>
        <v>Bushwillow Bend</v>
      </c>
      <c r="I75" s="10">
        <f>COUNTIF('[1]SUPMAT - Experiment_wasps_table'!G:G,'[1]SUPMAT - Trial_info'!B75)-1</f>
        <v>2</v>
      </c>
      <c r="J75" s="9">
        <f>VLOOKUP($B75,[1]Trial_info!$B:$X,17,FALSE)</f>
        <v>1</v>
      </c>
      <c r="K75" s="9">
        <f>VLOOKUP($B75,[1]Trial_info!$B:$X,18,FALSE)</f>
        <v>6</v>
      </c>
      <c r="L75" s="11">
        <f>VLOOKUP(B75,[1]Trial_info!B:H,7,FALSE)</f>
        <v>44485.501388888886</v>
      </c>
    </row>
    <row r="76" spans="1:12" x14ac:dyDescent="0.2">
      <c r="A76" s="6"/>
      <c r="B76" s="7" t="s">
        <v>86</v>
      </c>
      <c r="C76" s="8"/>
      <c r="D76" s="9" t="str">
        <f>VLOOKUP(B76,[1]Trial_info!B:C,2,FALSE)</f>
        <v>SouthAfrica</v>
      </c>
      <c r="E76" s="9">
        <f>VLOOKUP($B76,[1]Trial_info!$B:$X,3,FALSE)</f>
        <v>0</v>
      </c>
      <c r="F76" s="9" t="str">
        <f>VLOOKUP($B76,[1]Trial_info!$B:$X,4,FALSE)</f>
        <v>Pumphouse</v>
      </c>
      <c r="G76" s="9" t="str">
        <f>VLOOKUP($B76,[1]Trial_info!$B:$X,8,FALSE)</f>
        <v>Pretoria</v>
      </c>
      <c r="H76" s="9" t="str">
        <f>VLOOKUP($B76,[1]Trial_info!$B:$X,9,FALSE)</f>
        <v>Old Farmhouse</v>
      </c>
      <c r="I76" s="10">
        <f>COUNTIF('[1]SUPMAT - Experiment_wasps_table'!G:G,'[1]SUPMAT - Trial_info'!B76)-1</f>
        <v>6</v>
      </c>
      <c r="J76" s="9">
        <f>VLOOKUP($B76,[1]Trial_info!$B:$X,17,FALSE)</f>
        <v>5</v>
      </c>
      <c r="K76" s="9">
        <f>VLOOKUP($B76,[1]Trial_info!$B:$X,18,FALSE)</f>
        <v>5</v>
      </c>
      <c r="L76" s="11">
        <f>VLOOKUP(B76,[1]Trial_info!B:H,7,FALSE)</f>
        <v>44485.504166666666</v>
      </c>
    </row>
    <row r="77" spans="1:12" x14ac:dyDescent="0.2">
      <c r="A77" s="6"/>
      <c r="B77" s="7" t="s">
        <v>87</v>
      </c>
      <c r="C77" s="8"/>
      <c r="D77" s="9" t="str">
        <f>VLOOKUP(B77,[1]Trial_info!B:C,2,FALSE)</f>
        <v>SouthAfrica</v>
      </c>
      <c r="E77" s="9">
        <f>VLOOKUP($B77,[1]Trial_info!$B:$X,3,FALSE)</f>
        <v>0</v>
      </c>
      <c r="F77" s="9" t="str">
        <f>VLOOKUP($B77,[1]Trial_info!$B:$X,4,FALSE)</f>
        <v>Pumphouse</v>
      </c>
      <c r="G77" s="9" t="str">
        <f>VLOOKUP($B77,[1]Trial_info!$B:$X,8,FALSE)</f>
        <v>Zebra Houe</v>
      </c>
      <c r="H77" s="9" t="str">
        <f>VLOOKUP($B77,[1]Trial_info!$B:$X,9,FALSE)</f>
        <v>Old Farmhouse</v>
      </c>
      <c r="I77" s="10">
        <f>COUNTIF('[1]SUPMAT - Experiment_wasps_table'!G:G,'[1]SUPMAT - Trial_info'!B77)-1</f>
        <v>1</v>
      </c>
      <c r="J77" s="9">
        <f>VLOOKUP($B77,[1]Trial_info!$B:$X,17,FALSE)</f>
        <v>5</v>
      </c>
      <c r="K77" s="9">
        <f>VLOOKUP($B77,[1]Trial_info!$B:$X,18,FALSE)</f>
        <v>4</v>
      </c>
      <c r="L77" s="11">
        <f>VLOOKUP(B77,[1]Trial_info!B:H,7,FALSE)</f>
        <v>44485.507638888892</v>
      </c>
    </row>
    <row r="78" spans="1:12" x14ac:dyDescent="0.2">
      <c r="A78" s="6"/>
      <c r="B78" s="13" t="s">
        <v>88</v>
      </c>
      <c r="C78" s="14" t="s">
        <v>109</v>
      </c>
      <c r="D78" s="15" t="str">
        <f>VLOOKUP(B78,[1]Trial_info!B:C,2,FALSE)</f>
        <v>SouthAfrica</v>
      </c>
      <c r="E78" s="15">
        <f>VLOOKUP($B78,[1]Trial_info!$B:$X,3,FALSE)</f>
        <v>0</v>
      </c>
      <c r="F78" s="15" t="str">
        <f>VLOOKUP($B78,[1]Trial_info!$B:$X,4,FALSE)</f>
        <v>Pumphouse</v>
      </c>
      <c r="G78" s="15" t="str">
        <f>VLOOKUP($B78,[1]Trial_info!$B:$X,8,FALSE)</f>
        <v>Pretoria</v>
      </c>
      <c r="H78" s="15" t="str">
        <f>VLOOKUP($B78,[1]Trial_info!$B:$X,9,FALSE)</f>
        <v xml:space="preserve">Bushwillow Bend </v>
      </c>
      <c r="I78" s="16"/>
      <c r="J78" s="15">
        <f>VLOOKUP($B78,[1]Trial_info!$B:$X,17,FALSE)</f>
        <v>1</v>
      </c>
      <c r="K78" s="15">
        <f>VLOOKUP($B78,[1]Trial_info!$B:$X,18,FALSE)</f>
        <v>8</v>
      </c>
      <c r="L78" s="11">
        <f>VLOOKUP(B78,[1]Trial_info!B:H,7,FALSE)</f>
        <v>44485.511111111111</v>
      </c>
    </row>
    <row r="79" spans="1:12" x14ac:dyDescent="0.2">
      <c r="A79" s="6"/>
      <c r="B79" s="7" t="s">
        <v>89</v>
      </c>
      <c r="C79" s="8"/>
      <c r="D79" s="9" t="str">
        <f>VLOOKUP(B79,[1]Trial_info!B:C,2,FALSE)</f>
        <v>SouthAfrica</v>
      </c>
      <c r="E79" s="9">
        <f>VLOOKUP($B79,[1]Trial_info!$B:$X,3,FALSE)</f>
        <v>0</v>
      </c>
      <c r="F79" s="9" t="str">
        <f>VLOOKUP($B79,[1]Trial_info!$B:$X,4,FALSE)</f>
        <v>Pumphouse</v>
      </c>
      <c r="G79" s="9" t="str">
        <f>VLOOKUP($B79,[1]Trial_info!$B:$X,8,FALSE)</f>
        <v>Pretoria</v>
      </c>
      <c r="H79" s="9" t="str">
        <f>VLOOKUP($B79,[1]Trial_info!$B:$X,9,FALSE)</f>
        <v>Bushwillow Bend Chalets</v>
      </c>
      <c r="I79" s="10">
        <f>COUNTIF('[1]SUPMAT - Experiment_wasps_table'!G:G,'[1]SUPMAT - Trial_info'!B79)-1</f>
        <v>2</v>
      </c>
      <c r="J79" s="9">
        <f>VLOOKUP($B79,[1]Trial_info!$B:$X,17,FALSE)</f>
        <v>2</v>
      </c>
      <c r="K79" s="9">
        <f>VLOOKUP($B79,[1]Trial_info!$B:$X,18,FALSE)</f>
        <v>2</v>
      </c>
      <c r="L79" s="11">
        <f>VLOOKUP(B79,[1]Trial_info!B:H,7,FALSE)</f>
        <v>44485.5</v>
      </c>
    </row>
    <row r="80" spans="1:12" x14ac:dyDescent="0.2">
      <c r="A80" s="6"/>
      <c r="B80" s="7" t="s">
        <v>90</v>
      </c>
      <c r="C80" s="8"/>
      <c r="D80" s="9" t="str">
        <f>VLOOKUP(B80,[1]Trial_info!B:C,2,FALSE)</f>
        <v>SouthAfrica</v>
      </c>
      <c r="E80" s="9">
        <f>VLOOKUP($B80,[1]Trial_info!$B:$X,3,FALSE)</f>
        <v>0</v>
      </c>
      <c r="F80" s="9" t="str">
        <f>VLOOKUP($B80,[1]Trial_info!$B:$X,4,FALSE)</f>
        <v>Pumphouse</v>
      </c>
      <c r="G80" s="9" t="str">
        <f>VLOOKUP($B80,[1]Trial_info!$B:$X,8,FALSE)</f>
        <v>Pretoria</v>
      </c>
      <c r="H80" s="9" t="str">
        <f>VLOOKUP($B80,[1]Trial_info!$B:$X,9,FALSE)</f>
        <v>Bushwillow Bend</v>
      </c>
      <c r="I80" s="10">
        <f>COUNTIF('[1]SUPMAT - Experiment_wasps_table'!G:G,'[1]SUPMAT - Trial_info'!B80)-1</f>
        <v>9</v>
      </c>
      <c r="J80" s="9">
        <f>VLOOKUP($B80,[1]Trial_info!$B:$X,17,FALSE)</f>
        <v>2</v>
      </c>
      <c r="K80" s="9">
        <f>VLOOKUP($B80,[1]Trial_info!$B:$X,18,FALSE)</f>
        <v>3</v>
      </c>
      <c r="L80" s="11">
        <f>VLOOKUP(B80,[1]Trial_info!B:H,7,FALSE)</f>
        <v>44485.518055555556</v>
      </c>
    </row>
    <row r="81" spans="1:12" x14ac:dyDescent="0.2">
      <c r="A81" s="6"/>
      <c r="B81" s="7" t="s">
        <v>91</v>
      </c>
      <c r="C81" s="8"/>
      <c r="D81" s="9" t="str">
        <f>VLOOKUP(B81,[1]Trial_info!B:C,2,FALSE)</f>
        <v>SouthAfrica</v>
      </c>
      <c r="E81" s="9">
        <f>VLOOKUP($B81,[1]Trial_info!$B:$X,3,FALSE)</f>
        <v>0</v>
      </c>
      <c r="F81" s="9" t="str">
        <f>VLOOKUP($B81,[1]Trial_info!$B:$X,4,FALSE)</f>
        <v>Pumphouse</v>
      </c>
      <c r="G81" s="9" t="str">
        <f>VLOOKUP($B81,[1]Trial_info!$B:$X,8,FALSE)</f>
        <v>Cowshed (neighbouring farm)</v>
      </c>
      <c r="H81" s="9" t="str">
        <f>VLOOKUP($B81,[1]Trial_info!$B:$X,9,FALSE)</f>
        <v>Bushwillow Bend (Leslie &amp; Danie's House)</v>
      </c>
      <c r="I81" s="10">
        <f>COUNTIF('[1]SUPMAT - Experiment_wasps_table'!G:G,'[1]SUPMAT - Trial_info'!B81)-1</f>
        <v>6</v>
      </c>
      <c r="J81" s="9">
        <f>VLOOKUP($B81,[1]Trial_info!$B:$X,17,FALSE)</f>
        <v>5</v>
      </c>
      <c r="K81" s="9">
        <f>VLOOKUP($B81,[1]Trial_info!$B:$X,18,FALSE)</f>
        <v>3</v>
      </c>
      <c r="L81" s="11">
        <f>VLOOKUP(B81,[1]Trial_info!B:H,7,FALSE)</f>
        <v>44492.36041666667</v>
      </c>
    </row>
    <row r="82" spans="1:12" x14ac:dyDescent="0.2">
      <c r="A82" s="6"/>
      <c r="B82" s="7" t="s">
        <v>92</v>
      </c>
      <c r="C82" s="8"/>
      <c r="D82" s="9" t="str">
        <f>VLOOKUP(B82,[1]Trial_info!B:C,2,FALSE)</f>
        <v>SouthAfrica</v>
      </c>
      <c r="E82" s="9">
        <f>VLOOKUP($B82,[1]Trial_info!$B:$X,3,FALSE)</f>
        <v>0</v>
      </c>
      <c r="F82" s="9" t="str">
        <f>VLOOKUP($B82,[1]Trial_info!$B:$X,4,FALSE)</f>
        <v>Pumphouse</v>
      </c>
      <c r="G82" s="9" t="str">
        <f>VLOOKUP($B82,[1]Trial_info!$B:$X,8,FALSE)</f>
        <v>Pretoria</v>
      </c>
      <c r="H82" s="9" t="str">
        <f>VLOOKUP($B82,[1]Trial_info!$B:$X,9,FALSE)</f>
        <v>Bushwillow Bend Chalets</v>
      </c>
      <c r="I82" s="10">
        <f>COUNTIF('[1]SUPMAT - Experiment_wasps_table'!G:G,'[1]SUPMAT - Trial_info'!B82)-1</f>
        <v>4</v>
      </c>
      <c r="J82" s="9">
        <f>VLOOKUP($B82,[1]Trial_info!$B:$X,17,FALSE)</f>
        <v>0</v>
      </c>
      <c r="K82" s="9">
        <f>VLOOKUP($B82,[1]Trial_info!$B:$X,18,FALSE)</f>
        <v>3</v>
      </c>
      <c r="L82" s="11">
        <f>VLOOKUP(B82,[1]Trial_info!B:H,7,FALSE)</f>
        <v>44485.521527777775</v>
      </c>
    </row>
    <row r="83" spans="1:12" x14ac:dyDescent="0.2">
      <c r="A83" s="6"/>
      <c r="B83" s="7" t="s">
        <v>93</v>
      </c>
      <c r="C83" s="8"/>
      <c r="D83" s="9" t="str">
        <f>VLOOKUP(B83,[1]Trial_info!B:C,2,FALSE)</f>
        <v>SouthAfrica</v>
      </c>
      <c r="E83" s="9">
        <f>VLOOKUP($B83,[1]Trial_info!$B:$X,3,FALSE)</f>
        <v>0</v>
      </c>
      <c r="F83" s="9" t="str">
        <f>VLOOKUP($B83,[1]Trial_info!$B:$X,4,FALSE)</f>
        <v>Pumphouse</v>
      </c>
      <c r="G83" s="9" t="str">
        <f>VLOOKUP($B83,[1]Trial_info!$B:$X,8,FALSE)</f>
        <v>Cowshed (neighbouring farm)</v>
      </c>
      <c r="H83" s="9" t="str">
        <f>VLOOKUP($B83,[1]Trial_info!$B:$X,9,FALSE)</f>
        <v>Bushwillow Bend</v>
      </c>
      <c r="I83" s="10">
        <f>COUNTIF('[1]SUPMAT - Experiment_wasps_table'!G:G,'[1]SUPMAT - Trial_info'!B83)-1</f>
        <v>4</v>
      </c>
      <c r="J83" s="9">
        <f>VLOOKUP($B83,[1]Trial_info!$B:$X,17,FALSE)</f>
        <v>6</v>
      </c>
      <c r="K83" s="9">
        <f>VLOOKUP($B83,[1]Trial_info!$B:$X,18,FALSE)</f>
        <v>6</v>
      </c>
      <c r="L83" s="11">
        <f>VLOOKUP(B83,[1]Trial_info!B:H,7,FALSE)</f>
        <v>44492.351388888892</v>
      </c>
    </row>
    <row r="84" spans="1:12" x14ac:dyDescent="0.2">
      <c r="A84" s="6"/>
      <c r="B84" s="7" t="s">
        <v>94</v>
      </c>
      <c r="C84" s="8"/>
      <c r="D84" s="9" t="str">
        <f>VLOOKUP(B84,[1]Trial_info!B:C,2,FALSE)</f>
        <v>SouthAfrica</v>
      </c>
      <c r="E84" s="9">
        <f>VLOOKUP($B84,[1]Trial_info!$B:$X,3,FALSE)</f>
        <v>0</v>
      </c>
      <c r="F84" s="9" t="str">
        <f>VLOOKUP($B84,[1]Trial_info!$B:$X,4,FALSE)</f>
        <v>Trudie's Farm</v>
      </c>
      <c r="G84" s="9" t="str">
        <f>VLOOKUP($B84,[1]Trial_info!$B:$X,8,FALSE)</f>
        <v>Pumphouse</v>
      </c>
      <c r="H84" s="9" t="str">
        <f>VLOOKUP($B84,[1]Trial_info!$B:$X,9,FALSE)</f>
        <v>Old Farmhouse</v>
      </c>
      <c r="I84" s="10">
        <f>COUNTIF('[1]SUPMAT - Experiment_wasps_table'!G:G,'[1]SUPMAT - Trial_info'!B84)-1</f>
        <v>2</v>
      </c>
      <c r="J84" s="9">
        <f>VLOOKUP($B84,[1]Trial_info!$B:$X,17,FALSE)</f>
        <v>6</v>
      </c>
      <c r="K84" s="9">
        <f>VLOOKUP($B84,[1]Trial_info!$B:$X,18,FALSE)</f>
        <v>4</v>
      </c>
      <c r="L84" s="11">
        <f>VLOOKUP(B84,[1]Trial_info!B:H,7,FALSE)</f>
        <v>44493.495833333334</v>
      </c>
    </row>
    <row r="85" spans="1:12" x14ac:dyDescent="0.2">
      <c r="A85" s="6"/>
      <c r="B85" s="7" t="s">
        <v>95</v>
      </c>
      <c r="C85" s="8"/>
      <c r="D85" s="9" t="str">
        <f>VLOOKUP(B85,[1]Trial_info!B:C,2,FALSE)</f>
        <v>SouthAfrica</v>
      </c>
      <c r="E85" s="9">
        <f>VLOOKUP($B85,[1]Trial_info!$B:$X,3,FALSE)</f>
        <v>0</v>
      </c>
      <c r="F85" s="9" t="str">
        <f>VLOOKUP($B85,[1]Trial_info!$B:$X,4,FALSE)</f>
        <v>Trudie's Farm</v>
      </c>
      <c r="G85" s="9" t="str">
        <f>VLOOKUP($B85,[1]Trial_info!$B:$X,8,FALSE)</f>
        <v>Pumphouse</v>
      </c>
      <c r="H85" s="9" t="str">
        <f>VLOOKUP($B85,[1]Trial_info!$B:$X,9,FALSE)</f>
        <v>Leon's Farm</v>
      </c>
      <c r="I85" s="10">
        <f>COUNTIF('[1]SUPMAT - Experiment_wasps_table'!G:G,'[1]SUPMAT - Trial_info'!B85)-1</f>
        <v>1</v>
      </c>
      <c r="J85" s="9">
        <f>VLOOKUP($B85,[1]Trial_info!$B:$X,17,FALSE)</f>
        <v>6</v>
      </c>
      <c r="K85" s="9">
        <f>VLOOKUP($B85,[1]Trial_info!$B:$X,18,FALSE)</f>
        <v>6</v>
      </c>
      <c r="L85" s="11">
        <f>VLOOKUP(B85,[1]Trial_info!B:H,7,FALSE)</f>
        <v>44493.467361111114</v>
      </c>
    </row>
    <row r="86" spans="1:12" x14ac:dyDescent="0.2">
      <c r="A86" s="6"/>
      <c r="B86" s="7" t="s">
        <v>96</v>
      </c>
      <c r="C86" s="8"/>
      <c r="D86" s="9" t="str">
        <f>VLOOKUP(B86,[1]Trial_info!B:C,2,FALSE)</f>
        <v>SouthAfrica</v>
      </c>
      <c r="E86" s="9">
        <f>VLOOKUP($B86,[1]Trial_info!$B:$X,3,FALSE)</f>
        <v>0</v>
      </c>
      <c r="F86" s="9" t="str">
        <f>VLOOKUP($B86,[1]Trial_info!$B:$X,4,FALSE)</f>
        <v>Trudie's Farm</v>
      </c>
      <c r="G86" s="9" t="str">
        <f>VLOOKUP($B86,[1]Trial_info!$B:$X,8,FALSE)</f>
        <v>Pumphouse</v>
      </c>
      <c r="H86" s="9" t="str">
        <f>VLOOKUP($B86,[1]Trial_info!$B:$X,9,FALSE)</f>
        <v>Leon's Farm</v>
      </c>
      <c r="I86" s="10">
        <f>COUNTIF('[1]SUPMAT - Experiment_wasps_table'!G:G,'[1]SUPMAT - Trial_info'!B86)-1</f>
        <v>2</v>
      </c>
      <c r="J86" s="9">
        <f>VLOOKUP($B86,[1]Trial_info!$B:$X,17,FALSE)</f>
        <v>3</v>
      </c>
      <c r="K86" s="9">
        <f>VLOOKUP($B86,[1]Trial_info!$B:$X,18,FALSE)</f>
        <v>7</v>
      </c>
      <c r="L86" s="11">
        <f>VLOOKUP(B86,[1]Trial_info!B:H,7,FALSE)</f>
        <v>44493.472916666666</v>
      </c>
    </row>
    <row r="87" spans="1:12" x14ac:dyDescent="0.2">
      <c r="A87" s="6"/>
      <c r="B87" s="13" t="s">
        <v>97</v>
      </c>
      <c r="C87" s="14" t="s">
        <v>109</v>
      </c>
      <c r="D87" s="15" t="str">
        <f>VLOOKUP(B87,[1]Trial_info!B:C,2,FALSE)</f>
        <v>SouthAfrica</v>
      </c>
      <c r="E87" s="15">
        <f>VLOOKUP($B87,[1]Trial_info!$B:$X,3,FALSE)</f>
        <v>0</v>
      </c>
      <c r="F87" s="15" t="str">
        <f>VLOOKUP($B87,[1]Trial_info!$B:$X,4,FALSE)</f>
        <v>Trudie's Farm</v>
      </c>
      <c r="G87" s="15" t="str">
        <f>VLOOKUP($B87,[1]Trial_info!$B:$X,8,FALSE)</f>
        <v>Pumphouse</v>
      </c>
      <c r="H87" s="15" t="str">
        <f>VLOOKUP($B87,[1]Trial_info!$B:$X,9,FALSE)</f>
        <v>Leon's Farm</v>
      </c>
      <c r="I87" s="16"/>
      <c r="J87" s="15">
        <f>VLOOKUP($B87,[1]Trial_info!$B:$X,17,FALSE)</f>
        <v>2</v>
      </c>
      <c r="K87" s="15">
        <f>VLOOKUP($B87,[1]Trial_info!$B:$X,18,FALSE)</f>
        <v>2</v>
      </c>
      <c r="L87" s="11">
        <f>VLOOKUP(B87,[1]Trial_info!B:H,7,FALSE)</f>
        <v>44493.481249999997</v>
      </c>
    </row>
    <row r="88" spans="1:12" x14ac:dyDescent="0.2">
      <c r="A88" s="6"/>
      <c r="B88" s="7" t="s">
        <v>98</v>
      </c>
      <c r="C88" s="8"/>
      <c r="D88" s="9" t="str">
        <f>VLOOKUP(B88,[1]Trial_info!B:C,2,FALSE)</f>
        <v>SouthAfrica</v>
      </c>
      <c r="E88" s="9">
        <f>VLOOKUP($B88,[1]Trial_info!$B:$X,3,FALSE)</f>
        <v>0</v>
      </c>
      <c r="F88" s="9" t="str">
        <f>VLOOKUP($B88,[1]Trial_info!$B:$X,4,FALSE)</f>
        <v>Trudie's Farm</v>
      </c>
      <c r="G88" s="9" t="str">
        <f>VLOOKUP($B88,[1]Trial_info!$B:$X,8,FALSE)</f>
        <v>Cowshed (neighbouring farm)</v>
      </c>
      <c r="H88" s="9" t="str">
        <f>VLOOKUP($B88,[1]Trial_info!$B:$X,9,FALSE)</f>
        <v>Leon's Farm</v>
      </c>
      <c r="I88" s="10">
        <f>COUNTIF('[1]SUPMAT - Experiment_wasps_table'!G:G,'[1]SUPMAT - Trial_info'!B88)-1</f>
        <v>1</v>
      </c>
      <c r="J88" s="9">
        <f>VLOOKUP($B88,[1]Trial_info!$B:$X,17,FALSE)</f>
        <v>1</v>
      </c>
      <c r="K88" s="9">
        <f>VLOOKUP($B88,[1]Trial_info!$B:$X,18,FALSE)</f>
        <v>4</v>
      </c>
      <c r="L88" s="11">
        <f>VLOOKUP(B88,[1]Trial_info!B:H,7,FALSE)</f>
        <v>44496.363888888889</v>
      </c>
    </row>
    <row r="89" spans="1:12" x14ac:dyDescent="0.2">
      <c r="A89" s="6"/>
      <c r="B89" s="7" t="s">
        <v>99</v>
      </c>
      <c r="C89" s="8"/>
      <c r="D89" s="9" t="str">
        <f>VLOOKUP(B89,[1]Trial_info!B:C,2,FALSE)</f>
        <v>SouthAfrica</v>
      </c>
      <c r="E89" s="9">
        <f>VLOOKUP($B89,[1]Trial_info!$B:$X,3,FALSE)</f>
        <v>0</v>
      </c>
      <c r="F89" s="9" t="str">
        <f>VLOOKUP($B89,[1]Trial_info!$B:$X,4,FALSE)</f>
        <v>Trudie's Farm</v>
      </c>
      <c r="G89" s="9" t="str">
        <f>VLOOKUP($B89,[1]Trial_info!$B:$X,8,FALSE)</f>
        <v>Pumphouse</v>
      </c>
      <c r="H89" s="9" t="str">
        <f>VLOOKUP($B89,[1]Trial_info!$B:$X,9,FALSE)</f>
        <v>Cowshed (neighbouring farm)</v>
      </c>
      <c r="I89" s="10">
        <f>COUNTIF('[1]SUPMAT - Experiment_wasps_table'!G:G,'[1]SUPMAT - Trial_info'!B89)-1</f>
        <v>7</v>
      </c>
      <c r="J89" s="9">
        <f>VLOOKUP($B89,[1]Trial_info!$B:$X,17,FALSE)</f>
        <v>3</v>
      </c>
      <c r="K89" s="9">
        <f>VLOOKUP($B89,[1]Trial_info!$B:$X,18,FALSE)</f>
        <v>5</v>
      </c>
      <c r="L89" s="11">
        <f>VLOOKUP(B89,[1]Trial_info!B:H,7,FALSE)</f>
        <v>44496.380555555559</v>
      </c>
    </row>
    <row r="90" spans="1:12" x14ac:dyDescent="0.2">
      <c r="A90" s="6"/>
      <c r="B90" s="7" t="s">
        <v>100</v>
      </c>
      <c r="C90" s="8"/>
      <c r="D90" s="9" t="str">
        <f>VLOOKUP(B90,[1]Trial_info!B:C,2,FALSE)</f>
        <v>SouthAfrica</v>
      </c>
      <c r="E90" s="9">
        <f>VLOOKUP($B90,[1]Trial_info!$B:$X,3,FALSE)</f>
        <v>0</v>
      </c>
      <c r="F90" s="9" t="str">
        <f>VLOOKUP($B90,[1]Trial_info!$B:$X,4,FALSE)</f>
        <v>Trudie's Farm</v>
      </c>
      <c r="G90" s="9" t="str">
        <f>VLOOKUP($B90,[1]Trial_info!$B:$X,8,FALSE)</f>
        <v>Pumphouse</v>
      </c>
      <c r="H90" s="9" t="str">
        <f>VLOOKUP($B90,[1]Trial_info!$B:$X,9,FALSE)</f>
        <v>Leon's Farm</v>
      </c>
      <c r="I90" s="10">
        <f>COUNTIF('[1]SUPMAT - Experiment_wasps_table'!G:G,'[1]SUPMAT - Trial_info'!B90)-1</f>
        <v>5</v>
      </c>
      <c r="J90" s="9">
        <f>VLOOKUP($B90,[1]Trial_info!$B:$X,17,FALSE)</f>
        <v>10</v>
      </c>
      <c r="K90" s="9">
        <f>VLOOKUP($B90,[1]Trial_info!$B:$X,18,FALSE)</f>
        <v>5</v>
      </c>
      <c r="L90" s="11">
        <f>VLOOKUP(B90,[1]Trial_info!B:H,7,FALSE)</f>
        <v>44496.370138888888</v>
      </c>
    </row>
    <row r="91" spans="1:12" x14ac:dyDescent="0.2">
      <c r="A91" s="6"/>
      <c r="B91" s="7" t="s">
        <v>101</v>
      </c>
      <c r="C91" s="8"/>
      <c r="D91" s="9" t="str">
        <f>VLOOKUP(B91,[1]Trial_info!B:C,2,FALSE)</f>
        <v>SouthAfrica</v>
      </c>
      <c r="E91" s="9">
        <f>VLOOKUP($B91,[1]Trial_info!$B:$X,3,FALSE)</f>
        <v>0</v>
      </c>
      <c r="F91" s="9" t="str">
        <f>VLOOKUP($B91,[1]Trial_info!$B:$X,4,FALSE)</f>
        <v>Trudie's Farm</v>
      </c>
      <c r="G91" s="9" t="str">
        <f>VLOOKUP($B91,[1]Trial_info!$B:$X,8,FALSE)</f>
        <v>Cowshed (neighbouring farm)</v>
      </c>
      <c r="H91" s="9" t="str">
        <f>VLOOKUP($B91,[1]Trial_info!$B:$X,9,FALSE)</f>
        <v>Leon's Farm</v>
      </c>
      <c r="I91" s="10">
        <f>COUNTIF('[1]SUPMAT - Experiment_wasps_table'!G:G,'[1]SUPMAT - Trial_info'!B91)-1</f>
        <v>1</v>
      </c>
      <c r="J91" s="9">
        <f>VLOOKUP($B91,[1]Trial_info!$B:$X,17,FALSE)</f>
        <v>5</v>
      </c>
      <c r="K91" s="9">
        <f>VLOOKUP($B91,[1]Trial_info!$B:$X,18,FALSE)</f>
        <v>4</v>
      </c>
      <c r="L91" s="11">
        <f>VLOOKUP(B91,[1]Trial_info!B:H,7,FALSE)</f>
        <v>44496.367361111108</v>
      </c>
    </row>
    <row r="92" spans="1:12" x14ac:dyDescent="0.2">
      <c r="A92" s="6"/>
      <c r="B92" s="7" t="s">
        <v>102</v>
      </c>
      <c r="C92" s="8"/>
      <c r="D92" s="9" t="str">
        <f>VLOOKUP(B92,[1]Trial_info!B:C,2,FALSE)</f>
        <v>SouthAfrica</v>
      </c>
      <c r="E92" s="9">
        <f>VLOOKUP($B92,[1]Trial_info!$B:$X,3,FALSE)</f>
        <v>0</v>
      </c>
      <c r="F92" s="9" t="str">
        <f>VLOOKUP($B92,[1]Trial_info!$B:$X,4,FALSE)</f>
        <v>Trudie's Farm</v>
      </c>
      <c r="G92" s="9" t="str">
        <f>VLOOKUP($B92,[1]Trial_info!$B:$X,8,FALSE)</f>
        <v>Pumphouse</v>
      </c>
      <c r="H92" s="9" t="str">
        <f>VLOOKUP($B92,[1]Trial_info!$B:$X,9,FALSE)</f>
        <v>Leon's Farm</v>
      </c>
      <c r="I92" s="10">
        <f>COUNTIF('[1]SUPMAT - Experiment_wasps_table'!G:G,'[1]SUPMAT - Trial_info'!B92)-1</f>
        <v>4</v>
      </c>
      <c r="J92" s="9">
        <f>VLOOKUP($B92,[1]Trial_info!$B:$X,17,FALSE)</f>
        <v>6</v>
      </c>
      <c r="K92" s="9">
        <f>VLOOKUP($B92,[1]Trial_info!$B:$X,18,FALSE)</f>
        <v>5</v>
      </c>
      <c r="L92" s="11">
        <f>VLOOKUP(B92,[1]Trial_info!B:H,7,FALSE)</f>
        <v>44496.374305555553</v>
      </c>
    </row>
    <row r="93" spans="1:12" x14ac:dyDescent="0.2">
      <c r="A93" s="6"/>
      <c r="B93" s="7" t="s">
        <v>103</v>
      </c>
      <c r="C93" s="8"/>
      <c r="D93" s="9" t="str">
        <f>VLOOKUP(B93,[1]Trial_info!B:C,2,FALSE)</f>
        <v>SouthAfrica</v>
      </c>
      <c r="E93" s="9">
        <f>VLOOKUP($B93,[1]Trial_info!$B:$X,3,FALSE)</f>
        <v>0</v>
      </c>
      <c r="F93" s="9" t="str">
        <f>VLOOKUP($B93,[1]Trial_info!$B:$X,4,FALSE)</f>
        <v>Trudie's Farm</v>
      </c>
      <c r="G93" s="9" t="str">
        <f>VLOOKUP($B93,[1]Trial_info!$B:$X,8,FALSE)</f>
        <v>Pumphouse</v>
      </c>
      <c r="H93" s="9" t="str">
        <f>VLOOKUP($B93,[1]Trial_info!$B:$X,9,FALSE)</f>
        <v>Leon's Farm</v>
      </c>
      <c r="I93" s="10">
        <f>COUNTIF('[1]SUPMAT - Experiment_wasps_table'!G:G,'[1]SUPMAT - Trial_info'!B93)-1</f>
        <v>2</v>
      </c>
      <c r="J93" s="9">
        <f>VLOOKUP($B93,[1]Trial_info!$B:$X,17,FALSE)</f>
        <v>3</v>
      </c>
      <c r="K93" s="9">
        <f>VLOOKUP($B93,[1]Trial_info!$B:$X,18,FALSE)</f>
        <v>3</v>
      </c>
      <c r="L93" s="11">
        <f>VLOOKUP(B93,[1]Trial_info!B:H,7,FALSE)</f>
        <v>44496.4</v>
      </c>
    </row>
    <row r="94" spans="1:12" x14ac:dyDescent="0.2">
      <c r="A94" s="6"/>
      <c r="B94" s="7" t="s">
        <v>104</v>
      </c>
      <c r="C94" s="8"/>
      <c r="D94" s="9" t="str">
        <f>VLOOKUP(B94,[1]Trial_info!B:C,2,FALSE)</f>
        <v>SouthAfrica</v>
      </c>
      <c r="E94" s="9">
        <f>VLOOKUP($B94,[1]Trial_info!$B:$X,3,FALSE)</f>
        <v>0</v>
      </c>
      <c r="F94" s="9" t="str">
        <f>VLOOKUP($B94,[1]Trial_info!$B:$X,4,FALSE)</f>
        <v>Trudie's Farm</v>
      </c>
      <c r="G94" s="9" t="str">
        <f>VLOOKUP($B94,[1]Trial_info!$B:$X,8,FALSE)</f>
        <v>Pumphouse</v>
      </c>
      <c r="H94" s="9" t="str">
        <f>VLOOKUP($B94,[1]Trial_info!$B:$X,9,FALSE)</f>
        <v>Old Farmhouse</v>
      </c>
      <c r="I94" s="10">
        <f>COUNTIF('[1]SUPMAT - Experiment_wasps_table'!G:G,'[1]SUPMAT - Trial_info'!B94)-1</f>
        <v>1</v>
      </c>
      <c r="J94" s="9">
        <f>VLOOKUP($B94,[1]Trial_info!$B:$X,17,FALSE)</f>
        <v>8</v>
      </c>
      <c r="K94" s="9">
        <f>VLOOKUP($B94,[1]Trial_info!$B:$X,18,FALSE)</f>
        <v>6</v>
      </c>
      <c r="L94" s="18">
        <f>VLOOKUP(B94,[1]Trial_info!B:H,7,FALSE)</f>
        <v>44500.075694444444</v>
      </c>
    </row>
    <row r="95" spans="1:12" x14ac:dyDescent="0.2">
      <c r="A95" s="6"/>
      <c r="B95" s="19"/>
      <c r="C95" s="19"/>
      <c r="D95" s="20"/>
      <c r="E95" s="21"/>
      <c r="F95" s="21"/>
      <c r="G95" s="21"/>
      <c r="H95" s="21"/>
      <c r="I95" s="10">
        <f>COUNTIF('[1]SUPMAT - Experiment_wasps_table'!G:G,'[1]SUPMAT - Trial_info'!B95)-1</f>
        <v>-1</v>
      </c>
      <c r="J95" s="20"/>
      <c r="K95" s="20"/>
      <c r="L95" s="22"/>
    </row>
    <row r="96" spans="1:12" x14ac:dyDescent="0.2">
      <c r="A96" s="6"/>
      <c r="B96" s="23"/>
      <c r="C96" s="23"/>
      <c r="D96" s="24"/>
      <c r="E96" s="25"/>
      <c r="F96" s="25"/>
      <c r="G96" s="25"/>
      <c r="H96" s="25"/>
      <c r="I96" s="10">
        <f>COUNTIF('[1]SUPMAT - Experiment_wasps_table'!G:G,'[1]SUPMAT - Trial_info'!B96)-1</f>
        <v>-1</v>
      </c>
      <c r="J96" s="24"/>
      <c r="K96" s="24"/>
      <c r="L96" s="22"/>
    </row>
    <row r="97" spans="1:12" x14ac:dyDescent="0.2">
      <c r="A97" s="6"/>
      <c r="B97" s="25"/>
      <c r="C97" s="25"/>
      <c r="D97" s="26"/>
      <c r="E97" s="25"/>
      <c r="F97" s="25"/>
      <c r="G97" s="25"/>
      <c r="H97" s="25"/>
      <c r="I97" s="10">
        <f>COUNTIF('[1]SUPMAT - Experiment_wasps_table'!G:G,'[1]SUPMAT - Trial_info'!B97)-1</f>
        <v>-1</v>
      </c>
      <c r="J97" s="24"/>
      <c r="K97" s="24"/>
      <c r="L97" s="22"/>
    </row>
    <row r="98" spans="1:12" x14ac:dyDescent="0.2">
      <c r="A98" s="6"/>
      <c r="B98" s="25"/>
      <c r="C98" s="25"/>
      <c r="D98" s="24"/>
      <c r="E98" s="27"/>
      <c r="F98" s="27"/>
      <c r="G98" s="27"/>
      <c r="H98" s="27"/>
      <c r="I98" s="10">
        <f>COUNTIF('[1]SUPMAT - Experiment_wasps_table'!G:G,'[1]SUPMAT - Trial_info'!B98)-1</f>
        <v>-1</v>
      </c>
      <c r="J98" s="28"/>
      <c r="K98" s="28"/>
      <c r="L98" s="22"/>
    </row>
    <row r="99" spans="1:12" x14ac:dyDescent="0.2">
      <c r="A99" s="6"/>
      <c r="B99" s="25"/>
      <c r="C99" s="25"/>
      <c r="D99" s="24"/>
      <c r="E99" s="27"/>
      <c r="F99" s="27"/>
      <c r="G99" s="27"/>
      <c r="H99" s="27"/>
      <c r="I99" s="10">
        <f>COUNTIF('[1]SUPMAT - Experiment_wasps_table'!G:G,'[1]SUPMAT - Trial_info'!B99)-1</f>
        <v>-1</v>
      </c>
      <c r="J99" s="28"/>
      <c r="K99" s="28"/>
      <c r="L99" s="22"/>
    </row>
    <row r="100" spans="1:12" x14ac:dyDescent="0.2">
      <c r="A100" s="6"/>
      <c r="B100" s="25"/>
      <c r="C100" s="25"/>
      <c r="D100" s="24"/>
      <c r="E100" s="27"/>
      <c r="F100" s="27"/>
      <c r="G100" s="27"/>
      <c r="H100" s="27"/>
      <c r="I100" s="10">
        <f>COUNTIF('[1]SUPMAT - Experiment_wasps_table'!G:G,'[1]SUPMAT - Trial_info'!B100)-1</f>
        <v>-1</v>
      </c>
      <c r="J100" s="28"/>
      <c r="K100" s="28"/>
      <c r="L100" s="22"/>
    </row>
    <row r="101" spans="1:12" x14ac:dyDescent="0.2">
      <c r="A101" s="6"/>
      <c r="B101" s="25"/>
      <c r="C101" s="25"/>
      <c r="D101" s="24"/>
      <c r="E101" s="27"/>
      <c r="F101" s="27"/>
      <c r="G101" s="27"/>
      <c r="H101" s="27"/>
      <c r="I101" s="10">
        <f>COUNTIF('[1]SUPMAT - Experiment_wasps_table'!G:G,'[1]SUPMAT - Trial_info'!B101)-1</f>
        <v>-1</v>
      </c>
      <c r="J101" s="28"/>
      <c r="K101" s="28"/>
      <c r="L101" s="22"/>
    </row>
    <row r="102" spans="1:12" x14ac:dyDescent="0.2">
      <c r="A102" s="6"/>
      <c r="B102" s="25"/>
      <c r="C102" s="25"/>
      <c r="D102" s="24"/>
      <c r="E102" s="27"/>
      <c r="F102" s="27"/>
      <c r="G102" s="27"/>
      <c r="H102" s="27"/>
      <c r="I102" s="10">
        <f>COUNTIF('[1]SUPMAT - Experiment_wasps_table'!G:G,'[1]SUPMAT - Trial_info'!B102)-1</f>
        <v>-1</v>
      </c>
      <c r="J102" s="28"/>
      <c r="K102" s="28"/>
      <c r="L102" s="22"/>
    </row>
    <row r="103" spans="1:12" x14ac:dyDescent="0.2">
      <c r="A103" s="6"/>
      <c r="B103" s="25"/>
      <c r="C103" s="25"/>
      <c r="D103" s="24"/>
      <c r="E103" s="25"/>
      <c r="F103" s="25"/>
      <c r="G103" s="25"/>
      <c r="H103" s="25"/>
      <c r="I103" s="10">
        <f>COUNTIF('[1]SUPMAT - Experiment_wasps_table'!G:G,'[1]SUPMAT - Trial_info'!B103)-1</f>
        <v>-1</v>
      </c>
      <c r="J103" s="24"/>
      <c r="K103" s="24"/>
      <c r="L103" s="22"/>
    </row>
    <row r="104" spans="1:12" x14ac:dyDescent="0.2">
      <c r="A104" s="6"/>
      <c r="B104" s="25"/>
      <c r="C104" s="25"/>
      <c r="D104" s="24"/>
      <c r="E104" s="25"/>
      <c r="F104" s="25"/>
      <c r="G104" s="25"/>
      <c r="H104" s="25"/>
      <c r="I104" s="10">
        <f>COUNTIF('[1]SUPMAT - Experiment_wasps_table'!G:G,'[1]SUPMAT - Trial_info'!B104)-1</f>
        <v>-1</v>
      </c>
      <c r="J104" s="24"/>
      <c r="K104" s="24"/>
      <c r="L104" s="22"/>
    </row>
    <row r="105" spans="1:12" x14ac:dyDescent="0.2">
      <c r="A105" s="6"/>
      <c r="B105" s="25"/>
      <c r="C105" s="25"/>
      <c r="D105" s="24"/>
      <c r="E105" s="25"/>
      <c r="F105" s="25"/>
      <c r="G105" s="25"/>
      <c r="H105" s="25"/>
      <c r="I105" s="10">
        <f>COUNTIF('[1]SUPMAT - Experiment_wasps_table'!G:G,'[1]SUPMAT - Trial_info'!B105)-1</f>
        <v>-1</v>
      </c>
      <c r="J105" s="24"/>
      <c r="K105" s="24"/>
      <c r="L105" s="22"/>
    </row>
    <row r="106" spans="1:12" x14ac:dyDescent="0.2">
      <c r="A106" s="6"/>
      <c r="B106" s="25"/>
      <c r="C106" s="25"/>
      <c r="D106" s="24"/>
      <c r="E106" s="25"/>
      <c r="F106" s="25"/>
      <c r="G106" s="25"/>
      <c r="H106" s="25"/>
      <c r="I106" s="10">
        <f>COUNTIF('[1]SUPMAT - Experiment_wasps_table'!G:G,'[1]SUPMAT - Trial_info'!B106)-1</f>
        <v>-1</v>
      </c>
      <c r="J106" s="24"/>
      <c r="K106" s="24"/>
      <c r="L106" s="22"/>
    </row>
    <row r="107" spans="1:12" x14ac:dyDescent="0.2">
      <c r="A107" s="6"/>
      <c r="B107" s="25"/>
      <c r="C107" s="25"/>
      <c r="D107" s="24"/>
      <c r="E107" s="25"/>
      <c r="F107" s="25"/>
      <c r="G107" s="25"/>
      <c r="H107" s="25"/>
      <c r="I107" s="10">
        <f>COUNTIF('[1]SUPMAT - Experiment_wasps_table'!G:G,'[1]SUPMAT - Trial_info'!B107)-1</f>
        <v>-1</v>
      </c>
      <c r="J107" s="24"/>
      <c r="K107" s="24"/>
      <c r="L107" s="22"/>
    </row>
    <row r="108" spans="1:12" x14ac:dyDescent="0.2">
      <c r="A108" s="6"/>
      <c r="B108" s="25"/>
      <c r="C108" s="25"/>
      <c r="D108" s="24"/>
      <c r="E108" s="25"/>
      <c r="F108" s="25"/>
      <c r="G108" s="25"/>
      <c r="H108" s="25"/>
      <c r="I108" s="10">
        <f>COUNTIF('[1]SUPMAT - Experiment_wasps_table'!G:G,'[1]SUPMAT - Trial_info'!B108)-1</f>
        <v>-1</v>
      </c>
      <c r="J108" s="24"/>
      <c r="K108" s="24"/>
      <c r="L108" s="22"/>
    </row>
    <row r="109" spans="1:12" x14ac:dyDescent="0.2">
      <c r="A109" s="6"/>
      <c r="B109" s="25"/>
      <c r="C109" s="25"/>
      <c r="D109" s="24"/>
      <c r="E109" s="25"/>
      <c r="F109" s="25"/>
      <c r="G109" s="25"/>
      <c r="H109" s="25"/>
      <c r="I109" s="10">
        <f>COUNTIF('[1]SUPMAT - Experiment_wasps_table'!G:G,'[1]SUPMAT - Trial_info'!B109)-1</f>
        <v>-1</v>
      </c>
      <c r="J109" s="24"/>
      <c r="K109" s="24"/>
      <c r="L109" s="22"/>
    </row>
    <row r="110" spans="1:12" x14ac:dyDescent="0.2">
      <c r="A110" s="6"/>
      <c r="B110" s="25"/>
      <c r="C110" s="25"/>
      <c r="D110" s="24"/>
      <c r="E110" s="25"/>
      <c r="F110" s="25"/>
      <c r="G110" s="25"/>
      <c r="H110" s="25"/>
      <c r="I110" s="10">
        <f>COUNTIF('[1]SUPMAT - Experiment_wasps_table'!G:G,'[1]SUPMAT - Trial_info'!B110)-1</f>
        <v>-1</v>
      </c>
      <c r="J110" s="24"/>
      <c r="K110" s="24"/>
      <c r="L110" s="22"/>
    </row>
    <row r="111" spans="1:12" x14ac:dyDescent="0.2">
      <c r="A111" s="6"/>
      <c r="B111" s="25"/>
      <c r="C111" s="25"/>
      <c r="D111" s="24"/>
      <c r="E111" s="25"/>
      <c r="F111" s="25"/>
      <c r="G111" s="25"/>
      <c r="H111" s="25"/>
      <c r="I111" s="10">
        <f>COUNTIF('[1]SUPMAT - Experiment_wasps_table'!G:G,'[1]SUPMAT - Trial_info'!B111)-1</f>
        <v>-1</v>
      </c>
      <c r="J111" s="24"/>
      <c r="K111" s="24"/>
      <c r="L111" s="22"/>
    </row>
    <row r="112" spans="1:12" x14ac:dyDescent="0.2">
      <c r="A112" s="6"/>
      <c r="B112" s="25"/>
      <c r="C112" s="25"/>
      <c r="D112" s="24"/>
      <c r="E112" s="25"/>
      <c r="F112" s="25"/>
      <c r="G112" s="25"/>
      <c r="H112" s="25"/>
      <c r="I112" s="10">
        <f>COUNTIF('[1]SUPMAT - Experiment_wasps_table'!G:G,'[1]SUPMAT - Trial_info'!B112)-1</f>
        <v>-1</v>
      </c>
      <c r="J112" s="24"/>
      <c r="K112" s="24"/>
      <c r="L112" s="22"/>
    </row>
    <row r="113" spans="1:12" x14ac:dyDescent="0.2">
      <c r="A113" s="6"/>
      <c r="B113" s="25"/>
      <c r="C113" s="25"/>
      <c r="D113" s="24"/>
      <c r="E113" s="25"/>
      <c r="F113" s="25"/>
      <c r="G113" s="25"/>
      <c r="H113" s="25"/>
      <c r="I113" s="10">
        <f>COUNTIF('[1]SUPMAT - Experiment_wasps_table'!G:G,'[1]SUPMAT - Trial_info'!B113)-1</f>
        <v>-1</v>
      </c>
      <c r="J113" s="24"/>
      <c r="K113" s="24"/>
      <c r="L113" s="22"/>
    </row>
    <row r="114" spans="1:12" x14ac:dyDescent="0.2">
      <c r="A114" s="6"/>
      <c r="B114" s="25"/>
      <c r="C114" s="25"/>
      <c r="D114" s="24"/>
      <c r="E114" s="25"/>
      <c r="F114" s="25"/>
      <c r="G114" s="25"/>
      <c r="H114" s="25"/>
      <c r="I114" s="10">
        <f>COUNTIF('[1]SUPMAT - Experiment_wasps_table'!G:G,'[1]SUPMAT - Trial_info'!B114)-1</f>
        <v>-1</v>
      </c>
      <c r="J114" s="24"/>
      <c r="K114" s="24"/>
      <c r="L114" s="22"/>
    </row>
    <row r="115" spans="1:12" x14ac:dyDescent="0.2">
      <c r="A115" s="6"/>
      <c r="B115" s="25"/>
      <c r="C115" s="25"/>
      <c r="D115" s="24"/>
      <c r="E115" s="25"/>
      <c r="F115" s="25"/>
      <c r="G115" s="25"/>
      <c r="H115" s="25"/>
      <c r="I115" s="10">
        <f>COUNTIF('[1]SUPMAT - Experiment_wasps_table'!G:G,'[1]SUPMAT - Trial_info'!B115)-1</f>
        <v>-1</v>
      </c>
      <c r="J115" s="24"/>
      <c r="K115" s="24"/>
      <c r="L115" s="22"/>
    </row>
    <row r="116" spans="1:12" x14ac:dyDescent="0.2">
      <c r="A116" s="6"/>
      <c r="B116" s="25"/>
      <c r="C116" s="25"/>
      <c r="D116" s="24"/>
      <c r="E116" s="25"/>
      <c r="F116" s="25"/>
      <c r="G116" s="25"/>
      <c r="H116" s="25"/>
      <c r="I116" s="10">
        <f>COUNTIF('[1]SUPMAT - Experiment_wasps_table'!G:G,'[1]SUPMAT - Trial_info'!B116)-1</f>
        <v>-1</v>
      </c>
      <c r="J116" s="24"/>
      <c r="K116" s="24"/>
      <c r="L116" s="22"/>
    </row>
    <row r="117" spans="1:12" x14ac:dyDescent="0.2">
      <c r="A117" s="6"/>
      <c r="B117" s="25"/>
      <c r="C117" s="25"/>
      <c r="D117" s="24"/>
      <c r="E117" s="25"/>
      <c r="F117" s="25"/>
      <c r="G117" s="25"/>
      <c r="H117" s="25"/>
      <c r="I117" s="10">
        <f>COUNTIF('[1]SUPMAT - Experiment_wasps_table'!G:G,'[1]SUPMAT - Trial_info'!B117)-1</f>
        <v>-1</v>
      </c>
      <c r="J117" s="24"/>
      <c r="K117" s="24"/>
      <c r="L117" s="22"/>
    </row>
    <row r="118" spans="1:12" x14ac:dyDescent="0.2">
      <c r="A118" s="6"/>
      <c r="B118" s="25"/>
      <c r="C118" s="25"/>
      <c r="D118" s="24"/>
      <c r="E118" s="25"/>
      <c r="F118" s="25"/>
      <c r="G118" s="25"/>
      <c r="H118" s="25"/>
      <c r="I118" s="10">
        <f>COUNTIF('[1]SUPMAT - Experiment_wasps_table'!G:G,'[1]SUPMAT - Trial_info'!B118)-1</f>
        <v>-1</v>
      </c>
      <c r="J118" s="24"/>
      <c r="K118" s="24"/>
      <c r="L118" s="22"/>
    </row>
    <row r="119" spans="1:12" x14ac:dyDescent="0.2">
      <c r="A119" s="6"/>
      <c r="B119" s="25"/>
      <c r="C119" s="25"/>
      <c r="D119" s="24"/>
      <c r="E119" s="25"/>
      <c r="F119" s="25"/>
      <c r="G119" s="25"/>
      <c r="H119" s="25"/>
      <c r="I119" s="10">
        <f>COUNTIF('[1]SUPMAT - Experiment_wasps_table'!G:G,'[1]SUPMAT - Trial_info'!B119)-1</f>
        <v>-1</v>
      </c>
      <c r="J119" s="24"/>
      <c r="K119" s="24"/>
      <c r="L119" s="22"/>
    </row>
    <row r="120" spans="1:12" x14ac:dyDescent="0.2">
      <c r="A120" s="6"/>
      <c r="B120" s="25"/>
      <c r="C120" s="25"/>
      <c r="D120" s="24"/>
      <c r="E120" s="25"/>
      <c r="F120" s="25"/>
      <c r="G120" s="25"/>
      <c r="H120" s="25"/>
      <c r="I120" s="10">
        <f>COUNTIF('[1]SUPMAT - Experiment_wasps_table'!G:G,'[1]SUPMAT - Trial_info'!B120)-1</f>
        <v>-1</v>
      </c>
      <c r="J120" s="24"/>
      <c r="K120" s="24"/>
      <c r="L120" s="22"/>
    </row>
    <row r="121" spans="1:12" x14ac:dyDescent="0.2">
      <c r="A121" s="6"/>
      <c r="B121" s="25"/>
      <c r="C121" s="25"/>
      <c r="D121" s="24"/>
      <c r="E121" s="25"/>
      <c r="F121" s="25"/>
      <c r="G121" s="25"/>
      <c r="H121" s="25"/>
      <c r="I121" s="10">
        <f>COUNTIF('[1]SUPMAT - Experiment_wasps_table'!G:G,'[1]SUPMAT - Trial_info'!B121)-1</f>
        <v>-1</v>
      </c>
      <c r="J121" s="24"/>
      <c r="K121" s="24"/>
      <c r="L121" s="22"/>
    </row>
    <row r="122" spans="1:12" x14ac:dyDescent="0.2">
      <c r="A122" s="6"/>
      <c r="B122" s="25"/>
      <c r="C122" s="25"/>
      <c r="D122" s="24"/>
      <c r="E122" s="25"/>
      <c r="F122" s="25"/>
      <c r="G122" s="25"/>
      <c r="H122" s="25"/>
      <c r="I122" s="10">
        <f>COUNTIF('[1]SUPMAT - Experiment_wasps_table'!G:G,'[1]SUPMAT - Trial_info'!B122)-1</f>
        <v>-1</v>
      </c>
      <c r="J122" s="24"/>
      <c r="K122" s="24"/>
      <c r="L122" s="22"/>
    </row>
    <row r="123" spans="1:12" x14ac:dyDescent="0.2">
      <c r="A123" s="6"/>
      <c r="B123" s="25"/>
      <c r="C123" s="25"/>
      <c r="D123" s="24"/>
      <c r="E123" s="25"/>
      <c r="F123" s="25"/>
      <c r="G123" s="25"/>
      <c r="H123" s="25"/>
      <c r="I123" s="10">
        <f>COUNTIF('[1]SUPMAT - Experiment_wasps_table'!G:G,'[1]SUPMAT - Trial_info'!B123)-1</f>
        <v>-1</v>
      </c>
      <c r="J123" s="24"/>
      <c r="K123" s="24"/>
      <c r="L123" s="22"/>
    </row>
    <row r="124" spans="1:12" x14ac:dyDescent="0.2">
      <c r="A124" s="6"/>
      <c r="B124" s="25"/>
      <c r="C124" s="25"/>
      <c r="D124" s="24"/>
      <c r="E124" s="25"/>
      <c r="F124" s="25"/>
      <c r="G124" s="25"/>
      <c r="H124" s="25"/>
      <c r="I124" s="10">
        <f>COUNTIF('[1]SUPMAT - Experiment_wasps_table'!G:G,'[1]SUPMAT - Trial_info'!B124)-1</f>
        <v>-1</v>
      </c>
      <c r="J124" s="24"/>
      <c r="K124" s="24"/>
      <c r="L124" s="22"/>
    </row>
    <row r="125" spans="1:12" x14ac:dyDescent="0.2">
      <c r="A125" s="6"/>
      <c r="B125" s="25"/>
      <c r="C125" s="25"/>
      <c r="D125" s="24"/>
      <c r="E125" s="25"/>
      <c r="F125" s="25"/>
      <c r="G125" s="25"/>
      <c r="H125" s="25"/>
      <c r="I125" s="10">
        <f>COUNTIF('[1]SUPMAT - Experiment_wasps_table'!G:G,'[1]SUPMAT - Trial_info'!B125)-1</f>
        <v>-1</v>
      </c>
      <c r="J125" s="24"/>
      <c r="K125" s="24"/>
      <c r="L125" s="22"/>
    </row>
    <row r="126" spans="1:12" x14ac:dyDescent="0.2">
      <c r="A126" s="6"/>
      <c r="B126" s="25"/>
      <c r="C126" s="25"/>
      <c r="D126" s="24"/>
      <c r="E126" s="25"/>
      <c r="F126" s="25"/>
      <c r="G126" s="25"/>
      <c r="H126" s="25"/>
      <c r="I126" s="10">
        <f>COUNTIF('[1]SUPMAT - Experiment_wasps_table'!G:G,'[1]SUPMAT - Trial_info'!B126)-1</f>
        <v>-1</v>
      </c>
      <c r="J126" s="24"/>
      <c r="K126" s="24"/>
      <c r="L126" s="22"/>
    </row>
    <row r="127" spans="1:12" x14ac:dyDescent="0.2">
      <c r="A127" s="6"/>
      <c r="B127" s="25"/>
      <c r="C127" s="25"/>
      <c r="D127" s="24"/>
      <c r="E127" s="25"/>
      <c r="F127" s="25"/>
      <c r="G127" s="25"/>
      <c r="H127" s="25"/>
      <c r="I127" s="10">
        <f>COUNTIF('[1]SUPMAT - Experiment_wasps_table'!G:G,'[1]SUPMAT - Trial_info'!B127)-1</f>
        <v>-1</v>
      </c>
      <c r="J127" s="24"/>
      <c r="K127" s="24"/>
      <c r="L127" s="22"/>
    </row>
    <row r="128" spans="1:12" x14ac:dyDescent="0.2">
      <c r="A128" s="6"/>
      <c r="B128" s="25"/>
      <c r="C128" s="25"/>
      <c r="D128" s="24"/>
      <c r="E128" s="25"/>
      <c r="F128" s="25"/>
      <c r="G128" s="25"/>
      <c r="H128" s="25"/>
      <c r="I128" s="10">
        <f>COUNTIF('[1]SUPMAT - Experiment_wasps_table'!G:G,'[1]SUPMAT - Trial_info'!B128)-1</f>
        <v>-1</v>
      </c>
      <c r="J128" s="24"/>
      <c r="K128" s="24"/>
      <c r="L128" s="22"/>
    </row>
    <row r="129" spans="1:12" x14ac:dyDescent="0.2">
      <c r="A129" s="6"/>
      <c r="B129" s="25"/>
      <c r="C129" s="25"/>
      <c r="D129" s="24"/>
      <c r="E129" s="25"/>
      <c r="F129" s="25"/>
      <c r="G129" s="25"/>
      <c r="H129" s="25"/>
      <c r="I129" s="10">
        <f>COUNTIF('[1]SUPMAT - Experiment_wasps_table'!G:G,'[1]SUPMAT - Trial_info'!B129)-1</f>
        <v>-1</v>
      </c>
      <c r="J129" s="24"/>
      <c r="K129" s="24"/>
      <c r="L129" s="22"/>
    </row>
    <row r="130" spans="1:12" x14ac:dyDescent="0.2">
      <c r="A130" s="6"/>
      <c r="B130" s="25"/>
      <c r="C130" s="25"/>
      <c r="D130" s="24"/>
      <c r="E130" s="25"/>
      <c r="F130" s="25"/>
      <c r="G130" s="25"/>
      <c r="H130" s="25"/>
      <c r="I130" s="10">
        <f>COUNTIF('[1]SUPMAT - Experiment_wasps_table'!G:G,'[1]SUPMAT - Trial_info'!B130)-1</f>
        <v>-1</v>
      </c>
      <c r="J130" s="24"/>
      <c r="K130" s="24"/>
      <c r="L130" s="22"/>
    </row>
    <row r="131" spans="1:12" x14ac:dyDescent="0.2">
      <c r="A131" s="6"/>
      <c r="B131" s="25"/>
      <c r="C131" s="25"/>
      <c r="D131" s="24"/>
      <c r="E131" s="25"/>
      <c r="F131" s="25"/>
      <c r="G131" s="25"/>
      <c r="H131" s="25"/>
      <c r="I131" s="10">
        <f>COUNTIF('[1]SUPMAT - Experiment_wasps_table'!G:G,'[1]SUPMAT - Trial_info'!B131)-1</f>
        <v>-1</v>
      </c>
      <c r="J131" s="24"/>
      <c r="K131" s="24"/>
      <c r="L131" s="22"/>
    </row>
    <row r="132" spans="1:12" x14ac:dyDescent="0.2">
      <c r="A132" s="6"/>
      <c r="B132" s="25"/>
      <c r="C132" s="25"/>
      <c r="D132" s="24"/>
      <c r="E132" s="25"/>
      <c r="F132" s="25"/>
      <c r="G132" s="25"/>
      <c r="H132" s="25"/>
      <c r="I132" s="10">
        <f>COUNTIF('[1]SUPMAT - Experiment_wasps_table'!G:G,'[1]SUPMAT - Trial_info'!B132)-1</f>
        <v>-1</v>
      </c>
      <c r="J132" s="24"/>
      <c r="K132" s="24"/>
      <c r="L132" s="22"/>
    </row>
    <row r="133" spans="1:12" x14ac:dyDescent="0.2">
      <c r="A133" s="6"/>
      <c r="B133" s="25"/>
      <c r="C133" s="25"/>
      <c r="D133" s="24"/>
      <c r="E133" s="25"/>
      <c r="F133" s="25"/>
      <c r="G133" s="25"/>
      <c r="H133" s="25"/>
      <c r="I133" s="10">
        <f>COUNTIF('[1]SUPMAT - Experiment_wasps_table'!G:G,'[1]SUPMAT - Trial_info'!B133)-1</f>
        <v>-1</v>
      </c>
      <c r="J133" s="24"/>
      <c r="K133" s="24"/>
      <c r="L133" s="22"/>
    </row>
    <row r="134" spans="1:12" x14ac:dyDescent="0.2">
      <c r="A134" s="6"/>
      <c r="B134" s="25"/>
      <c r="C134" s="25"/>
      <c r="D134" s="24"/>
      <c r="E134" s="25"/>
      <c r="F134" s="25"/>
      <c r="G134" s="25"/>
      <c r="H134" s="25"/>
      <c r="I134" s="10">
        <f>COUNTIF('[1]SUPMAT - Experiment_wasps_table'!G:G,'[1]SUPMAT - Trial_info'!B134)-1</f>
        <v>-1</v>
      </c>
      <c r="J134" s="24"/>
      <c r="K134" s="24"/>
      <c r="L134" s="22"/>
    </row>
    <row r="135" spans="1:12" x14ac:dyDescent="0.2">
      <c r="A135" s="6"/>
      <c r="B135" s="25"/>
      <c r="C135" s="25"/>
      <c r="D135" s="24"/>
      <c r="E135" s="25"/>
      <c r="F135" s="25"/>
      <c r="G135" s="25"/>
      <c r="H135" s="25"/>
      <c r="I135" s="10">
        <f>COUNTIF('[1]SUPMAT - Experiment_wasps_table'!G:G,'[1]SUPMAT - Trial_info'!B135)-1</f>
        <v>-1</v>
      </c>
      <c r="J135" s="24"/>
      <c r="K135" s="24"/>
      <c r="L135" s="22"/>
    </row>
    <row r="136" spans="1:12" x14ac:dyDescent="0.2">
      <c r="A136" s="6"/>
      <c r="B136" s="25"/>
      <c r="C136" s="25"/>
      <c r="D136" s="24"/>
      <c r="E136" s="25"/>
      <c r="F136" s="25"/>
      <c r="G136" s="25"/>
      <c r="H136" s="25"/>
      <c r="I136" s="10">
        <f>COUNTIF('[1]SUPMAT - Experiment_wasps_table'!G:G,'[1]SUPMAT - Trial_info'!B136)-1</f>
        <v>-1</v>
      </c>
      <c r="J136" s="24"/>
      <c r="K136" s="24"/>
      <c r="L136" s="22"/>
    </row>
    <row r="137" spans="1:12" x14ac:dyDescent="0.2">
      <c r="A137" s="6"/>
      <c r="B137" s="25"/>
      <c r="C137" s="25"/>
      <c r="D137" s="24"/>
      <c r="E137" s="25"/>
      <c r="F137" s="25"/>
      <c r="G137" s="25"/>
      <c r="H137" s="25"/>
      <c r="I137" s="10">
        <f>COUNTIF('[1]SUPMAT - Experiment_wasps_table'!G:G,'[1]SUPMAT - Trial_info'!B137)-1</f>
        <v>-1</v>
      </c>
      <c r="J137" s="24"/>
      <c r="K137" s="24"/>
      <c r="L137" s="22"/>
    </row>
    <row r="138" spans="1:12" x14ac:dyDescent="0.2">
      <c r="A138" s="6"/>
      <c r="B138" s="25"/>
      <c r="C138" s="25"/>
      <c r="D138" s="24"/>
      <c r="E138" s="25"/>
      <c r="F138" s="25"/>
      <c r="G138" s="25"/>
      <c r="H138" s="25"/>
      <c r="I138" s="10">
        <f>COUNTIF('[1]SUPMAT - Experiment_wasps_table'!G:G,'[1]SUPMAT - Trial_info'!B138)-1</f>
        <v>-1</v>
      </c>
      <c r="J138" s="24"/>
      <c r="K138" s="24"/>
      <c r="L138" s="22"/>
    </row>
    <row r="139" spans="1:12" x14ac:dyDescent="0.2">
      <c r="A139" s="6"/>
      <c r="B139" s="25"/>
      <c r="C139" s="25"/>
      <c r="D139" s="24"/>
      <c r="E139" s="25"/>
      <c r="F139" s="25"/>
      <c r="G139" s="25"/>
      <c r="H139" s="25"/>
      <c r="I139" s="10">
        <f>COUNTIF('[1]SUPMAT - Experiment_wasps_table'!G:G,'[1]SUPMAT - Trial_info'!B139)-1</f>
        <v>-1</v>
      </c>
      <c r="J139" s="24"/>
      <c r="K139" s="24"/>
      <c r="L139" s="22"/>
    </row>
    <row r="140" spans="1:12" x14ac:dyDescent="0.2">
      <c r="A140" s="6"/>
      <c r="B140" s="25"/>
      <c r="C140" s="25"/>
      <c r="D140" s="24"/>
      <c r="E140" s="25"/>
      <c r="F140" s="25"/>
      <c r="G140" s="25"/>
      <c r="H140" s="25"/>
      <c r="I140" s="10">
        <f>COUNTIF('[1]SUPMAT - Experiment_wasps_table'!G:G,'[1]SUPMAT - Trial_info'!B140)-1</f>
        <v>-1</v>
      </c>
      <c r="J140" s="24"/>
      <c r="K140" s="24"/>
      <c r="L140" s="22"/>
    </row>
    <row r="141" spans="1:12" x14ac:dyDescent="0.2">
      <c r="A141" s="6"/>
      <c r="B141" s="25"/>
      <c r="C141" s="25"/>
      <c r="D141" s="24"/>
      <c r="E141" s="25"/>
      <c r="F141" s="25"/>
      <c r="G141" s="25"/>
      <c r="H141" s="25"/>
      <c r="I141" s="10">
        <f>COUNTIF('[1]SUPMAT - Experiment_wasps_table'!G:G,'[1]SUPMAT - Trial_info'!B141)-1</f>
        <v>-1</v>
      </c>
      <c r="J141" s="24"/>
      <c r="K141" s="24"/>
      <c r="L141" s="22"/>
    </row>
    <row r="142" spans="1:12" x14ac:dyDescent="0.2">
      <c r="A142" s="6"/>
      <c r="B142" s="25"/>
      <c r="C142" s="25"/>
      <c r="D142" s="24"/>
      <c r="E142" s="25"/>
      <c r="F142" s="25"/>
      <c r="G142" s="25"/>
      <c r="H142" s="25"/>
      <c r="I142" s="10">
        <f>COUNTIF('[1]SUPMAT - Experiment_wasps_table'!G:G,'[1]SUPMAT - Trial_info'!B142)-1</f>
        <v>-1</v>
      </c>
      <c r="J142" s="24"/>
      <c r="K142" s="24"/>
      <c r="L142" s="22"/>
    </row>
    <row r="143" spans="1:12" x14ac:dyDescent="0.2">
      <c r="A143" s="6"/>
      <c r="B143" s="25"/>
      <c r="C143" s="25"/>
      <c r="D143" s="24"/>
      <c r="E143" s="25"/>
      <c r="F143" s="25"/>
      <c r="G143" s="25"/>
      <c r="H143" s="25"/>
      <c r="I143" s="10">
        <f>COUNTIF('[1]SUPMAT - Experiment_wasps_table'!G:G,'[1]SUPMAT - Trial_info'!B143)-1</f>
        <v>-1</v>
      </c>
      <c r="J143" s="24"/>
      <c r="K143" s="24"/>
      <c r="L143" s="22"/>
    </row>
    <row r="144" spans="1:12" x14ac:dyDescent="0.2">
      <c r="A144" s="6"/>
      <c r="B144" s="25"/>
      <c r="C144" s="25"/>
      <c r="D144" s="24"/>
      <c r="E144" s="25"/>
      <c r="F144" s="25"/>
      <c r="G144" s="25"/>
      <c r="H144" s="25"/>
      <c r="I144" s="10">
        <f>COUNTIF('[1]SUPMAT - Experiment_wasps_table'!G:G,'[1]SUPMAT - Trial_info'!B144)-1</f>
        <v>-1</v>
      </c>
      <c r="J144" s="24"/>
      <c r="K144" s="24"/>
      <c r="L144" s="22"/>
    </row>
    <row r="145" spans="1:12" x14ac:dyDescent="0.2">
      <c r="A145" s="6"/>
      <c r="B145" s="25"/>
      <c r="C145" s="25"/>
      <c r="D145" s="24"/>
      <c r="E145" s="25"/>
      <c r="F145" s="25"/>
      <c r="G145" s="25"/>
      <c r="H145" s="25"/>
      <c r="I145" s="10">
        <f>COUNTIF('[1]SUPMAT - Experiment_wasps_table'!G:G,'[1]SUPMAT - Trial_info'!B145)-1</f>
        <v>-1</v>
      </c>
      <c r="J145" s="24"/>
      <c r="K145" s="24"/>
      <c r="L145" s="22"/>
    </row>
    <row r="146" spans="1:12" x14ac:dyDescent="0.2">
      <c r="A146" s="6"/>
      <c r="B146" s="25"/>
      <c r="C146" s="25"/>
      <c r="D146" s="24"/>
      <c r="E146" s="25"/>
      <c r="F146" s="25"/>
      <c r="G146" s="25"/>
      <c r="H146" s="25"/>
      <c r="I146" s="10">
        <f>COUNTIF('[1]SUPMAT - Experiment_wasps_table'!G:G,'[1]SUPMAT - Trial_info'!B146)-1</f>
        <v>-1</v>
      </c>
      <c r="J146" s="24"/>
      <c r="K146" s="24"/>
      <c r="L146" s="22"/>
    </row>
    <row r="147" spans="1:12" x14ac:dyDescent="0.2">
      <c r="A147" s="6"/>
      <c r="B147" s="25"/>
      <c r="C147" s="25"/>
      <c r="D147" s="24"/>
      <c r="E147" s="25"/>
      <c r="F147" s="25"/>
      <c r="G147" s="25"/>
      <c r="H147" s="25"/>
      <c r="I147" s="10">
        <f>COUNTIF('[1]SUPMAT - Experiment_wasps_table'!G:G,'[1]SUPMAT - Trial_info'!B147)-1</f>
        <v>-1</v>
      </c>
      <c r="J147" s="24"/>
      <c r="K147" s="24"/>
      <c r="L147" s="22"/>
    </row>
    <row r="148" spans="1:12" x14ac:dyDescent="0.2">
      <c r="A148" s="6"/>
      <c r="B148" s="25"/>
      <c r="C148" s="25"/>
      <c r="D148" s="24"/>
      <c r="E148" s="25"/>
      <c r="F148" s="25"/>
      <c r="G148" s="25"/>
      <c r="H148" s="25"/>
      <c r="I148" s="10">
        <f>COUNTIF('[1]SUPMAT - Experiment_wasps_table'!G:G,'[1]SUPMAT - Trial_info'!B148)-1</f>
        <v>-1</v>
      </c>
      <c r="J148" s="24"/>
      <c r="K148" s="24"/>
      <c r="L148" s="22"/>
    </row>
    <row r="149" spans="1:12" x14ac:dyDescent="0.2">
      <c r="A149" s="6"/>
      <c r="B149" s="25"/>
      <c r="C149" s="25"/>
      <c r="D149" s="24"/>
      <c r="E149" s="25"/>
      <c r="F149" s="25"/>
      <c r="G149" s="25"/>
      <c r="H149" s="25"/>
      <c r="I149" s="10">
        <f>COUNTIF('[1]SUPMAT - Experiment_wasps_table'!G:G,'[1]SUPMAT - Trial_info'!B149)-1</f>
        <v>-1</v>
      </c>
      <c r="J149" s="24"/>
      <c r="K149" s="24"/>
      <c r="L149" s="22"/>
    </row>
    <row r="150" spans="1:12" x14ac:dyDescent="0.2">
      <c r="A150" s="6"/>
      <c r="B150" s="25"/>
      <c r="C150" s="25"/>
      <c r="D150" s="24"/>
      <c r="E150" s="25"/>
      <c r="F150" s="25"/>
      <c r="G150" s="25"/>
      <c r="H150" s="25"/>
      <c r="I150" s="10">
        <f>COUNTIF('[1]SUPMAT - Experiment_wasps_table'!G:G,'[1]SUPMAT - Trial_info'!B150)-1</f>
        <v>-1</v>
      </c>
      <c r="J150" s="24"/>
      <c r="K150" s="24"/>
      <c r="L150" s="22"/>
    </row>
    <row r="151" spans="1:12" x14ac:dyDescent="0.2">
      <c r="A151" s="6"/>
      <c r="B151" s="25"/>
      <c r="C151" s="25"/>
      <c r="D151" s="24"/>
      <c r="E151" s="25"/>
      <c r="F151" s="25"/>
      <c r="G151" s="25"/>
      <c r="H151" s="25"/>
      <c r="I151" s="10">
        <f>COUNTIF('[1]SUPMAT - Experiment_wasps_table'!G:G,'[1]SUPMAT - Trial_info'!B151)-1</f>
        <v>-1</v>
      </c>
      <c r="J151" s="24"/>
      <c r="K151" s="24"/>
      <c r="L151" s="22"/>
    </row>
    <row r="152" spans="1:12" x14ac:dyDescent="0.2">
      <c r="A152" s="6"/>
      <c r="B152" s="25"/>
      <c r="C152" s="25"/>
      <c r="D152" s="24"/>
      <c r="E152" s="25"/>
      <c r="F152" s="25"/>
      <c r="G152" s="25"/>
      <c r="H152" s="25"/>
      <c r="I152" s="10">
        <f>COUNTIF('[1]SUPMAT - Experiment_wasps_table'!G:G,'[1]SUPMAT - Trial_info'!B152)-1</f>
        <v>-1</v>
      </c>
      <c r="J152" s="24"/>
      <c r="K152" s="24"/>
      <c r="L152" s="22"/>
    </row>
    <row r="153" spans="1:12" x14ac:dyDescent="0.2">
      <c r="A153" s="6"/>
      <c r="B153" s="25"/>
      <c r="C153" s="25"/>
      <c r="D153" s="24"/>
      <c r="E153" s="25"/>
      <c r="F153" s="25"/>
      <c r="G153" s="25"/>
      <c r="H153" s="25"/>
      <c r="I153" s="10">
        <f>COUNTIF('[1]SUPMAT - Experiment_wasps_table'!G:G,'[1]SUPMAT - Trial_info'!B153)-1</f>
        <v>-1</v>
      </c>
      <c r="J153" s="24"/>
      <c r="K153" s="24"/>
      <c r="L153" s="22"/>
    </row>
    <row r="154" spans="1:12" x14ac:dyDescent="0.2">
      <c r="A154" s="6"/>
      <c r="B154" s="25"/>
      <c r="C154" s="25"/>
      <c r="D154" s="24"/>
      <c r="E154" s="25"/>
      <c r="F154" s="25"/>
      <c r="G154" s="25"/>
      <c r="H154" s="25"/>
      <c r="I154" s="10">
        <f>COUNTIF('[1]SUPMAT - Experiment_wasps_table'!G:G,'[1]SUPMAT - Trial_info'!B154)-1</f>
        <v>-1</v>
      </c>
      <c r="J154" s="24"/>
      <c r="K154" s="24"/>
      <c r="L154" s="22"/>
    </row>
    <row r="155" spans="1:12" x14ac:dyDescent="0.2">
      <c r="A155" s="6"/>
      <c r="B155" s="25"/>
      <c r="C155" s="25"/>
      <c r="D155" s="24"/>
      <c r="E155" s="25"/>
      <c r="F155" s="25"/>
      <c r="G155" s="25"/>
      <c r="H155" s="25"/>
      <c r="I155" s="10">
        <f>COUNTIF('[1]SUPMAT - Experiment_wasps_table'!G:G,'[1]SUPMAT - Trial_info'!B155)-1</f>
        <v>-1</v>
      </c>
      <c r="J155" s="24"/>
      <c r="K155" s="24"/>
      <c r="L155" s="22"/>
    </row>
    <row r="156" spans="1:12" x14ac:dyDescent="0.2">
      <c r="A156" s="6"/>
      <c r="B156" s="25"/>
      <c r="C156" s="25"/>
      <c r="D156" s="24"/>
      <c r="E156" s="25"/>
      <c r="F156" s="25"/>
      <c r="G156" s="25"/>
      <c r="H156" s="25"/>
      <c r="I156" s="10">
        <f>COUNTIF('[1]SUPMAT - Experiment_wasps_table'!G:G,'[1]SUPMAT - Trial_info'!B156)-1</f>
        <v>-1</v>
      </c>
      <c r="J156" s="24"/>
      <c r="K156" s="24"/>
      <c r="L156" s="22"/>
    </row>
    <row r="157" spans="1:12" x14ac:dyDescent="0.2">
      <c r="A157" s="6"/>
      <c r="B157" s="25"/>
      <c r="C157" s="25"/>
      <c r="D157" s="24"/>
      <c r="E157" s="25"/>
      <c r="F157" s="25"/>
      <c r="G157" s="25"/>
      <c r="H157" s="25"/>
      <c r="I157" s="10">
        <f>COUNTIF('[1]SUPMAT - Experiment_wasps_table'!G:G,'[1]SUPMAT - Trial_info'!B157)-1</f>
        <v>-1</v>
      </c>
      <c r="J157" s="24"/>
      <c r="K157" s="24"/>
      <c r="L157" s="22"/>
    </row>
    <row r="158" spans="1:12" x14ac:dyDescent="0.2">
      <c r="A158" s="6"/>
      <c r="B158" s="25"/>
      <c r="C158" s="25"/>
      <c r="D158" s="24"/>
      <c r="E158" s="25"/>
      <c r="F158" s="25"/>
      <c r="G158" s="25"/>
      <c r="H158" s="25"/>
      <c r="I158" s="10">
        <f>COUNTIF('[1]SUPMAT - Experiment_wasps_table'!G:G,'[1]SUPMAT - Trial_info'!B158)-1</f>
        <v>-1</v>
      </c>
      <c r="J158" s="24"/>
      <c r="K158" s="24"/>
      <c r="L158" s="22"/>
    </row>
    <row r="159" spans="1:12" x14ac:dyDescent="0.2">
      <c r="A159" s="6"/>
      <c r="B159" s="25"/>
      <c r="C159" s="25"/>
      <c r="D159" s="24"/>
      <c r="E159" s="25"/>
      <c r="F159" s="25"/>
      <c r="G159" s="25"/>
      <c r="H159" s="25"/>
      <c r="I159" s="10">
        <f>COUNTIF('[1]SUPMAT - Experiment_wasps_table'!G:G,'[1]SUPMAT - Trial_info'!B159)-1</f>
        <v>-1</v>
      </c>
      <c r="J159" s="24"/>
      <c r="K159" s="24"/>
      <c r="L159" s="22"/>
    </row>
    <row r="160" spans="1:12" x14ac:dyDescent="0.2">
      <c r="A160" s="6"/>
      <c r="B160" s="25"/>
      <c r="C160" s="25"/>
      <c r="D160" s="24"/>
      <c r="E160" s="25"/>
      <c r="F160" s="25"/>
      <c r="G160" s="25"/>
      <c r="H160" s="25"/>
      <c r="I160" s="10">
        <f>COUNTIF('[1]SUPMAT - Experiment_wasps_table'!G:G,'[1]SUPMAT - Trial_info'!B160)-1</f>
        <v>-1</v>
      </c>
      <c r="J160" s="24"/>
      <c r="K160" s="24"/>
      <c r="L160" s="22"/>
    </row>
    <row r="161" spans="1:12" x14ac:dyDescent="0.2">
      <c r="A161" s="6"/>
      <c r="B161" s="25"/>
      <c r="C161" s="25"/>
      <c r="D161" s="24"/>
      <c r="E161" s="25"/>
      <c r="F161" s="25"/>
      <c r="G161" s="25"/>
      <c r="H161" s="25"/>
      <c r="I161" s="10">
        <f>COUNTIF('[1]SUPMAT - Experiment_wasps_table'!G:G,'[1]SUPMAT - Trial_info'!B161)-1</f>
        <v>-1</v>
      </c>
      <c r="J161" s="24"/>
      <c r="K161" s="24"/>
      <c r="L161" s="22"/>
    </row>
    <row r="162" spans="1:12" x14ac:dyDescent="0.2">
      <c r="A162" s="6"/>
      <c r="B162" s="25"/>
      <c r="C162" s="25"/>
      <c r="D162" s="24"/>
      <c r="E162" s="25"/>
      <c r="F162" s="25"/>
      <c r="G162" s="25"/>
      <c r="H162" s="25"/>
      <c r="I162" s="10">
        <f>COUNTIF('[1]SUPMAT - Experiment_wasps_table'!G:G,'[1]SUPMAT - Trial_info'!B162)-1</f>
        <v>-1</v>
      </c>
      <c r="J162" s="24"/>
      <c r="K162" s="24"/>
      <c r="L162" s="22"/>
    </row>
    <row r="163" spans="1:12" x14ac:dyDescent="0.2">
      <c r="A163" s="6"/>
      <c r="B163" s="25"/>
      <c r="C163" s="25"/>
      <c r="D163" s="24"/>
      <c r="E163" s="25"/>
      <c r="F163" s="25"/>
      <c r="G163" s="25"/>
      <c r="H163" s="25"/>
      <c r="I163" s="10">
        <f>COUNTIF('[1]SUPMAT - Experiment_wasps_table'!G:G,'[1]SUPMAT - Trial_info'!B163)-1</f>
        <v>-1</v>
      </c>
      <c r="J163" s="24"/>
      <c r="K163" s="24"/>
      <c r="L163" s="22"/>
    </row>
    <row r="164" spans="1:12" x14ac:dyDescent="0.2">
      <c r="A164" s="6"/>
      <c r="B164" s="25"/>
      <c r="C164" s="25"/>
      <c r="D164" s="24"/>
      <c r="E164" s="25"/>
      <c r="F164" s="25"/>
      <c r="G164" s="25"/>
      <c r="H164" s="25"/>
      <c r="I164" s="10">
        <f>COUNTIF('[1]SUPMAT - Experiment_wasps_table'!G:G,'[1]SUPMAT - Trial_info'!B164)-1</f>
        <v>-1</v>
      </c>
      <c r="J164" s="24"/>
      <c r="K164" s="24"/>
      <c r="L164" s="22"/>
    </row>
    <row r="165" spans="1:12" x14ac:dyDescent="0.2">
      <c r="A165" s="6"/>
      <c r="B165" s="25"/>
      <c r="C165" s="25"/>
      <c r="D165" s="24"/>
      <c r="E165" s="25"/>
      <c r="F165" s="25"/>
      <c r="G165" s="25"/>
      <c r="H165" s="25"/>
      <c r="I165" s="10">
        <f>COUNTIF('[1]SUPMAT - Experiment_wasps_table'!G:G,'[1]SUPMAT - Trial_info'!B165)-1</f>
        <v>-1</v>
      </c>
      <c r="J165" s="24"/>
      <c r="K165" s="24"/>
      <c r="L165" s="22"/>
    </row>
    <row r="166" spans="1:12" x14ac:dyDescent="0.2">
      <c r="A166" s="6"/>
      <c r="B166" s="25"/>
      <c r="C166" s="25"/>
      <c r="D166" s="24"/>
      <c r="E166" s="25"/>
      <c r="F166" s="25"/>
      <c r="G166" s="25"/>
      <c r="H166" s="25"/>
      <c r="I166" s="10">
        <f>COUNTIF('[1]SUPMAT - Experiment_wasps_table'!G:G,'[1]SUPMAT - Trial_info'!B166)-1</f>
        <v>-1</v>
      </c>
      <c r="J166" s="24"/>
      <c r="K166" s="24"/>
      <c r="L166" s="22"/>
    </row>
    <row r="167" spans="1:12" x14ac:dyDescent="0.2">
      <c r="A167" s="6"/>
      <c r="B167" s="25"/>
      <c r="C167" s="25"/>
      <c r="D167" s="24"/>
      <c r="E167" s="25"/>
      <c r="F167" s="25"/>
      <c r="G167" s="25"/>
      <c r="H167" s="25"/>
      <c r="I167" s="10">
        <f>COUNTIF('[1]SUPMAT - Experiment_wasps_table'!G:G,'[1]SUPMAT - Trial_info'!B167)-1</f>
        <v>-1</v>
      </c>
      <c r="J167" s="24"/>
      <c r="K167" s="24"/>
      <c r="L167" s="22"/>
    </row>
    <row r="168" spans="1:12" x14ac:dyDescent="0.2">
      <c r="A168" s="6"/>
      <c r="B168" s="25"/>
      <c r="C168" s="25"/>
      <c r="D168" s="24"/>
      <c r="E168" s="25"/>
      <c r="F168" s="25"/>
      <c r="G168" s="25"/>
      <c r="H168" s="25"/>
      <c r="I168" s="10">
        <f>COUNTIF('[1]SUPMAT - Experiment_wasps_table'!G:G,'[1]SUPMAT - Trial_info'!B168)-1</f>
        <v>-1</v>
      </c>
      <c r="J168" s="24"/>
      <c r="K168" s="24"/>
      <c r="L168" s="22"/>
    </row>
    <row r="169" spans="1:12" x14ac:dyDescent="0.2">
      <c r="A169" s="6"/>
      <c r="B169" s="25"/>
      <c r="C169" s="25"/>
      <c r="D169" s="24"/>
      <c r="E169" s="25"/>
      <c r="F169" s="25"/>
      <c r="G169" s="25"/>
      <c r="H169" s="25"/>
      <c r="I169" s="10">
        <f>COUNTIF('[1]SUPMAT - Experiment_wasps_table'!G:G,'[1]SUPMAT - Trial_info'!B169)-1</f>
        <v>-1</v>
      </c>
      <c r="J169" s="24"/>
      <c r="K169" s="24"/>
      <c r="L169" s="22"/>
    </row>
    <row r="170" spans="1:12" x14ac:dyDescent="0.2">
      <c r="A170" s="6"/>
      <c r="B170" s="25"/>
      <c r="C170" s="25"/>
      <c r="D170" s="24"/>
      <c r="E170" s="25"/>
      <c r="F170" s="25"/>
      <c r="G170" s="25"/>
      <c r="H170" s="25"/>
      <c r="I170" s="10">
        <f>COUNTIF('[1]SUPMAT - Experiment_wasps_table'!G:G,'[1]SUPMAT - Trial_info'!B170)-1</f>
        <v>-1</v>
      </c>
      <c r="J170" s="24"/>
      <c r="K170" s="24"/>
      <c r="L170" s="22"/>
    </row>
    <row r="171" spans="1:12" x14ac:dyDescent="0.2">
      <c r="A171" s="6"/>
      <c r="B171" s="25"/>
      <c r="C171" s="25"/>
      <c r="D171" s="24"/>
      <c r="E171" s="25"/>
      <c r="F171" s="25"/>
      <c r="G171" s="25"/>
      <c r="H171" s="25"/>
      <c r="I171" s="10">
        <f>COUNTIF('[1]SUPMAT - Experiment_wasps_table'!G:G,'[1]SUPMAT - Trial_info'!B171)-1</f>
        <v>-1</v>
      </c>
      <c r="J171" s="24"/>
      <c r="K171" s="24"/>
      <c r="L171" s="22"/>
    </row>
    <row r="172" spans="1:12" x14ac:dyDescent="0.2">
      <c r="A172" s="6"/>
      <c r="B172" s="25"/>
      <c r="C172" s="25"/>
      <c r="D172" s="24"/>
      <c r="E172" s="25"/>
      <c r="F172" s="25"/>
      <c r="G172" s="25"/>
      <c r="H172" s="25"/>
      <c r="I172" s="10">
        <f>COUNTIF('[1]SUPMAT - Experiment_wasps_table'!G:G,'[1]SUPMAT - Trial_info'!B172)-1</f>
        <v>-1</v>
      </c>
      <c r="J172" s="24"/>
      <c r="K172" s="24"/>
      <c r="L172" s="22"/>
    </row>
    <row r="173" spans="1:12" x14ac:dyDescent="0.2">
      <c r="A173" s="6"/>
      <c r="B173" s="25"/>
      <c r="C173" s="25"/>
      <c r="D173" s="24"/>
      <c r="E173" s="25"/>
      <c r="F173" s="25"/>
      <c r="G173" s="25"/>
      <c r="H173" s="25"/>
      <c r="I173" s="10">
        <f>COUNTIF('[1]SUPMAT - Experiment_wasps_table'!G:G,'[1]SUPMAT - Trial_info'!B173)-1</f>
        <v>-1</v>
      </c>
      <c r="J173" s="24"/>
      <c r="K173" s="24"/>
      <c r="L173" s="22"/>
    </row>
    <row r="174" spans="1:12" x14ac:dyDescent="0.2">
      <c r="A174" s="6"/>
      <c r="B174" s="25"/>
      <c r="C174" s="25"/>
      <c r="D174" s="24"/>
      <c r="E174" s="25"/>
      <c r="F174" s="25"/>
      <c r="G174" s="25"/>
      <c r="H174" s="25"/>
      <c r="I174" s="10">
        <f>COUNTIF('[1]SUPMAT - Experiment_wasps_table'!G:G,'[1]SUPMAT - Trial_info'!B174)-1</f>
        <v>-1</v>
      </c>
      <c r="J174" s="24"/>
      <c r="K174" s="24"/>
      <c r="L174" s="22"/>
    </row>
    <row r="175" spans="1:12" x14ac:dyDescent="0.2">
      <c r="A175" s="6"/>
      <c r="B175" s="25"/>
      <c r="C175" s="25"/>
      <c r="D175" s="24"/>
      <c r="E175" s="25"/>
      <c r="F175" s="25"/>
      <c r="G175" s="25"/>
      <c r="H175" s="25"/>
      <c r="I175" s="10">
        <f>COUNTIF('[1]SUPMAT - Experiment_wasps_table'!G:G,'[1]SUPMAT - Trial_info'!B175)-1</f>
        <v>-1</v>
      </c>
      <c r="J175" s="24"/>
      <c r="K175" s="24"/>
      <c r="L175" s="22"/>
    </row>
    <row r="176" spans="1:12" x14ac:dyDescent="0.2">
      <c r="A176" s="6"/>
      <c r="B176" s="25"/>
      <c r="C176" s="25"/>
      <c r="D176" s="24"/>
      <c r="E176" s="25"/>
      <c r="F176" s="25"/>
      <c r="G176" s="25"/>
      <c r="H176" s="25"/>
      <c r="I176" s="10">
        <f>COUNTIF('[1]SUPMAT - Experiment_wasps_table'!G:G,'[1]SUPMAT - Trial_info'!B176)-1</f>
        <v>-1</v>
      </c>
      <c r="J176" s="24"/>
      <c r="K176" s="24"/>
      <c r="L176" s="22"/>
    </row>
    <row r="177" spans="1:12" x14ac:dyDescent="0.2">
      <c r="A177" s="6"/>
      <c r="B177" s="25"/>
      <c r="C177" s="25"/>
      <c r="D177" s="24"/>
      <c r="E177" s="25"/>
      <c r="F177" s="25"/>
      <c r="G177" s="25"/>
      <c r="H177" s="25"/>
      <c r="I177" s="10">
        <f>COUNTIF('[1]SUPMAT - Experiment_wasps_table'!G:G,'[1]SUPMAT - Trial_info'!B177)-1</f>
        <v>-1</v>
      </c>
      <c r="J177" s="24"/>
      <c r="K177" s="24"/>
      <c r="L177" s="22"/>
    </row>
    <row r="178" spans="1:12" x14ac:dyDescent="0.2">
      <c r="A178" s="6"/>
      <c r="B178" s="25"/>
      <c r="C178" s="25"/>
      <c r="D178" s="24"/>
      <c r="E178" s="25"/>
      <c r="F178" s="25"/>
      <c r="G178" s="25"/>
      <c r="H178" s="25"/>
      <c r="I178" s="10">
        <f>COUNTIF('[1]SUPMAT - Experiment_wasps_table'!G:G,'[1]SUPMAT - Trial_info'!B178)-1</f>
        <v>-1</v>
      </c>
      <c r="J178" s="24"/>
      <c r="K178" s="24"/>
      <c r="L178" s="22"/>
    </row>
    <row r="179" spans="1:12" x14ac:dyDescent="0.2">
      <c r="A179" s="6"/>
      <c r="B179" s="25"/>
      <c r="C179" s="25"/>
      <c r="D179" s="24"/>
      <c r="E179" s="25"/>
      <c r="F179" s="25"/>
      <c r="G179" s="25"/>
      <c r="H179" s="25"/>
      <c r="I179" s="10">
        <f>COUNTIF('[1]SUPMAT - Experiment_wasps_table'!G:G,'[1]SUPMAT - Trial_info'!B179)-1</f>
        <v>-1</v>
      </c>
      <c r="J179" s="24"/>
      <c r="K179" s="24"/>
      <c r="L179" s="22"/>
    </row>
    <row r="180" spans="1:12" x14ac:dyDescent="0.2">
      <c r="A180" s="6"/>
      <c r="B180" s="25"/>
      <c r="C180" s="25"/>
      <c r="D180" s="24"/>
      <c r="E180" s="25"/>
      <c r="F180" s="25"/>
      <c r="G180" s="25"/>
      <c r="H180" s="25"/>
      <c r="I180" s="10">
        <f>COUNTIF('[1]SUPMAT - Experiment_wasps_table'!G:G,'[1]SUPMAT - Trial_info'!B180)-1</f>
        <v>-1</v>
      </c>
      <c r="J180" s="24"/>
      <c r="K180" s="24"/>
      <c r="L180" s="22"/>
    </row>
    <row r="181" spans="1:12" x14ac:dyDescent="0.2">
      <c r="A181" s="6"/>
      <c r="B181" s="25"/>
      <c r="C181" s="25"/>
      <c r="D181" s="24"/>
      <c r="E181" s="25"/>
      <c r="F181" s="25"/>
      <c r="G181" s="25"/>
      <c r="H181" s="25"/>
      <c r="I181" s="10">
        <f>COUNTIF('[1]SUPMAT - Experiment_wasps_table'!G:G,'[1]SUPMAT - Trial_info'!B181)-1</f>
        <v>-1</v>
      </c>
      <c r="J181" s="24"/>
      <c r="K181" s="24"/>
      <c r="L181" s="22"/>
    </row>
    <row r="182" spans="1:12" x14ac:dyDescent="0.2">
      <c r="A182" s="6"/>
      <c r="B182" s="25"/>
      <c r="C182" s="25"/>
      <c r="D182" s="24"/>
      <c r="E182" s="25"/>
      <c r="F182" s="25"/>
      <c r="G182" s="25"/>
      <c r="H182" s="25"/>
      <c r="I182" s="10">
        <f>COUNTIF('[1]SUPMAT - Experiment_wasps_table'!G:G,'[1]SUPMAT - Trial_info'!B182)-1</f>
        <v>-1</v>
      </c>
      <c r="J182" s="24"/>
      <c r="K182" s="24"/>
      <c r="L182" s="22"/>
    </row>
    <row r="183" spans="1:12" x14ac:dyDescent="0.2">
      <c r="A183" s="6"/>
      <c r="B183" s="25"/>
      <c r="C183" s="25"/>
      <c r="D183" s="24"/>
      <c r="E183" s="25"/>
      <c r="F183" s="25"/>
      <c r="G183" s="25"/>
      <c r="H183" s="25"/>
      <c r="I183" s="10">
        <f>COUNTIF('[1]SUPMAT - Experiment_wasps_table'!G:G,'[1]SUPMAT - Trial_info'!B183)-1</f>
        <v>-1</v>
      </c>
      <c r="J183" s="24"/>
      <c r="K183" s="24"/>
      <c r="L183" s="22"/>
    </row>
    <row r="184" spans="1:12" x14ac:dyDescent="0.2">
      <c r="A184" s="6"/>
      <c r="B184" s="25"/>
      <c r="C184" s="25"/>
      <c r="D184" s="24"/>
      <c r="E184" s="25"/>
      <c r="F184" s="25"/>
      <c r="G184" s="25"/>
      <c r="H184" s="25"/>
      <c r="I184" s="10">
        <f>COUNTIF('[1]SUPMAT - Experiment_wasps_table'!G:G,'[1]SUPMAT - Trial_info'!B184)-1</f>
        <v>-1</v>
      </c>
      <c r="J184" s="24"/>
      <c r="K184" s="24"/>
      <c r="L184" s="22"/>
    </row>
    <row r="185" spans="1:12" x14ac:dyDescent="0.2">
      <c r="A185" s="6"/>
      <c r="B185" s="23"/>
      <c r="C185" s="23"/>
      <c r="D185" s="24"/>
      <c r="E185" s="25"/>
      <c r="F185" s="25"/>
      <c r="G185" s="25"/>
      <c r="H185" s="25"/>
      <c r="I185" s="10">
        <f>COUNTIF('[1]SUPMAT - Experiment_wasps_table'!G:G,'[1]SUPMAT - Trial_info'!B185)-1</f>
        <v>-1</v>
      </c>
      <c r="J185" s="24"/>
      <c r="K185" s="24"/>
      <c r="L185" s="22"/>
    </row>
    <row r="186" spans="1:12" x14ac:dyDescent="0.2">
      <c r="A186" s="6"/>
      <c r="B186" s="23"/>
      <c r="C186" s="23"/>
      <c r="D186" s="24"/>
      <c r="E186" s="25"/>
      <c r="F186" s="25"/>
      <c r="G186" s="25"/>
      <c r="H186" s="25"/>
      <c r="I186" s="10">
        <f>COUNTIF('[1]SUPMAT - Experiment_wasps_table'!G:G,'[1]SUPMAT - Trial_info'!B186)-1</f>
        <v>-1</v>
      </c>
      <c r="J186" s="24"/>
      <c r="K186" s="24"/>
      <c r="L186" s="22"/>
    </row>
    <row r="187" spans="1:12" x14ac:dyDescent="0.2">
      <c r="A187" s="6"/>
      <c r="B187" s="23"/>
      <c r="C187" s="23"/>
      <c r="D187" s="24"/>
      <c r="E187" s="25"/>
      <c r="F187" s="25"/>
      <c r="G187" s="25"/>
      <c r="H187" s="25"/>
      <c r="I187" s="10">
        <f>COUNTIF('[1]SUPMAT - Experiment_wasps_table'!G:G,'[1]SUPMAT - Trial_info'!B187)-1</f>
        <v>-1</v>
      </c>
      <c r="J187" s="24"/>
      <c r="K187" s="24"/>
      <c r="L187" s="22"/>
    </row>
    <row r="188" spans="1:12" x14ac:dyDescent="0.2">
      <c r="A188" s="6"/>
      <c r="B188" s="23"/>
      <c r="C188" s="23"/>
      <c r="D188" s="24"/>
      <c r="E188" s="25"/>
      <c r="F188" s="25"/>
      <c r="G188" s="25"/>
      <c r="H188" s="25"/>
      <c r="I188" s="10">
        <f>COUNTIF('[1]SUPMAT - Experiment_wasps_table'!G:G,'[1]SUPMAT - Trial_info'!B188)-1</f>
        <v>-1</v>
      </c>
      <c r="J188" s="24"/>
      <c r="K188" s="24"/>
      <c r="L188" s="22"/>
    </row>
    <row r="189" spans="1:12" x14ac:dyDescent="0.2">
      <c r="A189" s="6"/>
      <c r="B189" s="23"/>
      <c r="C189" s="23"/>
      <c r="D189" s="24"/>
      <c r="E189" s="25"/>
      <c r="F189" s="25"/>
      <c r="G189" s="25"/>
      <c r="H189" s="25"/>
      <c r="I189" s="10">
        <f>COUNTIF('[1]SUPMAT - Experiment_wasps_table'!G:G,'[1]SUPMAT - Trial_info'!B189)-1</f>
        <v>-1</v>
      </c>
      <c r="J189" s="24"/>
      <c r="K189" s="24"/>
      <c r="L189" s="22"/>
    </row>
    <row r="190" spans="1:12" x14ac:dyDescent="0.2">
      <c r="A190" s="6"/>
      <c r="B190" s="23"/>
      <c r="C190" s="23"/>
      <c r="D190" s="24"/>
      <c r="E190" s="25"/>
      <c r="F190" s="25"/>
      <c r="G190" s="25"/>
      <c r="H190" s="25"/>
      <c r="I190" s="10">
        <f>COUNTIF('[1]SUPMAT - Experiment_wasps_table'!G:G,'[1]SUPMAT - Trial_info'!B190)-1</f>
        <v>-1</v>
      </c>
      <c r="J190" s="24"/>
      <c r="K190" s="24"/>
      <c r="L190" s="22"/>
    </row>
    <row r="191" spans="1:12" x14ac:dyDescent="0.2">
      <c r="A191" s="6"/>
      <c r="B191" s="23"/>
      <c r="C191" s="23"/>
      <c r="D191" s="24"/>
      <c r="E191" s="25"/>
      <c r="F191" s="25"/>
      <c r="G191" s="25"/>
      <c r="H191" s="25"/>
      <c r="I191" s="10">
        <f>COUNTIF('[1]SUPMAT - Experiment_wasps_table'!G:G,'[1]SUPMAT - Trial_info'!B191)-1</f>
        <v>-1</v>
      </c>
      <c r="J191" s="24"/>
      <c r="K191" s="24"/>
      <c r="L191" s="22"/>
    </row>
    <row r="192" spans="1:12" x14ac:dyDescent="0.2">
      <c r="A192" s="6"/>
      <c r="B192" s="23"/>
      <c r="C192" s="23"/>
      <c r="D192" s="24"/>
      <c r="E192" s="25"/>
      <c r="F192" s="25"/>
      <c r="G192" s="25"/>
      <c r="H192" s="25"/>
      <c r="I192" s="10">
        <f>COUNTIF('[1]SUPMAT - Experiment_wasps_table'!G:G,'[1]SUPMAT - Trial_info'!B192)-1</f>
        <v>-1</v>
      </c>
      <c r="J192" s="24"/>
      <c r="K192" s="24"/>
      <c r="L192" s="22"/>
    </row>
    <row r="193" spans="1:12" x14ac:dyDescent="0.2">
      <c r="A193" s="6"/>
      <c r="B193" s="23"/>
      <c r="C193" s="23"/>
      <c r="D193" s="24"/>
      <c r="E193" s="25"/>
      <c r="F193" s="25"/>
      <c r="G193" s="25"/>
      <c r="H193" s="25"/>
      <c r="I193" s="10">
        <f>COUNTIF('[1]SUPMAT - Experiment_wasps_table'!G:G,'[1]SUPMAT - Trial_info'!B193)-1</f>
        <v>-1</v>
      </c>
      <c r="J193" s="24"/>
      <c r="K193" s="24"/>
      <c r="L193" s="22"/>
    </row>
    <row r="194" spans="1:12" x14ac:dyDescent="0.2">
      <c r="A194" s="6"/>
      <c r="B194" s="23"/>
      <c r="C194" s="23"/>
      <c r="D194" s="24"/>
      <c r="E194" s="25"/>
      <c r="F194" s="25"/>
      <c r="G194" s="25"/>
      <c r="H194" s="25"/>
      <c r="I194" s="10">
        <f>COUNTIF('[1]SUPMAT - Experiment_wasps_table'!G:G,'[1]SUPMAT - Trial_info'!B194)-1</f>
        <v>-1</v>
      </c>
      <c r="J194" s="24"/>
      <c r="K194" s="24"/>
      <c r="L194" s="29"/>
    </row>
    <row r="195" spans="1:12" x14ac:dyDescent="0.2">
      <c r="A195" s="6"/>
      <c r="B195" s="23"/>
      <c r="C195" s="23"/>
      <c r="D195" s="24"/>
      <c r="E195" s="25"/>
      <c r="F195" s="25"/>
      <c r="G195" s="25"/>
      <c r="H195" s="25"/>
      <c r="I195" s="10">
        <f>COUNTIF('[1]SUPMAT - Experiment_wasps_table'!G:G,'[1]SUPMAT - Trial_info'!B195)-1</f>
        <v>-1</v>
      </c>
      <c r="J195" s="24"/>
      <c r="K195" s="24"/>
      <c r="L195" s="29"/>
    </row>
    <row r="196" spans="1:12" x14ac:dyDescent="0.2">
      <c r="A196" s="6"/>
      <c r="B196" s="23"/>
      <c r="C196" s="23"/>
      <c r="D196" s="24"/>
      <c r="E196" s="25"/>
      <c r="F196" s="25"/>
      <c r="G196" s="25"/>
      <c r="H196" s="25"/>
      <c r="I196" s="10">
        <f>COUNTIF('[1]SUPMAT - Experiment_wasps_table'!G:G,'[1]SUPMAT - Trial_info'!B196)-1</f>
        <v>-1</v>
      </c>
      <c r="J196" s="24"/>
      <c r="K196" s="24"/>
      <c r="L196" s="29"/>
    </row>
    <row r="197" spans="1:12" x14ac:dyDescent="0.2">
      <c r="A197" s="6"/>
      <c r="B197" s="23"/>
      <c r="C197" s="23"/>
      <c r="D197" s="24"/>
      <c r="E197" s="25"/>
      <c r="F197" s="25"/>
      <c r="G197" s="25"/>
      <c r="H197" s="25"/>
      <c r="I197" s="10">
        <f>COUNTIF('[1]SUPMAT - Experiment_wasps_table'!G:G,'[1]SUPMAT - Trial_info'!B197)-1</f>
        <v>-1</v>
      </c>
      <c r="J197" s="24"/>
      <c r="K197" s="24"/>
      <c r="L197" s="29"/>
    </row>
    <row r="198" spans="1:12" x14ac:dyDescent="0.2">
      <c r="A198" s="6"/>
      <c r="B198" s="23"/>
      <c r="C198" s="23"/>
      <c r="D198" s="24"/>
      <c r="E198" s="25"/>
      <c r="F198" s="25"/>
      <c r="G198" s="25"/>
      <c r="H198" s="25"/>
      <c r="I198" s="10">
        <f>COUNTIF('[1]SUPMAT - Experiment_wasps_table'!G:G,'[1]SUPMAT - Trial_info'!B198)-1</f>
        <v>-1</v>
      </c>
      <c r="J198" s="24"/>
      <c r="K198" s="24"/>
      <c r="L198" s="29"/>
    </row>
    <row r="199" spans="1:12" x14ac:dyDescent="0.2">
      <c r="A199" s="6"/>
      <c r="B199" s="23"/>
      <c r="C199" s="23"/>
      <c r="D199" s="24"/>
      <c r="E199" s="25"/>
      <c r="F199" s="25"/>
      <c r="G199" s="25"/>
      <c r="H199" s="25"/>
      <c r="I199" s="10">
        <f>COUNTIF('[1]SUPMAT - Experiment_wasps_table'!G:G,'[1]SUPMAT - Trial_info'!B199)-1</f>
        <v>-1</v>
      </c>
      <c r="J199" s="24"/>
      <c r="K199" s="24"/>
      <c r="L199" s="29"/>
    </row>
    <row r="200" spans="1:12" x14ac:dyDescent="0.2">
      <c r="A200" s="6"/>
      <c r="B200" s="23"/>
      <c r="C200" s="23"/>
      <c r="D200" s="24"/>
      <c r="E200" s="25"/>
      <c r="F200" s="25"/>
      <c r="G200" s="25"/>
      <c r="H200" s="25"/>
      <c r="I200" s="10">
        <f>COUNTIF('[1]SUPMAT - Experiment_wasps_table'!G:G,'[1]SUPMAT - Trial_info'!B200)-1</f>
        <v>-1</v>
      </c>
      <c r="J200" s="24"/>
      <c r="K200" s="24"/>
      <c r="L200" s="29"/>
    </row>
    <row r="201" spans="1:12" x14ac:dyDescent="0.2">
      <c r="A201" s="6"/>
      <c r="B201" s="23"/>
      <c r="C201" s="23"/>
      <c r="D201" s="24"/>
      <c r="E201" s="25"/>
      <c r="F201" s="25"/>
      <c r="G201" s="25"/>
      <c r="H201" s="25"/>
      <c r="I201" s="10">
        <f>COUNTIF('[1]SUPMAT - Experiment_wasps_table'!G:G,'[1]SUPMAT - Trial_info'!B201)-1</f>
        <v>-1</v>
      </c>
      <c r="J201" s="24"/>
      <c r="K201" s="24"/>
      <c r="L201" s="29"/>
    </row>
    <row r="202" spans="1:12" x14ac:dyDescent="0.2">
      <c r="A202" s="6"/>
      <c r="B202" s="23"/>
      <c r="C202" s="23"/>
      <c r="D202" s="24"/>
      <c r="E202" s="25"/>
      <c r="F202" s="25"/>
      <c r="G202" s="25"/>
      <c r="H202" s="25"/>
      <c r="I202" s="10">
        <f>COUNTIF('[1]SUPMAT - Experiment_wasps_table'!G:G,'[1]SUPMAT - Trial_info'!B202)-1</f>
        <v>-1</v>
      </c>
      <c r="J202" s="24"/>
      <c r="K202" s="24"/>
      <c r="L202" s="29"/>
    </row>
    <row r="203" spans="1:12" x14ac:dyDescent="0.2">
      <c r="A203" s="6"/>
      <c r="B203" s="23"/>
      <c r="C203" s="23"/>
      <c r="D203" s="24"/>
      <c r="E203" s="25"/>
      <c r="F203" s="25"/>
      <c r="G203" s="25"/>
      <c r="H203" s="25"/>
      <c r="I203" s="10">
        <f>COUNTIF('[1]SUPMAT - Experiment_wasps_table'!G:G,'[1]SUPMAT - Trial_info'!B203)-1</f>
        <v>-1</v>
      </c>
      <c r="J203" s="24"/>
      <c r="K203" s="24"/>
      <c r="L203" s="29"/>
    </row>
    <row r="204" spans="1:12" x14ac:dyDescent="0.2">
      <c r="A204" s="6"/>
      <c r="B204" s="23"/>
      <c r="C204" s="23"/>
      <c r="D204" s="24"/>
      <c r="E204" s="25"/>
      <c r="F204" s="25"/>
      <c r="G204" s="25"/>
      <c r="H204" s="25"/>
      <c r="I204" s="10">
        <f>COUNTIF('[1]SUPMAT - Experiment_wasps_table'!G:G,'[1]SUPMAT - Trial_info'!B204)-1</f>
        <v>-1</v>
      </c>
      <c r="J204" s="24"/>
      <c r="K204" s="24"/>
      <c r="L204" s="29"/>
    </row>
    <row r="205" spans="1:12" x14ac:dyDescent="0.2">
      <c r="A205" s="6"/>
      <c r="B205" s="23"/>
      <c r="C205" s="23"/>
      <c r="D205" s="24"/>
      <c r="E205" s="25"/>
      <c r="F205" s="25"/>
      <c r="G205" s="25"/>
      <c r="H205" s="25"/>
      <c r="I205" s="10">
        <f>COUNTIF('[1]SUPMAT - Experiment_wasps_table'!G:G,'[1]SUPMAT - Trial_info'!B205)-1</f>
        <v>-1</v>
      </c>
      <c r="J205" s="24"/>
      <c r="K205" s="24"/>
      <c r="L205" s="29"/>
    </row>
    <row r="206" spans="1:12" x14ac:dyDescent="0.2">
      <c r="A206" s="6"/>
      <c r="B206" s="23"/>
      <c r="C206" s="23"/>
      <c r="D206" s="24"/>
      <c r="E206" s="25"/>
      <c r="F206" s="25"/>
      <c r="G206" s="25"/>
      <c r="H206" s="25"/>
      <c r="I206" s="10">
        <f>COUNTIF('[1]SUPMAT - Experiment_wasps_table'!G:G,'[1]SUPMAT - Trial_info'!B206)-1</f>
        <v>-1</v>
      </c>
      <c r="J206" s="24"/>
      <c r="K206" s="24"/>
      <c r="L206" s="29"/>
    </row>
    <row r="207" spans="1:12" x14ac:dyDescent="0.2">
      <c r="A207" s="6"/>
      <c r="B207" s="23"/>
      <c r="C207" s="23"/>
      <c r="D207" s="24"/>
      <c r="E207" s="25"/>
      <c r="F207" s="25"/>
      <c r="G207" s="25"/>
      <c r="H207" s="25"/>
      <c r="I207" s="10">
        <f>COUNTIF('[1]SUPMAT - Experiment_wasps_table'!G:G,'[1]SUPMAT - Trial_info'!B207)-1</f>
        <v>-1</v>
      </c>
      <c r="J207" s="24"/>
      <c r="K207" s="24"/>
      <c r="L207" s="29"/>
    </row>
    <row r="208" spans="1:12" x14ac:dyDescent="0.2">
      <c r="A208" s="6"/>
      <c r="B208" s="23"/>
      <c r="C208" s="23"/>
      <c r="D208" s="24"/>
      <c r="E208" s="25"/>
      <c r="F208" s="25"/>
      <c r="G208" s="25"/>
      <c r="H208" s="25"/>
      <c r="I208" s="10">
        <f>COUNTIF('[1]SUPMAT - Experiment_wasps_table'!G:G,'[1]SUPMAT - Trial_info'!B208)-1</f>
        <v>-1</v>
      </c>
      <c r="J208" s="24"/>
      <c r="K208" s="24"/>
      <c r="L208" s="29"/>
    </row>
    <row r="209" spans="1:12" x14ac:dyDescent="0.2">
      <c r="A209" s="6"/>
      <c r="B209" s="23"/>
      <c r="C209" s="23"/>
      <c r="D209" s="24"/>
      <c r="E209" s="25"/>
      <c r="F209" s="25"/>
      <c r="G209" s="25"/>
      <c r="H209" s="25"/>
      <c r="I209" s="10">
        <f>COUNTIF('[1]SUPMAT - Experiment_wasps_table'!G:G,'[1]SUPMAT - Trial_info'!B209)-1</f>
        <v>-1</v>
      </c>
      <c r="J209" s="24"/>
      <c r="K209" s="24"/>
      <c r="L209" s="29"/>
    </row>
    <row r="210" spans="1:12" x14ac:dyDescent="0.2">
      <c r="A210" s="6"/>
      <c r="B210" s="23"/>
      <c r="C210" s="23"/>
      <c r="D210" s="24"/>
      <c r="E210" s="25"/>
      <c r="F210" s="25"/>
      <c r="G210" s="25"/>
      <c r="H210" s="25"/>
      <c r="I210" s="10">
        <f>COUNTIF('[1]SUPMAT - Experiment_wasps_table'!G:G,'[1]SUPMAT - Trial_info'!B210)-1</f>
        <v>-1</v>
      </c>
      <c r="J210" s="24"/>
      <c r="K210" s="24"/>
      <c r="L210" s="29"/>
    </row>
    <row r="211" spans="1:12" x14ac:dyDescent="0.2">
      <c r="A211" s="6"/>
      <c r="B211" s="23"/>
      <c r="C211" s="23"/>
      <c r="D211" s="24"/>
      <c r="E211" s="25"/>
      <c r="F211" s="25"/>
      <c r="G211" s="25"/>
      <c r="H211" s="25"/>
      <c r="I211" s="10">
        <f>COUNTIF('[1]SUPMAT - Experiment_wasps_table'!G:G,'[1]SUPMAT - Trial_info'!B211)-1</f>
        <v>-1</v>
      </c>
      <c r="J211" s="24"/>
      <c r="K211" s="24"/>
      <c r="L211" s="29"/>
    </row>
    <row r="212" spans="1:12" x14ac:dyDescent="0.2">
      <c r="A212" s="6"/>
      <c r="B212" s="23"/>
      <c r="C212" s="23"/>
      <c r="D212" s="24"/>
      <c r="E212" s="25"/>
      <c r="F212" s="25"/>
      <c r="G212" s="25"/>
      <c r="H212" s="25"/>
      <c r="I212" s="10">
        <f>COUNTIF('[1]SUPMAT - Experiment_wasps_table'!G:G,'[1]SUPMAT - Trial_info'!B212)-1</f>
        <v>-1</v>
      </c>
      <c r="J212" s="24"/>
      <c r="K212" s="24"/>
      <c r="L212" s="29"/>
    </row>
    <row r="213" spans="1:12" x14ac:dyDescent="0.2">
      <c r="A213" s="6"/>
      <c r="B213" s="23"/>
      <c r="C213" s="23"/>
      <c r="D213" s="24"/>
      <c r="E213" s="25"/>
      <c r="F213" s="25"/>
      <c r="G213" s="25"/>
      <c r="H213" s="25"/>
      <c r="I213" s="10">
        <f>COUNTIF('[1]SUPMAT - Experiment_wasps_table'!G:G,'[1]SUPMAT - Trial_info'!B213)-1</f>
        <v>-1</v>
      </c>
      <c r="J213" s="24"/>
      <c r="K213" s="24"/>
      <c r="L213" s="29"/>
    </row>
    <row r="214" spans="1:12" x14ac:dyDescent="0.2">
      <c r="A214" s="6"/>
      <c r="B214" s="23"/>
      <c r="C214" s="23"/>
      <c r="D214" s="24"/>
      <c r="E214" s="25"/>
      <c r="F214" s="25"/>
      <c r="G214" s="25"/>
      <c r="H214" s="25"/>
      <c r="I214" s="10">
        <f>COUNTIF('[1]SUPMAT - Experiment_wasps_table'!G:G,'[1]SUPMAT - Trial_info'!B214)-1</f>
        <v>-1</v>
      </c>
      <c r="J214" s="24"/>
      <c r="K214" s="24"/>
      <c r="L214" s="29"/>
    </row>
    <row r="215" spans="1:12" x14ac:dyDescent="0.2">
      <c r="A215" s="6"/>
      <c r="B215" s="23"/>
      <c r="C215" s="23"/>
      <c r="D215" s="24"/>
      <c r="E215" s="25"/>
      <c r="F215" s="25"/>
      <c r="G215" s="25"/>
      <c r="H215" s="25"/>
      <c r="I215" s="10">
        <f>COUNTIF('[1]SUPMAT - Experiment_wasps_table'!G:G,'[1]SUPMAT - Trial_info'!B215)-1</f>
        <v>-1</v>
      </c>
      <c r="J215" s="24"/>
      <c r="K215" s="24"/>
      <c r="L215" s="29"/>
    </row>
    <row r="216" spans="1:12" x14ac:dyDescent="0.2">
      <c r="A216" s="6"/>
      <c r="B216" s="23"/>
      <c r="C216" s="23"/>
      <c r="D216" s="24"/>
      <c r="E216" s="25"/>
      <c r="F216" s="25"/>
      <c r="G216" s="25"/>
      <c r="H216" s="25"/>
      <c r="I216" s="10">
        <f>COUNTIF('[1]SUPMAT - Experiment_wasps_table'!G:G,'[1]SUPMAT - Trial_info'!B216)-1</f>
        <v>-1</v>
      </c>
      <c r="J216" s="24"/>
      <c r="K216" s="24"/>
      <c r="L216" s="29"/>
    </row>
    <row r="217" spans="1:12" x14ac:dyDescent="0.2">
      <c r="A217" s="6"/>
      <c r="B217" s="23"/>
      <c r="C217" s="23"/>
      <c r="D217" s="24"/>
      <c r="E217" s="25"/>
      <c r="F217" s="25"/>
      <c r="G217" s="25"/>
      <c r="H217" s="25"/>
      <c r="I217" s="10">
        <f>COUNTIF('[1]SUPMAT - Experiment_wasps_table'!G:G,'[1]SUPMAT - Trial_info'!B217)-1</f>
        <v>-1</v>
      </c>
      <c r="J217" s="24"/>
      <c r="K217" s="24"/>
      <c r="L217" s="29"/>
    </row>
    <row r="218" spans="1:12" x14ac:dyDescent="0.2">
      <c r="A218" s="6"/>
      <c r="B218" s="23"/>
      <c r="C218" s="23"/>
      <c r="D218" s="24"/>
      <c r="E218" s="25"/>
      <c r="F218" s="25"/>
      <c r="G218" s="25"/>
      <c r="H218" s="25"/>
      <c r="I218" s="10">
        <f>COUNTIF('[1]SUPMAT - Experiment_wasps_table'!G:G,'[1]SUPMAT - Trial_info'!B218)-1</f>
        <v>-1</v>
      </c>
      <c r="J218" s="24"/>
      <c r="K218" s="24"/>
      <c r="L218" s="29"/>
    </row>
    <row r="219" spans="1:12" x14ac:dyDescent="0.2">
      <c r="A219" s="6"/>
      <c r="B219" s="23"/>
      <c r="C219" s="23"/>
      <c r="D219" s="24"/>
      <c r="E219" s="25"/>
      <c r="F219" s="25"/>
      <c r="G219" s="25"/>
      <c r="H219" s="25"/>
      <c r="I219" s="10">
        <f>COUNTIF('[1]SUPMAT - Experiment_wasps_table'!G:G,'[1]SUPMAT - Trial_info'!B219)-1</f>
        <v>-1</v>
      </c>
      <c r="J219" s="24"/>
      <c r="K219" s="24"/>
      <c r="L219" s="29"/>
    </row>
    <row r="220" spans="1:12" x14ac:dyDescent="0.2">
      <c r="A220" s="6"/>
      <c r="B220" s="23"/>
      <c r="C220" s="23"/>
      <c r="D220" s="24"/>
      <c r="E220" s="25"/>
      <c r="F220" s="25"/>
      <c r="G220" s="25"/>
      <c r="H220" s="25"/>
      <c r="I220" s="10">
        <f>COUNTIF('[1]SUPMAT - Experiment_wasps_table'!G:G,'[1]SUPMAT - Trial_info'!B220)-1</f>
        <v>-1</v>
      </c>
      <c r="J220" s="24"/>
      <c r="K220" s="24"/>
      <c r="L220" s="29"/>
    </row>
    <row r="221" spans="1:12" x14ac:dyDescent="0.2">
      <c r="A221" s="6"/>
      <c r="B221" s="23"/>
      <c r="C221" s="23"/>
      <c r="D221" s="24"/>
      <c r="E221" s="25"/>
      <c r="F221" s="25"/>
      <c r="G221" s="25"/>
      <c r="H221" s="25"/>
      <c r="I221" s="10">
        <f>COUNTIF('[1]SUPMAT - Experiment_wasps_table'!G:G,'[1]SUPMAT - Trial_info'!B221)-1</f>
        <v>-1</v>
      </c>
      <c r="J221" s="24"/>
      <c r="K221" s="24"/>
      <c r="L221" s="29"/>
    </row>
    <row r="222" spans="1:12" x14ac:dyDescent="0.2">
      <c r="A222" s="6"/>
      <c r="B222" s="23"/>
      <c r="C222" s="23"/>
      <c r="D222" s="24"/>
      <c r="E222" s="25"/>
      <c r="F222" s="25"/>
      <c r="G222" s="25"/>
      <c r="H222" s="25"/>
      <c r="I222" s="10">
        <f>COUNTIF('[1]SUPMAT - Experiment_wasps_table'!G:G,'[1]SUPMAT - Trial_info'!B222)-1</f>
        <v>-1</v>
      </c>
      <c r="J222" s="24"/>
      <c r="K222" s="24"/>
      <c r="L222" s="29"/>
    </row>
    <row r="223" spans="1:12" x14ac:dyDescent="0.2">
      <c r="A223" s="6"/>
      <c r="B223" s="23"/>
      <c r="C223" s="23"/>
      <c r="D223" s="24"/>
      <c r="E223" s="25"/>
      <c r="F223" s="25"/>
      <c r="G223" s="25"/>
      <c r="H223" s="25"/>
      <c r="I223" s="10">
        <f>COUNTIF('[1]SUPMAT - Experiment_wasps_table'!G:G,'[1]SUPMAT - Trial_info'!B223)-1</f>
        <v>-1</v>
      </c>
      <c r="J223" s="24"/>
      <c r="K223" s="24"/>
      <c r="L223" s="29"/>
    </row>
    <row r="224" spans="1:12" x14ac:dyDescent="0.2">
      <c r="A224" s="6"/>
      <c r="B224" s="23"/>
      <c r="C224" s="23"/>
      <c r="D224" s="24"/>
      <c r="E224" s="25"/>
      <c r="F224" s="25"/>
      <c r="G224" s="25"/>
      <c r="H224" s="25"/>
      <c r="I224" s="10">
        <f>COUNTIF('[1]SUPMAT - Experiment_wasps_table'!G:G,'[1]SUPMAT - Trial_info'!B224)-1</f>
        <v>-1</v>
      </c>
      <c r="J224" s="24"/>
      <c r="K224" s="24"/>
      <c r="L224" s="29"/>
    </row>
    <row r="225" spans="1:12" x14ac:dyDescent="0.2">
      <c r="A225" s="6"/>
      <c r="B225" s="23"/>
      <c r="C225" s="23"/>
      <c r="D225" s="24"/>
      <c r="E225" s="25"/>
      <c r="F225" s="25"/>
      <c r="G225" s="25"/>
      <c r="H225" s="25"/>
      <c r="I225" s="10">
        <f>COUNTIF('[1]SUPMAT - Experiment_wasps_table'!G:G,'[1]SUPMAT - Trial_info'!B225)-1</f>
        <v>-1</v>
      </c>
      <c r="J225" s="24"/>
      <c r="K225" s="24"/>
      <c r="L225" s="29"/>
    </row>
    <row r="226" spans="1:12" x14ac:dyDescent="0.2">
      <c r="A226" s="6"/>
      <c r="B226" s="23"/>
      <c r="C226" s="23"/>
      <c r="D226" s="24"/>
      <c r="E226" s="25"/>
      <c r="F226" s="25"/>
      <c r="G226" s="25"/>
      <c r="H226" s="25"/>
      <c r="I226" s="10">
        <f>COUNTIF('[1]SUPMAT - Experiment_wasps_table'!G:G,'[1]SUPMAT - Trial_info'!B226)-1</f>
        <v>-1</v>
      </c>
      <c r="J226" s="24"/>
      <c r="K226" s="24"/>
      <c r="L226" s="29"/>
    </row>
    <row r="227" spans="1:12" x14ac:dyDescent="0.2">
      <c r="A227" s="6"/>
      <c r="B227" s="23"/>
      <c r="C227" s="23"/>
      <c r="D227" s="24"/>
      <c r="E227" s="25"/>
      <c r="F227" s="25"/>
      <c r="G227" s="25"/>
      <c r="H227" s="25"/>
      <c r="I227" s="10">
        <f>COUNTIF('[1]SUPMAT - Experiment_wasps_table'!G:G,'[1]SUPMAT - Trial_info'!B227)-1</f>
        <v>-1</v>
      </c>
      <c r="J227" s="24"/>
      <c r="K227" s="24"/>
      <c r="L227" s="29"/>
    </row>
    <row r="228" spans="1:12" x14ac:dyDescent="0.2">
      <c r="A228" s="6"/>
      <c r="B228" s="23"/>
      <c r="C228" s="23"/>
      <c r="D228" s="24"/>
      <c r="E228" s="25"/>
      <c r="F228" s="25"/>
      <c r="G228" s="25"/>
      <c r="H228" s="25"/>
      <c r="I228" s="10">
        <f>COUNTIF('[1]SUPMAT - Experiment_wasps_table'!G:G,'[1]SUPMAT - Trial_info'!B228)-1</f>
        <v>-1</v>
      </c>
      <c r="J228" s="24"/>
      <c r="K228" s="24"/>
      <c r="L228" s="29"/>
    </row>
    <row r="229" spans="1:12" x14ac:dyDescent="0.2">
      <c r="A229" s="6"/>
      <c r="B229" s="23"/>
      <c r="C229" s="23"/>
      <c r="D229" s="24"/>
      <c r="E229" s="25"/>
      <c r="F229" s="25"/>
      <c r="G229" s="25"/>
      <c r="H229" s="25"/>
      <c r="I229" s="10">
        <f>COUNTIF('[1]SUPMAT - Experiment_wasps_table'!G:G,'[1]SUPMAT - Trial_info'!B229)-1</f>
        <v>-1</v>
      </c>
      <c r="J229" s="24"/>
      <c r="K229" s="24"/>
      <c r="L229" s="29"/>
    </row>
    <row r="230" spans="1:12" x14ac:dyDescent="0.2">
      <c r="A230" s="6"/>
      <c r="B230" s="23"/>
      <c r="C230" s="23"/>
      <c r="D230" s="24"/>
      <c r="E230" s="25"/>
      <c r="F230" s="25"/>
      <c r="G230" s="25"/>
      <c r="H230" s="25"/>
      <c r="I230" s="10">
        <f>COUNTIF('[1]SUPMAT - Experiment_wasps_table'!G:G,'[1]SUPMAT - Trial_info'!B230)-1</f>
        <v>-1</v>
      </c>
      <c r="J230" s="24"/>
      <c r="K230" s="24"/>
      <c r="L230" s="29"/>
    </row>
    <row r="231" spans="1:12" x14ac:dyDescent="0.2">
      <c r="A231" s="6"/>
      <c r="B231" s="23"/>
      <c r="C231" s="23"/>
      <c r="D231" s="24"/>
      <c r="E231" s="25"/>
      <c r="F231" s="25"/>
      <c r="G231" s="25"/>
      <c r="H231" s="25"/>
      <c r="I231" s="10">
        <f>COUNTIF('[1]SUPMAT - Experiment_wasps_table'!G:G,'[1]SUPMAT - Trial_info'!B231)-1</f>
        <v>-1</v>
      </c>
      <c r="J231" s="24"/>
      <c r="K231" s="24"/>
      <c r="L231" s="29"/>
    </row>
    <row r="232" spans="1:12" x14ac:dyDescent="0.2">
      <c r="A232" s="6"/>
      <c r="B232" s="23"/>
      <c r="C232" s="23"/>
      <c r="D232" s="24"/>
      <c r="E232" s="25"/>
      <c r="F232" s="25"/>
      <c r="G232" s="25"/>
      <c r="H232" s="25"/>
      <c r="I232" s="10">
        <f>COUNTIF('[1]SUPMAT - Experiment_wasps_table'!G:G,'[1]SUPMAT - Trial_info'!B232)-1</f>
        <v>-1</v>
      </c>
      <c r="J232" s="24"/>
      <c r="K232" s="24"/>
      <c r="L232" s="29"/>
    </row>
  </sheetData>
  <conditionalFormatting sqref="B1:B232">
    <cfRule type="duplicateValues" dxfId="1" priority="1"/>
  </conditionalFormatting>
  <conditionalFormatting sqref="B95:B232 B1:B63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Kennedy</dc:creator>
  <cp:lastModifiedBy>Patrick Kennedy</cp:lastModifiedBy>
  <dcterms:created xsi:type="dcterms:W3CDTF">2024-01-25T16:55:20Z</dcterms:created>
  <dcterms:modified xsi:type="dcterms:W3CDTF">2024-02-12T14:09:09Z</dcterms:modified>
</cp:coreProperties>
</file>